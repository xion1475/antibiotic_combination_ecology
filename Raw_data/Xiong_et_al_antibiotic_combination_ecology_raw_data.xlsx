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ongxia/Desktop/"/>
    </mc:Choice>
  </mc:AlternateContent>
  <xr:revisionPtr revIDLastSave="0" documentId="13_ncr:1_{D490592C-4C0E-534D-BEA0-830359B430A5}" xr6:coauthVersionLast="47" xr6:coauthVersionMax="47" xr10:uidLastSave="{00000000-0000-0000-0000-000000000000}"/>
  <bookViews>
    <workbookView xWindow="40" yWindow="760" windowWidth="35500" windowHeight="19320" xr2:uid="{D0772470-C6C4-EA4D-9E63-E6DB0EA36551}"/>
  </bookViews>
  <sheets>
    <sheet name="Fig1B(i)" sheetId="4" r:id="rId1"/>
    <sheet name="Fig1B(ii)-1C,S3A-B" sheetId="7" r:id="rId2"/>
    <sheet name="Fig1D" sheetId="8" r:id="rId3"/>
    <sheet name="Fig2B,S6E_part1,S7B-C" sheetId="9" r:id="rId4"/>
    <sheet name="Fig3A_S8E" sheetId="10" r:id="rId5"/>
    <sheet name="Fig3B,S8H,S10AEFGI" sheetId="11" r:id="rId6"/>
    <sheet name="Fig3C" sheetId="12" r:id="rId7"/>
    <sheet name="Fig4A" sheetId="13" r:id="rId8"/>
    <sheet name="Fig4B_S10BJ" sheetId="3" r:id="rId9"/>
    <sheet name="FigS1B" sheetId="14" r:id="rId10"/>
    <sheet name="FigS1C" sheetId="15" r:id="rId11"/>
    <sheet name="FigS1D" sheetId="16" r:id="rId12"/>
    <sheet name="FigS1E" sheetId="17" r:id="rId13"/>
    <sheet name="FigS2A-B" sheetId="18" r:id="rId14"/>
    <sheet name="FigS2C" sheetId="19" r:id="rId15"/>
    <sheet name="FigS2D-E" sheetId="20" r:id="rId16"/>
    <sheet name="FigS2F" sheetId="22" r:id="rId17"/>
    <sheet name="FigS3C" sheetId="21" r:id="rId18"/>
    <sheet name="FigS4" sheetId="23" r:id="rId19"/>
    <sheet name="FigS5A" sheetId="24" r:id="rId20"/>
    <sheet name="FigS5B-C" sheetId="25" r:id="rId21"/>
    <sheet name="FigS5C" sheetId="26" r:id="rId22"/>
    <sheet name="FigS5D" sheetId="27" r:id="rId23"/>
    <sheet name="FigS6CD_S7A" sheetId="28" r:id="rId24"/>
    <sheet name="FigS6E_part2" sheetId="29" r:id="rId25"/>
    <sheet name="FigS7D" sheetId="31" r:id="rId26"/>
    <sheet name="FigS8A" sheetId="32" r:id="rId27"/>
    <sheet name="FigS8B_S9EF" sheetId="33" r:id="rId28"/>
    <sheet name="FigS8C" sheetId="34" r:id="rId29"/>
    <sheet name="FigS8D" sheetId="35" r:id="rId30"/>
    <sheet name="FigS8F" sheetId="36" r:id="rId31"/>
    <sheet name="FigS8G" sheetId="37" r:id="rId32"/>
    <sheet name="FigS8I" sheetId="39" r:id="rId33"/>
    <sheet name="FigS9B" sheetId="40" r:id="rId34"/>
    <sheet name="FigS9C_right" sheetId="41" r:id="rId35"/>
    <sheet name="FigS9D" sheetId="42" r:id="rId36"/>
    <sheet name="FigS10C" sheetId="45" r:id="rId37"/>
    <sheet name="FigS10D" sheetId="44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2" l="1"/>
  <c r="I13" i="32"/>
  <c r="I12" i="32"/>
  <c r="I11" i="32"/>
  <c r="D7" i="32"/>
  <c r="D6" i="32"/>
  <c r="D5" i="32"/>
  <c r="D4" i="32"/>
  <c r="D3" i="32"/>
  <c r="I145" i="11"/>
  <c r="F145" i="11"/>
  <c r="I144" i="11"/>
  <c r="F144" i="11"/>
  <c r="I143" i="11"/>
  <c r="F143" i="11"/>
  <c r="I142" i="11"/>
  <c r="F142" i="11"/>
  <c r="I141" i="11"/>
  <c r="F141" i="11"/>
  <c r="I140" i="11"/>
  <c r="D140" i="11"/>
  <c r="F140" i="11" s="1"/>
  <c r="I139" i="11"/>
  <c r="F139" i="11"/>
  <c r="I138" i="11"/>
  <c r="F138" i="11"/>
  <c r="I137" i="11"/>
  <c r="F137" i="11"/>
  <c r="I136" i="11"/>
  <c r="F136" i="11"/>
  <c r="I135" i="11"/>
  <c r="F135" i="11"/>
  <c r="I134" i="11"/>
  <c r="F134" i="11"/>
  <c r="G133" i="11"/>
  <c r="I133" i="11" s="1"/>
  <c r="F133" i="11"/>
  <c r="G132" i="11"/>
  <c r="I132" i="11" s="1"/>
  <c r="D132" i="11"/>
  <c r="F132" i="11" s="1"/>
  <c r="G131" i="11"/>
  <c r="I131" i="11" s="1"/>
  <c r="F131" i="11"/>
  <c r="I130" i="11"/>
  <c r="F130" i="11"/>
  <c r="I129" i="11"/>
  <c r="F129" i="11"/>
  <c r="I128" i="11"/>
  <c r="J128" i="11" s="1"/>
  <c r="K128" i="11" s="1"/>
  <c r="F128" i="11"/>
  <c r="I127" i="11"/>
  <c r="F127" i="11"/>
  <c r="I126" i="11"/>
  <c r="F126" i="11"/>
  <c r="I125" i="11"/>
  <c r="F125" i="11"/>
  <c r="I124" i="11"/>
  <c r="F124" i="11"/>
  <c r="I123" i="11"/>
  <c r="F123" i="11"/>
  <c r="I122" i="11"/>
  <c r="F122" i="11"/>
  <c r="I181" i="11"/>
  <c r="F181" i="11"/>
  <c r="I180" i="11"/>
  <c r="F180" i="11"/>
  <c r="I179" i="11"/>
  <c r="F179" i="11"/>
  <c r="I178" i="11"/>
  <c r="F178" i="11"/>
  <c r="I177" i="11"/>
  <c r="F177" i="11"/>
  <c r="I176" i="11"/>
  <c r="F176" i="11"/>
  <c r="I175" i="11"/>
  <c r="F175" i="11"/>
  <c r="I174" i="11"/>
  <c r="F174" i="11"/>
  <c r="I173" i="11"/>
  <c r="F173" i="11"/>
  <c r="I172" i="11"/>
  <c r="F172" i="11"/>
  <c r="I171" i="11"/>
  <c r="F171" i="11"/>
  <c r="I170" i="11"/>
  <c r="F170" i="11"/>
  <c r="I169" i="11"/>
  <c r="F169" i="11"/>
  <c r="I168" i="11"/>
  <c r="F168" i="11"/>
  <c r="I167" i="11"/>
  <c r="F167" i="11"/>
  <c r="I166" i="11"/>
  <c r="F166" i="11"/>
  <c r="I165" i="11"/>
  <c r="F165" i="11"/>
  <c r="I164" i="11"/>
  <c r="F164" i="11"/>
  <c r="I163" i="11"/>
  <c r="F163" i="11"/>
  <c r="I162" i="11"/>
  <c r="F162" i="11"/>
  <c r="I161" i="11"/>
  <c r="F161" i="11"/>
  <c r="I160" i="11"/>
  <c r="F160" i="11"/>
  <c r="I159" i="11"/>
  <c r="F159" i="11"/>
  <c r="I158" i="11"/>
  <c r="F158" i="11"/>
  <c r="I157" i="11"/>
  <c r="F157" i="11"/>
  <c r="I156" i="11"/>
  <c r="F156" i="11"/>
  <c r="I155" i="11"/>
  <c r="F155" i="11"/>
  <c r="I154" i="11"/>
  <c r="F154" i="11"/>
  <c r="I153" i="11"/>
  <c r="F153" i="11"/>
  <c r="I152" i="11"/>
  <c r="F152" i="11"/>
  <c r="I151" i="11"/>
  <c r="F151" i="11"/>
  <c r="I150" i="11"/>
  <c r="F150" i="11"/>
  <c r="I149" i="11"/>
  <c r="F149" i="11"/>
  <c r="I148" i="11"/>
  <c r="F148" i="11"/>
  <c r="I147" i="11"/>
  <c r="F147" i="11"/>
  <c r="I146" i="11"/>
  <c r="F146" i="11"/>
  <c r="I109" i="11"/>
  <c r="F109" i="11"/>
  <c r="I108" i="11"/>
  <c r="J108" i="11" s="1"/>
  <c r="K108" i="11" s="1"/>
  <c r="F108" i="11"/>
  <c r="I107" i="11"/>
  <c r="F107" i="11"/>
  <c r="I106" i="11"/>
  <c r="F106" i="11"/>
  <c r="I105" i="11"/>
  <c r="F105" i="11"/>
  <c r="I104" i="11"/>
  <c r="F104" i="11"/>
  <c r="I103" i="11"/>
  <c r="J103" i="11" s="1"/>
  <c r="K103" i="11" s="1"/>
  <c r="F103" i="11"/>
  <c r="I102" i="11"/>
  <c r="J102" i="11" s="1"/>
  <c r="K102" i="11" s="1"/>
  <c r="F102" i="11"/>
  <c r="I101" i="11"/>
  <c r="F101" i="11"/>
  <c r="J101" i="11" s="1"/>
  <c r="K101" i="11" s="1"/>
  <c r="I100" i="11"/>
  <c r="F100" i="11"/>
  <c r="I99" i="11"/>
  <c r="F99" i="11"/>
  <c r="I98" i="11"/>
  <c r="F98" i="11"/>
  <c r="I97" i="11"/>
  <c r="D97" i="11"/>
  <c r="F97" i="11" s="1"/>
  <c r="I96" i="11"/>
  <c r="D96" i="11"/>
  <c r="F96" i="11" s="1"/>
  <c r="I95" i="11"/>
  <c r="F95" i="11"/>
  <c r="G94" i="11"/>
  <c r="I94" i="11" s="1"/>
  <c r="J94" i="11" s="1"/>
  <c r="K94" i="11" s="1"/>
  <c r="F94" i="11"/>
  <c r="G93" i="11"/>
  <c r="I93" i="11" s="1"/>
  <c r="F93" i="11"/>
  <c r="G92" i="11"/>
  <c r="I92" i="11" s="1"/>
  <c r="J92" i="11" s="1"/>
  <c r="K92" i="11" s="1"/>
  <c r="F92" i="11"/>
  <c r="G91" i="11"/>
  <c r="I91" i="11" s="1"/>
  <c r="F91" i="11"/>
  <c r="I90" i="11"/>
  <c r="F90" i="11"/>
  <c r="G89" i="11"/>
  <c r="I89" i="11" s="1"/>
  <c r="J89" i="11" s="1"/>
  <c r="K89" i="11" s="1"/>
  <c r="F89" i="11"/>
  <c r="I88" i="11"/>
  <c r="F88" i="11"/>
  <c r="I87" i="11"/>
  <c r="J87" i="11" s="1"/>
  <c r="K87" i="11" s="1"/>
  <c r="F87" i="11"/>
  <c r="I86" i="11"/>
  <c r="F86" i="11"/>
  <c r="I85" i="11"/>
  <c r="F85" i="11"/>
  <c r="I84" i="11"/>
  <c r="F84" i="11"/>
  <c r="I83" i="11"/>
  <c r="J83" i="11" s="1"/>
  <c r="K83" i="11" s="1"/>
  <c r="F83" i="11"/>
  <c r="I82" i="11"/>
  <c r="F82" i="11"/>
  <c r="I81" i="11"/>
  <c r="F81" i="11"/>
  <c r="I80" i="11"/>
  <c r="F80" i="11"/>
  <c r="I79" i="11"/>
  <c r="F79" i="11"/>
  <c r="I78" i="11"/>
  <c r="F78" i="11"/>
  <c r="I77" i="11"/>
  <c r="F77" i="11"/>
  <c r="I76" i="11"/>
  <c r="J76" i="11" s="1"/>
  <c r="K76" i="11" s="1"/>
  <c r="F76" i="11"/>
  <c r="I75" i="11"/>
  <c r="F75" i="11"/>
  <c r="I74" i="11"/>
  <c r="F74" i="11"/>
  <c r="I73" i="11"/>
  <c r="F73" i="11"/>
  <c r="I72" i="11"/>
  <c r="F72" i="11"/>
  <c r="I71" i="11"/>
  <c r="J71" i="11" s="1"/>
  <c r="K71" i="11" s="1"/>
  <c r="F71" i="11"/>
  <c r="I70" i="11"/>
  <c r="F70" i="11"/>
  <c r="I69" i="11"/>
  <c r="J69" i="11" s="1"/>
  <c r="K69" i="11" s="1"/>
  <c r="F69" i="11"/>
  <c r="I68" i="11"/>
  <c r="F68" i="11"/>
  <c r="I67" i="11"/>
  <c r="F67" i="11"/>
  <c r="I66" i="11"/>
  <c r="F66" i="11"/>
  <c r="I65" i="11"/>
  <c r="J65" i="11" s="1"/>
  <c r="K65" i="11" s="1"/>
  <c r="F65" i="11"/>
  <c r="I64" i="11"/>
  <c r="F64" i="11"/>
  <c r="I63" i="11"/>
  <c r="F63" i="11"/>
  <c r="I62" i="11"/>
  <c r="F62" i="11"/>
  <c r="I61" i="11"/>
  <c r="F61" i="11"/>
  <c r="I60" i="11"/>
  <c r="F60" i="11"/>
  <c r="I59" i="11"/>
  <c r="F59" i="11"/>
  <c r="I58" i="11"/>
  <c r="F58" i="11"/>
  <c r="I57" i="11"/>
  <c r="F57" i="11"/>
  <c r="I56" i="11"/>
  <c r="F56" i="11"/>
  <c r="I55" i="11"/>
  <c r="F55" i="11"/>
  <c r="I54" i="11"/>
  <c r="F54" i="11"/>
  <c r="I53" i="11"/>
  <c r="F53" i="11"/>
  <c r="I52" i="11"/>
  <c r="F52" i="11"/>
  <c r="I51" i="11"/>
  <c r="F51" i="11"/>
  <c r="I50" i="11"/>
  <c r="F50" i="11"/>
  <c r="J49" i="11"/>
  <c r="K49" i="11" s="1"/>
  <c r="J48" i="11"/>
  <c r="K48" i="11" s="1"/>
  <c r="J47" i="11"/>
  <c r="K47" i="11" s="1"/>
  <c r="J46" i="11"/>
  <c r="K46" i="11" s="1"/>
  <c r="J45" i="11"/>
  <c r="K45" i="11" s="1"/>
  <c r="J44" i="11"/>
  <c r="K44" i="11" s="1"/>
  <c r="J43" i="11"/>
  <c r="K43" i="11" s="1"/>
  <c r="J42" i="11"/>
  <c r="K42" i="11" s="1"/>
  <c r="J41" i="11"/>
  <c r="K41" i="11" s="1"/>
  <c r="J40" i="11"/>
  <c r="K40" i="11" s="1"/>
  <c r="J39" i="11"/>
  <c r="K39" i="11" s="1"/>
  <c r="J38" i="11"/>
  <c r="K38" i="11" s="1"/>
  <c r="J37" i="11"/>
  <c r="K37" i="11" s="1"/>
  <c r="J36" i="11"/>
  <c r="K36" i="11" s="1"/>
  <c r="J35" i="11"/>
  <c r="K35" i="11" s="1"/>
  <c r="J34" i="11"/>
  <c r="K34" i="11" s="1"/>
  <c r="J33" i="11"/>
  <c r="K33" i="11" s="1"/>
  <c r="J32" i="11"/>
  <c r="K32" i="11" s="1"/>
  <c r="J31" i="11"/>
  <c r="K31" i="11" s="1"/>
  <c r="J30" i="11"/>
  <c r="K30" i="11" s="1"/>
  <c r="J29" i="11"/>
  <c r="K29" i="11" s="1"/>
  <c r="J28" i="11"/>
  <c r="K28" i="11" s="1"/>
  <c r="J27" i="11"/>
  <c r="K27" i="11" s="1"/>
  <c r="J26" i="11"/>
  <c r="K26" i="11" s="1"/>
  <c r="G25" i="11"/>
  <c r="I25" i="11" s="1"/>
  <c r="F25" i="11"/>
  <c r="I24" i="11"/>
  <c r="J24" i="11" s="1"/>
  <c r="K24" i="11" s="1"/>
  <c r="F24" i="11"/>
  <c r="G23" i="11"/>
  <c r="I23" i="11" s="1"/>
  <c r="J23" i="11" s="1"/>
  <c r="K23" i="11" s="1"/>
  <c r="F23" i="11"/>
  <c r="I22" i="11"/>
  <c r="F22" i="11"/>
  <c r="I21" i="11"/>
  <c r="F21" i="11"/>
  <c r="I20" i="11"/>
  <c r="F20" i="11"/>
  <c r="I19" i="11"/>
  <c r="F19" i="11"/>
  <c r="I18" i="11"/>
  <c r="J18" i="11" s="1"/>
  <c r="K18" i="11" s="1"/>
  <c r="F18" i="11"/>
  <c r="I17" i="11"/>
  <c r="J17" i="11" s="1"/>
  <c r="K17" i="11" s="1"/>
  <c r="F17" i="11"/>
  <c r="G16" i="11"/>
  <c r="I16" i="11" s="1"/>
  <c r="J16" i="11" s="1"/>
  <c r="K16" i="11" s="1"/>
  <c r="F16" i="11"/>
  <c r="I15" i="11"/>
  <c r="J15" i="11" s="1"/>
  <c r="K15" i="11" s="1"/>
  <c r="F15" i="11"/>
  <c r="I14" i="11"/>
  <c r="J14" i="11" s="1"/>
  <c r="K14" i="11" s="1"/>
  <c r="F14" i="11"/>
  <c r="I13" i="11"/>
  <c r="F13" i="11"/>
  <c r="I12" i="11"/>
  <c r="F12" i="11"/>
  <c r="I11" i="11"/>
  <c r="F11" i="11"/>
  <c r="I10" i="11"/>
  <c r="J10" i="11" s="1"/>
  <c r="K10" i="11" s="1"/>
  <c r="F10" i="11"/>
  <c r="I9" i="11"/>
  <c r="F9" i="11"/>
  <c r="I8" i="11"/>
  <c r="F8" i="11"/>
  <c r="I7" i="11"/>
  <c r="J7" i="11" s="1"/>
  <c r="K7" i="11" s="1"/>
  <c r="F7" i="11"/>
  <c r="I6" i="11"/>
  <c r="J6" i="11" s="1"/>
  <c r="K6" i="11" s="1"/>
  <c r="F6" i="11"/>
  <c r="I5" i="11"/>
  <c r="F5" i="11"/>
  <c r="I4" i="11"/>
  <c r="J4" i="11" s="1"/>
  <c r="K4" i="11" s="1"/>
  <c r="F4" i="11"/>
  <c r="I3" i="11"/>
  <c r="F3" i="11"/>
  <c r="I2" i="11"/>
  <c r="J2" i="11" s="1"/>
  <c r="K2" i="11" s="1"/>
  <c r="F2" i="11"/>
  <c r="J145" i="11" l="1"/>
  <c r="K145" i="11" s="1"/>
  <c r="J144" i="11"/>
  <c r="K144" i="11" s="1"/>
  <c r="J143" i="11"/>
  <c r="K143" i="11" s="1"/>
  <c r="J142" i="11"/>
  <c r="K142" i="11" s="1"/>
  <c r="J141" i="11"/>
  <c r="K141" i="11" s="1"/>
  <c r="J139" i="11"/>
  <c r="K139" i="11" s="1"/>
  <c r="J138" i="11"/>
  <c r="K138" i="11" s="1"/>
  <c r="J137" i="11"/>
  <c r="K137" i="11" s="1"/>
  <c r="J136" i="11"/>
  <c r="K136" i="11" s="1"/>
  <c r="J135" i="11"/>
  <c r="K135" i="11" s="1"/>
  <c r="J134" i="11"/>
  <c r="K134" i="11" s="1"/>
  <c r="J133" i="11"/>
  <c r="K133" i="11" s="1"/>
  <c r="J131" i="11"/>
  <c r="K131" i="11" s="1"/>
  <c r="J130" i="11"/>
  <c r="K130" i="11" s="1"/>
  <c r="J129" i="11"/>
  <c r="K129" i="11" s="1"/>
  <c r="J100" i="11"/>
  <c r="K100" i="11" s="1"/>
  <c r="J99" i="11"/>
  <c r="K99" i="11" s="1"/>
  <c r="J98" i="11"/>
  <c r="K98" i="11" s="1"/>
  <c r="J95" i="11"/>
  <c r="K95" i="11" s="1"/>
  <c r="J93" i="11"/>
  <c r="K93" i="11" s="1"/>
  <c r="J91" i="11"/>
  <c r="K91" i="11" s="1"/>
  <c r="J90" i="11"/>
  <c r="K90" i="11" s="1"/>
  <c r="J86" i="11"/>
  <c r="K86" i="11" s="1"/>
  <c r="J85" i="11"/>
  <c r="K85" i="11" s="1"/>
  <c r="J84" i="11"/>
  <c r="K84" i="11" s="1"/>
  <c r="J81" i="11"/>
  <c r="K81" i="11" s="1"/>
  <c r="J80" i="11"/>
  <c r="K80" i="11" s="1"/>
  <c r="J79" i="11"/>
  <c r="K79" i="11" s="1"/>
  <c r="J78" i="11"/>
  <c r="K78" i="11" s="1"/>
  <c r="J77" i="11"/>
  <c r="K77" i="11" s="1"/>
  <c r="J70" i="11"/>
  <c r="K70" i="11" s="1"/>
  <c r="J67" i="11"/>
  <c r="K67" i="11" s="1"/>
  <c r="J66" i="11"/>
  <c r="K66" i="11" s="1"/>
  <c r="J22" i="11"/>
  <c r="K22" i="11" s="1"/>
  <c r="J21" i="11"/>
  <c r="K21" i="11" s="1"/>
  <c r="J19" i="11"/>
  <c r="K19" i="11" s="1"/>
  <c r="J13" i="11"/>
  <c r="K13" i="11" s="1"/>
  <c r="J11" i="11"/>
  <c r="K11" i="11" s="1"/>
  <c r="J8" i="11"/>
  <c r="K8" i="11" s="1"/>
  <c r="J5" i="11"/>
  <c r="K5" i="11" s="1"/>
  <c r="J127" i="11"/>
  <c r="K127" i="11" s="1"/>
  <c r="J126" i="11"/>
  <c r="K126" i="11" s="1"/>
  <c r="J125" i="11"/>
  <c r="K125" i="11" s="1"/>
  <c r="J124" i="11"/>
  <c r="K124" i="11" s="1"/>
  <c r="J123" i="11"/>
  <c r="K123" i="11" s="1"/>
  <c r="J122" i="11"/>
  <c r="K122" i="11" s="1"/>
  <c r="J169" i="11"/>
  <c r="K169" i="11" s="1"/>
  <c r="J157" i="11"/>
  <c r="K157" i="11" s="1"/>
  <c r="J155" i="11"/>
  <c r="K155" i="11" s="1"/>
  <c r="J109" i="11"/>
  <c r="K109" i="11" s="1"/>
  <c r="J107" i="11"/>
  <c r="K107" i="11" s="1"/>
  <c r="J106" i="11"/>
  <c r="K106" i="11" s="1"/>
  <c r="J105" i="11"/>
  <c r="K105" i="11" s="1"/>
  <c r="J104" i="11"/>
  <c r="K104" i="11" s="1"/>
  <c r="J88" i="11"/>
  <c r="K88" i="11" s="1"/>
  <c r="J82" i="11"/>
  <c r="K82" i="11" s="1"/>
  <c r="J75" i="11"/>
  <c r="K75" i="11" s="1"/>
  <c r="J74" i="11"/>
  <c r="K74" i="11" s="1"/>
  <c r="J73" i="11"/>
  <c r="K73" i="11" s="1"/>
  <c r="J72" i="11"/>
  <c r="K72" i="11" s="1"/>
  <c r="J68" i="11"/>
  <c r="K68" i="11" s="1"/>
  <c r="J25" i="11"/>
  <c r="K25" i="11" s="1"/>
  <c r="J12" i="11"/>
  <c r="K12" i="11" s="1"/>
  <c r="J3" i="11"/>
  <c r="K3" i="11" s="1"/>
  <c r="J64" i="11"/>
  <c r="K64" i="11" s="1"/>
  <c r="J63" i="11"/>
  <c r="K63" i="11" s="1"/>
  <c r="J62" i="11"/>
  <c r="K62" i="11" s="1"/>
  <c r="J61" i="11"/>
  <c r="K61" i="11" s="1"/>
  <c r="J60" i="11"/>
  <c r="K60" i="11" s="1"/>
  <c r="J59" i="11"/>
  <c r="K59" i="11" s="1"/>
  <c r="J58" i="11"/>
  <c r="K58" i="11" s="1"/>
  <c r="J57" i="11"/>
  <c r="K57" i="11" s="1"/>
  <c r="J56" i="11"/>
  <c r="K56" i="11" s="1"/>
  <c r="J55" i="11"/>
  <c r="K55" i="11" s="1"/>
  <c r="J54" i="11"/>
  <c r="K54" i="11" s="1"/>
  <c r="J53" i="11"/>
  <c r="K53" i="11" s="1"/>
  <c r="J52" i="11"/>
  <c r="K52" i="11" s="1"/>
  <c r="J51" i="11"/>
  <c r="K51" i="11" s="1"/>
  <c r="J50" i="11"/>
  <c r="K50" i="11" s="1"/>
  <c r="J20" i="11"/>
  <c r="K20" i="11" s="1"/>
  <c r="J9" i="11"/>
  <c r="K9" i="11" s="1"/>
  <c r="J166" i="11"/>
  <c r="K166" i="11" s="1"/>
  <c r="J161" i="11"/>
  <c r="K161" i="11" s="1"/>
  <c r="J140" i="11"/>
  <c r="K140" i="11" s="1"/>
  <c r="J132" i="11"/>
  <c r="K132" i="11" s="1"/>
  <c r="J181" i="11"/>
  <c r="K181" i="11" s="1"/>
  <c r="J180" i="11"/>
  <c r="K180" i="11" s="1"/>
  <c r="J179" i="11"/>
  <c r="K179" i="11" s="1"/>
  <c r="J178" i="11"/>
  <c r="K178" i="11" s="1"/>
  <c r="J177" i="11"/>
  <c r="K177" i="11" s="1"/>
  <c r="J176" i="11"/>
  <c r="K176" i="11" s="1"/>
  <c r="J175" i="11"/>
  <c r="K175" i="11" s="1"/>
  <c r="J174" i="11"/>
  <c r="K174" i="11" s="1"/>
  <c r="J173" i="11"/>
  <c r="K173" i="11" s="1"/>
  <c r="J172" i="11"/>
  <c r="K172" i="11" s="1"/>
  <c r="J171" i="11"/>
  <c r="K171" i="11" s="1"/>
  <c r="J170" i="11"/>
  <c r="K170" i="11" s="1"/>
  <c r="J168" i="11"/>
  <c r="K168" i="11" s="1"/>
  <c r="J167" i="11"/>
  <c r="K167" i="11" s="1"/>
  <c r="J165" i="11"/>
  <c r="K165" i="11" s="1"/>
  <c r="J164" i="11"/>
  <c r="K164" i="11" s="1"/>
  <c r="J163" i="11"/>
  <c r="K163" i="11" s="1"/>
  <c r="J162" i="11"/>
  <c r="K162" i="11" s="1"/>
  <c r="J160" i="11"/>
  <c r="K160" i="11" s="1"/>
  <c r="J159" i="11"/>
  <c r="K159" i="11" s="1"/>
  <c r="J158" i="11"/>
  <c r="K158" i="11" s="1"/>
  <c r="J154" i="11"/>
  <c r="K154" i="11" s="1"/>
  <c r="J153" i="11"/>
  <c r="K153" i="11" s="1"/>
  <c r="J152" i="11"/>
  <c r="K152" i="11" s="1"/>
  <c r="J151" i="11"/>
  <c r="K151" i="11" s="1"/>
  <c r="J150" i="11"/>
  <c r="K150" i="11" s="1"/>
  <c r="J149" i="11"/>
  <c r="K149" i="11" s="1"/>
  <c r="J148" i="11"/>
  <c r="K148" i="11" s="1"/>
  <c r="J147" i="11"/>
  <c r="K147" i="11" s="1"/>
  <c r="J146" i="11"/>
  <c r="K146" i="11" s="1"/>
  <c r="J156" i="11"/>
  <c r="K156" i="11" s="1"/>
  <c r="J97" i="11"/>
  <c r="K97" i="11" s="1"/>
  <c r="J96" i="11"/>
  <c r="K96" i="11" s="1"/>
</calcChain>
</file>

<file path=xl/sharedStrings.xml><?xml version="1.0" encoding="utf-8"?>
<sst xmlns="http://schemas.openxmlformats.org/spreadsheetml/2006/main" count="20427" uniqueCount="1280">
  <si>
    <t>Ecology</t>
  </si>
  <si>
    <t>Mutualism</t>
  </si>
  <si>
    <t>SMX+TMP</t>
  </si>
  <si>
    <t>GEN+RIF</t>
  </si>
  <si>
    <t>SMX+AMX</t>
  </si>
  <si>
    <t>Drug_combination</t>
  </si>
  <si>
    <t>Replicate</t>
  </si>
  <si>
    <t>X</t>
  </si>
  <si>
    <t>galK_ko</t>
  </si>
  <si>
    <t>aceA_ko</t>
  </si>
  <si>
    <t>AMP+RIF</t>
  </si>
  <si>
    <t>AMX+NAL</t>
  </si>
  <si>
    <t>pps_ko</t>
  </si>
  <si>
    <t>g_A</t>
  </si>
  <si>
    <t>g_B</t>
  </si>
  <si>
    <t>g_AB</t>
  </si>
  <si>
    <t>Focal_species</t>
  </si>
  <si>
    <t>E_coli</t>
  </si>
  <si>
    <t>S_enterica</t>
  </si>
  <si>
    <t>S_enterica_genetics</t>
  </si>
  <si>
    <t>Monoculture</t>
  </si>
  <si>
    <t>TMP+AMP</t>
  </si>
  <si>
    <t>WT_no_FLP</t>
  </si>
  <si>
    <t>WT_FLP</t>
  </si>
  <si>
    <t>Time_h</t>
  </si>
  <si>
    <t>NA</t>
  </si>
  <si>
    <t>SMX</t>
  </si>
  <si>
    <t>AMX</t>
  </si>
  <si>
    <t>Log_CFP_signal_E_coli</t>
  </si>
  <si>
    <t>Drug_condition</t>
  </si>
  <si>
    <t>No_drug</t>
  </si>
  <si>
    <t>Drug_Combination</t>
  </si>
  <si>
    <t>g_A_g_B</t>
  </si>
  <si>
    <t>Cross-feeding</t>
  </si>
  <si>
    <t>Data_ID</t>
  </si>
  <si>
    <t>Plate_ID</t>
  </si>
  <si>
    <t>Well_ID</t>
  </si>
  <si>
    <t>Species</t>
  </si>
  <si>
    <t>1b</t>
  </si>
  <si>
    <t>C6</t>
  </si>
  <si>
    <t>AMP+AMX</t>
  </si>
  <si>
    <t>2b</t>
  </si>
  <si>
    <t>3b</t>
  </si>
  <si>
    <t>C8</t>
  </si>
  <si>
    <t>AMP+LEV</t>
  </si>
  <si>
    <t>C7</t>
  </si>
  <si>
    <t>AMP+NAL</t>
  </si>
  <si>
    <t>C9</t>
  </si>
  <si>
    <t>C11</t>
  </si>
  <si>
    <t>AMX+LEV</t>
  </si>
  <si>
    <t>C10</t>
  </si>
  <si>
    <t>D2</t>
  </si>
  <si>
    <t>AMX+RIF</t>
  </si>
  <si>
    <t>1a</t>
  </si>
  <si>
    <t>CHL+AMP</t>
  </si>
  <si>
    <t>2a</t>
  </si>
  <si>
    <t>3a</t>
  </si>
  <si>
    <t>D11</t>
  </si>
  <si>
    <t>CHL+AMX</t>
  </si>
  <si>
    <t>D3</t>
  </si>
  <si>
    <t>D5</t>
  </si>
  <si>
    <t>CHL+LEV</t>
  </si>
  <si>
    <t>CHL+NAL</t>
  </si>
  <si>
    <t>D4</t>
  </si>
  <si>
    <t>D6</t>
  </si>
  <si>
    <t>CHL+RIF</t>
  </si>
  <si>
    <t>CHL+SMX</t>
  </si>
  <si>
    <t>CHL+TMP</t>
  </si>
  <si>
    <t>C5</t>
  </si>
  <si>
    <t>GEN+AMP</t>
  </si>
  <si>
    <t>D8</t>
  </si>
  <si>
    <t>GEN+AMX</t>
  </si>
  <si>
    <t>C2</t>
  </si>
  <si>
    <t>GEN+CHL</t>
  </si>
  <si>
    <t>D9</t>
  </si>
  <si>
    <t>GEN+LEV</t>
  </si>
  <si>
    <t>GEN+NAL</t>
  </si>
  <si>
    <t>C3</t>
  </si>
  <si>
    <t>GEN+SMX</t>
  </si>
  <si>
    <t>C4</t>
  </si>
  <si>
    <t>GEN+TMP</t>
  </si>
  <si>
    <t>D7</t>
  </si>
  <si>
    <t>LEV+RIF</t>
  </si>
  <si>
    <t>NAL+LEV</t>
  </si>
  <si>
    <t>NAL+RIF</t>
  </si>
  <si>
    <t>SMX+AMP</t>
  </si>
  <si>
    <t>SMX+LEV</t>
  </si>
  <si>
    <t>D10</t>
  </si>
  <si>
    <t>SMX+NAL</t>
  </si>
  <si>
    <t>B10</t>
  </si>
  <si>
    <t>SMX+RIF</t>
  </si>
  <si>
    <t>B11</t>
  </si>
  <si>
    <t>TMP+AMX</t>
  </si>
  <si>
    <t>TMP+LEV</t>
  </si>
  <si>
    <t>TMP+NAL</t>
  </si>
  <si>
    <t>TMP+RIF</t>
  </si>
  <si>
    <t>F6</t>
  </si>
  <si>
    <t>F8</t>
  </si>
  <si>
    <t>F7</t>
  </si>
  <si>
    <t>F9</t>
  </si>
  <si>
    <t>F11</t>
  </si>
  <si>
    <t>F10</t>
  </si>
  <si>
    <t>G2</t>
  </si>
  <si>
    <t>G11</t>
  </si>
  <si>
    <t>G3</t>
  </si>
  <si>
    <t>G5</t>
  </si>
  <si>
    <t>G4</t>
  </si>
  <si>
    <t>G6</t>
  </si>
  <si>
    <t>F5</t>
  </si>
  <si>
    <t>G8</t>
  </si>
  <si>
    <t>F2</t>
  </si>
  <si>
    <t>G9</t>
  </si>
  <si>
    <t>F3</t>
  </si>
  <si>
    <t>F4</t>
  </si>
  <si>
    <t>G7</t>
  </si>
  <si>
    <t>G10</t>
  </si>
  <si>
    <t>E10</t>
  </si>
  <si>
    <t>E11</t>
  </si>
  <si>
    <t>ID</t>
  </si>
  <si>
    <t>Drug_combo</t>
  </si>
  <si>
    <t>Independence</t>
  </si>
  <si>
    <t>Synergy</t>
  </si>
  <si>
    <t>Antagonism</t>
  </si>
  <si>
    <t>Drug_interaction_type_in_monoculture</t>
  </si>
  <si>
    <t>Drug_interaction_type_in_coculture</t>
  </si>
  <si>
    <t>gene_list</t>
  </si>
  <si>
    <t>Gene_X</t>
  </si>
  <si>
    <t>Gene_Y</t>
  </si>
  <si>
    <t>acnBadk</t>
  </si>
  <si>
    <t>acnB</t>
  </si>
  <si>
    <t>adk</t>
  </si>
  <si>
    <t>acnBargD</t>
  </si>
  <si>
    <t>argD</t>
  </si>
  <si>
    <t>acnBbioD</t>
  </si>
  <si>
    <t>bioD</t>
  </si>
  <si>
    <t>acnBcysJ</t>
  </si>
  <si>
    <t>cysJ</t>
  </si>
  <si>
    <t>acnBdadX</t>
  </si>
  <si>
    <t>dadX</t>
  </si>
  <si>
    <t>acnBfolA</t>
  </si>
  <si>
    <t>folA</t>
  </si>
  <si>
    <t>acnBftsI</t>
  </si>
  <si>
    <t>ftsI</t>
  </si>
  <si>
    <t>acnBgnd</t>
  </si>
  <si>
    <t>gnd</t>
  </si>
  <si>
    <t>acnBguaB</t>
  </si>
  <si>
    <t>guaB</t>
  </si>
  <si>
    <t>acnBispA</t>
  </si>
  <si>
    <t>ispA</t>
  </si>
  <si>
    <t>acnBmanA</t>
  </si>
  <si>
    <t>manA</t>
  </si>
  <si>
    <t>acnBmrdA</t>
  </si>
  <si>
    <t>mrdA</t>
  </si>
  <si>
    <t>acnBpbpC</t>
  </si>
  <si>
    <t>pbpC</t>
  </si>
  <si>
    <t>acnBpdxA</t>
  </si>
  <si>
    <t>pdxA</t>
  </si>
  <si>
    <t>acnBpgpB</t>
  </si>
  <si>
    <t>pgpB</t>
  </si>
  <si>
    <t>acnBproA</t>
  </si>
  <si>
    <t>proA</t>
  </si>
  <si>
    <t>acnBpyrD</t>
  </si>
  <si>
    <t>pyrD</t>
  </si>
  <si>
    <t>acnBserC</t>
  </si>
  <si>
    <t>serC</t>
  </si>
  <si>
    <t>acnBspeB</t>
  </si>
  <si>
    <t>speB</t>
  </si>
  <si>
    <t>acnBtyrB</t>
  </si>
  <si>
    <t>tyrB</t>
  </si>
  <si>
    <t>adkpgpB</t>
  </si>
  <si>
    <t>argDadk</t>
  </si>
  <si>
    <t>argDmanA</t>
  </si>
  <si>
    <t>argDpgpB</t>
  </si>
  <si>
    <t>argDtyrB</t>
  </si>
  <si>
    <t>aroAacnB</t>
  </si>
  <si>
    <t>aroA</t>
  </si>
  <si>
    <t>aroAadk</t>
  </si>
  <si>
    <t>aroAargD</t>
  </si>
  <si>
    <t>aroAbioD</t>
  </si>
  <si>
    <t>aroAcysJ</t>
  </si>
  <si>
    <t>aroAdadX</t>
  </si>
  <si>
    <t>aroAdapA</t>
  </si>
  <si>
    <t>dapA</t>
  </si>
  <si>
    <t>aroAdapB</t>
  </si>
  <si>
    <t>dapB</t>
  </si>
  <si>
    <t>aroAdapD</t>
  </si>
  <si>
    <t>dapD</t>
  </si>
  <si>
    <t>aroAdapF</t>
  </si>
  <si>
    <t>dapF</t>
  </si>
  <si>
    <t>aroAfolA</t>
  </si>
  <si>
    <t>aroAfolC</t>
  </si>
  <si>
    <t>folC</t>
  </si>
  <si>
    <t>aroAfolP</t>
  </si>
  <si>
    <t>folP</t>
  </si>
  <si>
    <t>aroAftsI</t>
  </si>
  <si>
    <t>aroAgltA</t>
  </si>
  <si>
    <t>gltA</t>
  </si>
  <si>
    <t>aroAgnd</t>
  </si>
  <si>
    <t>aroAguaB</t>
  </si>
  <si>
    <t>aroAilvE</t>
  </si>
  <si>
    <t>ilvE</t>
  </si>
  <si>
    <t>aroAispA</t>
  </si>
  <si>
    <t>aroAmanA</t>
  </si>
  <si>
    <t>aroAmrcA</t>
  </si>
  <si>
    <t>mrcA</t>
  </si>
  <si>
    <t>aroAmrdA</t>
  </si>
  <si>
    <t>aroAmurA</t>
  </si>
  <si>
    <t>murA</t>
  </si>
  <si>
    <t>aroApabB</t>
  </si>
  <si>
    <t>pabB</t>
  </si>
  <si>
    <t>aroApbpC</t>
  </si>
  <si>
    <t>aroApdxA</t>
  </si>
  <si>
    <t>aroApgpB</t>
  </si>
  <si>
    <t>aroApheA</t>
  </si>
  <si>
    <t>pheA</t>
  </si>
  <si>
    <t>aroAproA</t>
  </si>
  <si>
    <t>aroApyrD</t>
  </si>
  <si>
    <t>aroApyrE</t>
  </si>
  <si>
    <t>pyrE</t>
  </si>
  <si>
    <t>aroArffG</t>
  </si>
  <si>
    <t>rffG</t>
  </si>
  <si>
    <t>aroAserC</t>
  </si>
  <si>
    <t>aroAspeB</t>
  </si>
  <si>
    <t>aroAthrB</t>
  </si>
  <si>
    <t>thrB</t>
  </si>
  <si>
    <t>aroAtktA</t>
  </si>
  <si>
    <t>tktA</t>
  </si>
  <si>
    <t>aroAtyrB</t>
  </si>
  <si>
    <t>bioDadk</t>
  </si>
  <si>
    <t>bioDargD</t>
  </si>
  <si>
    <t>bioDcysJ</t>
  </si>
  <si>
    <t>bioDfolA</t>
  </si>
  <si>
    <t>bioDftsI</t>
  </si>
  <si>
    <t>bioDguaB</t>
  </si>
  <si>
    <t>bioDispA</t>
  </si>
  <si>
    <t>bioDmanA</t>
  </si>
  <si>
    <t>bioDpdxA</t>
  </si>
  <si>
    <t>bioDpgpB</t>
  </si>
  <si>
    <t>bioDproA</t>
  </si>
  <si>
    <t>bioDpyrD</t>
  </si>
  <si>
    <t>bioDtyrB</t>
  </si>
  <si>
    <t>cysJadk</t>
  </si>
  <si>
    <t>cysJargD</t>
  </si>
  <si>
    <t>cysJfolA</t>
  </si>
  <si>
    <t>cysJftsI</t>
  </si>
  <si>
    <t>cysJguaB</t>
  </si>
  <si>
    <t>cysJmanA</t>
  </si>
  <si>
    <t>cysJpdxA</t>
  </si>
  <si>
    <t>cysJpgpB</t>
  </si>
  <si>
    <t>cysJpyrD</t>
  </si>
  <si>
    <t>cysJtyrB</t>
  </si>
  <si>
    <t>dadXadk</t>
  </si>
  <si>
    <t>dadXargD</t>
  </si>
  <si>
    <t>dadXbioD</t>
  </si>
  <si>
    <t>dadXcysJ</t>
  </si>
  <si>
    <t>dadXfolA</t>
  </si>
  <si>
    <t>dadXftsI</t>
  </si>
  <si>
    <t>dadXgnd</t>
  </si>
  <si>
    <t>dadXguaB</t>
  </si>
  <si>
    <t>dadXispA</t>
  </si>
  <si>
    <t>dadXmanA</t>
  </si>
  <si>
    <t>dadXmrdA</t>
  </si>
  <si>
    <t>dadXpbpC</t>
  </si>
  <si>
    <t>dadXpdxA</t>
  </si>
  <si>
    <t>dadXpgpB</t>
  </si>
  <si>
    <t>dadXproA</t>
  </si>
  <si>
    <t>dadXpyrD</t>
  </si>
  <si>
    <t>dadXserC</t>
  </si>
  <si>
    <t>dadXspeB</t>
  </si>
  <si>
    <t>dadXtyrB</t>
  </si>
  <si>
    <t>dapAacnB</t>
  </si>
  <si>
    <t>dapAadk</t>
  </si>
  <si>
    <t>dapAargD</t>
  </si>
  <si>
    <t>dapAbioD</t>
  </si>
  <si>
    <t>dapAcysJ</t>
  </si>
  <si>
    <t>dapAdadX</t>
  </si>
  <si>
    <t>dapAfolA</t>
  </si>
  <si>
    <t>dapAftsI</t>
  </si>
  <si>
    <t>dapAgnd</t>
  </si>
  <si>
    <t>dapAguaB</t>
  </si>
  <si>
    <t>dapAilvE</t>
  </si>
  <si>
    <t>dapAispA</t>
  </si>
  <si>
    <t>dapAmanA</t>
  </si>
  <si>
    <t>dapAmrcA</t>
  </si>
  <si>
    <t>dapAmrdA</t>
  </si>
  <si>
    <t>dapApbpC</t>
  </si>
  <si>
    <t>dapApdxA</t>
  </si>
  <si>
    <t>dapApgpB</t>
  </si>
  <si>
    <t>dapAproA</t>
  </si>
  <si>
    <t>dapApyrD</t>
  </si>
  <si>
    <t>dapArffG</t>
  </si>
  <si>
    <t>dapAserC</t>
  </si>
  <si>
    <t>dapAspeB</t>
  </si>
  <si>
    <t>dapAtktA</t>
  </si>
  <si>
    <t>dapAtyrB</t>
  </si>
  <si>
    <t>dapBacnB</t>
  </si>
  <si>
    <t>dapBadk</t>
  </si>
  <si>
    <t>dapBargD</t>
  </si>
  <si>
    <t>dapBbioD</t>
  </si>
  <si>
    <t>dapBcysJ</t>
  </si>
  <si>
    <t>dapBdadX</t>
  </si>
  <si>
    <t>dapBdapA</t>
  </si>
  <si>
    <t>dapBdapF</t>
  </si>
  <si>
    <t>dapBfolA</t>
  </si>
  <si>
    <t>dapBfolC</t>
  </si>
  <si>
    <t>dapBfolP</t>
  </si>
  <si>
    <t>dapBftsI</t>
  </si>
  <si>
    <t>dapBgnd</t>
  </si>
  <si>
    <t>dapBguaB</t>
  </si>
  <si>
    <t>dapBilvE</t>
  </si>
  <si>
    <t>dapBispA</t>
  </si>
  <si>
    <t>dapBmanA</t>
  </si>
  <si>
    <t>dapBmrcA</t>
  </si>
  <si>
    <t>dapBmrdA</t>
  </si>
  <si>
    <t>dapBmurA</t>
  </si>
  <si>
    <t>dapBpabB</t>
  </si>
  <si>
    <t>dapBpbpC</t>
  </si>
  <si>
    <t>dapBpdxA</t>
  </si>
  <si>
    <t>dapBpgpB</t>
  </si>
  <si>
    <t>dapBpheA</t>
  </si>
  <si>
    <t>dapBproA</t>
  </si>
  <si>
    <t>dapBpyrD</t>
  </si>
  <si>
    <t>dapBpyrE</t>
  </si>
  <si>
    <t>dapBrffG</t>
  </si>
  <si>
    <t>dapBserC</t>
  </si>
  <si>
    <t>dapBspeB</t>
  </si>
  <si>
    <t>dapBtktA</t>
  </si>
  <si>
    <t>dapBtyrB</t>
  </si>
  <si>
    <t>dapDacnB</t>
  </si>
  <si>
    <t>dapDadk</t>
  </si>
  <si>
    <t>dapDargD</t>
  </si>
  <si>
    <t>dapDbioD</t>
  </si>
  <si>
    <t>dapDcysJ</t>
  </si>
  <si>
    <t>dapDdadX</t>
  </si>
  <si>
    <t>dapDdapA</t>
  </si>
  <si>
    <t>dapDdapB</t>
  </si>
  <si>
    <t>dapDdapF</t>
  </si>
  <si>
    <t>dapDfolA</t>
  </si>
  <si>
    <t>dapDfolC</t>
  </si>
  <si>
    <t>dapDfolP</t>
  </si>
  <si>
    <t>dapDftsI</t>
  </si>
  <si>
    <t>dapDgnd</t>
  </si>
  <si>
    <t>dapDguaB</t>
  </si>
  <si>
    <t>dapDilvE</t>
  </si>
  <si>
    <t>dapDispA</t>
  </si>
  <si>
    <t>dapDmanA</t>
  </si>
  <si>
    <t>dapDmrcA</t>
  </si>
  <si>
    <t>dapDmrdA</t>
  </si>
  <si>
    <t>dapDmurA</t>
  </si>
  <si>
    <t>dapDpabB</t>
  </si>
  <si>
    <t>dapDpbpC</t>
  </si>
  <si>
    <t>dapDpdxA</t>
  </si>
  <si>
    <t>dapDpgpB</t>
  </si>
  <si>
    <t>dapDpheA</t>
  </si>
  <si>
    <t>dapDproA</t>
  </si>
  <si>
    <t>dapDpyrD</t>
  </si>
  <si>
    <t>dapDpyrE</t>
  </si>
  <si>
    <t>dapDrffG</t>
  </si>
  <si>
    <t>dapDserC</t>
  </si>
  <si>
    <t>dapDspeB</t>
  </si>
  <si>
    <t>dapDtktA</t>
  </si>
  <si>
    <t>dapDtyrB</t>
  </si>
  <si>
    <t>dapFacnB</t>
  </si>
  <si>
    <t>dapFadk</t>
  </si>
  <si>
    <t>dapFargD</t>
  </si>
  <si>
    <t>dapFbioD</t>
  </si>
  <si>
    <t>dapFcysJ</t>
  </si>
  <si>
    <t>dapFdadX</t>
  </si>
  <si>
    <t>dapFdapA</t>
  </si>
  <si>
    <t>dapFfolA</t>
  </si>
  <si>
    <t>dapFftsI</t>
  </si>
  <si>
    <t>dapFgnd</t>
  </si>
  <si>
    <t>dapFguaB</t>
  </si>
  <si>
    <t>dapFilvE</t>
  </si>
  <si>
    <t>dapFispA</t>
  </si>
  <si>
    <t>dapFmanA</t>
  </si>
  <si>
    <t>dapFmrcA</t>
  </si>
  <si>
    <t>dapFmrdA</t>
  </si>
  <si>
    <t>dapFpbpC</t>
  </si>
  <si>
    <t>dapFpdxA</t>
  </si>
  <si>
    <t>dapFpgpB</t>
  </si>
  <si>
    <t>dapFproA</t>
  </si>
  <si>
    <t>dapFpyrD</t>
  </si>
  <si>
    <t>dapFrffG</t>
  </si>
  <si>
    <t>dapFserC</t>
  </si>
  <si>
    <t>dapFspeB</t>
  </si>
  <si>
    <t>dapFtktA</t>
  </si>
  <si>
    <t>dapFtyrB</t>
  </si>
  <si>
    <t>folAadk</t>
  </si>
  <si>
    <t>folAargD</t>
  </si>
  <si>
    <t>folAmanA</t>
  </si>
  <si>
    <t>folApgpB</t>
  </si>
  <si>
    <t>folAtyrB</t>
  </si>
  <si>
    <t>folCacnB</t>
  </si>
  <si>
    <t>folCadk</t>
  </si>
  <si>
    <t>folCargD</t>
  </si>
  <si>
    <t>folCbioD</t>
  </si>
  <si>
    <t>folCcysJ</t>
  </si>
  <si>
    <t>folCdadX</t>
  </si>
  <si>
    <t>folCdapA</t>
  </si>
  <si>
    <t>folCdapF</t>
  </si>
  <si>
    <t>folCftsI</t>
  </si>
  <si>
    <t>folCgnd</t>
  </si>
  <si>
    <t>folCguaB</t>
  </si>
  <si>
    <t>folCilvE</t>
  </si>
  <si>
    <t>folCispA</t>
  </si>
  <si>
    <t>folCmanA</t>
  </si>
  <si>
    <t>folCmrcA</t>
  </si>
  <si>
    <t>folCmrdA</t>
  </si>
  <si>
    <t>folCpbpC</t>
  </si>
  <si>
    <t>folCpdxA</t>
  </si>
  <si>
    <t>folCpgpB</t>
  </si>
  <si>
    <t>folCproA</t>
  </si>
  <si>
    <t>folCpyrD</t>
  </si>
  <si>
    <t>folCrffG</t>
  </si>
  <si>
    <t>folCserC</t>
  </si>
  <si>
    <t>folCspeB</t>
  </si>
  <si>
    <t>folCtktA</t>
  </si>
  <si>
    <t>folCtyrB</t>
  </si>
  <si>
    <t>folPacnB</t>
  </si>
  <si>
    <t>folPadk</t>
  </si>
  <si>
    <t>folPargD</t>
  </si>
  <si>
    <t>folPbioD</t>
  </si>
  <si>
    <t>folPcysJ</t>
  </si>
  <si>
    <t>folPdadX</t>
  </si>
  <si>
    <t>folPdapA</t>
  </si>
  <si>
    <t>folPdapF</t>
  </si>
  <si>
    <t>folPfolA</t>
  </si>
  <si>
    <t>folPfolC</t>
  </si>
  <si>
    <t>folPftsI</t>
  </si>
  <si>
    <t>folPgnd</t>
  </si>
  <si>
    <t>folPguaB</t>
  </si>
  <si>
    <t>folPilvE</t>
  </si>
  <si>
    <t>folPispA</t>
  </si>
  <si>
    <t>folPmanA</t>
  </si>
  <si>
    <t>folPmrcA</t>
  </si>
  <si>
    <t>folPmrdA</t>
  </si>
  <si>
    <t>folPpbpC</t>
  </si>
  <si>
    <t>folPpdxA</t>
  </si>
  <si>
    <t>folPpgpB</t>
  </si>
  <si>
    <t>folPproA</t>
  </si>
  <si>
    <t>folPpyrD</t>
  </si>
  <si>
    <t>folPrffG</t>
  </si>
  <si>
    <t>folPserC</t>
  </si>
  <si>
    <t>folPspeB</t>
  </si>
  <si>
    <t>folPtktA</t>
  </si>
  <si>
    <t>folPtyrB</t>
  </si>
  <si>
    <t>ftsIadk</t>
  </si>
  <si>
    <t>ftsIargD</t>
  </si>
  <si>
    <t>ftsIfolA</t>
  </si>
  <si>
    <t>ftsIguaB</t>
  </si>
  <si>
    <t>ftsImanA</t>
  </si>
  <si>
    <t>ftsImrcA</t>
  </si>
  <si>
    <t>ftsImrdA</t>
  </si>
  <si>
    <t>ftsIpgpB</t>
  </si>
  <si>
    <t>ftsIpyrD</t>
  </si>
  <si>
    <t>ftsItyrB</t>
  </si>
  <si>
    <t>gltAacnB</t>
  </si>
  <si>
    <t>gltAadk</t>
  </si>
  <si>
    <t>gltAargD</t>
  </si>
  <si>
    <t>gltAbioD</t>
  </si>
  <si>
    <t>gltAcysJ</t>
  </si>
  <si>
    <t>gltAdadX</t>
  </si>
  <si>
    <t>gltAdapA</t>
  </si>
  <si>
    <t>gltAdapB</t>
  </si>
  <si>
    <t>gltAdapD</t>
  </si>
  <si>
    <t>gltAdapF</t>
  </si>
  <si>
    <t>gltAfolA</t>
  </si>
  <si>
    <t>gltAfolC</t>
  </si>
  <si>
    <t>gltAfolP</t>
  </si>
  <si>
    <t>gltAftsI</t>
  </si>
  <si>
    <t>gltAgnd</t>
  </si>
  <si>
    <t>gltAguaB</t>
  </si>
  <si>
    <t>gltAilvE</t>
  </si>
  <si>
    <t>gltAispA</t>
  </si>
  <si>
    <t>gltAmanA</t>
  </si>
  <si>
    <t>gltAmrcA</t>
  </si>
  <si>
    <t>gltAmrdA</t>
  </si>
  <si>
    <t>gltAmurA</t>
  </si>
  <si>
    <t>gltApabB</t>
  </si>
  <si>
    <t>gltApbpC</t>
  </si>
  <si>
    <t>gltApdxA</t>
  </si>
  <si>
    <t>gltApgpB</t>
  </si>
  <si>
    <t>gltApheA</t>
  </si>
  <si>
    <t>gltAproA</t>
  </si>
  <si>
    <t>gltApyrD</t>
  </si>
  <si>
    <t>gltApyrE</t>
  </si>
  <si>
    <t>gltArffG</t>
  </si>
  <si>
    <t>gltAserC</t>
  </si>
  <si>
    <t>gltAspeB</t>
  </si>
  <si>
    <t>gltAtktA</t>
  </si>
  <si>
    <t>gndadk</t>
  </si>
  <si>
    <t>gndargD</t>
  </si>
  <si>
    <t>gndbioD</t>
  </si>
  <si>
    <t>gndcysJ</t>
  </si>
  <si>
    <t>gndfolA</t>
  </si>
  <si>
    <t>gndftsI</t>
  </si>
  <si>
    <t>gndguaB</t>
  </si>
  <si>
    <t>gndispA</t>
  </si>
  <si>
    <t>gndmanA</t>
  </si>
  <si>
    <t>gndmrdA</t>
  </si>
  <si>
    <t>gndpdxA</t>
  </si>
  <si>
    <t>gndpgpB</t>
  </si>
  <si>
    <t>gndproA</t>
  </si>
  <si>
    <t>gndpyrD</t>
  </si>
  <si>
    <t>gndserC</t>
  </si>
  <si>
    <t>gndspeB</t>
  </si>
  <si>
    <t>gndtyrB</t>
  </si>
  <si>
    <t>guaBargD</t>
  </si>
  <si>
    <t>guaBfolA</t>
  </si>
  <si>
    <t>guaBmanA</t>
  </si>
  <si>
    <t>guaBpgpB</t>
  </si>
  <si>
    <t>guaBtyrB</t>
  </si>
  <si>
    <t>ilvEacnB</t>
  </si>
  <si>
    <t>ilvEadk</t>
  </si>
  <si>
    <t>ilvEargD</t>
  </si>
  <si>
    <t>ilvEbioD</t>
  </si>
  <si>
    <t>ilvEcysJ</t>
  </si>
  <si>
    <t>ilvEdadX</t>
  </si>
  <si>
    <t>ilvEfolA</t>
  </si>
  <si>
    <t>ilvEftsI</t>
  </si>
  <si>
    <t>ilvEgnd</t>
  </si>
  <si>
    <t>ilvEguaB</t>
  </si>
  <si>
    <t>ilvEispA</t>
  </si>
  <si>
    <t>ilvEmanA</t>
  </si>
  <si>
    <t>ilvEmrcA</t>
  </si>
  <si>
    <t>ilvEmrdA</t>
  </si>
  <si>
    <t>ilvEpbpC</t>
  </si>
  <si>
    <t>ilvEpdxA</t>
  </si>
  <si>
    <t>ilvEpgpB</t>
  </si>
  <si>
    <t>ilvEproA</t>
  </si>
  <si>
    <t>ilvEpyrD</t>
  </si>
  <si>
    <t>ilvErffG</t>
  </si>
  <si>
    <t>ilvEserC</t>
  </si>
  <si>
    <t>ilvEspeB</t>
  </si>
  <si>
    <t>ilvEtktA</t>
  </si>
  <si>
    <t>ilvEtyrB</t>
  </si>
  <si>
    <t>ispAadk</t>
  </si>
  <si>
    <t>ispAargD</t>
  </si>
  <si>
    <t>ispAcysJ</t>
  </si>
  <si>
    <t>ispAfolA</t>
  </si>
  <si>
    <t>ispAftsI</t>
  </si>
  <si>
    <t>ispAguaB</t>
  </si>
  <si>
    <t>ispAmanA</t>
  </si>
  <si>
    <t>ispApdxA</t>
  </si>
  <si>
    <t>ispAtyrB</t>
  </si>
  <si>
    <t>manAadk</t>
  </si>
  <si>
    <t>manApgpB</t>
  </si>
  <si>
    <t>mrcAacnB</t>
  </si>
  <si>
    <t>mrcAadk</t>
  </si>
  <si>
    <t>mrcAargD</t>
  </si>
  <si>
    <t>mrcAbioD</t>
  </si>
  <si>
    <t>mrcAcysJ</t>
  </si>
  <si>
    <t>mrcAdadX</t>
  </si>
  <si>
    <t>mrcAfolA</t>
  </si>
  <si>
    <t>mrcAgnd</t>
  </si>
  <si>
    <t>mrcAguaB</t>
  </si>
  <si>
    <t>mrcAmanA</t>
  </si>
  <si>
    <t>mrcApdxA</t>
  </si>
  <si>
    <t>mrcApgpB</t>
  </si>
  <si>
    <t>mrcAproA</t>
  </si>
  <si>
    <t>mrcApyrD</t>
  </si>
  <si>
    <t>mrcAserC</t>
  </si>
  <si>
    <t>mrcAspeB</t>
  </si>
  <si>
    <t>mrcAtyrB</t>
  </si>
  <si>
    <t>mrdAadk</t>
  </si>
  <si>
    <t>mrdAargD</t>
  </si>
  <si>
    <t>mrdAbioD</t>
  </si>
  <si>
    <t>mrdAcysJ</t>
  </si>
  <si>
    <t>mrdAfolA</t>
  </si>
  <si>
    <t>mrdAguaB</t>
  </si>
  <si>
    <t>mrdAispA</t>
  </si>
  <si>
    <t>mrdAmanA</t>
  </si>
  <si>
    <t>mrdAmrcA</t>
  </si>
  <si>
    <t>mrdApdxA</t>
  </si>
  <si>
    <t>mrdApgpB</t>
  </si>
  <si>
    <t>mrdAproA</t>
  </si>
  <si>
    <t>mrdApyrD</t>
  </si>
  <si>
    <t>mrdAtyrB</t>
  </si>
  <si>
    <t>murAacnB</t>
  </si>
  <si>
    <t>murAadk</t>
  </si>
  <si>
    <t>murAargD</t>
  </si>
  <si>
    <t>murAbioD</t>
  </si>
  <si>
    <t>murAcysJ</t>
  </si>
  <si>
    <t>murAdadX</t>
  </si>
  <si>
    <t>murAdapA</t>
  </si>
  <si>
    <t>murAdapF</t>
  </si>
  <si>
    <t>murAfolA</t>
  </si>
  <si>
    <t>murAfolC</t>
  </si>
  <si>
    <t>murAfolP</t>
  </si>
  <si>
    <t>murAftsI</t>
  </si>
  <si>
    <t>murAgnd</t>
  </si>
  <si>
    <t>murAguaB</t>
  </si>
  <si>
    <t>murAilvE</t>
  </si>
  <si>
    <t>murAispA</t>
  </si>
  <si>
    <t>murAmanA</t>
  </si>
  <si>
    <t>murAmrcA</t>
  </si>
  <si>
    <t>murAmrdA</t>
  </si>
  <si>
    <t>murApabB</t>
  </si>
  <si>
    <t>murApbpC</t>
  </si>
  <si>
    <t>murApdxA</t>
  </si>
  <si>
    <t>murApgpB</t>
  </si>
  <si>
    <t>murApheA</t>
  </si>
  <si>
    <t>murAproA</t>
  </si>
  <si>
    <t>murApyrD</t>
  </si>
  <si>
    <t>murApyrE</t>
  </si>
  <si>
    <t>murArffG</t>
  </si>
  <si>
    <t>murAserC</t>
  </si>
  <si>
    <t>murAspeB</t>
  </si>
  <si>
    <t>murAtktA</t>
  </si>
  <si>
    <t>murAtyrB</t>
  </si>
  <si>
    <t>pabBacnB</t>
  </si>
  <si>
    <t>pabBadk</t>
  </si>
  <si>
    <t>pabBargD</t>
  </si>
  <si>
    <t>pabBbioD</t>
  </si>
  <si>
    <t>pabBcysJ</t>
  </si>
  <si>
    <t>pabBdadX</t>
  </si>
  <si>
    <t>pabBdapA</t>
  </si>
  <si>
    <t>pabBdapF</t>
  </si>
  <si>
    <t>pabBftsI</t>
  </si>
  <si>
    <t>pabBgnd</t>
  </si>
  <si>
    <t>pabBguaB</t>
  </si>
  <si>
    <t>pabBilvE</t>
  </si>
  <si>
    <t>pabBispA</t>
  </si>
  <si>
    <t>pabBmanA</t>
  </si>
  <si>
    <t>pabBmrcA</t>
  </si>
  <si>
    <t>pabBmrdA</t>
  </si>
  <si>
    <t>pabBpbpC</t>
  </si>
  <si>
    <t>pabBpdxA</t>
  </si>
  <si>
    <t>pabBpgpB</t>
  </si>
  <si>
    <t>pabBpheA</t>
  </si>
  <si>
    <t>pabBproA</t>
  </si>
  <si>
    <t>pabBpyrD</t>
  </si>
  <si>
    <t>pabBrffG</t>
  </si>
  <si>
    <t>pabBserC</t>
  </si>
  <si>
    <t>pabBspeB</t>
  </si>
  <si>
    <t>pabBtktA</t>
  </si>
  <si>
    <t>pabBtyrB</t>
  </si>
  <si>
    <t>pbpCadk</t>
  </si>
  <si>
    <t>pbpCargD</t>
  </si>
  <si>
    <t>pbpCbioD</t>
  </si>
  <si>
    <t>pbpCcysJ</t>
  </si>
  <si>
    <t>pbpCfolA</t>
  </si>
  <si>
    <t>pbpCftsI</t>
  </si>
  <si>
    <t>pbpCgnd</t>
  </si>
  <si>
    <t>pbpCguaB</t>
  </si>
  <si>
    <t>pbpCmanA</t>
  </si>
  <si>
    <t>pbpCmrcA</t>
  </si>
  <si>
    <t>pbpCmrdA</t>
  </si>
  <si>
    <t>pbpCpdxA</t>
  </si>
  <si>
    <t>pbpCpgpB</t>
  </si>
  <si>
    <t>pbpCproA</t>
  </si>
  <si>
    <t>pbpCpyrD</t>
  </si>
  <si>
    <t>pbpCserC</t>
  </si>
  <si>
    <t>pbpCspeB</t>
  </si>
  <si>
    <t>pbpCtyrB</t>
  </si>
  <si>
    <t>pdxAadk</t>
  </si>
  <si>
    <t>pdxAargD</t>
  </si>
  <si>
    <t>pdxAfolA</t>
  </si>
  <si>
    <t>pdxAftsI</t>
  </si>
  <si>
    <t>pdxAguaB</t>
  </si>
  <si>
    <t>pdxAmanA</t>
  </si>
  <si>
    <t>pdxApgpB</t>
  </si>
  <si>
    <t>pdxApyrD</t>
  </si>
  <si>
    <t>pdxAtyrB</t>
  </si>
  <si>
    <t>pheAacnB</t>
  </si>
  <si>
    <t>pheAadk</t>
  </si>
  <si>
    <t>pheAargD</t>
  </si>
  <si>
    <t>pheAbioD</t>
  </si>
  <si>
    <t>pheAcysJ</t>
  </si>
  <si>
    <t>pheAdadX</t>
  </si>
  <si>
    <t>pheAdapA</t>
  </si>
  <si>
    <t>pheAdapF</t>
  </si>
  <si>
    <t>pheAfolA</t>
  </si>
  <si>
    <t>pheAfolC</t>
  </si>
  <si>
    <t>pheAfolP</t>
  </si>
  <si>
    <t>pheAftsI</t>
  </si>
  <si>
    <t>pheAgnd</t>
  </si>
  <si>
    <t>pheAguaB</t>
  </si>
  <si>
    <t>pheAilvE</t>
  </si>
  <si>
    <t>pheAispA</t>
  </si>
  <si>
    <t>pheAmanA</t>
  </si>
  <si>
    <t>pheAmrcA</t>
  </si>
  <si>
    <t>pheAmrdA</t>
  </si>
  <si>
    <t>pheApbpC</t>
  </si>
  <si>
    <t>pheApdxA</t>
  </si>
  <si>
    <t>pheApgpB</t>
  </si>
  <si>
    <t>pheAproA</t>
  </si>
  <si>
    <t>pheApyrD</t>
  </si>
  <si>
    <t>pheArffG</t>
  </si>
  <si>
    <t>pheAserC</t>
  </si>
  <si>
    <t>pheAspeB</t>
  </si>
  <si>
    <t>pheAtktA</t>
  </si>
  <si>
    <t>pheAtyrB</t>
  </si>
  <si>
    <t>proAadk</t>
  </si>
  <si>
    <t>proAargD</t>
  </si>
  <si>
    <t>proAcysJ</t>
  </si>
  <si>
    <t>proAfolA</t>
  </si>
  <si>
    <t>proAftsI</t>
  </si>
  <si>
    <t>proAguaB</t>
  </si>
  <si>
    <t>proAispA</t>
  </si>
  <si>
    <t>proAmanA</t>
  </si>
  <si>
    <t>proApdxA</t>
  </si>
  <si>
    <t>proApgpB</t>
  </si>
  <si>
    <t>proApyrD</t>
  </si>
  <si>
    <t>proAtyrB</t>
  </si>
  <si>
    <t>pyrDargD</t>
  </si>
  <si>
    <t>pyrDfolA</t>
  </si>
  <si>
    <t>pyrDguaB</t>
  </si>
  <si>
    <t>pyrDmanA</t>
  </si>
  <si>
    <t>pyrDpgpB</t>
  </si>
  <si>
    <t>pyrDtyrB</t>
  </si>
  <si>
    <t>pyrEacnB</t>
  </si>
  <si>
    <t>pyrEadk</t>
  </si>
  <si>
    <t>pyrEargD</t>
  </si>
  <si>
    <t>pyrEbioD</t>
  </si>
  <si>
    <t>pyrEcysJ</t>
  </si>
  <si>
    <t>pyrEdadX</t>
  </si>
  <si>
    <t>pyrEdapA</t>
  </si>
  <si>
    <t>pyrEdapF</t>
  </si>
  <si>
    <t>pyrEfolA</t>
  </si>
  <si>
    <t>pyrEfolC</t>
  </si>
  <si>
    <t>pyrEfolP</t>
  </si>
  <si>
    <t>pyrEftsI</t>
  </si>
  <si>
    <t>pyrEgnd</t>
  </si>
  <si>
    <t>pyrEguaB</t>
  </si>
  <si>
    <t>pyrEilvE</t>
  </si>
  <si>
    <t>pyrEispA</t>
  </si>
  <si>
    <t>pyrEmanA</t>
  </si>
  <si>
    <t>pyrEmrcA</t>
  </si>
  <si>
    <t>pyrEmrdA</t>
  </si>
  <si>
    <t>pyrEpabB</t>
  </si>
  <si>
    <t>pyrEpbpC</t>
  </si>
  <si>
    <t>pyrEpdxA</t>
  </si>
  <si>
    <t>pyrEpgpB</t>
  </si>
  <si>
    <t>pyrEpheA</t>
  </si>
  <si>
    <t>pyrEproA</t>
  </si>
  <si>
    <t>pyrEpyrD</t>
  </si>
  <si>
    <t>pyrErffG</t>
  </si>
  <si>
    <t>pyrEserC</t>
  </si>
  <si>
    <t>pyrEspeB</t>
  </si>
  <si>
    <t>pyrEtktA</t>
  </si>
  <si>
    <t>pyrEtyrB</t>
  </si>
  <si>
    <t>rffGacnB</t>
  </si>
  <si>
    <t>rffGadk</t>
  </si>
  <si>
    <t>rffGargD</t>
  </si>
  <si>
    <t>rffGbioD</t>
  </si>
  <si>
    <t>rffGcysJ</t>
  </si>
  <si>
    <t>rffGdadX</t>
  </si>
  <si>
    <t>rffGfolA</t>
  </si>
  <si>
    <t>rffGftsI</t>
  </si>
  <si>
    <t>rffGgnd</t>
  </si>
  <si>
    <t>rffGguaB</t>
  </si>
  <si>
    <t>rffGispA</t>
  </si>
  <si>
    <t>rffGmanA</t>
  </si>
  <si>
    <t>rffGmrcA</t>
  </si>
  <si>
    <t>rffGmrdA</t>
  </si>
  <si>
    <t>rffGpbpC</t>
  </si>
  <si>
    <t>rffGpdxA</t>
  </si>
  <si>
    <t>rffGpgpB</t>
  </si>
  <si>
    <t>rffGproA</t>
  </si>
  <si>
    <t>rffGpyrD</t>
  </si>
  <si>
    <t>rffGserC</t>
  </si>
  <si>
    <t>rffGspeB</t>
  </si>
  <si>
    <t>rffGtyrB</t>
  </si>
  <si>
    <t>serCadk</t>
  </si>
  <si>
    <t>serCargD</t>
  </si>
  <si>
    <t>serCbioD</t>
  </si>
  <si>
    <t>serCcysJ</t>
  </si>
  <si>
    <t>serCfolA</t>
  </si>
  <si>
    <t>serCftsI</t>
  </si>
  <si>
    <t>serCguaB</t>
  </si>
  <si>
    <t>serCispA</t>
  </si>
  <si>
    <t>serCmanA</t>
  </si>
  <si>
    <t>serCmrdA</t>
  </si>
  <si>
    <t>serCpdxA</t>
  </si>
  <si>
    <t>serCpgpB</t>
  </si>
  <si>
    <t>serCproA</t>
  </si>
  <si>
    <t>serCpyrD</t>
  </si>
  <si>
    <t>serCspeB</t>
  </si>
  <si>
    <t>serCtyrB</t>
  </si>
  <si>
    <t>speBadk</t>
  </si>
  <si>
    <t>speBargD</t>
  </si>
  <si>
    <t>speBbioD</t>
  </si>
  <si>
    <t>speBcysJ</t>
  </si>
  <si>
    <t>speBfolA</t>
  </si>
  <si>
    <t>speBftsI</t>
  </si>
  <si>
    <t>speBguaB</t>
  </si>
  <si>
    <t>speBispA</t>
  </si>
  <si>
    <t>speBmanA</t>
  </si>
  <si>
    <t>speBmrdA</t>
  </si>
  <si>
    <t>speBpdxA</t>
  </si>
  <si>
    <t>speBpgpB</t>
  </si>
  <si>
    <t>speBproA</t>
  </si>
  <si>
    <t>speBpyrD</t>
  </si>
  <si>
    <t>speBtyrB</t>
  </si>
  <si>
    <t>thrBacnB</t>
  </si>
  <si>
    <t>thrBadk</t>
  </si>
  <si>
    <t>thrBargD</t>
  </si>
  <si>
    <t>thrBbioD</t>
  </si>
  <si>
    <t>thrBcysJ</t>
  </si>
  <si>
    <t>thrBdadX</t>
  </si>
  <si>
    <t>thrBdapA</t>
  </si>
  <si>
    <t>thrBdapB</t>
  </si>
  <si>
    <t>thrBdapD</t>
  </si>
  <si>
    <t>thrBdapF</t>
  </si>
  <si>
    <t>thrBfolA</t>
  </si>
  <si>
    <t>thrBfolC</t>
  </si>
  <si>
    <t>thrBfolP</t>
  </si>
  <si>
    <t>thrBftsI</t>
  </si>
  <si>
    <t>thrBgltA</t>
  </si>
  <si>
    <t>thrBgnd</t>
  </si>
  <si>
    <t>thrBguaB</t>
  </si>
  <si>
    <t>thrBilvE</t>
  </si>
  <si>
    <t>thrBispA</t>
  </si>
  <si>
    <t>thrBmanA</t>
  </si>
  <si>
    <t>thrBmrcA</t>
  </si>
  <si>
    <t>thrBmrdA</t>
  </si>
  <si>
    <t>thrBmurA</t>
  </si>
  <si>
    <t>thrBpabB</t>
  </si>
  <si>
    <t>thrBpbpC</t>
  </si>
  <si>
    <t>thrBpdxA</t>
  </si>
  <si>
    <t>thrBpgpB</t>
  </si>
  <si>
    <t>thrBpheA</t>
  </si>
  <si>
    <t>thrBproA</t>
  </si>
  <si>
    <t>thrBpyrD</t>
  </si>
  <si>
    <t>thrBpyrE</t>
  </si>
  <si>
    <t>thrBrffG</t>
  </si>
  <si>
    <t>thrBspeB</t>
  </si>
  <si>
    <t>thrBtktA</t>
  </si>
  <si>
    <t>thrBtyrB</t>
  </si>
  <si>
    <t>thrCacnB</t>
  </si>
  <si>
    <t>thrC</t>
  </si>
  <si>
    <t>thrCadk</t>
  </si>
  <si>
    <t>thrCargD</t>
  </si>
  <si>
    <t>thrCaroA</t>
  </si>
  <si>
    <t>thrCbioD</t>
  </si>
  <si>
    <t>thrCcysJ</t>
  </si>
  <si>
    <t>thrCdadX</t>
  </si>
  <si>
    <t>thrCdapA</t>
  </si>
  <si>
    <t>thrCdapB</t>
  </si>
  <si>
    <t>thrCdapD</t>
  </si>
  <si>
    <t>thrCdapF</t>
  </si>
  <si>
    <t>thrCfolA</t>
  </si>
  <si>
    <t>thrCfolC</t>
  </si>
  <si>
    <t>thrCfolP</t>
  </si>
  <si>
    <t>thrCftsI</t>
  </si>
  <si>
    <t>thrCgltA</t>
  </si>
  <si>
    <t>thrCgnd</t>
  </si>
  <si>
    <t>thrCguaB</t>
  </si>
  <si>
    <t>thrCilvE</t>
  </si>
  <si>
    <t>thrCispA</t>
  </si>
  <si>
    <t>thrCmanA</t>
  </si>
  <si>
    <t>thrCmrcA</t>
  </si>
  <si>
    <t>thrCmrdA</t>
  </si>
  <si>
    <t>thrCmurA</t>
  </si>
  <si>
    <t>thrCpabB</t>
  </si>
  <si>
    <t>thrCpbpC</t>
  </si>
  <si>
    <t>thrCpdxA</t>
  </si>
  <si>
    <t>thrCpgpB</t>
  </si>
  <si>
    <t>thrCpheA</t>
  </si>
  <si>
    <t>thrCproA</t>
  </si>
  <si>
    <t>thrCpyrD</t>
  </si>
  <si>
    <t>thrCpyrE</t>
  </si>
  <si>
    <t>thrCrffG</t>
  </si>
  <si>
    <t>thrCserC</t>
  </si>
  <si>
    <t>thrCspeB</t>
  </si>
  <si>
    <t>thrCthrB</t>
  </si>
  <si>
    <t>thrCtktA</t>
  </si>
  <si>
    <t>thrCtrpA</t>
  </si>
  <si>
    <t>trpA</t>
  </si>
  <si>
    <t>thrCtyrB</t>
  </si>
  <si>
    <t>tktAacnB</t>
  </si>
  <si>
    <t>tktAadk</t>
  </si>
  <si>
    <t>tktAargD</t>
  </si>
  <si>
    <t>tktAbioD</t>
  </si>
  <si>
    <t>tktAcysJ</t>
  </si>
  <si>
    <t>tktAdadX</t>
  </si>
  <si>
    <t>tktAfolA</t>
  </si>
  <si>
    <t>tktAftsI</t>
  </si>
  <si>
    <t>tktAgnd</t>
  </si>
  <si>
    <t>tktAguaB</t>
  </si>
  <si>
    <t>tktAispA</t>
  </si>
  <si>
    <t>tktAmanA</t>
  </si>
  <si>
    <t>tktAmrcA</t>
  </si>
  <si>
    <t>tktAmrdA</t>
  </si>
  <si>
    <t>tktApbpC</t>
  </si>
  <si>
    <t>tktApdxA</t>
  </si>
  <si>
    <t>tktApgpB</t>
  </si>
  <si>
    <t>tktAproA</t>
  </si>
  <si>
    <t>tktApyrD</t>
  </si>
  <si>
    <t>tktArffG</t>
  </si>
  <si>
    <t>tktAserC</t>
  </si>
  <si>
    <t>tktAspeB</t>
  </si>
  <si>
    <t>tktAtyrB</t>
  </si>
  <si>
    <t>trpAacnB</t>
  </si>
  <si>
    <t>trpAadk</t>
  </si>
  <si>
    <t>trpAargD</t>
  </si>
  <si>
    <t>trpAaroA</t>
  </si>
  <si>
    <t>trpAbioD</t>
  </si>
  <si>
    <t>trpAcysJ</t>
  </si>
  <si>
    <t>trpAdadX</t>
  </si>
  <si>
    <t>trpAdapA</t>
  </si>
  <si>
    <t>trpAdapB</t>
  </si>
  <si>
    <t>trpAdapD</t>
  </si>
  <si>
    <t>trpAdapF</t>
  </si>
  <si>
    <t>trpAfolA</t>
  </si>
  <si>
    <t>trpAfolC</t>
  </si>
  <si>
    <t>trpAfolP</t>
  </si>
  <si>
    <t>trpAftsI</t>
  </si>
  <si>
    <t>trpAgltA</t>
  </si>
  <si>
    <t>trpAgnd</t>
  </si>
  <si>
    <t>trpAguaB</t>
  </si>
  <si>
    <t>trpAilvE</t>
  </si>
  <si>
    <t>trpAispA</t>
  </si>
  <si>
    <t>trpAmanA</t>
  </si>
  <si>
    <t>trpAmrcA</t>
  </si>
  <si>
    <t>trpAmrdA</t>
  </si>
  <si>
    <t>trpAmurA</t>
  </si>
  <si>
    <t>trpApabB</t>
  </si>
  <si>
    <t>trpApbpC</t>
  </si>
  <si>
    <t>trpApdxA</t>
  </si>
  <si>
    <t>trpApgpB</t>
  </si>
  <si>
    <t>trpApheA</t>
  </si>
  <si>
    <t>trpAproA</t>
  </si>
  <si>
    <t>trpApyrD</t>
  </si>
  <si>
    <t>trpApyrE</t>
  </si>
  <si>
    <t>trpArffG</t>
  </si>
  <si>
    <t>trpAserC</t>
  </si>
  <si>
    <t>trpAspeB</t>
  </si>
  <si>
    <t>trpAthrB</t>
  </si>
  <si>
    <t>trpAtktA</t>
  </si>
  <si>
    <t>trpAtyrB</t>
  </si>
  <si>
    <t>tyrBadk</t>
  </si>
  <si>
    <t>tyrBmanA</t>
  </si>
  <si>
    <t>tyrBpgpB</t>
  </si>
  <si>
    <t>X_co_E_minus_mono_E</t>
  </si>
  <si>
    <t>E_carbon_flux_max_total</t>
  </si>
  <si>
    <t>E_carbon_linear_exp</t>
  </si>
  <si>
    <t>Bacteria</t>
  </si>
  <si>
    <t>Drug_Condition</t>
  </si>
  <si>
    <t>Type_of_data</t>
  </si>
  <si>
    <t>Focal_Species</t>
  </si>
  <si>
    <t>EoSo_WT</t>
  </si>
  <si>
    <t>No</t>
  </si>
  <si>
    <t>Experimental</t>
  </si>
  <si>
    <t>Eo</t>
  </si>
  <si>
    <t>TMP</t>
  </si>
  <si>
    <t>So</t>
  </si>
  <si>
    <t>Facilitation</t>
  </si>
  <si>
    <t>S_enterica_Strain</t>
  </si>
  <si>
    <t>Antibiotic_Condition</t>
  </si>
  <si>
    <t>Ecological_Condition</t>
  </si>
  <si>
    <t>E_Colony_Number</t>
  </si>
  <si>
    <t>E_Dilution_Level</t>
  </si>
  <si>
    <t>E_coli_CFU/mL</t>
  </si>
  <si>
    <t>S_Colony_Number</t>
  </si>
  <si>
    <t>S_Dilution_Level</t>
  </si>
  <si>
    <t>S_enterica_CFU/mL</t>
  </si>
  <si>
    <t>SE_Ratio</t>
  </si>
  <si>
    <t>SE_log</t>
  </si>
  <si>
    <t>So_WRH240_YFP</t>
  </si>
  <si>
    <r>
      <t>So_WRH102_</t>
    </r>
    <r>
      <rPr>
        <i/>
        <sz val="12"/>
        <color theme="1"/>
        <rFont val="Calibri"/>
        <family val="2"/>
        <scheme val="minor"/>
      </rPr>
      <t>ΔaceA</t>
    </r>
  </si>
  <si>
    <t>So_WRH102_no_YFP</t>
  </si>
  <si>
    <r>
      <t>So_WRH102_</t>
    </r>
    <r>
      <rPr>
        <i/>
        <sz val="12"/>
        <color theme="1"/>
        <rFont val="Calibri"/>
        <family val="2"/>
        <scheme val="minor"/>
      </rPr>
      <t>Δpps</t>
    </r>
  </si>
  <si>
    <r>
      <t>So_WRH102_</t>
    </r>
    <r>
      <rPr>
        <i/>
        <sz val="12"/>
        <color theme="1"/>
        <rFont val="Calibri"/>
        <family val="2"/>
        <scheme val="minor"/>
      </rPr>
      <t>ΔgalK</t>
    </r>
  </si>
  <si>
    <t>So_WRH102_ΔgalK</t>
  </si>
  <si>
    <r>
      <t>S14028s_</t>
    </r>
    <r>
      <rPr>
        <i/>
        <sz val="11"/>
        <color theme="1"/>
        <rFont val="Calibri"/>
        <family val="2"/>
        <scheme val="minor"/>
      </rPr>
      <t>ΔydhC</t>
    </r>
  </si>
  <si>
    <r>
      <t>S14028s_</t>
    </r>
    <r>
      <rPr>
        <i/>
        <sz val="11"/>
        <color theme="1"/>
        <rFont val="Calibri"/>
        <family val="2"/>
        <scheme val="minor"/>
      </rPr>
      <t>Δppc</t>
    </r>
  </si>
  <si>
    <t>E_yield</t>
  </si>
  <si>
    <t>S_yield</t>
  </si>
  <si>
    <t>SE_ratio</t>
  </si>
  <si>
    <t>ES_total_yield</t>
  </si>
  <si>
    <t>EX_gal_e_flux_in_E_co_max</t>
  </si>
  <si>
    <t>EX_ac_e_flux_in_E_co_max</t>
  </si>
  <si>
    <t>E_carbon_flux_acetate_frac</t>
  </si>
  <si>
    <t>EX_met_L_e_flux_in_S_co_max</t>
  </si>
  <si>
    <t>EX_met_L_e_flux_in_E_co_max</t>
  </si>
  <si>
    <t>EX_ac_e_flux_in_S_co_max</t>
  </si>
  <si>
    <t>EX_gal_e_flux_in_S_co_max</t>
  </si>
  <si>
    <t>S_carbon_flux_total</t>
  </si>
  <si>
    <t>mu_E</t>
  </si>
  <si>
    <t>mu_S</t>
  </si>
  <si>
    <t>g_E</t>
  </si>
  <si>
    <t>g_S</t>
  </si>
  <si>
    <t>g_gr_ratio</t>
  </si>
  <si>
    <t>gr_linear_exp</t>
  </si>
  <si>
    <t>SE_ratio_linear_exp</t>
  </si>
  <si>
    <t>S_met_linear_exp</t>
  </si>
  <si>
    <t>E_carbon_X</t>
  </si>
  <si>
    <t>E_ac_linear_exp</t>
  </si>
  <si>
    <t>g_gr_ratio_linear_exp</t>
  </si>
  <si>
    <t>E_gal_linear_exp</t>
  </si>
  <si>
    <t>S_gal_linear_exp</t>
  </si>
  <si>
    <t>S_ac_linear_exp</t>
  </si>
  <si>
    <t>E_met_linear_exp</t>
  </si>
  <si>
    <t>S_carbon_flux_linear_exp</t>
  </si>
  <si>
    <t>Predicted</t>
  </si>
  <si>
    <t>Growth_rate_fluorescence_unit_per_h</t>
  </si>
  <si>
    <t>S14028s_WT</t>
  </si>
  <si>
    <r>
      <t>So_WRH102_</t>
    </r>
    <r>
      <rPr>
        <i/>
        <sz val="12"/>
        <color theme="1"/>
        <rFont val="Calibri"/>
        <family val="2"/>
        <scheme val="minor"/>
      </rPr>
      <t>ΔilvA</t>
    </r>
  </si>
  <si>
    <t>Compound</t>
  </si>
  <si>
    <t>Concentration_mM</t>
  </si>
  <si>
    <t>Galactose</t>
  </si>
  <si>
    <t>Acetate</t>
  </si>
  <si>
    <t>Antibiotic_condition</t>
  </si>
  <si>
    <t>GEN</t>
  </si>
  <si>
    <t>CHL</t>
  </si>
  <si>
    <t>AMP</t>
  </si>
  <si>
    <t>NAL</t>
  </si>
  <si>
    <t>LEV</t>
  </si>
  <si>
    <t>RIF</t>
  </si>
  <si>
    <t>log_SE_ratio</t>
  </si>
  <si>
    <t>Conditions</t>
  </si>
  <si>
    <t>Dilution_level</t>
  </si>
  <si>
    <t>CFU/mL</t>
  </si>
  <si>
    <t>E_coli_monoculture</t>
  </si>
  <si>
    <t>S_enterica_monoculture</t>
  </si>
  <si>
    <t>Mixed_coculture</t>
  </si>
  <si>
    <t>FLP_au_debackgrounded</t>
  </si>
  <si>
    <t>OD600_debackgrounded</t>
  </si>
  <si>
    <t>Mono_E_coli_Rep1</t>
  </si>
  <si>
    <t>Mono_E_coli_Rep2</t>
  </si>
  <si>
    <t>Mono_E_coli_Rep3</t>
  </si>
  <si>
    <t>Mono_E_coli_Rep4</t>
  </si>
  <si>
    <t>Mono_E_coli_Rep5</t>
  </si>
  <si>
    <t>Mono_E_coli_Rep6</t>
  </si>
  <si>
    <t>CF_E_coli_Rep1</t>
  </si>
  <si>
    <t>Time_h\FLP_au</t>
  </si>
  <si>
    <t>CF_E_coli_Rep2</t>
  </si>
  <si>
    <t>CF_E_coli_Rep3</t>
  </si>
  <si>
    <t>CF_E_coli_Rep4</t>
  </si>
  <si>
    <t>CF_E_coli_Rep5</t>
  </si>
  <si>
    <t>CF_E_coli_Rep6</t>
  </si>
  <si>
    <t>CF_S_enterica_Rep1</t>
  </si>
  <si>
    <t>CF_S_enterica_Rep2</t>
  </si>
  <si>
    <t>CF_S_enterica_Rep3</t>
  </si>
  <si>
    <t>CF_S_enterica_Rep4</t>
  </si>
  <si>
    <t>CF_S_enterica_Rep5</t>
  </si>
  <si>
    <t>CF_S_enterica_Rep6</t>
  </si>
  <si>
    <t>Growth_rate_mu</t>
  </si>
  <si>
    <t>Cross_feeding</t>
  </si>
  <si>
    <t>Lag_time_h</t>
  </si>
  <si>
    <t>Final_yield_log</t>
  </si>
  <si>
    <t>Supplement</t>
  </si>
  <si>
    <t>Lactose</t>
  </si>
  <si>
    <t>Methionine</t>
  </si>
  <si>
    <t>Backgroud</t>
  </si>
  <si>
    <t>OD600</t>
  </si>
  <si>
    <t>Drug</t>
  </si>
  <si>
    <t>Week_of_Exp</t>
  </si>
  <si>
    <t>MIC_ug/mL</t>
  </si>
  <si>
    <t>NA_CF_S</t>
  </si>
  <si>
    <t>SMX_CF_S</t>
  </si>
  <si>
    <t>AMX_CF_S</t>
  </si>
  <si>
    <t>SMX+AMX_CF_S</t>
  </si>
  <si>
    <t>NA_mono_S</t>
  </si>
  <si>
    <t>SMX_mono_S</t>
  </si>
  <si>
    <t>AMX_mono_S</t>
  </si>
  <si>
    <t>SMX+AMX_mono_S</t>
  </si>
  <si>
    <t>Fluorescence_au</t>
  </si>
  <si>
    <t>Raw_growth_rate_mu_1/h</t>
  </si>
  <si>
    <t>Rel_growth_rate_against_no_drug_control</t>
  </si>
  <si>
    <t>ANOVA_threshold</t>
  </si>
  <si>
    <t>Interaction_type</t>
  </si>
  <si>
    <t>Count</t>
  </si>
  <si>
    <t>Mono</t>
  </si>
  <si>
    <t>Antagonistic</t>
  </si>
  <si>
    <t>Synergistic</t>
  </si>
  <si>
    <t>Null</t>
  </si>
  <si>
    <t>CF</t>
  </si>
  <si>
    <t>Threshold_method</t>
  </si>
  <si>
    <t>Yeh_extreme_values</t>
  </si>
  <si>
    <t>ANOVA_statistics_P_0.05</t>
  </si>
  <si>
    <t>ANOVA_statistics_P_0.06</t>
  </si>
  <si>
    <t>ANOVA_statistics_P_0.07</t>
  </si>
  <si>
    <t>ANOVA_statistics_P_0.08</t>
  </si>
  <si>
    <t>ANOVA_statistics_P_0.09</t>
  </si>
  <si>
    <t>ANOVA_statistics_P_0.10</t>
  </si>
  <si>
    <t>ANOVA_statistics_P_0.11</t>
  </si>
  <si>
    <t>ANOVA_statistics_P_0.12</t>
  </si>
  <si>
    <t>ANOVA_statistics_P_0.13</t>
  </si>
  <si>
    <t>ANOVA_statistics_P_0.14</t>
  </si>
  <si>
    <t>ANOVA_statistics_P_0.15</t>
  </si>
  <si>
    <t>ANOVA_statistics_P_0.16</t>
  </si>
  <si>
    <t>ANOVA_statistics_P_0.17</t>
  </si>
  <si>
    <t>ANOVA_statistics_P_0.18</t>
  </si>
  <si>
    <t>ANOVA_statistics_P_0.19</t>
  </si>
  <si>
    <t>ANOVA_statistics_P_0.20</t>
  </si>
  <si>
    <t>ANOVA_statistics_P_0.21</t>
  </si>
  <si>
    <t>ANOVA_statistics_P_0.22</t>
  </si>
  <si>
    <t>ANOVA_statistics_P_0.23</t>
  </si>
  <si>
    <t>ANOVA_statistics_P_0.24</t>
  </si>
  <si>
    <t>ANOVA_statistics_P_0.25</t>
  </si>
  <si>
    <t>ANOVA_statistics_P_0.26</t>
  </si>
  <si>
    <t>ANOVA_statistics_P_0.27</t>
  </si>
  <si>
    <t>ANOVA_statistics_P_0.28</t>
  </si>
  <si>
    <t>ANOVA_statistics_P_0.29</t>
  </si>
  <si>
    <t>ANOVA_statistics_P_0.30</t>
  </si>
  <si>
    <t>ANOVA_statistics_P_0.31</t>
  </si>
  <si>
    <t>ANOVA_statistics_P_0.32</t>
  </si>
  <si>
    <t>ANOVA_statistics_P_0.33</t>
  </si>
  <si>
    <t>ANOVA_statistics_P_0.34</t>
  </si>
  <si>
    <t>ANOVA_statistics_P_0.35</t>
  </si>
  <si>
    <t>ANOVA_statistics_P_0.36</t>
  </si>
  <si>
    <t>ANOVA_statistics_P_0.37</t>
  </si>
  <si>
    <t>ANOVA_statistics_P_0.38</t>
  </si>
  <si>
    <t>ANOVA_statistics_P_0.39</t>
  </si>
  <si>
    <t>ANOVA_statistics_P_0.40</t>
  </si>
  <si>
    <t>ANOVA_statistics_P_0.41</t>
  </si>
  <si>
    <t>ANOVA_statistics_P_0.42</t>
  </si>
  <si>
    <t>ANOVA_statistics_P_0.43</t>
  </si>
  <si>
    <t>ANOVA_statistics_P_0.44</t>
  </si>
  <si>
    <t>ANOVA_statistics_P_0.45</t>
  </si>
  <si>
    <t>ANOVA_statistics_P_0.46</t>
  </si>
  <si>
    <t>Drug_Combos_being_tested</t>
  </si>
  <si>
    <t>Drug_tested_for</t>
  </si>
  <si>
    <t>E_coli_MIC_ug/mL</t>
  </si>
  <si>
    <t>NA_E_mono</t>
  </si>
  <si>
    <t>AMX_E_mono</t>
  </si>
  <si>
    <t>NAL_E_mono</t>
  </si>
  <si>
    <t>AMX+NAL_E_mono</t>
  </si>
  <si>
    <t>NA_E_cf</t>
  </si>
  <si>
    <t>AMX_E_cf</t>
  </si>
  <si>
    <t>NAL_E_cf</t>
  </si>
  <si>
    <t>AMX+NAL_E_cf</t>
  </si>
  <si>
    <t>NA_S_cf</t>
  </si>
  <si>
    <t>AMX_S_cf</t>
  </si>
  <si>
    <t>NAL_S_cf</t>
  </si>
  <si>
    <t>AMX+NAL_S_cf</t>
  </si>
  <si>
    <t>NA_S_mono</t>
  </si>
  <si>
    <t>AMX_S_mono</t>
  </si>
  <si>
    <t>NAL_S_mono</t>
  </si>
  <si>
    <t>AMX+NAL_S_mono</t>
  </si>
  <si>
    <t>g_X</t>
  </si>
  <si>
    <t>g_Y</t>
  </si>
  <si>
    <t>gXgY</t>
  </si>
  <si>
    <t>g_XY</t>
  </si>
  <si>
    <t>Simple_Index</t>
  </si>
  <si>
    <t>Divided_by_predicted</t>
  </si>
  <si>
    <t>g_A_smaller_mono</t>
  </si>
  <si>
    <t>g_B_smaller_mono</t>
  </si>
  <si>
    <t>g_AB_estimated</t>
  </si>
  <si>
    <t>g_AB_smaller_mono</t>
  </si>
  <si>
    <t>X_weakest</t>
  </si>
  <si>
    <t>Weakest_link</t>
  </si>
  <si>
    <t>mean_gA</t>
  </si>
  <si>
    <t>mean_gB</t>
  </si>
  <si>
    <t>mean_X</t>
  </si>
  <si>
    <t>sd_X</t>
  </si>
  <si>
    <t>gene</t>
  </si>
  <si>
    <t>gene_x</t>
  </si>
  <si>
    <t>gene_y</t>
  </si>
  <si>
    <t>E_mono_X</t>
  </si>
  <si>
    <t>E_co_X</t>
  </si>
  <si>
    <t>S_mono_X</t>
  </si>
  <si>
    <t>S_co_X</t>
  </si>
  <si>
    <t>X_co_S_minus_mono_S</t>
  </si>
  <si>
    <t>max_mono_X</t>
  </si>
  <si>
    <t>min_mono_X</t>
  </si>
  <si>
    <t>X_co_E_minus_max_mono</t>
  </si>
  <si>
    <t>X_co_E_minus_min_mono</t>
  </si>
  <si>
    <t>X_co_S_minus_max_mono</t>
  </si>
  <si>
    <t>X_co_S_minus_min_mono</t>
  </si>
  <si>
    <t>E_mono</t>
  </si>
  <si>
    <t>E_co</t>
  </si>
  <si>
    <t>S_mono</t>
  </si>
  <si>
    <t>S_co</t>
  </si>
  <si>
    <t>E_less_syn_value</t>
  </si>
  <si>
    <t>S_less_syn_value</t>
  </si>
  <si>
    <t>E_less_syn_type</t>
  </si>
  <si>
    <t>Pathway_type</t>
  </si>
  <si>
    <t>E_diff</t>
  </si>
  <si>
    <t>No_interaction</t>
  </si>
  <si>
    <t>Yes</t>
  </si>
  <si>
    <t>Multi</t>
  </si>
  <si>
    <t>Same</t>
  </si>
  <si>
    <t>folCfolA</t>
  </si>
  <si>
    <t>gltAtyrB</t>
  </si>
  <si>
    <t>guaBadk</t>
  </si>
  <si>
    <t>ispApgpB</t>
  </si>
  <si>
    <t>ispApyrD</t>
  </si>
  <si>
    <t>mrcAispA</t>
  </si>
  <si>
    <t>pabBfolA</t>
  </si>
  <si>
    <t>pabBfolC</t>
  </si>
  <si>
    <t>pabBfolP</t>
  </si>
  <si>
    <t>pbpCispA</t>
  </si>
  <si>
    <t>pyrDadk</t>
  </si>
  <si>
    <t>thrBserC</t>
  </si>
  <si>
    <t>E_less_syn_value_YN</t>
  </si>
  <si>
    <t>E_less_syn_type_YN</t>
  </si>
  <si>
    <t>gene_combo</t>
  </si>
  <si>
    <t>g_gr_diff</t>
  </si>
  <si>
    <t>Single</t>
  </si>
  <si>
    <t>Single_gene</t>
  </si>
  <si>
    <t>NO</t>
  </si>
  <si>
    <t>g_diff_S_co_minus_mono</t>
  </si>
  <si>
    <t>mu_diff_S_co_minus_mono</t>
  </si>
  <si>
    <t>g_diff_E_co_minus_mono</t>
  </si>
  <si>
    <t>mu_diff_E_co_minus_mono</t>
  </si>
  <si>
    <t>Mutualism_Drug_Condition</t>
  </si>
  <si>
    <t>Final_CFP</t>
  </si>
  <si>
    <t>Final_YFP</t>
  </si>
  <si>
    <t>Final_YFP_CFP_Ratio</t>
  </si>
  <si>
    <t>Sum_FLP</t>
  </si>
  <si>
    <t>Well</t>
  </si>
  <si>
    <t>Rel_SE_ratio</t>
  </si>
  <si>
    <t>Expect_SE_ratio</t>
  </si>
  <si>
    <t>X_SE_ratio</t>
  </si>
  <si>
    <t>X_g_mono</t>
  </si>
  <si>
    <t>X_g_co</t>
  </si>
  <si>
    <t>X_co_minus_mono</t>
  </si>
  <si>
    <t>Less_syn</t>
  </si>
  <si>
    <t>SE_ratio_rel_to_linear</t>
  </si>
  <si>
    <t>Altered</t>
  </si>
  <si>
    <t>YES</t>
  </si>
  <si>
    <t>E_coli_monoculture_FICI_rep1</t>
  </si>
  <si>
    <t>S_enterica_monoculture_FICI_rep1</t>
  </si>
  <si>
    <t>Edge_ID</t>
  </si>
  <si>
    <t>SMX_FIC</t>
  </si>
  <si>
    <t>TMP_FIC</t>
  </si>
  <si>
    <t>FICI</t>
  </si>
  <si>
    <t>E_coli_monoculture_FICI_rep2</t>
  </si>
  <si>
    <t>S_enterica_monoculture_FICI_rep2</t>
  </si>
  <si>
    <t>Edge_ID_</t>
  </si>
  <si>
    <t>E_coli_mutualism_FICI_rep1</t>
  </si>
  <si>
    <t>S_enterica_mutualism_FICI_rep1</t>
  </si>
  <si>
    <t>E_coli_mutualism_FICI_rep2</t>
  </si>
  <si>
    <t>S_enterica_mutualism_FICI_rep2</t>
  </si>
  <si>
    <t>Both</t>
  </si>
  <si>
    <t>folP_perturbation_level</t>
  </si>
  <si>
    <t>folA_perturbation_level</t>
  </si>
  <si>
    <t>E_coli_cf_galactose_excretion_flux</t>
  </si>
  <si>
    <t>E_coli_cf_acetate_excretion_flux</t>
  </si>
  <si>
    <t>S_enterica_cf_acetate_uptake_flux</t>
  </si>
  <si>
    <t>S_enterica_cf_galactose_uptake_flux</t>
  </si>
  <si>
    <t>E_coli_cf_growth_rate_mu</t>
  </si>
  <si>
    <t>S_enterica_cf_growth_rate_mu</t>
  </si>
  <si>
    <t>E_monoculture_growth_rate_mu</t>
  </si>
  <si>
    <t>S_enterica_monoculture_growth_rate_mu</t>
  </si>
  <si>
    <t>E_coli_cf_total_carbon_atoms_excretion_flux</t>
  </si>
  <si>
    <t>S_enterica_cf_total_carbon_atoms_uptake_flux</t>
  </si>
  <si>
    <t>E. coli</t>
  </si>
  <si>
    <t>S. enterica</t>
  </si>
  <si>
    <t>Mutualistic</t>
  </si>
  <si>
    <t>Facilitative</t>
  </si>
  <si>
    <t>ES_Ratio</t>
  </si>
  <si>
    <t>Day_of_reading</t>
  </si>
  <si>
    <t>Drug_tested</t>
  </si>
  <si>
    <t>MIC_ug_mL</t>
  </si>
  <si>
    <t>Culture_of_growth</t>
  </si>
  <si>
    <t>Sample_Content</t>
  </si>
  <si>
    <t>Known_acetate_concentration (mM)</t>
  </si>
  <si>
    <t>log10_AUC</t>
  </si>
  <si>
    <t>acetate_log10</t>
  </si>
  <si>
    <t>Acetate_control0</t>
  </si>
  <si>
    <t>Acetate_control1</t>
  </si>
  <si>
    <t>Acetate_control2</t>
  </si>
  <si>
    <t>Acetate_control3</t>
  </si>
  <si>
    <t>Acetate_control4</t>
  </si>
  <si>
    <t>Acetate_control5</t>
  </si>
  <si>
    <t>Acetate_control6</t>
  </si>
  <si>
    <t>HPLC_AUC</t>
  </si>
  <si>
    <t>OD600_difference_between_WT_and_ΔgalK</t>
  </si>
  <si>
    <t>Galactose_concentration_mM</t>
  </si>
  <si>
    <t>Galactose_control1</t>
  </si>
  <si>
    <t>Galactose_control2</t>
  </si>
  <si>
    <t>Galactose_control3</t>
  </si>
  <si>
    <t>Galactose_control4</t>
  </si>
  <si>
    <t>Galactose_control5</t>
  </si>
  <si>
    <t>Galactose_control6</t>
  </si>
  <si>
    <t>Sample_ID</t>
  </si>
  <si>
    <t>Raw_fluorescence</t>
  </si>
  <si>
    <t>Strain</t>
  </si>
  <si>
    <t>Tested_media</t>
  </si>
  <si>
    <t>Hypho_galactose</t>
  </si>
  <si>
    <t>Tested_drug</t>
  </si>
  <si>
    <t>Hypho_glucose</t>
  </si>
  <si>
    <t>Partner_Strain</t>
  </si>
  <si>
    <t>Growth_rate_CFP_1/h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</si>
</sst>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000"/>
  </numFmts>
  <fonts count="15" x14ac:knownFonts="1"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3" fillId="0" borderId="0" xfId="0" applyFont="1"/>
    <xf numFmtId="164" fontId="0" fillId="0" borderId="0" xfId="0" applyNumberFormat="1"/>
    <xf numFmtId="11" fontId="3" fillId="0" borderId="1" xfId="0" applyNumberFormat="1" applyFont="1" applyBorder="1"/>
    <xf numFmtId="0" fontId="6" fillId="0" borderId="0" xfId="0" applyFont="1"/>
    <xf numFmtId="11" fontId="0" fillId="0" borderId="0" xfId="0" applyNumberFormat="1"/>
    <xf numFmtId="11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" fontId="4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2" fontId="0" fillId="0" borderId="0" xfId="0" applyNumberFormat="1"/>
    <xf numFmtId="164" fontId="3" fillId="0" borderId="0" xfId="0" applyNumberFormat="1" applyFont="1"/>
    <xf numFmtId="0" fontId="0" fillId="0" borderId="1" xfId="0" applyBorder="1"/>
    <xf numFmtId="0" fontId="13" fillId="0" borderId="0" xfId="0" applyFont="1"/>
    <xf numFmtId="0" fontId="14" fillId="2" borderId="2" xfId="0" applyFont="1" applyFill="1" applyBorder="1"/>
    <xf numFmtId="0" fontId="5" fillId="0" borderId="3" xfId="0" applyFont="1" applyBorder="1"/>
    <xf numFmtId="0" fontId="5" fillId="0" borderId="4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4" fillId="3" borderId="2" xfId="0" applyFont="1" applyFill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" xfId="0" applyFont="1" applyBorder="1"/>
    <xf numFmtId="0" fontId="5" fillId="0" borderId="8" xfId="0" applyFont="1" applyBorder="1"/>
    <xf numFmtId="166" fontId="0" fillId="0" borderId="0" xfId="0" applyNumberForma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69C5-8E55-3942-94BB-9C0D2BEE348C}">
  <dimension ref="A1:Q1977"/>
  <sheetViews>
    <sheetView tabSelected="1" workbookViewId="0">
      <selection activeCell="G7" sqref="G7"/>
    </sheetView>
  </sheetViews>
  <sheetFormatPr baseColWidth="10" defaultRowHeight="16" x14ac:dyDescent="0.2"/>
  <cols>
    <col min="2" max="2" width="12.33203125" bestFit="1" customWidth="1"/>
    <col min="3" max="3" width="13.83203125" bestFit="1" customWidth="1"/>
    <col min="4" max="4" width="19.83203125" bestFit="1" customWidth="1"/>
  </cols>
  <sheetData>
    <row r="1" spans="1:17" x14ac:dyDescent="0.2">
      <c r="A1" s="6" t="s">
        <v>24</v>
      </c>
      <c r="B1" s="6" t="s">
        <v>0</v>
      </c>
      <c r="C1" s="3" t="s">
        <v>29</v>
      </c>
      <c r="D1" s="3" t="s">
        <v>28</v>
      </c>
      <c r="G1" s="1"/>
      <c r="H1" s="1"/>
      <c r="I1" s="1"/>
      <c r="J1" s="1"/>
      <c r="K1" s="1"/>
      <c r="N1" s="1"/>
      <c r="O1" s="1"/>
      <c r="P1" s="1"/>
      <c r="Q1" s="1"/>
    </row>
    <row r="2" spans="1:17" x14ac:dyDescent="0.2">
      <c r="A2" s="4">
        <v>0</v>
      </c>
      <c r="B2" t="s">
        <v>20</v>
      </c>
      <c r="C2" t="s">
        <v>30</v>
      </c>
      <c r="D2" s="5">
        <v>5.3890717300000004</v>
      </c>
    </row>
    <row r="3" spans="1:17" x14ac:dyDescent="0.2">
      <c r="A3" s="4">
        <v>0.36480555999999997</v>
      </c>
      <c r="B3" t="s">
        <v>20</v>
      </c>
      <c r="C3" t="s">
        <v>30</v>
      </c>
      <c r="D3" s="5">
        <v>5.3798973500000002</v>
      </c>
    </row>
    <row r="4" spans="1:17" x14ac:dyDescent="0.2">
      <c r="A4" s="4">
        <v>0.72961111000000001</v>
      </c>
      <c r="B4" t="s">
        <v>20</v>
      </c>
      <c r="C4" t="s">
        <v>30</v>
      </c>
      <c r="D4" s="5">
        <v>5.37527841</v>
      </c>
    </row>
    <row r="5" spans="1:17" x14ac:dyDescent="0.2">
      <c r="A5" s="4">
        <v>1.09441667</v>
      </c>
      <c r="B5" t="s">
        <v>20</v>
      </c>
      <c r="C5" t="s">
        <v>30</v>
      </c>
      <c r="D5" s="5">
        <v>5.3471075299999997</v>
      </c>
    </row>
    <row r="6" spans="1:17" x14ac:dyDescent="0.2">
      <c r="A6" s="4">
        <v>1.4592499999999999</v>
      </c>
      <c r="B6" t="s">
        <v>20</v>
      </c>
      <c r="C6" t="s">
        <v>30</v>
      </c>
      <c r="D6" s="5">
        <v>5.3518581300000001</v>
      </c>
    </row>
    <row r="7" spans="1:17" x14ac:dyDescent="0.2">
      <c r="A7" s="4">
        <v>1.82402778</v>
      </c>
      <c r="B7" t="s">
        <v>20</v>
      </c>
      <c r="C7" t="s">
        <v>30</v>
      </c>
      <c r="D7" s="5">
        <v>5.3327187900000004</v>
      </c>
    </row>
    <row r="8" spans="1:17" x14ac:dyDescent="0.2">
      <c r="A8" s="4">
        <v>2.1888611099999999</v>
      </c>
      <c r="B8" t="s">
        <v>20</v>
      </c>
      <c r="C8" t="s">
        <v>30</v>
      </c>
      <c r="D8" s="5">
        <v>5.3612921699999996</v>
      </c>
    </row>
    <row r="9" spans="1:17" x14ac:dyDescent="0.2">
      <c r="A9" s="4">
        <v>2.5536944400000001</v>
      </c>
      <c r="B9" t="s">
        <v>20</v>
      </c>
      <c r="C9" t="s">
        <v>30</v>
      </c>
      <c r="D9" s="5">
        <v>5.3612921699999996</v>
      </c>
    </row>
    <row r="10" spans="1:17" x14ac:dyDescent="0.2">
      <c r="A10" s="4">
        <v>2.9184999999999999</v>
      </c>
      <c r="B10" t="s">
        <v>20</v>
      </c>
      <c r="C10" t="s">
        <v>30</v>
      </c>
      <c r="D10" s="5">
        <v>5.3471075299999997</v>
      </c>
    </row>
    <row r="11" spans="1:17" x14ac:dyDescent="0.2">
      <c r="A11" s="4">
        <v>3.2833055600000001</v>
      </c>
      <c r="B11" t="s">
        <v>20</v>
      </c>
      <c r="C11" t="s">
        <v>30</v>
      </c>
      <c r="D11" s="5">
        <v>5.3423342500000004</v>
      </c>
    </row>
    <row r="12" spans="1:17" x14ac:dyDescent="0.2">
      <c r="A12" s="4">
        <v>3.6481388899999998</v>
      </c>
      <c r="B12" t="s">
        <v>20</v>
      </c>
      <c r="C12" t="s">
        <v>30</v>
      </c>
      <c r="D12" s="5">
        <v>5.3278761699999997</v>
      </c>
    </row>
    <row r="13" spans="1:17" x14ac:dyDescent="0.2">
      <c r="A13" s="4">
        <v>4.01297222</v>
      </c>
      <c r="B13" t="s">
        <v>20</v>
      </c>
      <c r="C13" t="s">
        <v>30</v>
      </c>
      <c r="D13" s="5">
        <v>5.3565862700000002</v>
      </c>
    </row>
    <row r="14" spans="1:17" x14ac:dyDescent="0.2">
      <c r="A14" s="4">
        <v>4.3777777799999997</v>
      </c>
      <c r="B14" t="s">
        <v>20</v>
      </c>
      <c r="C14" t="s">
        <v>30</v>
      </c>
      <c r="D14" s="5">
        <v>5.3565862700000002</v>
      </c>
    </row>
    <row r="15" spans="1:17" x14ac:dyDescent="0.2">
      <c r="A15" s="4">
        <v>4.7425833300000004</v>
      </c>
      <c r="B15" t="s">
        <v>20</v>
      </c>
      <c r="C15" t="s">
        <v>30</v>
      </c>
      <c r="D15" s="5">
        <v>5.3659760199999997</v>
      </c>
    </row>
    <row r="16" spans="1:17" x14ac:dyDescent="0.2">
      <c r="A16" s="4">
        <v>5.1073888900000002</v>
      </c>
      <c r="B16" t="s">
        <v>20</v>
      </c>
      <c r="C16" t="s">
        <v>30</v>
      </c>
      <c r="D16" s="5">
        <v>5.3518581300000001</v>
      </c>
    </row>
    <row r="17" spans="1:4" x14ac:dyDescent="0.2">
      <c r="A17" s="4">
        <v>5.4722222199999999</v>
      </c>
      <c r="B17" t="s">
        <v>20</v>
      </c>
      <c r="C17" t="s">
        <v>30</v>
      </c>
      <c r="D17" s="5">
        <v>5.3612921699999996</v>
      </c>
    </row>
    <row r="18" spans="1:4" x14ac:dyDescent="0.2">
      <c r="A18" s="4">
        <v>5.8370277799999997</v>
      </c>
      <c r="B18" t="s">
        <v>20</v>
      </c>
      <c r="C18" t="s">
        <v>30</v>
      </c>
      <c r="D18" s="5">
        <v>5.3471075299999997</v>
      </c>
    </row>
    <row r="19" spans="1:4" x14ac:dyDescent="0.2">
      <c r="A19" s="4">
        <v>6.2018611100000003</v>
      </c>
      <c r="B19" t="s">
        <v>20</v>
      </c>
      <c r="C19" t="s">
        <v>30</v>
      </c>
      <c r="D19" s="5">
        <v>5.3565862700000002</v>
      </c>
    </row>
    <row r="20" spans="1:4" x14ac:dyDescent="0.2">
      <c r="A20" s="4">
        <v>6.56666667</v>
      </c>
      <c r="B20" t="s">
        <v>20</v>
      </c>
      <c r="C20" t="s">
        <v>30</v>
      </c>
      <c r="D20" s="5">
        <v>5.3471075299999997</v>
      </c>
    </row>
    <row r="21" spans="1:4" x14ac:dyDescent="0.2">
      <c r="A21" s="4">
        <v>6.9314722199999999</v>
      </c>
      <c r="B21" t="s">
        <v>20</v>
      </c>
      <c r="C21" t="s">
        <v>30</v>
      </c>
      <c r="D21" s="5">
        <v>5.3518581300000001</v>
      </c>
    </row>
    <row r="22" spans="1:4" x14ac:dyDescent="0.2">
      <c r="A22" s="4">
        <v>7.2963055600000004</v>
      </c>
      <c r="B22" t="s">
        <v>20</v>
      </c>
      <c r="C22" t="s">
        <v>30</v>
      </c>
      <c r="D22" s="5">
        <v>5.3612921699999996</v>
      </c>
    </row>
    <row r="23" spans="1:4" x14ac:dyDescent="0.2">
      <c r="A23" s="4">
        <v>7.6611388900000001</v>
      </c>
      <c r="B23" t="s">
        <v>20</v>
      </c>
      <c r="C23" t="s">
        <v>30</v>
      </c>
      <c r="D23" s="5">
        <v>5.3612921699999996</v>
      </c>
    </row>
    <row r="24" spans="1:4" x14ac:dyDescent="0.2">
      <c r="A24" s="4">
        <v>8.02594444</v>
      </c>
      <c r="B24" t="s">
        <v>20</v>
      </c>
      <c r="C24" t="s">
        <v>30</v>
      </c>
      <c r="D24" s="5">
        <v>5.37527841</v>
      </c>
    </row>
    <row r="25" spans="1:4" x14ac:dyDescent="0.2">
      <c r="A25" s="4">
        <v>8.3907500000000006</v>
      </c>
      <c r="B25" t="s">
        <v>20</v>
      </c>
      <c r="C25" t="s">
        <v>30</v>
      </c>
      <c r="D25" s="5">
        <v>5.3659760199999997</v>
      </c>
    </row>
    <row r="26" spans="1:4" x14ac:dyDescent="0.2">
      <c r="A26" s="4">
        <v>8.7555833300000003</v>
      </c>
      <c r="B26" t="s">
        <v>20</v>
      </c>
      <c r="C26" t="s">
        <v>30</v>
      </c>
      <c r="D26" s="5">
        <v>5.3706380300000003</v>
      </c>
    </row>
    <row r="27" spans="1:4" x14ac:dyDescent="0.2">
      <c r="A27" s="4">
        <v>9.1204166699999991</v>
      </c>
      <c r="B27" t="s">
        <v>20</v>
      </c>
      <c r="C27" t="s">
        <v>30</v>
      </c>
      <c r="D27" s="5">
        <v>5.3844950599999999</v>
      </c>
    </row>
    <row r="28" spans="1:4" x14ac:dyDescent="0.2">
      <c r="A28" s="4">
        <v>9.4852222200000007</v>
      </c>
      <c r="B28" t="s">
        <v>20</v>
      </c>
      <c r="C28" t="s">
        <v>30</v>
      </c>
      <c r="D28" s="5">
        <v>5.3706380300000003</v>
      </c>
    </row>
    <row r="29" spans="1:4" x14ac:dyDescent="0.2">
      <c r="A29" s="4">
        <v>9.8500277799999996</v>
      </c>
      <c r="B29" t="s">
        <v>20</v>
      </c>
      <c r="C29" t="s">
        <v>30</v>
      </c>
      <c r="D29" s="5">
        <v>5.3844950599999999</v>
      </c>
    </row>
    <row r="30" spans="1:4" x14ac:dyDescent="0.2">
      <c r="A30" s="4">
        <v>10.2148611</v>
      </c>
      <c r="B30" t="s">
        <v>20</v>
      </c>
      <c r="C30" t="s">
        <v>30</v>
      </c>
      <c r="D30" s="5">
        <v>5.3981627000000003</v>
      </c>
    </row>
    <row r="31" spans="1:4" x14ac:dyDescent="0.2">
      <c r="A31" s="4">
        <v>10.579666700000001</v>
      </c>
      <c r="B31" t="s">
        <v>20</v>
      </c>
      <c r="C31" t="s">
        <v>30</v>
      </c>
      <c r="D31" s="5">
        <v>5.3981627000000003</v>
      </c>
    </row>
    <row r="32" spans="1:4" x14ac:dyDescent="0.2">
      <c r="A32" s="4">
        <v>10.9445</v>
      </c>
      <c r="B32" t="s">
        <v>20</v>
      </c>
      <c r="C32" t="s">
        <v>30</v>
      </c>
      <c r="D32" s="5">
        <v>5.4116460499999999</v>
      </c>
    </row>
    <row r="33" spans="1:4" x14ac:dyDescent="0.2">
      <c r="A33" s="4">
        <v>11.3093056</v>
      </c>
      <c r="B33" t="s">
        <v>20</v>
      </c>
      <c r="C33" t="s">
        <v>30</v>
      </c>
      <c r="D33" s="5">
        <v>5.4205350000000001</v>
      </c>
    </row>
    <row r="34" spans="1:4" x14ac:dyDescent="0.2">
      <c r="A34" s="4">
        <v>11.674138900000001</v>
      </c>
      <c r="B34" t="s">
        <v>20</v>
      </c>
      <c r="C34" t="s">
        <v>30</v>
      </c>
      <c r="D34" s="5">
        <v>5.4467373700000001</v>
      </c>
    </row>
    <row r="35" spans="1:4" x14ac:dyDescent="0.2">
      <c r="A35" s="4">
        <v>12.0389444</v>
      </c>
      <c r="B35" t="s">
        <v>20</v>
      </c>
      <c r="C35" t="s">
        <v>30</v>
      </c>
      <c r="D35" s="5">
        <v>5.4510384500000004</v>
      </c>
    </row>
    <row r="36" spans="1:4" x14ac:dyDescent="0.2">
      <c r="A36" s="4">
        <v>12.4037778</v>
      </c>
      <c r="B36" t="s">
        <v>20</v>
      </c>
      <c r="C36" t="s">
        <v>30</v>
      </c>
      <c r="D36" s="5">
        <v>5.4806389199999996</v>
      </c>
    </row>
    <row r="37" spans="1:4" x14ac:dyDescent="0.2">
      <c r="A37" s="4">
        <v>12.7685833</v>
      </c>
      <c r="B37" t="s">
        <v>20</v>
      </c>
      <c r="C37" t="s">
        <v>30</v>
      </c>
      <c r="D37" s="5">
        <v>5.5134287500000001</v>
      </c>
    </row>
    <row r="38" spans="1:4" x14ac:dyDescent="0.2">
      <c r="A38" s="4">
        <v>13.1334167</v>
      </c>
      <c r="B38" t="s">
        <v>20</v>
      </c>
      <c r="C38" t="s">
        <v>30</v>
      </c>
      <c r="D38" s="5">
        <v>5.5254529400000001</v>
      </c>
    </row>
    <row r="39" spans="1:4" x14ac:dyDescent="0.2">
      <c r="A39" s="4">
        <v>13.498222200000001</v>
      </c>
      <c r="B39" t="s">
        <v>20</v>
      </c>
      <c r="C39" t="s">
        <v>30</v>
      </c>
      <c r="D39" s="5">
        <v>5.5451774399999998</v>
      </c>
    </row>
    <row r="40" spans="1:4" x14ac:dyDescent="0.2">
      <c r="A40" s="4">
        <v>13.863055599999999</v>
      </c>
      <c r="B40" t="s">
        <v>20</v>
      </c>
      <c r="C40" t="s">
        <v>30</v>
      </c>
      <c r="D40" s="5">
        <v>5.5797298299999998</v>
      </c>
    </row>
    <row r="41" spans="1:4" x14ac:dyDescent="0.2">
      <c r="A41" s="4">
        <v>14.2278611</v>
      </c>
      <c r="B41" t="s">
        <v>20</v>
      </c>
      <c r="C41" t="s">
        <v>30</v>
      </c>
      <c r="D41" s="5">
        <v>5.6131281099999999</v>
      </c>
    </row>
    <row r="42" spans="1:4" x14ac:dyDescent="0.2">
      <c r="A42" s="4">
        <v>14.592694399999999</v>
      </c>
      <c r="B42" t="s">
        <v>20</v>
      </c>
      <c r="C42" t="s">
        <v>30</v>
      </c>
      <c r="D42" s="5">
        <v>5.6347896000000004</v>
      </c>
    </row>
    <row r="43" spans="1:4" x14ac:dyDescent="0.2">
      <c r="A43" s="4">
        <v>14.9575</v>
      </c>
      <c r="B43" t="s">
        <v>20</v>
      </c>
      <c r="C43" t="s">
        <v>30</v>
      </c>
      <c r="D43" s="5">
        <v>5.6801726099999996</v>
      </c>
    </row>
    <row r="44" spans="1:4" x14ac:dyDescent="0.2">
      <c r="A44" s="4">
        <v>15.3223333</v>
      </c>
      <c r="B44" t="s">
        <v>20</v>
      </c>
      <c r="C44" t="s">
        <v>30</v>
      </c>
      <c r="D44" s="5">
        <v>5.7397929100000002</v>
      </c>
    </row>
    <row r="45" spans="1:4" x14ac:dyDescent="0.2">
      <c r="A45" s="4">
        <v>15.687138900000001</v>
      </c>
      <c r="B45" t="s">
        <v>20</v>
      </c>
      <c r="C45" t="s">
        <v>30</v>
      </c>
      <c r="D45" s="5">
        <v>5.8051349700000001</v>
      </c>
    </row>
    <row r="46" spans="1:4" x14ac:dyDescent="0.2">
      <c r="A46" s="4">
        <v>16.051972200000002</v>
      </c>
      <c r="B46" t="s">
        <v>20</v>
      </c>
      <c r="C46" t="s">
        <v>30</v>
      </c>
      <c r="D46" s="5">
        <v>5.8607862199999996</v>
      </c>
    </row>
    <row r="47" spans="1:4" x14ac:dyDescent="0.2">
      <c r="A47" s="4">
        <v>16.416777799999998</v>
      </c>
      <c r="B47" t="s">
        <v>20</v>
      </c>
      <c r="C47" t="s">
        <v>30</v>
      </c>
      <c r="D47" s="5">
        <v>5.9427993800000003</v>
      </c>
    </row>
    <row r="48" spans="1:4" x14ac:dyDescent="0.2">
      <c r="A48" s="4">
        <v>16.781611099999999</v>
      </c>
      <c r="B48" t="s">
        <v>20</v>
      </c>
      <c r="C48" t="s">
        <v>30</v>
      </c>
      <c r="D48" s="5">
        <v>6.0063531599999997</v>
      </c>
    </row>
    <row r="49" spans="1:4" x14ac:dyDescent="0.2">
      <c r="A49" s="4">
        <v>17.1464167</v>
      </c>
      <c r="B49" t="s">
        <v>20</v>
      </c>
      <c r="C49" t="s">
        <v>30</v>
      </c>
      <c r="D49" s="5">
        <v>6.0890448800000003</v>
      </c>
    </row>
    <row r="50" spans="1:4" x14ac:dyDescent="0.2">
      <c r="A50" s="4">
        <v>17.511222199999999</v>
      </c>
      <c r="B50" t="s">
        <v>20</v>
      </c>
      <c r="C50" t="s">
        <v>30</v>
      </c>
      <c r="D50" s="5">
        <v>6.1654178499999999</v>
      </c>
    </row>
    <row r="51" spans="1:4" x14ac:dyDescent="0.2">
      <c r="A51" s="4">
        <v>17.876055600000001</v>
      </c>
      <c r="B51" t="s">
        <v>20</v>
      </c>
      <c r="C51" t="s">
        <v>30</v>
      </c>
      <c r="D51" s="5">
        <v>6.2633982599999998</v>
      </c>
    </row>
    <row r="52" spans="1:4" x14ac:dyDescent="0.2">
      <c r="A52" s="4">
        <v>18.2408611</v>
      </c>
      <c r="B52" t="s">
        <v>20</v>
      </c>
      <c r="C52" t="s">
        <v>30</v>
      </c>
      <c r="D52" s="5">
        <v>6.3750248200000001</v>
      </c>
    </row>
    <row r="53" spans="1:4" x14ac:dyDescent="0.2">
      <c r="A53" s="4">
        <v>18.605694400000001</v>
      </c>
      <c r="B53" t="s">
        <v>20</v>
      </c>
      <c r="C53" t="s">
        <v>30</v>
      </c>
      <c r="D53" s="5">
        <v>6.4876840199999997</v>
      </c>
    </row>
    <row r="54" spans="1:4" x14ac:dyDescent="0.2">
      <c r="A54" s="4">
        <v>18.970527799999999</v>
      </c>
      <c r="B54" t="s">
        <v>20</v>
      </c>
      <c r="C54" t="s">
        <v>30</v>
      </c>
      <c r="D54" s="5">
        <v>6.6227363199999996</v>
      </c>
    </row>
    <row r="55" spans="1:4" x14ac:dyDescent="0.2">
      <c r="A55" s="4">
        <v>19.335333299999999</v>
      </c>
      <c r="B55" t="s">
        <v>20</v>
      </c>
      <c r="C55" t="s">
        <v>30</v>
      </c>
      <c r="D55" s="5">
        <v>6.7440591899999998</v>
      </c>
    </row>
    <row r="56" spans="1:4" x14ac:dyDescent="0.2">
      <c r="A56" s="4">
        <v>19.700138899999999</v>
      </c>
      <c r="B56" t="s">
        <v>20</v>
      </c>
      <c r="C56" t="s">
        <v>30</v>
      </c>
      <c r="D56" s="5">
        <v>6.8855096700000002</v>
      </c>
    </row>
    <row r="57" spans="1:4" x14ac:dyDescent="0.2">
      <c r="A57" s="4">
        <v>20.0649722</v>
      </c>
      <c r="B57" t="s">
        <v>20</v>
      </c>
      <c r="C57" t="s">
        <v>30</v>
      </c>
      <c r="D57" s="5">
        <v>7.0335064799999998</v>
      </c>
    </row>
    <row r="58" spans="1:4" x14ac:dyDescent="0.2">
      <c r="A58" s="4">
        <v>20.4297778</v>
      </c>
      <c r="B58" t="s">
        <v>20</v>
      </c>
      <c r="C58" t="s">
        <v>30</v>
      </c>
      <c r="D58" s="5">
        <v>7.1800698699999996</v>
      </c>
    </row>
    <row r="59" spans="1:4" x14ac:dyDescent="0.2">
      <c r="A59" s="4">
        <v>20.794611100000001</v>
      </c>
      <c r="B59" t="s">
        <v>20</v>
      </c>
      <c r="C59" t="s">
        <v>30</v>
      </c>
      <c r="D59" s="5">
        <v>7.3460102100000002</v>
      </c>
    </row>
    <row r="60" spans="1:4" x14ac:dyDescent="0.2">
      <c r="A60" s="4">
        <v>21.159416700000001</v>
      </c>
      <c r="B60" t="s">
        <v>20</v>
      </c>
      <c r="C60" t="s">
        <v>30</v>
      </c>
      <c r="D60" s="5">
        <v>7.5082387700000002</v>
      </c>
    </row>
    <row r="61" spans="1:4" x14ac:dyDescent="0.2">
      <c r="A61" s="4">
        <v>21.524333299999999</v>
      </c>
      <c r="B61" t="s">
        <v>20</v>
      </c>
      <c r="C61" t="s">
        <v>30</v>
      </c>
      <c r="D61" s="5">
        <v>7.6861623000000003</v>
      </c>
    </row>
    <row r="62" spans="1:4" x14ac:dyDescent="0.2">
      <c r="A62" s="4">
        <v>21.889166700000001</v>
      </c>
      <c r="B62" t="s">
        <v>20</v>
      </c>
      <c r="C62" t="s">
        <v>30</v>
      </c>
      <c r="D62" s="5">
        <v>7.8383433199999999</v>
      </c>
    </row>
    <row r="63" spans="1:4" x14ac:dyDescent="0.2">
      <c r="A63" s="4">
        <v>22.2539722</v>
      </c>
      <c r="B63" t="s">
        <v>20</v>
      </c>
      <c r="C63" t="s">
        <v>30</v>
      </c>
      <c r="D63" s="5">
        <v>7.9153481699999997</v>
      </c>
    </row>
    <row r="64" spans="1:4" x14ac:dyDescent="0.2">
      <c r="A64" s="4">
        <v>22.6187778</v>
      </c>
      <c r="B64" t="s">
        <v>20</v>
      </c>
      <c r="C64" t="s">
        <v>30</v>
      </c>
      <c r="D64" s="5">
        <v>7.9423622399999996</v>
      </c>
    </row>
    <row r="65" spans="1:4" x14ac:dyDescent="0.2">
      <c r="A65" s="4">
        <v>22.983611100000001</v>
      </c>
      <c r="B65" t="s">
        <v>20</v>
      </c>
      <c r="C65" t="s">
        <v>30</v>
      </c>
      <c r="D65" s="5">
        <v>7.94732503</v>
      </c>
    </row>
    <row r="66" spans="1:4" x14ac:dyDescent="0.2">
      <c r="A66" s="4">
        <v>23.349916700000001</v>
      </c>
      <c r="B66" t="s">
        <v>20</v>
      </c>
      <c r="C66" t="s">
        <v>30</v>
      </c>
      <c r="D66" s="5">
        <v>7.9582271899999997</v>
      </c>
    </row>
    <row r="67" spans="1:4" x14ac:dyDescent="0.2">
      <c r="A67" s="4">
        <v>23.714722200000001</v>
      </c>
      <c r="B67" t="s">
        <v>20</v>
      </c>
      <c r="C67" t="s">
        <v>30</v>
      </c>
      <c r="D67" s="5">
        <v>7.9515593300000003</v>
      </c>
    </row>
    <row r="68" spans="1:4" x14ac:dyDescent="0.2">
      <c r="A68" s="4">
        <v>24.079555599999999</v>
      </c>
      <c r="B68" t="s">
        <v>20</v>
      </c>
      <c r="C68" t="s">
        <v>30</v>
      </c>
      <c r="D68" s="5">
        <v>7.94838529</v>
      </c>
    </row>
    <row r="69" spans="1:4" x14ac:dyDescent="0.2">
      <c r="A69" s="4">
        <v>24.444888899999999</v>
      </c>
      <c r="B69" t="s">
        <v>20</v>
      </c>
      <c r="C69" t="s">
        <v>30</v>
      </c>
      <c r="D69" s="5">
        <v>7.9359450999999996</v>
      </c>
    </row>
    <row r="70" spans="1:4" x14ac:dyDescent="0.2">
      <c r="A70" s="4">
        <v>24.809194399999999</v>
      </c>
      <c r="B70" t="s">
        <v>20</v>
      </c>
      <c r="C70" t="s">
        <v>30</v>
      </c>
      <c r="D70" s="5">
        <v>7.9359450999999996</v>
      </c>
    </row>
    <row r="71" spans="1:4" x14ac:dyDescent="0.2">
      <c r="A71" s="4">
        <v>25.174027800000001</v>
      </c>
      <c r="B71" t="s">
        <v>20</v>
      </c>
      <c r="C71" t="s">
        <v>30</v>
      </c>
      <c r="D71" s="5">
        <v>7.9312847599999996</v>
      </c>
    </row>
    <row r="72" spans="1:4" x14ac:dyDescent="0.2">
      <c r="A72" s="4">
        <v>25.5388333</v>
      </c>
      <c r="B72" t="s">
        <v>20</v>
      </c>
      <c r="C72" t="s">
        <v>30</v>
      </c>
      <c r="D72" s="5">
        <v>7.9258803200000001</v>
      </c>
    </row>
    <row r="73" spans="1:4" x14ac:dyDescent="0.2">
      <c r="A73" s="4">
        <v>25.903666699999999</v>
      </c>
      <c r="B73" t="s">
        <v>20</v>
      </c>
      <c r="C73" t="s">
        <v>30</v>
      </c>
      <c r="D73" s="5">
        <v>7.9222610600000003</v>
      </c>
    </row>
    <row r="74" spans="1:4" x14ac:dyDescent="0.2">
      <c r="A74" s="4">
        <v>26.268472200000001</v>
      </c>
      <c r="B74" t="s">
        <v>20</v>
      </c>
      <c r="C74" t="s">
        <v>30</v>
      </c>
      <c r="D74" s="5">
        <v>7.9215356300000002</v>
      </c>
    </row>
    <row r="75" spans="1:4" x14ac:dyDescent="0.2">
      <c r="A75" s="4">
        <v>26.6333056</v>
      </c>
      <c r="B75" t="s">
        <v>20</v>
      </c>
      <c r="C75" t="s">
        <v>30</v>
      </c>
      <c r="D75" s="5">
        <v>7.9171719899999999</v>
      </c>
    </row>
    <row r="76" spans="1:4" x14ac:dyDescent="0.2">
      <c r="A76" s="4">
        <v>26.998111099999999</v>
      </c>
      <c r="B76" t="s">
        <v>20</v>
      </c>
      <c r="C76" t="s">
        <v>30</v>
      </c>
      <c r="D76" s="5">
        <v>7.9131551900000003</v>
      </c>
    </row>
    <row r="77" spans="1:4" x14ac:dyDescent="0.2">
      <c r="A77" s="4">
        <v>27.3629444</v>
      </c>
      <c r="B77" t="s">
        <v>20</v>
      </c>
      <c r="C77" t="s">
        <v>30</v>
      </c>
      <c r="D77" s="5">
        <v>7.9043348399999998</v>
      </c>
    </row>
    <row r="78" spans="1:4" x14ac:dyDescent="0.2">
      <c r="A78" s="4">
        <v>27.72775</v>
      </c>
      <c r="B78" t="s">
        <v>20</v>
      </c>
      <c r="C78" t="s">
        <v>30</v>
      </c>
      <c r="D78" s="5">
        <v>7.8976681500000003</v>
      </c>
    </row>
    <row r="79" spans="1:4" x14ac:dyDescent="0.2">
      <c r="A79" s="4">
        <v>30.091833300000001</v>
      </c>
      <c r="B79" t="s">
        <v>20</v>
      </c>
      <c r="C79" t="s">
        <v>30</v>
      </c>
      <c r="D79" s="5">
        <v>7.9208096799999996</v>
      </c>
    </row>
    <row r="80" spans="1:4" x14ac:dyDescent="0.2">
      <c r="A80" s="4">
        <v>30.4566667</v>
      </c>
      <c r="B80" t="s">
        <v>20</v>
      </c>
      <c r="C80" t="s">
        <v>30</v>
      </c>
      <c r="D80" s="5">
        <v>7.9054416500000002</v>
      </c>
    </row>
    <row r="81" spans="1:4" x14ac:dyDescent="0.2">
      <c r="A81" s="4">
        <v>30.821472199999999</v>
      </c>
      <c r="B81" t="s">
        <v>20</v>
      </c>
      <c r="C81" t="s">
        <v>30</v>
      </c>
      <c r="D81" s="5">
        <v>7.8924520400000002</v>
      </c>
    </row>
    <row r="82" spans="1:4" x14ac:dyDescent="0.2">
      <c r="A82" s="4">
        <v>31.186305600000001</v>
      </c>
      <c r="B82" t="s">
        <v>20</v>
      </c>
      <c r="C82" t="s">
        <v>30</v>
      </c>
      <c r="D82" s="5">
        <v>7.8879593400000001</v>
      </c>
    </row>
    <row r="83" spans="1:4" x14ac:dyDescent="0.2">
      <c r="A83" s="4">
        <v>31.5511111</v>
      </c>
      <c r="B83" t="s">
        <v>20</v>
      </c>
      <c r="C83" t="s">
        <v>30</v>
      </c>
      <c r="D83" s="5">
        <v>7.8789129100000004</v>
      </c>
    </row>
    <row r="84" spans="1:4" x14ac:dyDescent="0.2">
      <c r="A84" s="4">
        <v>31.915944400000001</v>
      </c>
      <c r="B84" t="s">
        <v>20</v>
      </c>
      <c r="C84" t="s">
        <v>30</v>
      </c>
      <c r="D84" s="5">
        <v>7.8735977899999998</v>
      </c>
    </row>
    <row r="85" spans="1:4" x14ac:dyDescent="0.2">
      <c r="A85" s="4">
        <v>32.280777800000003</v>
      </c>
      <c r="B85" t="s">
        <v>20</v>
      </c>
      <c r="C85" t="s">
        <v>30</v>
      </c>
      <c r="D85" s="5">
        <v>7.8701659499999996</v>
      </c>
    </row>
    <row r="86" spans="1:4" x14ac:dyDescent="0.2">
      <c r="A86" s="4">
        <v>32.645583299999998</v>
      </c>
      <c r="B86" t="s">
        <v>20</v>
      </c>
      <c r="C86" t="s">
        <v>30</v>
      </c>
      <c r="D86" s="5">
        <v>7.8739783799999996</v>
      </c>
    </row>
    <row r="87" spans="1:4" x14ac:dyDescent="0.2">
      <c r="A87" s="4">
        <v>33.0104167</v>
      </c>
      <c r="B87" t="s">
        <v>20</v>
      </c>
      <c r="C87" t="s">
        <v>30</v>
      </c>
      <c r="D87" s="5">
        <v>7.8663389199999996</v>
      </c>
    </row>
    <row r="88" spans="1:4" x14ac:dyDescent="0.2">
      <c r="A88" s="4">
        <v>33.375222200000003</v>
      </c>
      <c r="B88" t="s">
        <v>20</v>
      </c>
      <c r="C88" t="s">
        <v>30</v>
      </c>
      <c r="D88" s="5">
        <v>7.8655717599999999</v>
      </c>
    </row>
    <row r="89" spans="1:4" x14ac:dyDescent="0.2">
      <c r="A89" s="4">
        <v>33.7400278</v>
      </c>
      <c r="B89" t="s">
        <v>20</v>
      </c>
      <c r="C89" t="s">
        <v>30</v>
      </c>
      <c r="D89" s="5">
        <v>7.8601850600000001</v>
      </c>
    </row>
    <row r="90" spans="1:4" x14ac:dyDescent="0.2">
      <c r="A90" s="4">
        <v>34.104861100000001</v>
      </c>
      <c r="B90" t="s">
        <v>20</v>
      </c>
      <c r="C90" t="s">
        <v>30</v>
      </c>
      <c r="D90" s="5">
        <v>7.8601850600000001</v>
      </c>
    </row>
    <row r="91" spans="1:4" x14ac:dyDescent="0.2">
      <c r="A91" s="4">
        <v>34.469666699999998</v>
      </c>
      <c r="B91" t="s">
        <v>20</v>
      </c>
      <c r="C91" t="s">
        <v>30</v>
      </c>
      <c r="D91" s="5">
        <v>7.8659554099999998</v>
      </c>
    </row>
    <row r="92" spans="1:4" x14ac:dyDescent="0.2">
      <c r="A92" s="4">
        <v>34.834499999999998</v>
      </c>
      <c r="B92" t="s">
        <v>20</v>
      </c>
      <c r="C92" t="s">
        <v>30</v>
      </c>
      <c r="D92" s="5">
        <v>7.8628820299999997</v>
      </c>
    </row>
    <row r="93" spans="1:4" x14ac:dyDescent="0.2">
      <c r="A93" s="4">
        <v>35.199305600000002</v>
      </c>
      <c r="B93" t="s">
        <v>20</v>
      </c>
      <c r="C93" t="s">
        <v>30</v>
      </c>
      <c r="D93" s="5">
        <v>7.8551570100000001</v>
      </c>
    </row>
    <row r="94" spans="1:4" x14ac:dyDescent="0.2">
      <c r="A94" s="4">
        <v>35.564111099999998</v>
      </c>
      <c r="B94" t="s">
        <v>20</v>
      </c>
      <c r="C94" t="s">
        <v>30</v>
      </c>
      <c r="D94" s="5">
        <v>7.8609563600000003</v>
      </c>
    </row>
    <row r="95" spans="1:4" x14ac:dyDescent="0.2">
      <c r="A95" s="4">
        <v>35.928944399999999</v>
      </c>
      <c r="B95" t="s">
        <v>20</v>
      </c>
      <c r="C95" t="s">
        <v>30</v>
      </c>
      <c r="D95" s="5">
        <v>7.8547691799999999</v>
      </c>
    </row>
    <row r="96" spans="1:4" x14ac:dyDescent="0.2">
      <c r="A96" s="4">
        <v>36.293750000000003</v>
      </c>
      <c r="B96" t="s">
        <v>20</v>
      </c>
      <c r="C96" t="s">
        <v>30</v>
      </c>
      <c r="D96" s="5">
        <v>7.85709386</v>
      </c>
    </row>
    <row r="97" spans="1:4" x14ac:dyDescent="0.2">
      <c r="A97" s="4">
        <v>36.658583299999997</v>
      </c>
      <c r="B97" t="s">
        <v>20</v>
      </c>
      <c r="C97" t="s">
        <v>30</v>
      </c>
      <c r="D97" s="5">
        <v>7.8586406599999998</v>
      </c>
    </row>
    <row r="98" spans="1:4" x14ac:dyDescent="0.2">
      <c r="A98" s="4">
        <v>37.0233889</v>
      </c>
      <c r="B98" t="s">
        <v>20</v>
      </c>
      <c r="C98" t="s">
        <v>30</v>
      </c>
      <c r="D98" s="5">
        <v>7.8605707899999997</v>
      </c>
    </row>
    <row r="99" spans="1:4" x14ac:dyDescent="0.2">
      <c r="A99" s="4">
        <v>37.388222200000001</v>
      </c>
      <c r="B99" t="s">
        <v>20</v>
      </c>
      <c r="C99" t="s">
        <v>30</v>
      </c>
      <c r="D99" s="5">
        <v>7.8512719999999998</v>
      </c>
    </row>
    <row r="100" spans="1:4" x14ac:dyDescent="0.2">
      <c r="A100" s="4">
        <v>37.753055600000003</v>
      </c>
      <c r="B100" t="s">
        <v>20</v>
      </c>
      <c r="C100" t="s">
        <v>30</v>
      </c>
      <c r="D100" s="5">
        <v>7.8524390899999998</v>
      </c>
    </row>
    <row r="101" spans="1:4" x14ac:dyDescent="0.2">
      <c r="A101" s="4">
        <v>38.117861099999999</v>
      </c>
      <c r="B101" t="s">
        <v>20</v>
      </c>
      <c r="C101" t="s">
        <v>30</v>
      </c>
      <c r="D101" s="5">
        <v>7.8520502099999998</v>
      </c>
    </row>
    <row r="102" spans="1:4" x14ac:dyDescent="0.2">
      <c r="A102" s="4">
        <v>38.4826944</v>
      </c>
      <c r="B102" t="s">
        <v>20</v>
      </c>
      <c r="C102" t="s">
        <v>30</v>
      </c>
      <c r="D102" s="5">
        <v>7.8543812099999997</v>
      </c>
    </row>
    <row r="103" spans="1:4" x14ac:dyDescent="0.2">
      <c r="A103" s="4">
        <v>38.847499999999997</v>
      </c>
      <c r="B103" t="s">
        <v>20</v>
      </c>
      <c r="C103" t="s">
        <v>30</v>
      </c>
      <c r="D103" s="5">
        <v>7.8473718400000001</v>
      </c>
    </row>
    <row r="104" spans="1:4" x14ac:dyDescent="0.2">
      <c r="A104" s="4">
        <v>39.212305600000001</v>
      </c>
      <c r="B104" t="s">
        <v>20</v>
      </c>
      <c r="C104" t="s">
        <v>30</v>
      </c>
      <c r="D104" s="5">
        <v>7.8547691799999999</v>
      </c>
    </row>
    <row r="105" spans="1:4" x14ac:dyDescent="0.2">
      <c r="A105" s="4">
        <v>39.577138900000001</v>
      </c>
      <c r="B105" t="s">
        <v>20</v>
      </c>
      <c r="C105" t="s">
        <v>30</v>
      </c>
      <c r="D105" s="5">
        <v>7.8489337299999997</v>
      </c>
    </row>
    <row r="106" spans="1:4" x14ac:dyDescent="0.2">
      <c r="A106" s="4">
        <v>39.941944399999997</v>
      </c>
      <c r="B106" t="s">
        <v>20</v>
      </c>
      <c r="C106" t="s">
        <v>30</v>
      </c>
      <c r="D106" s="5">
        <v>7.8477625399999997</v>
      </c>
    </row>
    <row r="107" spans="1:4" x14ac:dyDescent="0.2">
      <c r="A107" s="4">
        <v>40.306777799999999</v>
      </c>
      <c r="B107" t="s">
        <v>20</v>
      </c>
      <c r="C107" t="s">
        <v>30</v>
      </c>
      <c r="D107" s="5">
        <v>7.8481530900000003</v>
      </c>
    </row>
    <row r="108" spans="1:4" x14ac:dyDescent="0.2">
      <c r="A108" s="4">
        <v>40.6716944</v>
      </c>
      <c r="B108" t="s">
        <v>20</v>
      </c>
      <c r="C108" t="s">
        <v>30</v>
      </c>
      <c r="D108" s="5">
        <v>7.84854348</v>
      </c>
    </row>
    <row r="109" spans="1:4" x14ac:dyDescent="0.2">
      <c r="A109" s="4">
        <v>41.036499999999997</v>
      </c>
      <c r="B109" t="s">
        <v>20</v>
      </c>
      <c r="C109" t="s">
        <v>30</v>
      </c>
      <c r="D109" s="5">
        <v>7.8442407200000002</v>
      </c>
    </row>
    <row r="110" spans="1:4" x14ac:dyDescent="0.2">
      <c r="A110" s="4">
        <v>41.401333299999997</v>
      </c>
      <c r="B110" t="s">
        <v>20</v>
      </c>
      <c r="C110" t="s">
        <v>30</v>
      </c>
      <c r="D110" s="5">
        <v>7.8446326400000004</v>
      </c>
    </row>
    <row r="111" spans="1:4" x14ac:dyDescent="0.2">
      <c r="A111" s="4">
        <v>41.766166699999999</v>
      </c>
      <c r="B111" t="s">
        <v>20</v>
      </c>
      <c r="C111" t="s">
        <v>30</v>
      </c>
      <c r="D111" s="5">
        <v>7.8399193599999997</v>
      </c>
    </row>
    <row r="112" spans="1:4" x14ac:dyDescent="0.2">
      <c r="A112" s="4">
        <v>42.130972200000002</v>
      </c>
      <c r="B112" t="s">
        <v>20</v>
      </c>
      <c r="C112" t="s">
        <v>30</v>
      </c>
      <c r="D112" s="5">
        <v>7.8418859300000001</v>
      </c>
    </row>
    <row r="113" spans="1:4" x14ac:dyDescent="0.2">
      <c r="A113" s="4">
        <v>42.495805599999997</v>
      </c>
      <c r="B113" t="s">
        <v>20</v>
      </c>
      <c r="C113" t="s">
        <v>30</v>
      </c>
      <c r="D113" s="5">
        <v>7.8442407200000002</v>
      </c>
    </row>
    <row r="114" spans="1:4" x14ac:dyDescent="0.2">
      <c r="A114" s="4">
        <v>42.8606111</v>
      </c>
      <c r="B114" t="s">
        <v>20</v>
      </c>
      <c r="C114" t="s">
        <v>30</v>
      </c>
      <c r="D114" s="5">
        <v>7.84267147</v>
      </c>
    </row>
    <row r="115" spans="1:4" x14ac:dyDescent="0.2">
      <c r="A115" s="4">
        <v>43.225444400000001</v>
      </c>
      <c r="B115" t="s">
        <v>20</v>
      </c>
      <c r="C115" t="s">
        <v>30</v>
      </c>
      <c r="D115" s="5">
        <v>7.84227878</v>
      </c>
    </row>
    <row r="116" spans="1:4" x14ac:dyDescent="0.2">
      <c r="A116" s="4">
        <v>43.590277800000003</v>
      </c>
      <c r="B116" t="s">
        <v>20</v>
      </c>
      <c r="C116" t="s">
        <v>30</v>
      </c>
      <c r="D116" s="5">
        <v>7.8367647800000002</v>
      </c>
    </row>
    <row r="117" spans="1:4" x14ac:dyDescent="0.2">
      <c r="A117" s="4">
        <v>43.955083299999998</v>
      </c>
      <c r="B117" t="s">
        <v>20</v>
      </c>
      <c r="C117" t="s">
        <v>30</v>
      </c>
      <c r="D117" s="5">
        <v>7.8391316499999997</v>
      </c>
    </row>
    <row r="118" spans="1:4" x14ac:dyDescent="0.2">
      <c r="A118" s="4">
        <v>44.319888900000002</v>
      </c>
      <c r="B118" t="s">
        <v>20</v>
      </c>
      <c r="C118" t="s">
        <v>30</v>
      </c>
      <c r="D118" s="5">
        <v>7.8391316499999997</v>
      </c>
    </row>
    <row r="119" spans="1:4" x14ac:dyDescent="0.2">
      <c r="A119" s="4">
        <v>44.684722200000003</v>
      </c>
      <c r="B119" t="s">
        <v>20</v>
      </c>
      <c r="C119" t="s">
        <v>30</v>
      </c>
      <c r="D119" s="5">
        <v>7.8375543600000004</v>
      </c>
    </row>
    <row r="120" spans="1:4" x14ac:dyDescent="0.2">
      <c r="A120" s="4">
        <v>45.049194399999998</v>
      </c>
      <c r="B120" t="s">
        <v>20</v>
      </c>
      <c r="C120" t="s">
        <v>30</v>
      </c>
      <c r="D120" s="5">
        <v>7.8308229999999996</v>
      </c>
    </row>
    <row r="121" spans="1:4" x14ac:dyDescent="0.2">
      <c r="A121" s="4">
        <v>45.4140278</v>
      </c>
      <c r="B121" t="s">
        <v>20</v>
      </c>
      <c r="C121" t="s">
        <v>30</v>
      </c>
      <c r="D121" s="5">
        <v>7.8308229999999996</v>
      </c>
    </row>
    <row r="122" spans="1:4" x14ac:dyDescent="0.2">
      <c r="A122" s="4">
        <v>45.778833300000002</v>
      </c>
      <c r="B122" t="s">
        <v>20</v>
      </c>
      <c r="C122" t="s">
        <v>30</v>
      </c>
      <c r="D122" s="5">
        <v>7.8363697600000002</v>
      </c>
    </row>
    <row r="123" spans="1:4" x14ac:dyDescent="0.2">
      <c r="A123" s="4">
        <v>46.143666699999997</v>
      </c>
      <c r="B123" t="s">
        <v>20</v>
      </c>
      <c r="C123" t="s">
        <v>30</v>
      </c>
      <c r="D123" s="5">
        <v>7.8363697600000002</v>
      </c>
    </row>
    <row r="124" spans="1:4" x14ac:dyDescent="0.2">
      <c r="A124" s="4">
        <v>46.5084722</v>
      </c>
      <c r="B124" t="s">
        <v>20</v>
      </c>
      <c r="C124" t="s">
        <v>30</v>
      </c>
      <c r="D124" s="5">
        <v>7.8328075200000002</v>
      </c>
    </row>
    <row r="125" spans="1:4" x14ac:dyDescent="0.2">
      <c r="A125" s="4">
        <v>46.873305600000002</v>
      </c>
      <c r="B125" t="s">
        <v>20</v>
      </c>
      <c r="C125" t="s">
        <v>30</v>
      </c>
      <c r="D125" s="5">
        <v>7.8284363600000004</v>
      </c>
    </row>
    <row r="126" spans="1:4" x14ac:dyDescent="0.2">
      <c r="A126" s="4">
        <v>47.238111099999998</v>
      </c>
      <c r="B126" t="s">
        <v>20</v>
      </c>
      <c r="C126" t="s">
        <v>30</v>
      </c>
      <c r="D126" s="5">
        <v>7.8276395499999998</v>
      </c>
    </row>
    <row r="127" spans="1:4" x14ac:dyDescent="0.2">
      <c r="A127" s="4">
        <v>47.602944399999998</v>
      </c>
      <c r="B127" t="s">
        <v>20</v>
      </c>
      <c r="C127" t="s">
        <v>30</v>
      </c>
      <c r="D127" s="5">
        <v>7.8320141799999998</v>
      </c>
    </row>
    <row r="128" spans="1:4" x14ac:dyDescent="0.2">
      <c r="A128" s="4">
        <v>47.9677778</v>
      </c>
      <c r="B128" t="s">
        <v>20</v>
      </c>
      <c r="C128" t="s">
        <v>30</v>
      </c>
      <c r="D128" s="5">
        <v>7.8284363600000004</v>
      </c>
    </row>
    <row r="129" spans="1:4" x14ac:dyDescent="0.2">
      <c r="A129" s="4">
        <v>48.332583300000003</v>
      </c>
      <c r="B129" t="s">
        <v>20</v>
      </c>
      <c r="C129" t="s">
        <v>30</v>
      </c>
      <c r="D129" s="5">
        <v>7.8248456900000001</v>
      </c>
    </row>
    <row r="130" spans="1:4" x14ac:dyDescent="0.2">
      <c r="A130" s="4">
        <v>48.697416699999998</v>
      </c>
      <c r="B130" t="s">
        <v>20</v>
      </c>
      <c r="C130" t="s">
        <v>30</v>
      </c>
      <c r="D130" s="5">
        <v>7.8284363600000004</v>
      </c>
    </row>
    <row r="131" spans="1:4" x14ac:dyDescent="0.2">
      <c r="A131" s="4">
        <v>49.062222200000001</v>
      </c>
      <c r="B131" t="s">
        <v>20</v>
      </c>
      <c r="C131" t="s">
        <v>30</v>
      </c>
      <c r="D131" s="5">
        <v>7.8256447299999996</v>
      </c>
    </row>
    <row r="132" spans="1:4" x14ac:dyDescent="0.2">
      <c r="A132" s="4">
        <v>49.427055600000003</v>
      </c>
      <c r="B132" t="s">
        <v>20</v>
      </c>
      <c r="C132" t="s">
        <v>30</v>
      </c>
      <c r="D132" s="5">
        <v>7.8272408999999996</v>
      </c>
    </row>
    <row r="133" spans="1:4" x14ac:dyDescent="0.2">
      <c r="A133" s="4">
        <v>49.791861099999998</v>
      </c>
      <c r="B133" t="s">
        <v>20</v>
      </c>
      <c r="C133" t="s">
        <v>30</v>
      </c>
      <c r="D133" s="5">
        <v>7.8204395199999999</v>
      </c>
    </row>
    <row r="134" spans="1:4" x14ac:dyDescent="0.2">
      <c r="A134" s="4">
        <v>50.156694399999999</v>
      </c>
      <c r="B134" t="s">
        <v>20</v>
      </c>
      <c r="C134" t="s">
        <v>30</v>
      </c>
      <c r="D134" s="5">
        <v>7.8256447299999996</v>
      </c>
    </row>
    <row r="135" spans="1:4" x14ac:dyDescent="0.2">
      <c r="A135" s="4">
        <v>50.521500000000003</v>
      </c>
      <c r="B135" t="s">
        <v>20</v>
      </c>
      <c r="C135" t="s">
        <v>30</v>
      </c>
      <c r="D135" s="5">
        <v>7.8248456900000001</v>
      </c>
    </row>
    <row r="136" spans="1:4" x14ac:dyDescent="0.2">
      <c r="A136" s="4">
        <v>50.886333299999997</v>
      </c>
      <c r="B136" t="s">
        <v>20</v>
      </c>
      <c r="C136" t="s">
        <v>30</v>
      </c>
      <c r="D136" s="5">
        <v>7.8232456900000003</v>
      </c>
    </row>
    <row r="137" spans="1:4" x14ac:dyDescent="0.2">
      <c r="A137" s="4">
        <v>51.251138900000001</v>
      </c>
      <c r="B137" t="s">
        <v>20</v>
      </c>
      <c r="C137" t="s">
        <v>30</v>
      </c>
      <c r="D137" s="5">
        <v>7.82244473</v>
      </c>
    </row>
    <row r="138" spans="1:4" x14ac:dyDescent="0.2">
      <c r="A138" s="4">
        <v>51.615972200000002</v>
      </c>
      <c r="B138" t="s">
        <v>20</v>
      </c>
      <c r="C138" t="s">
        <v>30</v>
      </c>
      <c r="D138" s="5">
        <v>7.8176254399999996</v>
      </c>
    </row>
    <row r="139" spans="1:4" x14ac:dyDescent="0.2">
      <c r="A139" s="4">
        <v>51.980888899999997</v>
      </c>
      <c r="B139" t="s">
        <v>20</v>
      </c>
      <c r="C139" t="s">
        <v>30</v>
      </c>
      <c r="D139" s="5">
        <v>7.8188324400000004</v>
      </c>
    </row>
    <row r="140" spans="1:4" x14ac:dyDescent="0.2">
      <c r="A140" s="4">
        <v>52.345694399999999</v>
      </c>
      <c r="B140" t="s">
        <v>20</v>
      </c>
      <c r="C140" t="s">
        <v>30</v>
      </c>
      <c r="D140" s="5">
        <v>7.82404601</v>
      </c>
    </row>
    <row r="141" spans="1:4" x14ac:dyDescent="0.2">
      <c r="A141" s="4">
        <v>52.710527800000001</v>
      </c>
      <c r="B141" t="s">
        <v>20</v>
      </c>
      <c r="C141" t="s">
        <v>30</v>
      </c>
      <c r="D141" s="5">
        <v>7.8228452900000001</v>
      </c>
    </row>
    <row r="142" spans="1:4" x14ac:dyDescent="0.2">
      <c r="A142" s="4">
        <v>53.075333299999997</v>
      </c>
      <c r="B142" t="s">
        <v>20</v>
      </c>
      <c r="C142" t="s">
        <v>30</v>
      </c>
      <c r="D142" s="5">
        <v>7.8184302700000003</v>
      </c>
    </row>
    <row r="143" spans="1:4" x14ac:dyDescent="0.2">
      <c r="A143" s="4">
        <v>53.440166699999999</v>
      </c>
      <c r="B143" t="s">
        <v>20</v>
      </c>
      <c r="C143" t="s">
        <v>30</v>
      </c>
      <c r="D143" s="5">
        <v>7.8196363</v>
      </c>
    </row>
    <row r="144" spans="1:4" x14ac:dyDescent="0.2">
      <c r="A144" s="4">
        <v>53.805</v>
      </c>
      <c r="B144" t="s">
        <v>20</v>
      </c>
      <c r="C144" t="s">
        <v>30</v>
      </c>
      <c r="D144" s="5">
        <v>7.8180279400000003</v>
      </c>
    </row>
    <row r="145" spans="1:4" x14ac:dyDescent="0.2">
      <c r="A145" s="4">
        <v>54.169805599999997</v>
      </c>
      <c r="B145" t="s">
        <v>20</v>
      </c>
      <c r="C145" t="s">
        <v>30</v>
      </c>
      <c r="D145" s="5">
        <v>7.8160138400000001</v>
      </c>
    </row>
    <row r="146" spans="1:4" x14ac:dyDescent="0.2">
      <c r="A146" s="4">
        <v>54.534638899999997</v>
      </c>
      <c r="B146" t="s">
        <v>20</v>
      </c>
      <c r="C146" t="s">
        <v>30</v>
      </c>
      <c r="D146" s="5">
        <v>7.8168199700000001</v>
      </c>
    </row>
    <row r="147" spans="1:4" x14ac:dyDescent="0.2">
      <c r="A147" s="4">
        <v>54.8994444</v>
      </c>
      <c r="B147" t="s">
        <v>20</v>
      </c>
      <c r="C147" t="s">
        <v>30</v>
      </c>
      <c r="D147" s="5">
        <v>7.8135915499999999</v>
      </c>
    </row>
    <row r="148" spans="1:4" x14ac:dyDescent="0.2">
      <c r="A148" s="4">
        <v>55.264249999999997</v>
      </c>
      <c r="B148" t="s">
        <v>20</v>
      </c>
      <c r="C148" t="s">
        <v>30</v>
      </c>
      <c r="D148" s="5">
        <v>7.8156105299999998</v>
      </c>
    </row>
    <row r="149" spans="1:4" x14ac:dyDescent="0.2">
      <c r="A149" s="4">
        <v>55.629083299999998</v>
      </c>
      <c r="B149" t="s">
        <v>20</v>
      </c>
      <c r="C149" t="s">
        <v>30</v>
      </c>
      <c r="D149" s="5">
        <v>7.8164169799999996</v>
      </c>
    </row>
    <row r="150" spans="1:4" x14ac:dyDescent="0.2">
      <c r="A150" s="4">
        <v>55.993888900000002</v>
      </c>
      <c r="B150" t="s">
        <v>20</v>
      </c>
      <c r="C150" t="s">
        <v>30</v>
      </c>
      <c r="D150" s="5">
        <v>7.81156849</v>
      </c>
    </row>
    <row r="151" spans="1:4" x14ac:dyDescent="0.2">
      <c r="A151" s="4">
        <v>56.358722200000003</v>
      </c>
      <c r="B151" t="s">
        <v>20</v>
      </c>
      <c r="C151" t="s">
        <v>30</v>
      </c>
      <c r="D151" s="5">
        <v>7.81156849</v>
      </c>
    </row>
    <row r="152" spans="1:4" x14ac:dyDescent="0.2">
      <c r="A152" s="4">
        <v>56.723555599999997</v>
      </c>
      <c r="B152" t="s">
        <v>20</v>
      </c>
      <c r="C152" t="s">
        <v>30</v>
      </c>
      <c r="D152" s="5">
        <v>7.8119734300000001</v>
      </c>
    </row>
    <row r="153" spans="1:4" x14ac:dyDescent="0.2">
      <c r="A153" s="4">
        <v>57.0883611</v>
      </c>
      <c r="B153" t="s">
        <v>20</v>
      </c>
      <c r="C153" t="s">
        <v>30</v>
      </c>
      <c r="D153" s="5">
        <v>7.8160138400000001</v>
      </c>
    </row>
    <row r="154" spans="1:4" x14ac:dyDescent="0.2">
      <c r="A154" s="4">
        <v>57.453194400000001</v>
      </c>
      <c r="B154" t="s">
        <v>20</v>
      </c>
      <c r="C154" t="s">
        <v>30</v>
      </c>
      <c r="D154" s="5">
        <v>7.8091353999999997</v>
      </c>
    </row>
    <row r="155" spans="1:4" x14ac:dyDescent="0.2">
      <c r="A155" s="4">
        <v>57.817999999999998</v>
      </c>
      <c r="B155" t="s">
        <v>20</v>
      </c>
      <c r="C155" t="s">
        <v>30</v>
      </c>
      <c r="D155" s="5">
        <v>7.8127828199999998</v>
      </c>
    </row>
    <row r="156" spans="1:4" x14ac:dyDescent="0.2">
      <c r="A156" s="4">
        <v>58.182833299999999</v>
      </c>
      <c r="B156" t="s">
        <v>20</v>
      </c>
      <c r="C156" t="s">
        <v>30</v>
      </c>
      <c r="D156" s="5">
        <v>7.8022093200000002</v>
      </c>
    </row>
    <row r="157" spans="1:4" x14ac:dyDescent="0.2">
      <c r="A157" s="4">
        <v>58.547638900000003</v>
      </c>
      <c r="B157" t="s">
        <v>20</v>
      </c>
      <c r="C157" t="s">
        <v>30</v>
      </c>
      <c r="D157" s="5">
        <v>7.81156849</v>
      </c>
    </row>
    <row r="158" spans="1:4" x14ac:dyDescent="0.2">
      <c r="A158" s="4">
        <v>58.912472200000003</v>
      </c>
      <c r="B158" t="s">
        <v>20</v>
      </c>
      <c r="C158" t="s">
        <v>30</v>
      </c>
      <c r="D158" s="5">
        <v>7.8091353999999997</v>
      </c>
    </row>
    <row r="159" spans="1:4" x14ac:dyDescent="0.2">
      <c r="A159" s="4">
        <v>59.2772778</v>
      </c>
      <c r="B159" t="s">
        <v>20</v>
      </c>
      <c r="C159" t="s">
        <v>30</v>
      </c>
      <c r="D159" s="5">
        <v>7.8091353999999997</v>
      </c>
    </row>
    <row r="160" spans="1:4" x14ac:dyDescent="0.2">
      <c r="A160" s="4">
        <v>59.642083300000003</v>
      </c>
      <c r="B160" t="s">
        <v>20</v>
      </c>
      <c r="C160" t="s">
        <v>30</v>
      </c>
      <c r="D160" s="5">
        <v>7.8079166300000002</v>
      </c>
    </row>
    <row r="161" spans="1:4" x14ac:dyDescent="0.2">
      <c r="A161" s="4">
        <v>60.0068889</v>
      </c>
      <c r="B161" t="s">
        <v>20</v>
      </c>
      <c r="C161" t="s">
        <v>30</v>
      </c>
      <c r="D161" s="5">
        <v>7.8095413200000001</v>
      </c>
    </row>
    <row r="162" spans="1:4" x14ac:dyDescent="0.2">
      <c r="A162" s="4">
        <v>60.371722200000001</v>
      </c>
      <c r="B162" t="s">
        <v>20</v>
      </c>
      <c r="C162" t="s">
        <v>30</v>
      </c>
      <c r="D162" s="5">
        <v>7.8066963700000001</v>
      </c>
    </row>
    <row r="163" spans="1:4" x14ac:dyDescent="0.2">
      <c r="A163" s="4">
        <v>60.736527799999998</v>
      </c>
      <c r="B163" t="s">
        <v>20</v>
      </c>
      <c r="C163" t="s">
        <v>30</v>
      </c>
      <c r="D163" s="5">
        <v>7.80506704</v>
      </c>
    </row>
    <row r="164" spans="1:4" x14ac:dyDescent="0.2">
      <c r="A164" s="4">
        <v>61.1013333</v>
      </c>
      <c r="B164" t="s">
        <v>20</v>
      </c>
      <c r="C164" t="s">
        <v>30</v>
      </c>
      <c r="D164" s="5">
        <v>7.8079166300000002</v>
      </c>
    </row>
    <row r="165" spans="1:4" x14ac:dyDescent="0.2">
      <c r="A165" s="4">
        <v>61.466166700000002</v>
      </c>
      <c r="B165" t="s">
        <v>20</v>
      </c>
      <c r="C165" t="s">
        <v>30</v>
      </c>
      <c r="D165" s="5">
        <v>7.8066963700000001</v>
      </c>
    </row>
    <row r="166" spans="1:4" x14ac:dyDescent="0.2">
      <c r="A166" s="4">
        <v>61.830972199999998</v>
      </c>
      <c r="B166" t="s">
        <v>20</v>
      </c>
      <c r="C166" t="s">
        <v>30</v>
      </c>
      <c r="D166" s="5">
        <v>7.8079166300000002</v>
      </c>
    </row>
    <row r="167" spans="1:4" x14ac:dyDescent="0.2">
      <c r="A167" s="4">
        <v>62.1958056</v>
      </c>
      <c r="B167" t="s">
        <v>20</v>
      </c>
      <c r="C167" t="s">
        <v>30</v>
      </c>
      <c r="D167" s="5">
        <v>7.8046593</v>
      </c>
    </row>
    <row r="168" spans="1:4" x14ac:dyDescent="0.2">
      <c r="A168" s="4">
        <v>62.560638900000001</v>
      </c>
      <c r="B168" t="s">
        <v>20</v>
      </c>
      <c r="C168" t="s">
        <v>30</v>
      </c>
      <c r="D168" s="5">
        <v>7.8026180600000004</v>
      </c>
    </row>
    <row r="169" spans="1:4" x14ac:dyDescent="0.2">
      <c r="A169" s="4">
        <v>62.925444400000003</v>
      </c>
      <c r="B169" t="s">
        <v>20</v>
      </c>
      <c r="C169" t="s">
        <v>30</v>
      </c>
      <c r="D169" s="5">
        <v>7.80506704</v>
      </c>
    </row>
    <row r="170" spans="1:4" x14ac:dyDescent="0.2">
      <c r="A170" s="4">
        <v>63.29025</v>
      </c>
      <c r="B170" t="s">
        <v>20</v>
      </c>
      <c r="C170" t="s">
        <v>30</v>
      </c>
      <c r="D170" s="5">
        <v>7.7997533199999998</v>
      </c>
    </row>
    <row r="171" spans="1:4" x14ac:dyDescent="0.2">
      <c r="A171" s="4">
        <v>63.655083300000001</v>
      </c>
      <c r="B171" t="s">
        <v>20</v>
      </c>
      <c r="C171" t="s">
        <v>30</v>
      </c>
      <c r="D171" s="5">
        <v>7.79852305</v>
      </c>
    </row>
    <row r="172" spans="1:4" x14ac:dyDescent="0.2">
      <c r="A172" s="4">
        <v>64.019888899999998</v>
      </c>
      <c r="B172" t="s">
        <v>20</v>
      </c>
      <c r="C172" t="s">
        <v>30</v>
      </c>
      <c r="D172" s="5">
        <v>7.8018004000000003</v>
      </c>
    </row>
    <row r="173" spans="1:4" x14ac:dyDescent="0.2">
      <c r="A173" s="4">
        <v>64.384694400000001</v>
      </c>
      <c r="B173" t="s">
        <v>20</v>
      </c>
      <c r="C173" t="s">
        <v>30</v>
      </c>
      <c r="D173" s="5">
        <v>7.7964692400000004</v>
      </c>
    </row>
    <row r="174" spans="1:4" x14ac:dyDescent="0.2">
      <c r="A174" s="4">
        <v>64.749527799999996</v>
      </c>
      <c r="B174" t="s">
        <v>20</v>
      </c>
      <c r="C174" t="s">
        <v>30</v>
      </c>
      <c r="D174" s="5">
        <v>7.7960579699999997</v>
      </c>
    </row>
    <row r="175" spans="1:4" x14ac:dyDescent="0.2">
      <c r="A175" s="4">
        <v>65.114333299999998</v>
      </c>
      <c r="B175" t="s">
        <v>20</v>
      </c>
      <c r="C175" t="s">
        <v>30</v>
      </c>
      <c r="D175" s="5">
        <v>7.80016307</v>
      </c>
    </row>
    <row r="176" spans="1:4" x14ac:dyDescent="0.2">
      <c r="A176" s="4">
        <v>65.479166699999993</v>
      </c>
      <c r="B176" t="s">
        <v>20</v>
      </c>
      <c r="C176" t="s">
        <v>30</v>
      </c>
      <c r="D176" s="5">
        <v>7.7935867999999999</v>
      </c>
    </row>
    <row r="177" spans="1:4" x14ac:dyDescent="0.2">
      <c r="A177" s="4">
        <v>65.843999999999994</v>
      </c>
      <c r="B177" t="s">
        <v>20</v>
      </c>
      <c r="C177" t="s">
        <v>30</v>
      </c>
      <c r="D177" s="5">
        <v>7.80016307</v>
      </c>
    </row>
    <row r="178" spans="1:4" x14ac:dyDescent="0.2">
      <c r="A178" s="4">
        <v>66.208805600000005</v>
      </c>
      <c r="B178" t="s">
        <v>20</v>
      </c>
      <c r="C178" t="s">
        <v>30</v>
      </c>
      <c r="D178" s="5">
        <v>7.7902823799999998</v>
      </c>
    </row>
    <row r="179" spans="1:4" x14ac:dyDescent="0.2">
      <c r="A179" s="4">
        <v>66.573611099999994</v>
      </c>
      <c r="B179" t="s">
        <v>20</v>
      </c>
      <c r="C179" t="s">
        <v>30</v>
      </c>
      <c r="D179" s="5">
        <v>7.7902823799999998</v>
      </c>
    </row>
    <row r="180" spans="1:4" x14ac:dyDescent="0.2">
      <c r="A180" s="4">
        <v>66.938444399999995</v>
      </c>
      <c r="B180" t="s">
        <v>20</v>
      </c>
      <c r="C180" t="s">
        <v>30</v>
      </c>
      <c r="D180" s="5">
        <v>7.7902823799999998</v>
      </c>
    </row>
    <row r="181" spans="1:4" x14ac:dyDescent="0.2">
      <c r="A181" s="4">
        <v>67.303250000000006</v>
      </c>
      <c r="B181" t="s">
        <v>20</v>
      </c>
      <c r="C181" t="s">
        <v>30</v>
      </c>
      <c r="D181" s="5">
        <v>7.79152282</v>
      </c>
    </row>
    <row r="182" spans="1:4" x14ac:dyDescent="0.2">
      <c r="A182" s="4">
        <v>67.668083300000006</v>
      </c>
      <c r="B182" t="s">
        <v>20</v>
      </c>
      <c r="C182" t="s">
        <v>30</v>
      </c>
      <c r="D182" s="5">
        <v>7.7906960300000003</v>
      </c>
    </row>
    <row r="183" spans="1:4" x14ac:dyDescent="0.2">
      <c r="A183" s="4">
        <v>68.032888900000003</v>
      </c>
      <c r="B183" t="s">
        <v>20</v>
      </c>
      <c r="C183" t="s">
        <v>30</v>
      </c>
      <c r="D183" s="5">
        <v>7.7898685600000004</v>
      </c>
    </row>
    <row r="184" spans="1:4" x14ac:dyDescent="0.2">
      <c r="A184" s="4">
        <v>68.397722200000004</v>
      </c>
      <c r="B184" t="s">
        <v>20</v>
      </c>
      <c r="C184" t="s">
        <v>30</v>
      </c>
      <c r="D184" s="5">
        <v>7.7898685600000004</v>
      </c>
    </row>
    <row r="185" spans="1:4" x14ac:dyDescent="0.2">
      <c r="A185" s="4">
        <v>68.762527800000001</v>
      </c>
      <c r="B185" t="s">
        <v>20</v>
      </c>
      <c r="C185" t="s">
        <v>30</v>
      </c>
      <c r="D185" s="5">
        <v>7.7894545700000002</v>
      </c>
    </row>
    <row r="186" spans="1:4" x14ac:dyDescent="0.2">
      <c r="A186" s="4">
        <v>69.126861099999999</v>
      </c>
      <c r="B186" t="s">
        <v>20</v>
      </c>
      <c r="C186" t="s">
        <v>30</v>
      </c>
      <c r="D186" s="5">
        <v>7.7886260700000003</v>
      </c>
    </row>
    <row r="187" spans="1:4" x14ac:dyDescent="0.2">
      <c r="A187" s="4">
        <v>69.491666699999996</v>
      </c>
      <c r="B187" t="s">
        <v>20</v>
      </c>
      <c r="C187" t="s">
        <v>30</v>
      </c>
      <c r="D187" s="5">
        <v>7.7894545700000002</v>
      </c>
    </row>
    <row r="188" spans="1:4" x14ac:dyDescent="0.2">
      <c r="A188" s="4">
        <v>69.856499999999997</v>
      </c>
      <c r="B188" t="s">
        <v>20</v>
      </c>
      <c r="C188" t="s">
        <v>30</v>
      </c>
      <c r="D188" s="5">
        <v>7.7898685600000004</v>
      </c>
    </row>
    <row r="189" spans="1:4" x14ac:dyDescent="0.2">
      <c r="A189" s="4">
        <v>70.221305599999994</v>
      </c>
      <c r="B189" t="s">
        <v>20</v>
      </c>
      <c r="C189" t="s">
        <v>30</v>
      </c>
      <c r="D189" s="5">
        <v>7.7807208899999996</v>
      </c>
    </row>
    <row r="190" spans="1:4" x14ac:dyDescent="0.2">
      <c r="A190" s="4">
        <v>70.586138899999995</v>
      </c>
      <c r="B190" t="s">
        <v>20</v>
      </c>
      <c r="C190" t="s">
        <v>30</v>
      </c>
      <c r="D190" s="5">
        <v>7.7844732399999996</v>
      </c>
    </row>
    <row r="191" spans="1:4" x14ac:dyDescent="0.2">
      <c r="A191" s="4">
        <v>70.950972199999995</v>
      </c>
      <c r="B191" t="s">
        <v>20</v>
      </c>
      <c r="C191" t="s">
        <v>30</v>
      </c>
      <c r="D191" s="5">
        <v>7.7836406</v>
      </c>
    </row>
    <row r="192" spans="1:4" x14ac:dyDescent="0.2">
      <c r="A192" s="4">
        <v>71.315777800000006</v>
      </c>
      <c r="B192" t="s">
        <v>20</v>
      </c>
      <c r="C192" t="s">
        <v>30</v>
      </c>
      <c r="D192" s="5">
        <v>7.7828072600000002</v>
      </c>
    </row>
    <row r="193" spans="1:4" x14ac:dyDescent="0.2">
      <c r="A193" s="4">
        <v>71.680611099999993</v>
      </c>
      <c r="B193" t="s">
        <v>20</v>
      </c>
      <c r="C193" t="s">
        <v>30</v>
      </c>
      <c r="D193" s="5">
        <v>7.7840569999999998</v>
      </c>
    </row>
    <row r="194" spans="1:4" x14ac:dyDescent="0.2">
      <c r="A194" s="4">
        <v>72.045416700000004</v>
      </c>
      <c r="B194" t="s">
        <v>20</v>
      </c>
      <c r="C194" t="s">
        <v>30</v>
      </c>
      <c r="D194" s="5">
        <v>7.7865518099999997</v>
      </c>
    </row>
    <row r="195" spans="1:4" x14ac:dyDescent="0.2">
      <c r="A195" s="4">
        <v>72.410277800000003</v>
      </c>
      <c r="B195" t="s">
        <v>20</v>
      </c>
      <c r="C195" t="s">
        <v>30</v>
      </c>
      <c r="D195" s="5">
        <v>7.7798851200000003</v>
      </c>
    </row>
    <row r="196" spans="1:4" x14ac:dyDescent="0.2">
      <c r="A196" s="4">
        <v>72.775083300000006</v>
      </c>
      <c r="B196" t="s">
        <v>20</v>
      </c>
      <c r="C196" t="s">
        <v>30</v>
      </c>
      <c r="D196" s="5">
        <v>7.7698010000000002</v>
      </c>
    </row>
    <row r="197" spans="1:4" x14ac:dyDescent="0.2">
      <c r="A197" s="4">
        <v>73.139916700000001</v>
      </c>
      <c r="B197" t="s">
        <v>20</v>
      </c>
      <c r="C197" t="s">
        <v>30</v>
      </c>
      <c r="D197" s="5">
        <v>7.7731736800000002</v>
      </c>
    </row>
    <row r="198" spans="1:4" x14ac:dyDescent="0.2">
      <c r="A198" s="4">
        <v>73.504722200000003</v>
      </c>
      <c r="B198" t="s">
        <v>20</v>
      </c>
      <c r="C198" t="s">
        <v>30</v>
      </c>
      <c r="D198" s="5">
        <v>7.7727527199999997</v>
      </c>
    </row>
    <row r="199" spans="1:4" x14ac:dyDescent="0.2">
      <c r="A199" s="4">
        <v>73.8695278</v>
      </c>
      <c r="B199" t="s">
        <v>20</v>
      </c>
      <c r="C199" t="s">
        <v>30</v>
      </c>
      <c r="D199" s="5">
        <v>7.7748557700000003</v>
      </c>
    </row>
    <row r="200" spans="1:4" x14ac:dyDescent="0.2">
      <c r="A200" s="4">
        <v>74.234361100000001</v>
      </c>
      <c r="B200" t="s">
        <v>20</v>
      </c>
      <c r="C200" t="s">
        <v>30</v>
      </c>
      <c r="D200" s="5">
        <v>7.7731736800000002</v>
      </c>
    </row>
    <row r="201" spans="1:4" x14ac:dyDescent="0.2">
      <c r="A201" s="4">
        <v>74.599166699999998</v>
      </c>
      <c r="B201" t="s">
        <v>20</v>
      </c>
      <c r="C201" t="s">
        <v>30</v>
      </c>
      <c r="D201" s="5">
        <v>7.7714887600000004</v>
      </c>
    </row>
    <row r="202" spans="1:4" x14ac:dyDescent="0.2">
      <c r="A202" s="4">
        <v>74.963972200000001</v>
      </c>
      <c r="B202" t="s">
        <v>20</v>
      </c>
      <c r="C202" t="s">
        <v>30</v>
      </c>
      <c r="D202" s="5">
        <v>7.7765350299999998</v>
      </c>
    </row>
    <row r="203" spans="1:4" x14ac:dyDescent="0.2">
      <c r="A203" s="4">
        <v>75.328805599999995</v>
      </c>
      <c r="B203" t="s">
        <v>20</v>
      </c>
      <c r="C203" t="s">
        <v>30</v>
      </c>
      <c r="D203" s="5">
        <v>7.7727527199999997</v>
      </c>
    </row>
    <row r="204" spans="1:4" x14ac:dyDescent="0.2">
      <c r="A204" s="4">
        <v>75.693611099999998</v>
      </c>
      <c r="B204" t="s">
        <v>20</v>
      </c>
      <c r="C204" t="s">
        <v>30</v>
      </c>
      <c r="D204" s="5">
        <v>7.7719102600000003</v>
      </c>
    </row>
    <row r="205" spans="1:4" x14ac:dyDescent="0.2">
      <c r="A205" s="4">
        <v>76.058444399999999</v>
      </c>
      <c r="B205" t="s">
        <v>20</v>
      </c>
      <c r="C205" t="s">
        <v>30</v>
      </c>
      <c r="D205" s="5">
        <v>7.7756957499999997</v>
      </c>
    </row>
    <row r="206" spans="1:4" x14ac:dyDescent="0.2">
      <c r="A206" s="4">
        <v>76.423277799999994</v>
      </c>
      <c r="B206" t="s">
        <v>20</v>
      </c>
      <c r="C206" t="s">
        <v>30</v>
      </c>
      <c r="D206" s="5">
        <v>7.7710670899999998</v>
      </c>
    </row>
    <row r="207" spans="1:4" x14ac:dyDescent="0.2">
      <c r="A207" s="4">
        <v>76.788083299999997</v>
      </c>
      <c r="B207" t="s">
        <v>20</v>
      </c>
      <c r="C207" t="s">
        <v>30</v>
      </c>
      <c r="D207" s="5">
        <v>7.7651449000000001</v>
      </c>
    </row>
    <row r="208" spans="1:4" x14ac:dyDescent="0.2">
      <c r="A208" s="4">
        <v>77.152888899999994</v>
      </c>
      <c r="B208" t="s">
        <v>20</v>
      </c>
      <c r="C208" t="s">
        <v>30</v>
      </c>
      <c r="D208" s="5">
        <v>7.76259605</v>
      </c>
    </row>
    <row r="209" spans="1:4" x14ac:dyDescent="0.2">
      <c r="A209" s="4">
        <v>77.517722199999994</v>
      </c>
      <c r="B209" t="s">
        <v>20</v>
      </c>
      <c r="C209" t="s">
        <v>30</v>
      </c>
      <c r="D209" s="5">
        <v>7.7710670899999998</v>
      </c>
    </row>
    <row r="210" spans="1:4" x14ac:dyDescent="0.2">
      <c r="A210" s="4">
        <v>77.882555600000003</v>
      </c>
      <c r="B210" t="s">
        <v>20</v>
      </c>
      <c r="C210" t="s">
        <v>30</v>
      </c>
      <c r="D210" s="5">
        <v>7.7706452300000004</v>
      </c>
    </row>
    <row r="211" spans="1:4" x14ac:dyDescent="0.2">
      <c r="A211" s="4">
        <v>78.247361100000006</v>
      </c>
      <c r="B211" t="s">
        <v>20</v>
      </c>
      <c r="C211" t="s">
        <v>30</v>
      </c>
      <c r="D211" s="5">
        <v>7.7630213100000001</v>
      </c>
    </row>
    <row r="212" spans="1:4" x14ac:dyDescent="0.2">
      <c r="A212" s="4">
        <v>78.612166700000003</v>
      </c>
      <c r="B212" t="s">
        <v>20</v>
      </c>
      <c r="C212" t="s">
        <v>30</v>
      </c>
      <c r="D212" s="5">
        <v>7.7613191800000001</v>
      </c>
    </row>
    <row r="213" spans="1:4" x14ac:dyDescent="0.2">
      <c r="A213" s="4">
        <v>78.977000000000004</v>
      </c>
      <c r="B213" t="s">
        <v>20</v>
      </c>
      <c r="C213" t="s">
        <v>30</v>
      </c>
      <c r="D213" s="5">
        <v>7.7651449000000001</v>
      </c>
    </row>
    <row r="214" spans="1:4" x14ac:dyDescent="0.2">
      <c r="A214" s="4">
        <v>79.341805600000001</v>
      </c>
      <c r="B214" t="s">
        <v>20</v>
      </c>
      <c r="C214" t="s">
        <v>30</v>
      </c>
      <c r="D214" s="5">
        <v>7.7579062099999998</v>
      </c>
    </row>
    <row r="215" spans="1:4" x14ac:dyDescent="0.2">
      <c r="A215" s="4">
        <v>79.706638900000002</v>
      </c>
      <c r="B215" t="s">
        <v>20</v>
      </c>
      <c r="C215" t="s">
        <v>30</v>
      </c>
      <c r="D215" s="5">
        <v>7.7600406800000004</v>
      </c>
    </row>
    <row r="216" spans="1:4" x14ac:dyDescent="0.2">
      <c r="A216" s="4">
        <v>80.071444400000004</v>
      </c>
      <c r="B216" t="s">
        <v>20</v>
      </c>
      <c r="C216" t="s">
        <v>30</v>
      </c>
      <c r="D216" s="5">
        <v>7.7561953399999997</v>
      </c>
    </row>
    <row r="217" spans="1:4" x14ac:dyDescent="0.2">
      <c r="A217" s="4">
        <v>80.436250000000001</v>
      </c>
      <c r="B217" t="s">
        <v>20</v>
      </c>
      <c r="C217" t="s">
        <v>30</v>
      </c>
      <c r="D217" s="5">
        <v>7.7553388099999996</v>
      </c>
    </row>
    <row r="218" spans="1:4" x14ac:dyDescent="0.2">
      <c r="A218" s="4">
        <v>80.801083300000002</v>
      </c>
      <c r="B218" t="s">
        <v>20</v>
      </c>
      <c r="C218" t="s">
        <v>30</v>
      </c>
      <c r="D218" s="5">
        <v>7.7536235500000004</v>
      </c>
    </row>
    <row r="219" spans="1:4" x14ac:dyDescent="0.2">
      <c r="A219" s="4">
        <v>81.165888899999999</v>
      </c>
      <c r="B219" t="s">
        <v>20</v>
      </c>
      <c r="C219" t="s">
        <v>30</v>
      </c>
      <c r="D219" s="5">
        <v>7.7544815500000004</v>
      </c>
    </row>
    <row r="220" spans="1:4" x14ac:dyDescent="0.2">
      <c r="A220" s="4">
        <v>81.5307222</v>
      </c>
      <c r="B220" t="s">
        <v>20</v>
      </c>
      <c r="C220" t="s">
        <v>30</v>
      </c>
      <c r="D220" s="5">
        <v>7.7557671700000004</v>
      </c>
    </row>
    <row r="221" spans="1:4" x14ac:dyDescent="0.2">
      <c r="A221" s="4">
        <v>81.895555599999994</v>
      </c>
      <c r="B221" t="s">
        <v>20</v>
      </c>
      <c r="C221" t="s">
        <v>30</v>
      </c>
      <c r="D221" s="5">
        <v>7.7510451199999997</v>
      </c>
    </row>
    <row r="222" spans="1:4" x14ac:dyDescent="0.2">
      <c r="A222" s="4">
        <v>82.260361099999997</v>
      </c>
      <c r="B222" t="s">
        <v>20</v>
      </c>
      <c r="C222" t="s">
        <v>30</v>
      </c>
      <c r="D222" s="5">
        <v>7.7531942699999998</v>
      </c>
    </row>
    <row r="223" spans="1:4" x14ac:dyDescent="0.2">
      <c r="A223" s="4">
        <v>82.625194399999998</v>
      </c>
      <c r="B223" t="s">
        <v>20</v>
      </c>
      <c r="C223" t="s">
        <v>30</v>
      </c>
      <c r="D223" s="5">
        <v>7.7463006600000002</v>
      </c>
    </row>
    <row r="224" spans="1:4" x14ac:dyDescent="0.2">
      <c r="A224" s="4">
        <v>82.99</v>
      </c>
      <c r="B224" t="s">
        <v>20</v>
      </c>
      <c r="C224" t="s">
        <v>30</v>
      </c>
      <c r="D224" s="5">
        <v>7.7506147299999997</v>
      </c>
    </row>
    <row r="225" spans="1:4" x14ac:dyDescent="0.2">
      <c r="A225" s="4">
        <v>83.354805600000006</v>
      </c>
      <c r="B225" t="s">
        <v>20</v>
      </c>
      <c r="C225" t="s">
        <v>30</v>
      </c>
      <c r="D225" s="5">
        <v>7.7475968399999999</v>
      </c>
    </row>
    <row r="226" spans="1:4" x14ac:dyDescent="0.2">
      <c r="A226" s="4">
        <v>83.719638900000007</v>
      </c>
      <c r="B226" t="s">
        <v>20</v>
      </c>
      <c r="C226" t="s">
        <v>30</v>
      </c>
      <c r="D226" s="5">
        <v>7.7488913400000001</v>
      </c>
    </row>
    <row r="227" spans="1:4" x14ac:dyDescent="0.2">
      <c r="A227" s="4">
        <v>84.084472199999993</v>
      </c>
      <c r="B227" t="s">
        <v>20</v>
      </c>
      <c r="C227" t="s">
        <v>30</v>
      </c>
      <c r="D227" s="5">
        <v>7.74716497</v>
      </c>
    </row>
    <row r="228" spans="1:4" x14ac:dyDescent="0.2">
      <c r="A228" s="4">
        <v>84.449277800000004</v>
      </c>
      <c r="B228" t="s">
        <v>20</v>
      </c>
      <c r="C228" t="s">
        <v>30</v>
      </c>
      <c r="D228" s="5">
        <v>7.74716497</v>
      </c>
    </row>
    <row r="229" spans="1:4" x14ac:dyDescent="0.2">
      <c r="A229" s="4">
        <v>84.814111100000005</v>
      </c>
      <c r="B229" t="s">
        <v>20</v>
      </c>
      <c r="C229" t="s">
        <v>30</v>
      </c>
      <c r="D229" s="5">
        <v>7.7441366299999999</v>
      </c>
    </row>
    <row r="230" spans="1:4" x14ac:dyDescent="0.2">
      <c r="A230" s="4">
        <v>85.178916700000002</v>
      </c>
      <c r="B230" t="s">
        <v>20</v>
      </c>
      <c r="C230" t="s">
        <v>30</v>
      </c>
      <c r="D230" s="5">
        <v>7.7441366299999999</v>
      </c>
    </row>
    <row r="231" spans="1:4" x14ac:dyDescent="0.2">
      <c r="A231" s="4">
        <v>85.543750000000003</v>
      </c>
      <c r="B231" t="s">
        <v>20</v>
      </c>
      <c r="C231" t="s">
        <v>30</v>
      </c>
      <c r="D231" s="5">
        <v>7.7406644</v>
      </c>
    </row>
    <row r="232" spans="1:4" x14ac:dyDescent="0.2">
      <c r="A232" s="4">
        <v>85.9085556</v>
      </c>
      <c r="B232" t="s">
        <v>20</v>
      </c>
      <c r="C232" t="s">
        <v>30</v>
      </c>
      <c r="D232" s="5">
        <v>7.7406644</v>
      </c>
    </row>
    <row r="233" spans="1:4" x14ac:dyDescent="0.2">
      <c r="A233" s="4">
        <v>86.2733889</v>
      </c>
      <c r="B233" t="s">
        <v>20</v>
      </c>
      <c r="C233" t="s">
        <v>30</v>
      </c>
      <c r="D233" s="5">
        <v>7.7341213</v>
      </c>
    </row>
    <row r="234" spans="1:4" x14ac:dyDescent="0.2">
      <c r="A234" s="4">
        <v>86.638194400000003</v>
      </c>
      <c r="B234" t="s">
        <v>20</v>
      </c>
      <c r="C234" t="s">
        <v>30</v>
      </c>
      <c r="D234" s="5">
        <v>7.7332456499999997</v>
      </c>
    </row>
    <row r="235" spans="1:4" x14ac:dyDescent="0.2">
      <c r="A235" s="4">
        <v>87.003</v>
      </c>
      <c r="B235" t="s">
        <v>20</v>
      </c>
      <c r="C235" t="s">
        <v>30</v>
      </c>
      <c r="D235" s="5">
        <v>7.7332456499999997</v>
      </c>
    </row>
    <row r="236" spans="1:4" x14ac:dyDescent="0.2">
      <c r="A236" s="4">
        <v>87.367833300000001</v>
      </c>
      <c r="B236" t="s">
        <v>20</v>
      </c>
      <c r="C236" t="s">
        <v>30</v>
      </c>
      <c r="D236" s="5">
        <v>7.7332456499999997</v>
      </c>
    </row>
    <row r="237" spans="1:4" x14ac:dyDescent="0.2">
      <c r="A237" s="4">
        <v>87.732638899999998</v>
      </c>
      <c r="B237" t="s">
        <v>20</v>
      </c>
      <c r="C237" t="s">
        <v>30</v>
      </c>
      <c r="D237" s="5">
        <v>7.7301748000000003</v>
      </c>
    </row>
    <row r="238" spans="1:4" x14ac:dyDescent="0.2">
      <c r="A238" s="4">
        <v>88.097583299999997</v>
      </c>
      <c r="B238" t="s">
        <v>20</v>
      </c>
      <c r="C238" t="s">
        <v>30</v>
      </c>
      <c r="D238" s="5">
        <v>7.7301748000000003</v>
      </c>
    </row>
    <row r="239" spans="1:4" x14ac:dyDescent="0.2">
      <c r="A239" s="4">
        <v>88.462388899999993</v>
      </c>
      <c r="B239" t="s">
        <v>20</v>
      </c>
      <c r="C239" t="s">
        <v>30</v>
      </c>
      <c r="D239" s="5">
        <v>7.7235624700000001</v>
      </c>
    </row>
    <row r="240" spans="1:4" x14ac:dyDescent="0.2">
      <c r="A240" s="4">
        <v>88.827222199999994</v>
      </c>
      <c r="B240" t="s">
        <v>20</v>
      </c>
      <c r="C240" t="s">
        <v>30</v>
      </c>
      <c r="D240" s="5">
        <v>7.7231200900000001</v>
      </c>
    </row>
    <row r="241" spans="1:4" x14ac:dyDescent="0.2">
      <c r="A241" s="4">
        <v>89.192027800000005</v>
      </c>
      <c r="B241" t="s">
        <v>20</v>
      </c>
      <c r="C241" t="s">
        <v>30</v>
      </c>
      <c r="D241" s="5">
        <v>7.7279755400000001</v>
      </c>
    </row>
    <row r="242" spans="1:4" x14ac:dyDescent="0.2">
      <c r="A242" s="4">
        <v>89.556833299999994</v>
      </c>
      <c r="B242" t="s">
        <v>20</v>
      </c>
      <c r="C242" t="s">
        <v>30</v>
      </c>
      <c r="D242" s="5">
        <v>7.7297353299999996</v>
      </c>
    </row>
    <row r="243" spans="1:4" x14ac:dyDescent="0.2">
      <c r="A243" s="4">
        <v>89.921666700000003</v>
      </c>
      <c r="B243" t="s">
        <v>20</v>
      </c>
      <c r="C243" t="s">
        <v>30</v>
      </c>
      <c r="D243" s="5">
        <v>7.7195739899999998</v>
      </c>
    </row>
    <row r="244" spans="1:4" x14ac:dyDescent="0.2">
      <c r="A244" s="4">
        <v>90.286472200000006</v>
      </c>
      <c r="B244" t="s">
        <v>20</v>
      </c>
      <c r="C244" t="s">
        <v>30</v>
      </c>
      <c r="D244" s="5">
        <v>7.72444665</v>
      </c>
    </row>
    <row r="245" spans="1:4" x14ac:dyDescent="0.2">
      <c r="A245" s="4">
        <v>90.651305600000001</v>
      </c>
      <c r="B245" t="s">
        <v>20</v>
      </c>
      <c r="C245" t="s">
        <v>30</v>
      </c>
      <c r="D245" s="5">
        <v>7.7186855000000003</v>
      </c>
    </row>
    <row r="246" spans="1:4" x14ac:dyDescent="0.2">
      <c r="A246" s="4">
        <v>91.016111100000003</v>
      </c>
      <c r="B246" t="s">
        <v>20</v>
      </c>
      <c r="C246" t="s">
        <v>30</v>
      </c>
      <c r="D246" s="5">
        <v>7.7119965099999996</v>
      </c>
    </row>
    <row r="247" spans="1:4" x14ac:dyDescent="0.2">
      <c r="A247" s="4">
        <v>91.381</v>
      </c>
      <c r="B247" t="s">
        <v>20</v>
      </c>
      <c r="C247" t="s">
        <v>30</v>
      </c>
      <c r="D247" s="5">
        <v>7.71333789</v>
      </c>
    </row>
    <row r="248" spans="1:4" x14ac:dyDescent="0.2">
      <c r="A248" s="4">
        <v>91.745833300000001</v>
      </c>
      <c r="B248" t="s">
        <v>20</v>
      </c>
      <c r="C248" t="s">
        <v>30</v>
      </c>
      <c r="D248" s="5">
        <v>7.7142311399999999</v>
      </c>
    </row>
    <row r="249" spans="1:4" x14ac:dyDescent="0.2">
      <c r="A249" s="4">
        <v>0</v>
      </c>
      <c r="B249" t="s">
        <v>20</v>
      </c>
      <c r="C249" t="s">
        <v>26</v>
      </c>
      <c r="D249" s="5">
        <v>5.4293456300000003</v>
      </c>
    </row>
    <row r="250" spans="1:4" x14ac:dyDescent="0.2">
      <c r="A250" s="4">
        <v>0.36480555999999997</v>
      </c>
      <c r="B250" t="s">
        <v>20</v>
      </c>
      <c r="C250" t="s">
        <v>26</v>
      </c>
      <c r="D250" s="5">
        <v>5.4205350000000001</v>
      </c>
    </row>
    <row r="251" spans="1:4" x14ac:dyDescent="0.2">
      <c r="A251" s="4">
        <v>0.72961111000000001</v>
      </c>
      <c r="B251" t="s">
        <v>20</v>
      </c>
      <c r="C251" t="s">
        <v>26</v>
      </c>
      <c r="D251" s="5">
        <v>5.4161004000000004</v>
      </c>
    </row>
    <row r="252" spans="1:4" x14ac:dyDescent="0.2">
      <c r="A252" s="4">
        <v>1.09441667</v>
      </c>
      <c r="B252" t="s">
        <v>20</v>
      </c>
      <c r="C252" t="s">
        <v>26</v>
      </c>
      <c r="D252" s="5">
        <v>5.4026773800000001</v>
      </c>
    </row>
    <row r="253" spans="1:4" x14ac:dyDescent="0.2">
      <c r="A253" s="4">
        <v>1.4592499999999999</v>
      </c>
      <c r="B253" t="s">
        <v>20</v>
      </c>
      <c r="C253" t="s">
        <v>26</v>
      </c>
      <c r="D253" s="5">
        <v>5.3981627000000003</v>
      </c>
    </row>
    <row r="254" spans="1:4" x14ac:dyDescent="0.2">
      <c r="A254" s="4">
        <v>1.82402778</v>
      </c>
      <c r="B254" t="s">
        <v>20</v>
      </c>
      <c r="C254" t="s">
        <v>26</v>
      </c>
      <c r="D254" s="5">
        <v>5.3936275499999997</v>
      </c>
    </row>
    <row r="255" spans="1:4" x14ac:dyDescent="0.2">
      <c r="A255" s="4">
        <v>2.1888611099999999</v>
      </c>
      <c r="B255" t="s">
        <v>20</v>
      </c>
      <c r="C255" t="s">
        <v>26</v>
      </c>
      <c r="D255" s="5">
        <v>5.3981627000000003</v>
      </c>
    </row>
    <row r="256" spans="1:4" x14ac:dyDescent="0.2">
      <c r="A256" s="4">
        <v>2.5536944400000001</v>
      </c>
      <c r="B256" t="s">
        <v>20</v>
      </c>
      <c r="C256" t="s">
        <v>26</v>
      </c>
      <c r="D256" s="5">
        <v>5.3936275499999997</v>
      </c>
    </row>
    <row r="257" spans="1:4" x14ac:dyDescent="0.2">
      <c r="A257" s="4">
        <v>2.9184999999999999</v>
      </c>
      <c r="B257" t="s">
        <v>20</v>
      </c>
      <c r="C257" t="s">
        <v>26</v>
      </c>
      <c r="D257" s="5">
        <v>5.4071717699999997</v>
      </c>
    </row>
    <row r="258" spans="1:4" x14ac:dyDescent="0.2">
      <c r="A258" s="4">
        <v>3.2833055600000001</v>
      </c>
      <c r="B258" t="s">
        <v>20</v>
      </c>
      <c r="C258" t="s">
        <v>26</v>
      </c>
      <c r="D258" s="5">
        <v>5.4116460499999999</v>
      </c>
    </row>
    <row r="259" spans="1:4" x14ac:dyDescent="0.2">
      <c r="A259" s="4">
        <v>3.6481388899999998</v>
      </c>
      <c r="B259" t="s">
        <v>20</v>
      </c>
      <c r="C259" t="s">
        <v>26</v>
      </c>
      <c r="D259" s="5">
        <v>5.4026773800000001</v>
      </c>
    </row>
    <row r="260" spans="1:4" x14ac:dyDescent="0.2">
      <c r="A260" s="4">
        <v>4.01297222</v>
      </c>
      <c r="B260" t="s">
        <v>20</v>
      </c>
      <c r="C260" t="s">
        <v>26</v>
      </c>
      <c r="D260" s="5">
        <v>5.4161004000000004</v>
      </c>
    </row>
    <row r="261" spans="1:4" x14ac:dyDescent="0.2">
      <c r="A261" s="4">
        <v>4.3777777799999997</v>
      </c>
      <c r="B261" t="s">
        <v>20</v>
      </c>
      <c r="C261" t="s">
        <v>26</v>
      </c>
      <c r="D261" s="5">
        <v>5.4249500199999998</v>
      </c>
    </row>
    <row r="262" spans="1:4" x14ac:dyDescent="0.2">
      <c r="A262" s="4">
        <v>4.7425833300000004</v>
      </c>
      <c r="B262" t="s">
        <v>20</v>
      </c>
      <c r="C262" t="s">
        <v>26</v>
      </c>
      <c r="D262" s="5">
        <v>5.4116460499999999</v>
      </c>
    </row>
    <row r="263" spans="1:4" x14ac:dyDescent="0.2">
      <c r="A263" s="4">
        <v>5.1073888900000002</v>
      </c>
      <c r="B263" t="s">
        <v>20</v>
      </c>
      <c r="C263" t="s">
        <v>26</v>
      </c>
      <c r="D263" s="5">
        <v>5.4249500199999998</v>
      </c>
    </row>
    <row r="264" spans="1:4" x14ac:dyDescent="0.2">
      <c r="A264" s="4">
        <v>5.4722222199999999</v>
      </c>
      <c r="B264" t="s">
        <v>20</v>
      </c>
      <c r="C264" t="s">
        <v>26</v>
      </c>
      <c r="D264" s="5">
        <v>5.4337220000000004</v>
      </c>
    </row>
    <row r="265" spans="1:4" x14ac:dyDescent="0.2">
      <c r="A265" s="4">
        <v>5.8370277799999997</v>
      </c>
      <c r="B265" t="s">
        <v>20</v>
      </c>
      <c r="C265" t="s">
        <v>26</v>
      </c>
      <c r="D265" s="5">
        <v>5.43807931</v>
      </c>
    </row>
    <row r="266" spans="1:4" x14ac:dyDescent="0.2">
      <c r="A266" s="4">
        <v>6.2018611100000003</v>
      </c>
      <c r="B266" t="s">
        <v>20</v>
      </c>
      <c r="C266" t="s">
        <v>26</v>
      </c>
      <c r="D266" s="5">
        <v>5.4510384500000004</v>
      </c>
    </row>
    <row r="267" spans="1:4" x14ac:dyDescent="0.2">
      <c r="A267" s="4">
        <v>6.56666667</v>
      </c>
      <c r="B267" t="s">
        <v>20</v>
      </c>
      <c r="C267" t="s">
        <v>26</v>
      </c>
      <c r="D267" s="5">
        <v>5.4638318100000003</v>
      </c>
    </row>
    <row r="268" spans="1:4" x14ac:dyDescent="0.2">
      <c r="A268" s="4">
        <v>6.9314722199999999</v>
      </c>
      <c r="B268" t="s">
        <v>20</v>
      </c>
      <c r="C268" t="s">
        <v>26</v>
      </c>
      <c r="D268" s="5">
        <v>5.4806389199999996</v>
      </c>
    </row>
    <row r="269" spans="1:4" x14ac:dyDescent="0.2">
      <c r="A269" s="4">
        <v>7.2963055600000004</v>
      </c>
      <c r="B269" t="s">
        <v>20</v>
      </c>
      <c r="C269" t="s">
        <v>26</v>
      </c>
      <c r="D269" s="5">
        <v>5.4847969299999999</v>
      </c>
    </row>
    <row r="270" spans="1:4" x14ac:dyDescent="0.2">
      <c r="A270" s="4">
        <v>7.6611388900000001</v>
      </c>
      <c r="B270" t="s">
        <v>20</v>
      </c>
      <c r="C270" t="s">
        <v>26</v>
      </c>
      <c r="D270" s="5">
        <v>5.49306144</v>
      </c>
    </row>
    <row r="271" spans="1:4" x14ac:dyDescent="0.2">
      <c r="A271" s="4">
        <v>8.02594444</v>
      </c>
      <c r="B271" t="s">
        <v>20</v>
      </c>
      <c r="C271" t="s">
        <v>26</v>
      </c>
      <c r="D271" s="5">
        <v>5.5174529000000003</v>
      </c>
    </row>
    <row r="272" spans="1:4" x14ac:dyDescent="0.2">
      <c r="A272" s="4">
        <v>8.3907500000000006</v>
      </c>
      <c r="B272" t="s">
        <v>20</v>
      </c>
      <c r="C272" t="s">
        <v>26</v>
      </c>
      <c r="D272" s="5">
        <v>5.5333894900000002</v>
      </c>
    </row>
    <row r="273" spans="1:4" x14ac:dyDescent="0.2">
      <c r="A273" s="4">
        <v>8.7555833300000003</v>
      </c>
      <c r="B273" t="s">
        <v>20</v>
      </c>
      <c r="C273" t="s">
        <v>26</v>
      </c>
      <c r="D273" s="5">
        <v>5.5645204100000001</v>
      </c>
    </row>
    <row r="274" spans="1:4" x14ac:dyDescent="0.2">
      <c r="A274" s="4">
        <v>9.1204166699999991</v>
      </c>
      <c r="B274" t="s">
        <v>20</v>
      </c>
      <c r="C274" t="s">
        <v>26</v>
      </c>
      <c r="D274" s="5">
        <v>5.5984219599999996</v>
      </c>
    </row>
    <row r="275" spans="1:4" x14ac:dyDescent="0.2">
      <c r="A275" s="4">
        <v>9.4852222200000007</v>
      </c>
      <c r="B275" t="s">
        <v>20</v>
      </c>
      <c r="C275" t="s">
        <v>26</v>
      </c>
      <c r="D275" s="5">
        <v>5.6240175099999998</v>
      </c>
    </row>
    <row r="276" spans="1:4" x14ac:dyDescent="0.2">
      <c r="A276" s="4">
        <v>9.8500277799999996</v>
      </c>
      <c r="B276" t="s">
        <v>20</v>
      </c>
      <c r="C276" t="s">
        <v>26</v>
      </c>
      <c r="D276" s="5">
        <v>5.6594822200000001</v>
      </c>
    </row>
    <row r="277" spans="1:4" x14ac:dyDescent="0.2">
      <c r="A277" s="4">
        <v>10.2148611</v>
      </c>
      <c r="B277" t="s">
        <v>20</v>
      </c>
      <c r="C277" t="s">
        <v>26</v>
      </c>
      <c r="D277" s="5">
        <v>5.6869753599999999</v>
      </c>
    </row>
    <row r="278" spans="1:4" x14ac:dyDescent="0.2">
      <c r="A278" s="4">
        <v>10.579666700000001</v>
      </c>
      <c r="B278" t="s">
        <v>20</v>
      </c>
      <c r="C278" t="s">
        <v>26</v>
      </c>
      <c r="D278" s="5">
        <v>5.7268477500000001</v>
      </c>
    </row>
    <row r="279" spans="1:4" x14ac:dyDescent="0.2">
      <c r="A279" s="4">
        <v>10.9445</v>
      </c>
      <c r="B279" t="s">
        <v>20</v>
      </c>
      <c r="C279" t="s">
        <v>26</v>
      </c>
      <c r="D279" s="5">
        <v>5.7776523199999996</v>
      </c>
    </row>
    <row r="280" spans="1:4" x14ac:dyDescent="0.2">
      <c r="A280" s="4">
        <v>11.3093056</v>
      </c>
      <c r="B280" t="s">
        <v>20</v>
      </c>
      <c r="C280" t="s">
        <v>26</v>
      </c>
      <c r="D280" s="5">
        <v>5.8111409900000002</v>
      </c>
    </row>
    <row r="281" spans="1:4" x14ac:dyDescent="0.2">
      <c r="A281" s="4">
        <v>11.674138900000001</v>
      </c>
      <c r="B281" t="s">
        <v>20</v>
      </c>
      <c r="C281" t="s">
        <v>26</v>
      </c>
      <c r="D281" s="5">
        <v>5.8916442099999999</v>
      </c>
    </row>
    <row r="282" spans="1:4" x14ac:dyDescent="0.2">
      <c r="A282" s="4">
        <v>12.0389444</v>
      </c>
      <c r="B282" t="s">
        <v>20</v>
      </c>
      <c r="C282" t="s">
        <v>26</v>
      </c>
      <c r="D282" s="5">
        <v>5.9348941999999996</v>
      </c>
    </row>
    <row r="283" spans="1:4" x14ac:dyDescent="0.2">
      <c r="A283" s="4">
        <v>12.4037778</v>
      </c>
      <c r="B283" t="s">
        <v>20</v>
      </c>
      <c r="C283" t="s">
        <v>26</v>
      </c>
      <c r="D283" s="5">
        <v>5.9914645499999999</v>
      </c>
    </row>
    <row r="284" spans="1:4" x14ac:dyDescent="0.2">
      <c r="A284" s="4">
        <v>12.7685833</v>
      </c>
      <c r="B284" t="s">
        <v>20</v>
      </c>
      <c r="C284" t="s">
        <v>26</v>
      </c>
      <c r="D284" s="5">
        <v>6.0661080900000002</v>
      </c>
    </row>
    <row r="285" spans="1:4" x14ac:dyDescent="0.2">
      <c r="A285" s="4">
        <v>13.1334167</v>
      </c>
      <c r="B285" t="s">
        <v>20</v>
      </c>
      <c r="C285" t="s">
        <v>26</v>
      </c>
      <c r="D285" s="5">
        <v>6.14418563</v>
      </c>
    </row>
    <row r="286" spans="1:4" x14ac:dyDescent="0.2">
      <c r="A286" s="4">
        <v>13.498222200000001</v>
      </c>
      <c r="B286" t="s">
        <v>20</v>
      </c>
      <c r="C286" t="s">
        <v>26</v>
      </c>
      <c r="D286" s="5">
        <v>6.2045577600000001</v>
      </c>
    </row>
    <row r="287" spans="1:4" x14ac:dyDescent="0.2">
      <c r="A287" s="4">
        <v>13.863055599999999</v>
      </c>
      <c r="B287" t="s">
        <v>20</v>
      </c>
      <c r="C287" t="s">
        <v>26</v>
      </c>
      <c r="D287" s="5">
        <v>6.2897155700000003</v>
      </c>
    </row>
    <row r="288" spans="1:4" x14ac:dyDescent="0.2">
      <c r="A288" s="4">
        <v>14.2278611</v>
      </c>
      <c r="B288" t="s">
        <v>20</v>
      </c>
      <c r="C288" t="s">
        <v>26</v>
      </c>
      <c r="D288" s="5">
        <v>6.3664704499999996</v>
      </c>
    </row>
    <row r="289" spans="1:4" x14ac:dyDescent="0.2">
      <c r="A289" s="4">
        <v>14.592694399999999</v>
      </c>
      <c r="B289" t="s">
        <v>20</v>
      </c>
      <c r="C289" t="s">
        <v>26</v>
      </c>
      <c r="D289" s="5">
        <v>6.4599044499999998</v>
      </c>
    </row>
    <row r="290" spans="1:4" x14ac:dyDescent="0.2">
      <c r="A290" s="4">
        <v>14.9575</v>
      </c>
      <c r="B290" t="s">
        <v>20</v>
      </c>
      <c r="C290" t="s">
        <v>26</v>
      </c>
      <c r="D290" s="5">
        <v>6.5624440899999996</v>
      </c>
    </row>
    <row r="291" spans="1:4" x14ac:dyDescent="0.2">
      <c r="A291" s="4">
        <v>15.3223333</v>
      </c>
      <c r="B291" t="s">
        <v>20</v>
      </c>
      <c r="C291" t="s">
        <v>26</v>
      </c>
      <c r="D291" s="5">
        <v>6.6669567900000004</v>
      </c>
    </row>
    <row r="292" spans="1:4" x14ac:dyDescent="0.2">
      <c r="A292" s="4">
        <v>15.687138900000001</v>
      </c>
      <c r="B292" t="s">
        <v>20</v>
      </c>
      <c r="C292" t="s">
        <v>26</v>
      </c>
      <c r="D292" s="5">
        <v>6.7580945000000003</v>
      </c>
    </row>
    <row r="293" spans="1:4" x14ac:dyDescent="0.2">
      <c r="A293" s="4">
        <v>16.051972200000002</v>
      </c>
      <c r="B293" t="s">
        <v>20</v>
      </c>
      <c r="C293" t="s">
        <v>26</v>
      </c>
      <c r="D293" s="5">
        <v>6.8700534099999997</v>
      </c>
    </row>
    <row r="294" spans="1:4" x14ac:dyDescent="0.2">
      <c r="A294" s="4">
        <v>16.416777799999998</v>
      </c>
      <c r="B294" t="s">
        <v>20</v>
      </c>
      <c r="C294" t="s">
        <v>26</v>
      </c>
      <c r="D294" s="5">
        <v>6.9884131800000002</v>
      </c>
    </row>
    <row r="295" spans="1:4" x14ac:dyDescent="0.2">
      <c r="A295" s="4">
        <v>16.781611099999999</v>
      </c>
      <c r="B295" t="s">
        <v>20</v>
      </c>
      <c r="C295" t="s">
        <v>26</v>
      </c>
      <c r="D295" s="5">
        <v>7.1147694499999998</v>
      </c>
    </row>
    <row r="296" spans="1:4" x14ac:dyDescent="0.2">
      <c r="A296" s="4">
        <v>17.1464167</v>
      </c>
      <c r="B296" t="s">
        <v>20</v>
      </c>
      <c r="C296" t="s">
        <v>26</v>
      </c>
      <c r="D296" s="5">
        <v>7.2591161299999998</v>
      </c>
    </row>
    <row r="297" spans="1:4" x14ac:dyDescent="0.2">
      <c r="A297" s="4">
        <v>17.511222199999999</v>
      </c>
      <c r="B297" t="s">
        <v>20</v>
      </c>
      <c r="C297" t="s">
        <v>26</v>
      </c>
      <c r="D297" s="5">
        <v>7.4097419499999999</v>
      </c>
    </row>
    <row r="298" spans="1:4" x14ac:dyDescent="0.2">
      <c r="A298" s="4">
        <v>17.876055600000001</v>
      </c>
      <c r="B298" t="s">
        <v>20</v>
      </c>
      <c r="C298" t="s">
        <v>26</v>
      </c>
      <c r="D298" s="5">
        <v>7.5626812499999998</v>
      </c>
    </row>
    <row r="299" spans="1:4" x14ac:dyDescent="0.2">
      <c r="A299" s="4">
        <v>18.2408611</v>
      </c>
      <c r="B299" t="s">
        <v>20</v>
      </c>
      <c r="C299" t="s">
        <v>26</v>
      </c>
      <c r="D299" s="5">
        <v>7.7186855000000003</v>
      </c>
    </row>
    <row r="300" spans="1:4" x14ac:dyDescent="0.2">
      <c r="A300" s="4">
        <v>18.605694400000001</v>
      </c>
      <c r="B300" t="s">
        <v>20</v>
      </c>
      <c r="C300" t="s">
        <v>26</v>
      </c>
      <c r="D300" s="5">
        <v>7.8770179000000002</v>
      </c>
    </row>
    <row r="301" spans="1:4" x14ac:dyDescent="0.2">
      <c r="A301" s="4">
        <v>18.970527799999999</v>
      </c>
      <c r="B301" t="s">
        <v>20</v>
      </c>
      <c r="C301" t="s">
        <v>26</v>
      </c>
      <c r="D301" s="5">
        <v>7.9462636399999997</v>
      </c>
    </row>
    <row r="302" spans="1:4" x14ac:dyDescent="0.2">
      <c r="A302" s="4">
        <v>19.335333299999999</v>
      </c>
      <c r="B302" t="s">
        <v>20</v>
      </c>
      <c r="C302" t="s">
        <v>26</v>
      </c>
      <c r="D302" s="5">
        <v>7.9875244800000003</v>
      </c>
    </row>
    <row r="303" spans="1:4" x14ac:dyDescent="0.2">
      <c r="A303" s="4">
        <v>19.700138899999999</v>
      </c>
      <c r="B303" t="s">
        <v>20</v>
      </c>
      <c r="C303" t="s">
        <v>26</v>
      </c>
      <c r="D303" s="5">
        <v>7.9963172299999998</v>
      </c>
    </row>
    <row r="304" spans="1:4" x14ac:dyDescent="0.2">
      <c r="A304" s="4">
        <v>20.0649722</v>
      </c>
      <c r="B304" t="s">
        <v>20</v>
      </c>
      <c r="C304" t="s">
        <v>26</v>
      </c>
      <c r="D304" s="5">
        <v>7.9966538800000002</v>
      </c>
    </row>
    <row r="305" spans="1:4" x14ac:dyDescent="0.2">
      <c r="A305" s="4">
        <v>20.4297778</v>
      </c>
      <c r="B305" t="s">
        <v>20</v>
      </c>
      <c r="C305" t="s">
        <v>26</v>
      </c>
      <c r="D305" s="5">
        <v>7.9976631300000003</v>
      </c>
    </row>
    <row r="306" spans="1:4" x14ac:dyDescent="0.2">
      <c r="A306" s="4">
        <v>20.794611100000001</v>
      </c>
      <c r="B306" t="s">
        <v>20</v>
      </c>
      <c r="C306" t="s">
        <v>26</v>
      </c>
      <c r="D306" s="5">
        <v>7.9929445499999998</v>
      </c>
    </row>
    <row r="307" spans="1:4" x14ac:dyDescent="0.2">
      <c r="A307" s="4">
        <v>21.159416700000001</v>
      </c>
      <c r="B307" t="s">
        <v>20</v>
      </c>
      <c r="C307" t="s">
        <v>26</v>
      </c>
      <c r="D307" s="5">
        <v>7.9926066499999999</v>
      </c>
    </row>
    <row r="308" spans="1:4" x14ac:dyDescent="0.2">
      <c r="A308" s="4">
        <v>21.524333299999999</v>
      </c>
      <c r="B308" t="s">
        <v>20</v>
      </c>
      <c r="C308" t="s">
        <v>26</v>
      </c>
      <c r="D308" s="5">
        <v>7.9827576999999996</v>
      </c>
    </row>
    <row r="309" spans="1:4" x14ac:dyDescent="0.2">
      <c r="A309" s="4">
        <v>21.889166700000001</v>
      </c>
      <c r="B309" t="s">
        <v>20</v>
      </c>
      <c r="C309" t="s">
        <v>26</v>
      </c>
      <c r="D309" s="5">
        <v>7.9779680900000001</v>
      </c>
    </row>
    <row r="310" spans="1:4" x14ac:dyDescent="0.2">
      <c r="A310" s="4">
        <v>22.2539722</v>
      </c>
      <c r="B310" t="s">
        <v>20</v>
      </c>
      <c r="C310" t="s">
        <v>26</v>
      </c>
      <c r="D310" s="5">
        <v>7.9731554300000003</v>
      </c>
    </row>
    <row r="311" spans="1:4" x14ac:dyDescent="0.2">
      <c r="A311" s="4">
        <v>22.6187778</v>
      </c>
      <c r="B311" t="s">
        <v>20</v>
      </c>
      <c r="C311" t="s">
        <v>26</v>
      </c>
      <c r="D311" s="5">
        <v>7.9703949100000004</v>
      </c>
    </row>
    <row r="312" spans="1:4" x14ac:dyDescent="0.2">
      <c r="A312" s="4">
        <v>22.983611100000001</v>
      </c>
      <c r="B312" t="s">
        <v>20</v>
      </c>
      <c r="C312" t="s">
        <v>26</v>
      </c>
      <c r="D312" s="5">
        <v>7.9714309999999999</v>
      </c>
    </row>
    <row r="313" spans="1:4" x14ac:dyDescent="0.2">
      <c r="A313" s="4">
        <v>23.349916700000001</v>
      </c>
      <c r="B313" t="s">
        <v>20</v>
      </c>
      <c r="C313" t="s">
        <v>26</v>
      </c>
      <c r="D313" s="5">
        <v>7.96519829</v>
      </c>
    </row>
    <row r="314" spans="1:4" x14ac:dyDescent="0.2">
      <c r="A314" s="4">
        <v>23.714722200000001</v>
      </c>
      <c r="B314" t="s">
        <v>20</v>
      </c>
      <c r="C314" t="s">
        <v>26</v>
      </c>
      <c r="D314" s="5">
        <v>7.9592759600000003</v>
      </c>
    </row>
    <row r="315" spans="1:4" x14ac:dyDescent="0.2">
      <c r="A315" s="4">
        <v>24.079555599999999</v>
      </c>
      <c r="B315" t="s">
        <v>20</v>
      </c>
      <c r="C315" t="s">
        <v>26</v>
      </c>
      <c r="D315" s="5">
        <v>7.9578773600000003</v>
      </c>
    </row>
    <row r="316" spans="1:4" x14ac:dyDescent="0.2">
      <c r="A316" s="4">
        <v>24.444888899999999</v>
      </c>
      <c r="B316" t="s">
        <v>20</v>
      </c>
      <c r="C316" t="s">
        <v>26</v>
      </c>
      <c r="D316" s="5">
        <v>7.9540210900000003</v>
      </c>
    </row>
    <row r="317" spans="1:4" x14ac:dyDescent="0.2">
      <c r="A317" s="4">
        <v>24.809194399999999</v>
      </c>
      <c r="B317" t="s">
        <v>20</v>
      </c>
      <c r="C317" t="s">
        <v>26</v>
      </c>
      <c r="D317" s="5">
        <v>7.9494444199999998</v>
      </c>
    </row>
    <row r="318" spans="1:4" x14ac:dyDescent="0.2">
      <c r="A318" s="4">
        <v>25.174027800000001</v>
      </c>
      <c r="B318" t="s">
        <v>20</v>
      </c>
      <c r="C318" t="s">
        <v>26</v>
      </c>
      <c r="D318" s="5">
        <v>7.9412955700000003</v>
      </c>
    </row>
    <row r="319" spans="1:4" x14ac:dyDescent="0.2">
      <c r="A319" s="4">
        <v>25.5388333</v>
      </c>
      <c r="B319" t="s">
        <v>20</v>
      </c>
      <c r="C319" t="s">
        <v>26</v>
      </c>
      <c r="D319" s="5">
        <v>7.94307272</v>
      </c>
    </row>
    <row r="320" spans="1:4" x14ac:dyDescent="0.2">
      <c r="A320" s="4">
        <v>25.903666699999999</v>
      </c>
      <c r="B320" t="s">
        <v>20</v>
      </c>
      <c r="C320" t="s">
        <v>26</v>
      </c>
      <c r="D320" s="5">
        <v>7.9402277699999999</v>
      </c>
    </row>
    <row r="321" spans="1:4" x14ac:dyDescent="0.2">
      <c r="A321" s="4">
        <v>26.268472200000001</v>
      </c>
      <c r="B321" t="s">
        <v>20</v>
      </c>
      <c r="C321" t="s">
        <v>26</v>
      </c>
      <c r="D321" s="5">
        <v>7.9345134599999998</v>
      </c>
    </row>
    <row r="322" spans="1:4" x14ac:dyDescent="0.2">
      <c r="A322" s="4">
        <v>26.6333056</v>
      </c>
      <c r="B322" t="s">
        <v>20</v>
      </c>
      <c r="C322" t="s">
        <v>26</v>
      </c>
      <c r="D322" s="5">
        <v>7.9352295399999999</v>
      </c>
    </row>
    <row r="323" spans="1:4" x14ac:dyDescent="0.2">
      <c r="A323" s="4">
        <v>26.998111099999999</v>
      </c>
      <c r="B323" t="s">
        <v>20</v>
      </c>
      <c r="C323" t="s">
        <v>26</v>
      </c>
      <c r="D323" s="5">
        <v>7.9363026899999998</v>
      </c>
    </row>
    <row r="324" spans="1:4" x14ac:dyDescent="0.2">
      <c r="A324" s="4">
        <v>27.3629444</v>
      </c>
      <c r="B324" t="s">
        <v>20</v>
      </c>
      <c r="C324" t="s">
        <v>26</v>
      </c>
      <c r="D324" s="5">
        <v>7.92768505</v>
      </c>
    </row>
    <row r="325" spans="1:4" x14ac:dyDescent="0.2">
      <c r="A325" s="4">
        <v>27.72775</v>
      </c>
      <c r="B325" t="s">
        <v>20</v>
      </c>
      <c r="C325" t="s">
        <v>26</v>
      </c>
      <c r="D325" s="5">
        <v>7.9284060299999997</v>
      </c>
    </row>
    <row r="326" spans="1:4" x14ac:dyDescent="0.2">
      <c r="A326" s="4">
        <v>30.091833300000001</v>
      </c>
      <c r="B326" t="s">
        <v>20</v>
      </c>
      <c r="C326" t="s">
        <v>26</v>
      </c>
      <c r="D326" s="5">
        <v>7.9624156800000003</v>
      </c>
    </row>
    <row r="327" spans="1:4" x14ac:dyDescent="0.2">
      <c r="A327" s="4">
        <v>30.4566667</v>
      </c>
      <c r="B327" t="s">
        <v>20</v>
      </c>
      <c r="C327" t="s">
        <v>26</v>
      </c>
      <c r="D327" s="5">
        <v>8.0040315100000008</v>
      </c>
    </row>
    <row r="328" spans="1:4" x14ac:dyDescent="0.2">
      <c r="A328" s="4">
        <v>30.821472199999999</v>
      </c>
      <c r="B328" t="s">
        <v>20</v>
      </c>
      <c r="C328" t="s">
        <v>26</v>
      </c>
      <c r="D328" s="5">
        <v>7.9596253099999998</v>
      </c>
    </row>
    <row r="329" spans="1:4" x14ac:dyDescent="0.2">
      <c r="A329" s="4">
        <v>31.186305600000001</v>
      </c>
      <c r="B329" t="s">
        <v>20</v>
      </c>
      <c r="C329" t="s">
        <v>26</v>
      </c>
      <c r="D329" s="5">
        <v>7.9316440200000002</v>
      </c>
    </row>
    <row r="330" spans="1:4" x14ac:dyDescent="0.2">
      <c r="A330" s="4">
        <v>31.5511111</v>
      </c>
      <c r="B330" t="s">
        <v>20</v>
      </c>
      <c r="C330" t="s">
        <v>26</v>
      </c>
      <c r="D330" s="5">
        <v>7.9247959100000003</v>
      </c>
    </row>
    <row r="331" spans="1:4" x14ac:dyDescent="0.2">
      <c r="A331" s="4">
        <v>31.915944400000001</v>
      </c>
      <c r="B331" t="s">
        <v>20</v>
      </c>
      <c r="C331" t="s">
        <v>26</v>
      </c>
      <c r="D331" s="5">
        <v>7.9171719899999999</v>
      </c>
    </row>
    <row r="332" spans="1:4" x14ac:dyDescent="0.2">
      <c r="A332" s="4">
        <v>32.280777800000003</v>
      </c>
      <c r="B332" t="s">
        <v>20</v>
      </c>
      <c r="C332" t="s">
        <v>26</v>
      </c>
      <c r="D332" s="5">
        <v>7.9149830100000003</v>
      </c>
    </row>
    <row r="333" spans="1:4" x14ac:dyDescent="0.2">
      <c r="A333" s="4">
        <v>32.645583299999998</v>
      </c>
      <c r="B333" t="s">
        <v>20</v>
      </c>
      <c r="C333" t="s">
        <v>26</v>
      </c>
      <c r="D333" s="5">
        <v>7.9146177099999999</v>
      </c>
    </row>
    <row r="334" spans="1:4" x14ac:dyDescent="0.2">
      <c r="A334" s="4">
        <v>33.0104167</v>
      </c>
      <c r="B334" t="s">
        <v>20</v>
      </c>
      <c r="C334" t="s">
        <v>26</v>
      </c>
      <c r="D334" s="5">
        <v>7.9131551900000003</v>
      </c>
    </row>
    <row r="335" spans="1:4" x14ac:dyDescent="0.2">
      <c r="A335" s="4">
        <v>33.375222200000003</v>
      </c>
      <c r="B335" t="s">
        <v>20</v>
      </c>
      <c r="C335" t="s">
        <v>26</v>
      </c>
      <c r="D335" s="5">
        <v>7.9116905199999996</v>
      </c>
    </row>
    <row r="336" spans="1:4" x14ac:dyDescent="0.2">
      <c r="A336" s="4">
        <v>33.7400278</v>
      </c>
      <c r="B336" t="s">
        <v>20</v>
      </c>
      <c r="C336" t="s">
        <v>26</v>
      </c>
      <c r="D336" s="5">
        <v>7.9149830100000003</v>
      </c>
    </row>
    <row r="337" spans="1:4" x14ac:dyDescent="0.2">
      <c r="A337" s="4">
        <v>34.104861100000001</v>
      </c>
      <c r="B337" t="s">
        <v>20</v>
      </c>
      <c r="C337" t="s">
        <v>26</v>
      </c>
      <c r="D337" s="5">
        <v>7.9120568899999997</v>
      </c>
    </row>
    <row r="338" spans="1:4" x14ac:dyDescent="0.2">
      <c r="A338" s="4">
        <v>34.469666699999998</v>
      </c>
      <c r="B338" t="s">
        <v>20</v>
      </c>
      <c r="C338" t="s">
        <v>26</v>
      </c>
      <c r="D338" s="5">
        <v>7.9080194400000003</v>
      </c>
    </row>
    <row r="339" spans="1:4" x14ac:dyDescent="0.2">
      <c r="A339" s="4">
        <v>34.834499999999998</v>
      </c>
      <c r="B339" t="s">
        <v>20</v>
      </c>
      <c r="C339" t="s">
        <v>26</v>
      </c>
      <c r="D339" s="5">
        <v>7.9105906099999999</v>
      </c>
    </row>
    <row r="340" spans="1:4" x14ac:dyDescent="0.2">
      <c r="A340" s="4">
        <v>35.199305600000002</v>
      </c>
      <c r="B340" t="s">
        <v>20</v>
      </c>
      <c r="C340" t="s">
        <v>26</v>
      </c>
      <c r="D340" s="5">
        <v>7.9094894900000003</v>
      </c>
    </row>
    <row r="341" spans="1:4" x14ac:dyDescent="0.2">
      <c r="A341" s="4">
        <v>35.564111099999998</v>
      </c>
      <c r="B341" t="s">
        <v>20</v>
      </c>
      <c r="C341" t="s">
        <v>26</v>
      </c>
      <c r="D341" s="5">
        <v>7.9098566699999999</v>
      </c>
    </row>
    <row r="342" spans="1:4" x14ac:dyDescent="0.2">
      <c r="A342" s="4">
        <v>35.928944399999999</v>
      </c>
      <c r="B342" t="s">
        <v>20</v>
      </c>
      <c r="C342" t="s">
        <v>26</v>
      </c>
      <c r="D342" s="5">
        <v>7.9091221799999998</v>
      </c>
    </row>
    <row r="343" spans="1:4" x14ac:dyDescent="0.2">
      <c r="A343" s="4">
        <v>36.293750000000003</v>
      </c>
      <c r="B343" t="s">
        <v>20</v>
      </c>
      <c r="C343" t="s">
        <v>26</v>
      </c>
      <c r="D343" s="5">
        <v>7.9076515900000004</v>
      </c>
    </row>
    <row r="344" spans="1:4" x14ac:dyDescent="0.2">
      <c r="A344" s="4">
        <v>36.658583299999997</v>
      </c>
      <c r="B344" t="s">
        <v>20</v>
      </c>
      <c r="C344" t="s">
        <v>26</v>
      </c>
      <c r="D344" s="5">
        <v>7.9094894900000003</v>
      </c>
    </row>
    <row r="345" spans="1:4" x14ac:dyDescent="0.2">
      <c r="A345" s="4">
        <v>37.0233889</v>
      </c>
      <c r="B345" t="s">
        <v>20</v>
      </c>
      <c r="C345" t="s">
        <v>26</v>
      </c>
      <c r="D345" s="5">
        <v>7.90875474</v>
      </c>
    </row>
    <row r="346" spans="1:4" x14ac:dyDescent="0.2">
      <c r="A346" s="4">
        <v>37.388222200000001</v>
      </c>
      <c r="B346" t="s">
        <v>20</v>
      </c>
      <c r="C346" t="s">
        <v>26</v>
      </c>
      <c r="D346" s="5">
        <v>7.9069154900000003</v>
      </c>
    </row>
    <row r="347" spans="1:4" x14ac:dyDescent="0.2">
      <c r="A347" s="4">
        <v>37.753055600000003</v>
      </c>
      <c r="B347" t="s">
        <v>20</v>
      </c>
      <c r="C347" t="s">
        <v>26</v>
      </c>
      <c r="D347" s="5">
        <v>7.9054416500000002</v>
      </c>
    </row>
    <row r="348" spans="1:4" x14ac:dyDescent="0.2">
      <c r="A348" s="4">
        <v>38.117861099999999</v>
      </c>
      <c r="B348" t="s">
        <v>20</v>
      </c>
      <c r="C348" t="s">
        <v>26</v>
      </c>
      <c r="D348" s="5">
        <v>7.9050728499999998</v>
      </c>
    </row>
    <row r="349" spans="1:4" x14ac:dyDescent="0.2">
      <c r="A349" s="4">
        <v>38.4826944</v>
      </c>
      <c r="B349" t="s">
        <v>20</v>
      </c>
      <c r="C349" t="s">
        <v>26</v>
      </c>
      <c r="D349" s="5">
        <v>7.9058103099999997</v>
      </c>
    </row>
    <row r="350" spans="1:4" x14ac:dyDescent="0.2">
      <c r="A350" s="4">
        <v>38.847499999999997</v>
      </c>
      <c r="B350" t="s">
        <v>20</v>
      </c>
      <c r="C350" t="s">
        <v>26</v>
      </c>
      <c r="D350" s="5">
        <v>7.8998953199999997</v>
      </c>
    </row>
    <row r="351" spans="1:4" x14ac:dyDescent="0.2">
      <c r="A351" s="4">
        <v>39.212305600000001</v>
      </c>
      <c r="B351" t="s">
        <v>20</v>
      </c>
      <c r="C351" t="s">
        <v>26</v>
      </c>
      <c r="D351" s="5">
        <v>7.9058103099999997</v>
      </c>
    </row>
    <row r="352" spans="1:4" x14ac:dyDescent="0.2">
      <c r="A352" s="4">
        <v>39.577138900000001</v>
      </c>
      <c r="B352" t="s">
        <v>20</v>
      </c>
      <c r="C352" t="s">
        <v>26</v>
      </c>
      <c r="D352" s="5">
        <v>7.90026604</v>
      </c>
    </row>
    <row r="353" spans="1:4" x14ac:dyDescent="0.2">
      <c r="A353" s="4">
        <v>39.941944399999997</v>
      </c>
      <c r="B353" t="s">
        <v>20</v>
      </c>
      <c r="C353" t="s">
        <v>26</v>
      </c>
      <c r="D353" s="5">
        <v>7.9061788399999999</v>
      </c>
    </row>
    <row r="354" spans="1:4" x14ac:dyDescent="0.2">
      <c r="A354" s="4">
        <v>40.306777799999999</v>
      </c>
      <c r="B354" t="s">
        <v>20</v>
      </c>
      <c r="C354" t="s">
        <v>26</v>
      </c>
      <c r="D354" s="5">
        <v>7.8987823600000002</v>
      </c>
    </row>
    <row r="355" spans="1:4" x14ac:dyDescent="0.2">
      <c r="A355" s="4">
        <v>40.6716944</v>
      </c>
      <c r="B355" t="s">
        <v>20</v>
      </c>
      <c r="C355" t="s">
        <v>26</v>
      </c>
      <c r="D355" s="5">
        <v>7.8976681500000003</v>
      </c>
    </row>
    <row r="356" spans="1:4" x14ac:dyDescent="0.2">
      <c r="A356" s="4">
        <v>41.036499999999997</v>
      </c>
      <c r="B356" t="s">
        <v>20</v>
      </c>
      <c r="C356" t="s">
        <v>26</v>
      </c>
      <c r="D356" s="5">
        <v>7.8969246599999998</v>
      </c>
    </row>
    <row r="357" spans="1:4" x14ac:dyDescent="0.2">
      <c r="A357" s="4">
        <v>41.401333299999997</v>
      </c>
      <c r="B357" t="s">
        <v>20</v>
      </c>
      <c r="C357" t="s">
        <v>26</v>
      </c>
      <c r="D357" s="5">
        <v>7.8984110899999997</v>
      </c>
    </row>
    <row r="358" spans="1:4" x14ac:dyDescent="0.2">
      <c r="A358" s="4">
        <v>41.766166699999999</v>
      </c>
      <c r="B358" t="s">
        <v>20</v>
      </c>
      <c r="C358" t="s">
        <v>26</v>
      </c>
      <c r="D358" s="5">
        <v>7.8984110899999997</v>
      </c>
    </row>
    <row r="359" spans="1:4" x14ac:dyDescent="0.2">
      <c r="A359" s="4">
        <v>42.130972200000002</v>
      </c>
      <c r="B359" t="s">
        <v>20</v>
      </c>
      <c r="C359" t="s">
        <v>26</v>
      </c>
      <c r="D359" s="5">
        <v>7.8991534799999998</v>
      </c>
    </row>
    <row r="360" spans="1:4" x14ac:dyDescent="0.2">
      <c r="A360" s="4">
        <v>42.495805599999997</v>
      </c>
      <c r="B360" t="s">
        <v>20</v>
      </c>
      <c r="C360" t="s">
        <v>26</v>
      </c>
      <c r="D360" s="5">
        <v>7.8972964699999997</v>
      </c>
    </row>
    <row r="361" spans="1:4" x14ac:dyDescent="0.2">
      <c r="A361" s="4">
        <v>42.8606111</v>
      </c>
      <c r="B361" t="s">
        <v>20</v>
      </c>
      <c r="C361" t="s">
        <v>26</v>
      </c>
      <c r="D361" s="5">
        <v>7.8972964699999997</v>
      </c>
    </row>
    <row r="362" spans="1:4" x14ac:dyDescent="0.2">
      <c r="A362" s="4">
        <v>43.225444400000001</v>
      </c>
      <c r="B362" t="s">
        <v>20</v>
      </c>
      <c r="C362" t="s">
        <v>26</v>
      </c>
      <c r="D362" s="5">
        <v>7.8958083800000001</v>
      </c>
    </row>
    <row r="363" spans="1:4" x14ac:dyDescent="0.2">
      <c r="A363" s="4">
        <v>43.590277800000003</v>
      </c>
      <c r="B363" t="s">
        <v>20</v>
      </c>
      <c r="C363" t="s">
        <v>26</v>
      </c>
      <c r="D363" s="5">
        <v>7.8976681500000003</v>
      </c>
    </row>
    <row r="364" spans="1:4" x14ac:dyDescent="0.2">
      <c r="A364" s="4">
        <v>43.955083299999998</v>
      </c>
      <c r="B364" t="s">
        <v>20</v>
      </c>
      <c r="C364" t="s">
        <v>26</v>
      </c>
      <c r="D364" s="5">
        <v>7.8998953199999997</v>
      </c>
    </row>
    <row r="365" spans="1:4" x14ac:dyDescent="0.2">
      <c r="A365" s="4">
        <v>44.319888900000002</v>
      </c>
      <c r="B365" t="s">
        <v>20</v>
      </c>
      <c r="C365" t="s">
        <v>26</v>
      </c>
      <c r="D365" s="5">
        <v>7.8984110899999997</v>
      </c>
    </row>
    <row r="366" spans="1:4" x14ac:dyDescent="0.2">
      <c r="A366" s="4">
        <v>44.684722200000003</v>
      </c>
      <c r="B366" t="s">
        <v>20</v>
      </c>
      <c r="C366" t="s">
        <v>26</v>
      </c>
      <c r="D366" s="5">
        <v>7.8984110899999997</v>
      </c>
    </row>
    <row r="367" spans="1:4" x14ac:dyDescent="0.2">
      <c r="A367" s="4">
        <v>45.049194399999998</v>
      </c>
      <c r="B367" t="s">
        <v>20</v>
      </c>
      <c r="C367" t="s">
        <v>26</v>
      </c>
      <c r="D367" s="5">
        <v>7.8984110899999997</v>
      </c>
    </row>
    <row r="368" spans="1:4" x14ac:dyDescent="0.2">
      <c r="A368" s="4">
        <v>45.4140278</v>
      </c>
      <c r="B368" t="s">
        <v>20</v>
      </c>
      <c r="C368" t="s">
        <v>26</v>
      </c>
      <c r="D368" s="5">
        <v>7.8984110899999997</v>
      </c>
    </row>
    <row r="369" spans="1:4" x14ac:dyDescent="0.2">
      <c r="A369" s="4">
        <v>45.778833300000002</v>
      </c>
      <c r="B369" t="s">
        <v>20</v>
      </c>
      <c r="C369" t="s">
        <v>26</v>
      </c>
      <c r="D369" s="5">
        <v>7.8954360100000001</v>
      </c>
    </row>
    <row r="370" spans="1:4" x14ac:dyDescent="0.2">
      <c r="A370" s="4">
        <v>46.143666699999997</v>
      </c>
      <c r="B370" t="s">
        <v>20</v>
      </c>
      <c r="C370" t="s">
        <v>26</v>
      </c>
      <c r="D370" s="5">
        <v>7.8954360100000001</v>
      </c>
    </row>
    <row r="371" spans="1:4" x14ac:dyDescent="0.2">
      <c r="A371" s="4">
        <v>46.5084722</v>
      </c>
      <c r="B371" t="s">
        <v>20</v>
      </c>
      <c r="C371" t="s">
        <v>26</v>
      </c>
      <c r="D371" s="5">
        <v>7.89319887</v>
      </c>
    </row>
    <row r="372" spans="1:4" x14ac:dyDescent="0.2">
      <c r="A372" s="4">
        <v>46.873305600000002</v>
      </c>
      <c r="B372" t="s">
        <v>20</v>
      </c>
      <c r="C372" t="s">
        <v>26</v>
      </c>
      <c r="D372" s="5">
        <v>7.8887095199999999</v>
      </c>
    </row>
    <row r="373" spans="1:4" x14ac:dyDescent="0.2">
      <c r="A373" s="4">
        <v>47.238111099999998</v>
      </c>
      <c r="B373" t="s">
        <v>20</v>
      </c>
      <c r="C373" t="s">
        <v>26</v>
      </c>
      <c r="D373" s="5">
        <v>7.8950635</v>
      </c>
    </row>
    <row r="374" spans="1:4" x14ac:dyDescent="0.2">
      <c r="A374" s="4">
        <v>47.602944399999998</v>
      </c>
      <c r="B374" t="s">
        <v>20</v>
      </c>
      <c r="C374" t="s">
        <v>26</v>
      </c>
      <c r="D374" s="5">
        <v>7.8928255299999996</v>
      </c>
    </row>
    <row r="375" spans="1:4" x14ac:dyDescent="0.2">
      <c r="A375" s="4">
        <v>47.9677778</v>
      </c>
      <c r="B375" t="s">
        <v>20</v>
      </c>
      <c r="C375" t="s">
        <v>26</v>
      </c>
      <c r="D375" s="5">
        <v>7.8920784199999998</v>
      </c>
    </row>
    <row r="376" spans="1:4" x14ac:dyDescent="0.2">
      <c r="A376" s="4">
        <v>48.332583300000003</v>
      </c>
      <c r="B376" t="s">
        <v>20</v>
      </c>
      <c r="C376" t="s">
        <v>26</v>
      </c>
      <c r="D376" s="5">
        <v>7.8928255299999996</v>
      </c>
    </row>
    <row r="377" spans="1:4" x14ac:dyDescent="0.2">
      <c r="A377" s="4">
        <v>48.697416699999998</v>
      </c>
      <c r="B377" t="s">
        <v>20</v>
      </c>
      <c r="C377" t="s">
        <v>26</v>
      </c>
      <c r="D377" s="5">
        <v>7.8913307599999998</v>
      </c>
    </row>
    <row r="378" spans="1:4" x14ac:dyDescent="0.2">
      <c r="A378" s="4">
        <v>49.062222200000001</v>
      </c>
      <c r="B378" t="s">
        <v>20</v>
      </c>
      <c r="C378" t="s">
        <v>26</v>
      </c>
      <c r="D378" s="5">
        <v>7.8902082099999999</v>
      </c>
    </row>
    <row r="379" spans="1:4" x14ac:dyDescent="0.2">
      <c r="A379" s="4">
        <v>49.427055600000003</v>
      </c>
      <c r="B379" t="s">
        <v>20</v>
      </c>
      <c r="C379" t="s">
        <v>26</v>
      </c>
      <c r="D379" s="5">
        <v>7.8913307599999998</v>
      </c>
    </row>
    <row r="380" spans="1:4" x14ac:dyDescent="0.2">
      <c r="A380" s="4">
        <v>49.791861099999998</v>
      </c>
      <c r="B380" t="s">
        <v>20</v>
      </c>
      <c r="C380" t="s">
        <v>26</v>
      </c>
      <c r="D380" s="5">
        <v>7.8913307599999998</v>
      </c>
    </row>
    <row r="381" spans="1:4" x14ac:dyDescent="0.2">
      <c r="A381" s="4">
        <v>50.156694399999999</v>
      </c>
      <c r="B381" t="s">
        <v>20</v>
      </c>
      <c r="C381" t="s">
        <v>26</v>
      </c>
      <c r="D381" s="5">
        <v>7.8958083800000001</v>
      </c>
    </row>
    <row r="382" spans="1:4" x14ac:dyDescent="0.2">
      <c r="A382" s="4">
        <v>50.521500000000003</v>
      </c>
      <c r="B382" t="s">
        <v>20</v>
      </c>
      <c r="C382" t="s">
        <v>26</v>
      </c>
      <c r="D382" s="5">
        <v>7.8902082099999999</v>
      </c>
    </row>
    <row r="383" spans="1:4" x14ac:dyDescent="0.2">
      <c r="A383" s="4">
        <v>50.886333299999997</v>
      </c>
      <c r="B383" t="s">
        <v>20</v>
      </c>
      <c r="C383" t="s">
        <v>26</v>
      </c>
      <c r="D383" s="5">
        <v>7.8890844099999997</v>
      </c>
    </row>
    <row r="384" spans="1:4" x14ac:dyDescent="0.2">
      <c r="A384" s="4">
        <v>51.251138900000001</v>
      </c>
      <c r="B384" t="s">
        <v>20</v>
      </c>
      <c r="C384" t="s">
        <v>26</v>
      </c>
      <c r="D384" s="5">
        <v>7.8924520400000002</v>
      </c>
    </row>
    <row r="385" spans="1:4" x14ac:dyDescent="0.2">
      <c r="A385" s="4">
        <v>51.615972200000002</v>
      </c>
      <c r="B385" t="s">
        <v>20</v>
      </c>
      <c r="C385" t="s">
        <v>26</v>
      </c>
      <c r="D385" s="5">
        <v>7.8905825299999997</v>
      </c>
    </row>
    <row r="386" spans="1:4" x14ac:dyDescent="0.2">
      <c r="A386" s="4">
        <v>51.980888899999997</v>
      </c>
      <c r="B386" t="s">
        <v>20</v>
      </c>
      <c r="C386" t="s">
        <v>26</v>
      </c>
      <c r="D386" s="5">
        <v>7.8845765099999996</v>
      </c>
    </row>
    <row r="387" spans="1:4" x14ac:dyDescent="0.2">
      <c r="A387" s="4">
        <v>52.345694399999999</v>
      </c>
      <c r="B387" t="s">
        <v>20</v>
      </c>
      <c r="C387" t="s">
        <v>26</v>
      </c>
      <c r="D387" s="5">
        <v>7.8905825299999997</v>
      </c>
    </row>
    <row r="388" spans="1:4" x14ac:dyDescent="0.2">
      <c r="A388" s="4">
        <v>52.710527800000001</v>
      </c>
      <c r="B388" t="s">
        <v>20</v>
      </c>
      <c r="C388" t="s">
        <v>26</v>
      </c>
      <c r="D388" s="5">
        <v>7.8838232100000001</v>
      </c>
    </row>
    <row r="389" spans="1:4" x14ac:dyDescent="0.2">
      <c r="A389" s="4">
        <v>53.075333299999997</v>
      </c>
      <c r="B389" t="s">
        <v>20</v>
      </c>
      <c r="C389" t="s">
        <v>26</v>
      </c>
      <c r="D389" s="5">
        <v>7.8834463499999998</v>
      </c>
    </row>
    <row r="390" spans="1:4" x14ac:dyDescent="0.2">
      <c r="A390" s="4">
        <v>53.440166699999999</v>
      </c>
      <c r="B390" t="s">
        <v>20</v>
      </c>
      <c r="C390" t="s">
        <v>26</v>
      </c>
      <c r="D390" s="5">
        <v>7.88570539</v>
      </c>
    </row>
    <row r="391" spans="1:4" x14ac:dyDescent="0.2">
      <c r="A391" s="4">
        <v>53.805</v>
      </c>
      <c r="B391" t="s">
        <v>20</v>
      </c>
      <c r="C391" t="s">
        <v>26</v>
      </c>
      <c r="D391" s="5">
        <v>7.8853292399999999</v>
      </c>
    </row>
    <row r="392" spans="1:4" x14ac:dyDescent="0.2">
      <c r="A392" s="4">
        <v>54.169805599999997</v>
      </c>
      <c r="B392" t="s">
        <v>20</v>
      </c>
      <c r="C392" t="s">
        <v>26</v>
      </c>
      <c r="D392" s="5">
        <v>7.8860814000000001</v>
      </c>
    </row>
    <row r="393" spans="1:4" x14ac:dyDescent="0.2">
      <c r="A393" s="4">
        <v>54.534638899999997</v>
      </c>
      <c r="B393" t="s">
        <v>20</v>
      </c>
      <c r="C393" t="s">
        <v>26</v>
      </c>
      <c r="D393" s="5">
        <v>7.8909567200000001</v>
      </c>
    </row>
    <row r="394" spans="1:4" x14ac:dyDescent="0.2">
      <c r="A394" s="4">
        <v>54.8994444</v>
      </c>
      <c r="B394" t="s">
        <v>20</v>
      </c>
      <c r="C394" t="s">
        <v>26</v>
      </c>
      <c r="D394" s="5">
        <v>7.8894591500000004</v>
      </c>
    </row>
    <row r="395" spans="1:4" x14ac:dyDescent="0.2">
      <c r="A395" s="4">
        <v>55.264249999999997</v>
      </c>
      <c r="B395" t="s">
        <v>20</v>
      </c>
      <c r="C395" t="s">
        <v>26</v>
      </c>
      <c r="D395" s="5">
        <v>7.8868330000000002</v>
      </c>
    </row>
    <row r="396" spans="1:4" x14ac:dyDescent="0.2">
      <c r="A396" s="4">
        <v>55.629083299999998</v>
      </c>
      <c r="B396" t="s">
        <v>20</v>
      </c>
      <c r="C396" t="s">
        <v>26</v>
      </c>
      <c r="D396" s="5">
        <v>7.8943180599999998</v>
      </c>
    </row>
    <row r="397" spans="1:4" x14ac:dyDescent="0.2">
      <c r="A397" s="4">
        <v>55.993888900000002</v>
      </c>
      <c r="B397" t="s">
        <v>20</v>
      </c>
      <c r="C397" t="s">
        <v>26</v>
      </c>
      <c r="D397" s="5">
        <v>7.8894591500000004</v>
      </c>
    </row>
    <row r="398" spans="1:4" x14ac:dyDescent="0.2">
      <c r="A398" s="4">
        <v>56.358722200000003</v>
      </c>
      <c r="B398" t="s">
        <v>20</v>
      </c>
      <c r="C398" t="s">
        <v>26</v>
      </c>
      <c r="D398" s="5">
        <v>7.8883345</v>
      </c>
    </row>
    <row r="399" spans="1:4" x14ac:dyDescent="0.2">
      <c r="A399" s="4">
        <v>56.723555599999997</v>
      </c>
      <c r="B399" t="s">
        <v>20</v>
      </c>
      <c r="C399" t="s">
        <v>26</v>
      </c>
      <c r="D399" s="5">
        <v>7.8777763299999997</v>
      </c>
    </row>
    <row r="400" spans="1:4" x14ac:dyDescent="0.2">
      <c r="A400" s="4">
        <v>57.0883611</v>
      </c>
      <c r="B400" t="s">
        <v>20</v>
      </c>
      <c r="C400" t="s">
        <v>26</v>
      </c>
      <c r="D400" s="5">
        <v>7.8894591500000004</v>
      </c>
    </row>
    <row r="401" spans="1:4" x14ac:dyDescent="0.2">
      <c r="A401" s="4">
        <v>57.453194400000001</v>
      </c>
      <c r="B401" t="s">
        <v>20</v>
      </c>
      <c r="C401" t="s">
        <v>26</v>
      </c>
      <c r="D401" s="5">
        <v>7.8841999300000003</v>
      </c>
    </row>
    <row r="402" spans="1:4" x14ac:dyDescent="0.2">
      <c r="A402" s="4">
        <v>57.817999999999998</v>
      </c>
      <c r="B402" t="s">
        <v>20</v>
      </c>
      <c r="C402" t="s">
        <v>26</v>
      </c>
      <c r="D402" s="5">
        <v>7.8849529499999997</v>
      </c>
    </row>
    <row r="403" spans="1:4" x14ac:dyDescent="0.2">
      <c r="A403" s="4">
        <v>58.182833299999999</v>
      </c>
      <c r="B403" t="s">
        <v>20</v>
      </c>
      <c r="C403" t="s">
        <v>26</v>
      </c>
      <c r="D403" s="5">
        <v>7.8823149199999998</v>
      </c>
    </row>
    <row r="404" spans="1:4" x14ac:dyDescent="0.2">
      <c r="A404" s="4">
        <v>58.547638900000003</v>
      </c>
      <c r="B404" t="s">
        <v>20</v>
      </c>
      <c r="C404" t="s">
        <v>26</v>
      </c>
      <c r="D404" s="5">
        <v>7.8872085900000002</v>
      </c>
    </row>
    <row r="405" spans="1:4" x14ac:dyDescent="0.2">
      <c r="A405" s="4">
        <v>58.912472200000003</v>
      </c>
      <c r="B405" t="s">
        <v>20</v>
      </c>
      <c r="C405" t="s">
        <v>26</v>
      </c>
      <c r="D405" s="5">
        <v>7.8860814000000001</v>
      </c>
    </row>
    <row r="406" spans="1:4" x14ac:dyDescent="0.2">
      <c r="A406" s="4">
        <v>59.2772778</v>
      </c>
      <c r="B406" t="s">
        <v>20</v>
      </c>
      <c r="C406" t="s">
        <v>26</v>
      </c>
      <c r="D406" s="5">
        <v>7.8864572700000002</v>
      </c>
    </row>
    <row r="407" spans="1:4" x14ac:dyDescent="0.2">
      <c r="A407" s="4">
        <v>59.642083300000003</v>
      </c>
      <c r="B407" t="s">
        <v>20</v>
      </c>
      <c r="C407" t="s">
        <v>26</v>
      </c>
      <c r="D407" s="5">
        <v>7.8890844099999997</v>
      </c>
    </row>
    <row r="408" spans="1:4" x14ac:dyDescent="0.2">
      <c r="A408" s="4">
        <v>60.0068889</v>
      </c>
      <c r="B408" t="s">
        <v>20</v>
      </c>
      <c r="C408" t="s">
        <v>26</v>
      </c>
      <c r="D408" s="5">
        <v>7.8875840300000002</v>
      </c>
    </row>
    <row r="409" spans="1:4" x14ac:dyDescent="0.2">
      <c r="A409" s="4">
        <v>60.371722200000001</v>
      </c>
      <c r="B409" t="s">
        <v>20</v>
      </c>
      <c r="C409" t="s">
        <v>26</v>
      </c>
      <c r="D409" s="5">
        <v>7.8845765099999996</v>
      </c>
    </row>
    <row r="410" spans="1:4" x14ac:dyDescent="0.2">
      <c r="A410" s="4">
        <v>60.736527799999998</v>
      </c>
      <c r="B410" t="s">
        <v>20</v>
      </c>
      <c r="C410" t="s">
        <v>26</v>
      </c>
      <c r="D410" s="5">
        <v>7.8875840300000002</v>
      </c>
    </row>
    <row r="411" spans="1:4" x14ac:dyDescent="0.2">
      <c r="A411" s="4">
        <v>61.1013333</v>
      </c>
      <c r="B411" t="s">
        <v>20</v>
      </c>
      <c r="C411" t="s">
        <v>26</v>
      </c>
      <c r="D411" s="5">
        <v>7.8868330000000002</v>
      </c>
    </row>
    <row r="412" spans="1:4" x14ac:dyDescent="0.2">
      <c r="A412" s="4">
        <v>61.466166700000002</v>
      </c>
      <c r="B412" t="s">
        <v>20</v>
      </c>
      <c r="C412" t="s">
        <v>26</v>
      </c>
      <c r="D412" s="5">
        <v>7.8826922100000001</v>
      </c>
    </row>
    <row r="413" spans="1:4" x14ac:dyDescent="0.2">
      <c r="A413" s="4">
        <v>61.830972199999998</v>
      </c>
      <c r="B413" t="s">
        <v>20</v>
      </c>
      <c r="C413" t="s">
        <v>26</v>
      </c>
      <c r="D413" s="5">
        <v>7.8887095199999999</v>
      </c>
    </row>
    <row r="414" spans="1:4" x14ac:dyDescent="0.2">
      <c r="A414" s="4">
        <v>62.1958056</v>
      </c>
      <c r="B414" t="s">
        <v>20</v>
      </c>
      <c r="C414" t="s">
        <v>26</v>
      </c>
      <c r="D414" s="5">
        <v>7.8860814000000001</v>
      </c>
    </row>
    <row r="415" spans="1:4" x14ac:dyDescent="0.2">
      <c r="A415" s="4">
        <v>62.560638900000001</v>
      </c>
      <c r="B415" t="s">
        <v>20</v>
      </c>
      <c r="C415" t="s">
        <v>26</v>
      </c>
      <c r="D415" s="5">
        <v>7.8894591500000004</v>
      </c>
    </row>
    <row r="416" spans="1:4" x14ac:dyDescent="0.2">
      <c r="A416" s="4">
        <v>62.925444400000003</v>
      </c>
      <c r="B416" t="s">
        <v>20</v>
      </c>
      <c r="C416" t="s">
        <v>26</v>
      </c>
      <c r="D416" s="5">
        <v>7.8834463499999998</v>
      </c>
    </row>
    <row r="417" spans="1:4" x14ac:dyDescent="0.2">
      <c r="A417" s="4">
        <v>63.29025</v>
      </c>
      <c r="B417" t="s">
        <v>20</v>
      </c>
      <c r="C417" t="s">
        <v>26</v>
      </c>
      <c r="D417" s="5">
        <v>7.8894591500000004</v>
      </c>
    </row>
    <row r="418" spans="1:4" x14ac:dyDescent="0.2">
      <c r="A418" s="4">
        <v>63.655083300000001</v>
      </c>
      <c r="B418" t="s">
        <v>20</v>
      </c>
      <c r="C418" t="s">
        <v>26</v>
      </c>
      <c r="D418" s="5">
        <v>7.8834463499999998</v>
      </c>
    </row>
    <row r="419" spans="1:4" x14ac:dyDescent="0.2">
      <c r="A419" s="4">
        <v>64.019888899999998</v>
      </c>
      <c r="B419" t="s">
        <v>20</v>
      </c>
      <c r="C419" t="s">
        <v>26</v>
      </c>
      <c r="D419" s="5">
        <v>7.8887095199999999</v>
      </c>
    </row>
    <row r="420" spans="1:4" x14ac:dyDescent="0.2">
      <c r="A420" s="4">
        <v>64.384694400000001</v>
      </c>
      <c r="B420" t="s">
        <v>20</v>
      </c>
      <c r="C420" t="s">
        <v>26</v>
      </c>
      <c r="D420" s="5">
        <v>7.8808043400000001</v>
      </c>
    </row>
    <row r="421" spans="1:4" x14ac:dyDescent="0.2">
      <c r="A421" s="4">
        <v>64.749527799999996</v>
      </c>
      <c r="B421" t="s">
        <v>20</v>
      </c>
      <c r="C421" t="s">
        <v>26</v>
      </c>
      <c r="D421" s="5">
        <v>7.8868330000000002</v>
      </c>
    </row>
    <row r="422" spans="1:4" x14ac:dyDescent="0.2">
      <c r="A422" s="4">
        <v>65.114333299999998</v>
      </c>
      <c r="B422" t="s">
        <v>20</v>
      </c>
      <c r="C422" t="s">
        <v>26</v>
      </c>
      <c r="D422" s="5">
        <v>7.88570539</v>
      </c>
    </row>
    <row r="423" spans="1:4" x14ac:dyDescent="0.2">
      <c r="A423" s="4">
        <v>65.479166699999993</v>
      </c>
      <c r="B423" t="s">
        <v>20</v>
      </c>
      <c r="C423" t="s">
        <v>26</v>
      </c>
      <c r="D423" s="5">
        <v>7.88570539</v>
      </c>
    </row>
    <row r="424" spans="1:4" x14ac:dyDescent="0.2">
      <c r="A424" s="4">
        <v>65.843999999999994</v>
      </c>
      <c r="B424" t="s">
        <v>20</v>
      </c>
      <c r="C424" t="s">
        <v>26</v>
      </c>
      <c r="D424" s="5">
        <v>7.8894591500000004</v>
      </c>
    </row>
    <row r="425" spans="1:4" x14ac:dyDescent="0.2">
      <c r="A425" s="4">
        <v>66.208805600000005</v>
      </c>
      <c r="B425" t="s">
        <v>20</v>
      </c>
      <c r="C425" t="s">
        <v>26</v>
      </c>
      <c r="D425" s="5">
        <v>7.8898337500000002</v>
      </c>
    </row>
    <row r="426" spans="1:4" x14ac:dyDescent="0.2">
      <c r="A426" s="4">
        <v>66.573611099999994</v>
      </c>
      <c r="B426" t="s">
        <v>20</v>
      </c>
      <c r="C426" t="s">
        <v>26</v>
      </c>
      <c r="D426" s="5">
        <v>7.8823149199999998</v>
      </c>
    </row>
    <row r="427" spans="1:4" x14ac:dyDescent="0.2">
      <c r="A427" s="4">
        <v>66.938444399999995</v>
      </c>
      <c r="B427" t="s">
        <v>20</v>
      </c>
      <c r="C427" t="s">
        <v>26</v>
      </c>
      <c r="D427" s="5">
        <v>7.8860814000000001</v>
      </c>
    </row>
    <row r="428" spans="1:4" x14ac:dyDescent="0.2">
      <c r="A428" s="4">
        <v>67.303250000000006</v>
      </c>
      <c r="B428" t="s">
        <v>20</v>
      </c>
      <c r="C428" t="s">
        <v>26</v>
      </c>
      <c r="D428" s="5">
        <v>7.8845765099999996</v>
      </c>
    </row>
    <row r="429" spans="1:4" x14ac:dyDescent="0.2">
      <c r="A429" s="4">
        <v>67.668083300000006</v>
      </c>
      <c r="B429" t="s">
        <v>20</v>
      </c>
      <c r="C429" t="s">
        <v>26</v>
      </c>
      <c r="D429" s="5">
        <v>7.8883345</v>
      </c>
    </row>
    <row r="430" spans="1:4" x14ac:dyDescent="0.2">
      <c r="A430" s="4">
        <v>68.032888900000003</v>
      </c>
      <c r="B430" t="s">
        <v>20</v>
      </c>
      <c r="C430" t="s">
        <v>26</v>
      </c>
      <c r="D430" s="5">
        <v>7.88570539</v>
      </c>
    </row>
    <row r="431" spans="1:4" x14ac:dyDescent="0.2">
      <c r="A431" s="4">
        <v>68.397722200000004</v>
      </c>
      <c r="B431" t="s">
        <v>20</v>
      </c>
      <c r="C431" t="s">
        <v>26</v>
      </c>
      <c r="D431" s="5">
        <v>7.8834463499999998</v>
      </c>
    </row>
    <row r="432" spans="1:4" x14ac:dyDescent="0.2">
      <c r="A432" s="4">
        <v>68.762527800000001</v>
      </c>
      <c r="B432" t="s">
        <v>20</v>
      </c>
      <c r="C432" t="s">
        <v>26</v>
      </c>
      <c r="D432" s="5">
        <v>7.8860814000000001</v>
      </c>
    </row>
    <row r="433" spans="1:4" x14ac:dyDescent="0.2">
      <c r="A433" s="4">
        <v>69.126861099999999</v>
      </c>
      <c r="B433" t="s">
        <v>20</v>
      </c>
      <c r="C433" t="s">
        <v>26</v>
      </c>
      <c r="D433" s="5">
        <v>7.8823149199999998</v>
      </c>
    </row>
    <row r="434" spans="1:4" x14ac:dyDescent="0.2">
      <c r="A434" s="4">
        <v>69.491666699999996</v>
      </c>
      <c r="B434" t="s">
        <v>20</v>
      </c>
      <c r="C434" t="s">
        <v>26</v>
      </c>
      <c r="D434" s="5">
        <v>7.8860814000000001</v>
      </c>
    </row>
    <row r="435" spans="1:4" x14ac:dyDescent="0.2">
      <c r="A435" s="4">
        <v>69.856499999999997</v>
      </c>
      <c r="B435" t="s">
        <v>20</v>
      </c>
      <c r="C435" t="s">
        <v>26</v>
      </c>
      <c r="D435" s="5">
        <v>7.8841999300000003</v>
      </c>
    </row>
    <row r="436" spans="1:4" x14ac:dyDescent="0.2">
      <c r="A436" s="4">
        <v>70.221305599999994</v>
      </c>
      <c r="B436" t="s">
        <v>20</v>
      </c>
      <c r="C436" t="s">
        <v>26</v>
      </c>
      <c r="D436" s="5">
        <v>7.8864572700000002</v>
      </c>
    </row>
    <row r="437" spans="1:4" x14ac:dyDescent="0.2">
      <c r="A437" s="4">
        <v>70.586138899999995</v>
      </c>
      <c r="B437" t="s">
        <v>20</v>
      </c>
      <c r="C437" t="s">
        <v>26</v>
      </c>
      <c r="D437" s="5">
        <v>7.8905825299999997</v>
      </c>
    </row>
    <row r="438" spans="1:4" x14ac:dyDescent="0.2">
      <c r="A438" s="4">
        <v>70.950972199999995</v>
      </c>
      <c r="B438" t="s">
        <v>20</v>
      </c>
      <c r="C438" t="s">
        <v>26</v>
      </c>
      <c r="D438" s="5">
        <v>7.8864572700000002</v>
      </c>
    </row>
    <row r="439" spans="1:4" x14ac:dyDescent="0.2">
      <c r="A439" s="4">
        <v>71.315777800000006</v>
      </c>
      <c r="B439" t="s">
        <v>20</v>
      </c>
      <c r="C439" t="s">
        <v>26</v>
      </c>
      <c r="D439" s="5">
        <v>7.8890844099999997</v>
      </c>
    </row>
    <row r="440" spans="1:4" x14ac:dyDescent="0.2">
      <c r="A440" s="4">
        <v>71.680611099999993</v>
      </c>
      <c r="B440" t="s">
        <v>20</v>
      </c>
      <c r="C440" t="s">
        <v>26</v>
      </c>
      <c r="D440" s="5">
        <v>7.8868330000000002</v>
      </c>
    </row>
    <row r="441" spans="1:4" x14ac:dyDescent="0.2">
      <c r="A441" s="4">
        <v>72.045416700000004</v>
      </c>
      <c r="B441" t="s">
        <v>20</v>
      </c>
      <c r="C441" t="s">
        <v>26</v>
      </c>
      <c r="D441" s="5">
        <v>7.8943180599999998</v>
      </c>
    </row>
    <row r="442" spans="1:4" x14ac:dyDescent="0.2">
      <c r="A442" s="4">
        <v>72.410277800000003</v>
      </c>
      <c r="B442" t="s">
        <v>20</v>
      </c>
      <c r="C442" t="s">
        <v>26</v>
      </c>
      <c r="D442" s="5">
        <v>7.8939451399999996</v>
      </c>
    </row>
    <row r="443" spans="1:4" x14ac:dyDescent="0.2">
      <c r="A443" s="4">
        <v>72.775083300000006</v>
      </c>
      <c r="B443" t="s">
        <v>20</v>
      </c>
      <c r="C443" t="s">
        <v>26</v>
      </c>
      <c r="D443" s="5">
        <v>7.8823149199999998</v>
      </c>
    </row>
    <row r="444" spans="1:4" x14ac:dyDescent="0.2">
      <c r="A444" s="4">
        <v>73.139916700000001</v>
      </c>
      <c r="B444" t="s">
        <v>20</v>
      </c>
      <c r="C444" t="s">
        <v>26</v>
      </c>
      <c r="D444" s="5">
        <v>7.8845765099999996</v>
      </c>
    </row>
    <row r="445" spans="1:4" x14ac:dyDescent="0.2">
      <c r="A445" s="4">
        <v>73.504722200000003</v>
      </c>
      <c r="B445" t="s">
        <v>20</v>
      </c>
      <c r="C445" t="s">
        <v>26</v>
      </c>
      <c r="D445" s="5">
        <v>7.8902082099999999</v>
      </c>
    </row>
    <row r="446" spans="1:4" x14ac:dyDescent="0.2">
      <c r="A446" s="4">
        <v>73.8695278</v>
      </c>
      <c r="B446" t="s">
        <v>20</v>
      </c>
      <c r="C446" t="s">
        <v>26</v>
      </c>
      <c r="D446" s="5">
        <v>7.8898337500000002</v>
      </c>
    </row>
    <row r="447" spans="1:4" x14ac:dyDescent="0.2">
      <c r="A447" s="4">
        <v>74.234361100000001</v>
      </c>
      <c r="B447" t="s">
        <v>20</v>
      </c>
      <c r="C447" t="s">
        <v>26</v>
      </c>
      <c r="D447" s="5">
        <v>7.8879593400000001</v>
      </c>
    </row>
    <row r="448" spans="1:4" x14ac:dyDescent="0.2">
      <c r="A448" s="4">
        <v>74.599166699999998</v>
      </c>
      <c r="B448" t="s">
        <v>20</v>
      </c>
      <c r="C448" t="s">
        <v>26</v>
      </c>
      <c r="D448" s="5">
        <v>7.8909567200000001</v>
      </c>
    </row>
    <row r="449" spans="1:4" x14ac:dyDescent="0.2">
      <c r="A449" s="4">
        <v>74.963972200000001</v>
      </c>
      <c r="B449" t="s">
        <v>20</v>
      </c>
      <c r="C449" t="s">
        <v>26</v>
      </c>
      <c r="D449" s="5">
        <v>7.8909567200000001</v>
      </c>
    </row>
    <row r="450" spans="1:4" x14ac:dyDescent="0.2">
      <c r="A450" s="4">
        <v>75.328805599999995</v>
      </c>
      <c r="B450" t="s">
        <v>20</v>
      </c>
      <c r="C450" t="s">
        <v>26</v>
      </c>
      <c r="D450" s="5">
        <v>7.8872085900000002</v>
      </c>
    </row>
    <row r="451" spans="1:4" x14ac:dyDescent="0.2">
      <c r="A451" s="4">
        <v>75.693611099999998</v>
      </c>
      <c r="B451" t="s">
        <v>20</v>
      </c>
      <c r="C451" t="s">
        <v>26</v>
      </c>
      <c r="D451" s="5">
        <v>7.8939451399999996</v>
      </c>
    </row>
    <row r="452" spans="1:4" x14ac:dyDescent="0.2">
      <c r="A452" s="4">
        <v>76.058444399999999</v>
      </c>
      <c r="B452" t="s">
        <v>20</v>
      </c>
      <c r="C452" t="s">
        <v>26</v>
      </c>
      <c r="D452" s="5">
        <v>7.8939451399999996</v>
      </c>
    </row>
    <row r="453" spans="1:4" x14ac:dyDescent="0.2">
      <c r="A453" s="4">
        <v>76.423277799999994</v>
      </c>
      <c r="B453" t="s">
        <v>20</v>
      </c>
      <c r="C453" t="s">
        <v>26</v>
      </c>
      <c r="D453" s="5">
        <v>7.8894591500000004</v>
      </c>
    </row>
    <row r="454" spans="1:4" x14ac:dyDescent="0.2">
      <c r="A454" s="4">
        <v>76.788083299999997</v>
      </c>
      <c r="B454" t="s">
        <v>20</v>
      </c>
      <c r="C454" t="s">
        <v>26</v>
      </c>
      <c r="D454" s="5">
        <v>7.8879593400000001</v>
      </c>
    </row>
    <row r="455" spans="1:4" x14ac:dyDescent="0.2">
      <c r="A455" s="4">
        <v>77.152888899999994</v>
      </c>
      <c r="B455" t="s">
        <v>20</v>
      </c>
      <c r="C455" t="s">
        <v>26</v>
      </c>
      <c r="D455" s="5">
        <v>7.8939451399999996</v>
      </c>
    </row>
    <row r="456" spans="1:4" x14ac:dyDescent="0.2">
      <c r="A456" s="4">
        <v>77.517722199999994</v>
      </c>
      <c r="B456" t="s">
        <v>20</v>
      </c>
      <c r="C456" t="s">
        <v>26</v>
      </c>
      <c r="D456" s="5">
        <v>7.8958083800000001</v>
      </c>
    </row>
    <row r="457" spans="1:4" x14ac:dyDescent="0.2">
      <c r="A457" s="4">
        <v>77.882555600000003</v>
      </c>
      <c r="B457" t="s">
        <v>20</v>
      </c>
      <c r="C457" t="s">
        <v>26</v>
      </c>
      <c r="D457" s="5">
        <v>7.8909567200000001</v>
      </c>
    </row>
    <row r="458" spans="1:4" x14ac:dyDescent="0.2">
      <c r="A458" s="4">
        <v>78.247361100000006</v>
      </c>
      <c r="B458" t="s">
        <v>20</v>
      </c>
      <c r="C458" t="s">
        <v>26</v>
      </c>
      <c r="D458" s="5">
        <v>7.8909567200000001</v>
      </c>
    </row>
    <row r="459" spans="1:4" x14ac:dyDescent="0.2">
      <c r="A459" s="4">
        <v>78.612166700000003</v>
      </c>
      <c r="B459" t="s">
        <v>20</v>
      </c>
      <c r="C459" t="s">
        <v>26</v>
      </c>
      <c r="D459" s="5">
        <v>7.8976681500000003</v>
      </c>
    </row>
    <row r="460" spans="1:4" x14ac:dyDescent="0.2">
      <c r="A460" s="4">
        <v>78.977000000000004</v>
      </c>
      <c r="B460" t="s">
        <v>20</v>
      </c>
      <c r="C460" t="s">
        <v>26</v>
      </c>
      <c r="D460" s="5">
        <v>7.8920784199999998</v>
      </c>
    </row>
    <row r="461" spans="1:4" x14ac:dyDescent="0.2">
      <c r="A461" s="4">
        <v>79.341805600000001</v>
      </c>
      <c r="B461" t="s">
        <v>20</v>
      </c>
      <c r="C461" t="s">
        <v>26</v>
      </c>
      <c r="D461" s="5">
        <v>7.8905825299999997</v>
      </c>
    </row>
    <row r="462" spans="1:4" x14ac:dyDescent="0.2">
      <c r="A462" s="4">
        <v>79.706638900000002</v>
      </c>
      <c r="B462" t="s">
        <v>20</v>
      </c>
      <c r="C462" t="s">
        <v>26</v>
      </c>
      <c r="D462" s="5">
        <v>7.8913307599999998</v>
      </c>
    </row>
    <row r="463" spans="1:4" x14ac:dyDescent="0.2">
      <c r="A463" s="4">
        <v>80.071444400000004</v>
      </c>
      <c r="B463" t="s">
        <v>20</v>
      </c>
      <c r="C463" t="s">
        <v>26</v>
      </c>
      <c r="D463" s="5">
        <v>7.8894591500000004</v>
      </c>
    </row>
    <row r="464" spans="1:4" x14ac:dyDescent="0.2">
      <c r="A464" s="4">
        <v>80.436250000000001</v>
      </c>
      <c r="B464" t="s">
        <v>20</v>
      </c>
      <c r="C464" t="s">
        <v>26</v>
      </c>
      <c r="D464" s="5">
        <v>7.8950635</v>
      </c>
    </row>
    <row r="465" spans="1:4" x14ac:dyDescent="0.2">
      <c r="A465" s="4">
        <v>80.801083300000002</v>
      </c>
      <c r="B465" t="s">
        <v>20</v>
      </c>
      <c r="C465" t="s">
        <v>26</v>
      </c>
      <c r="D465" s="5">
        <v>7.8909567200000001</v>
      </c>
    </row>
    <row r="466" spans="1:4" x14ac:dyDescent="0.2">
      <c r="A466" s="4">
        <v>81.165888899999999</v>
      </c>
      <c r="B466" t="s">
        <v>20</v>
      </c>
      <c r="C466" t="s">
        <v>26</v>
      </c>
      <c r="D466" s="5">
        <v>7.8924520400000002</v>
      </c>
    </row>
    <row r="467" spans="1:4" x14ac:dyDescent="0.2">
      <c r="A467" s="4">
        <v>81.5307222</v>
      </c>
      <c r="B467" t="s">
        <v>20</v>
      </c>
      <c r="C467" t="s">
        <v>26</v>
      </c>
      <c r="D467" s="5">
        <v>7.8913307599999998</v>
      </c>
    </row>
    <row r="468" spans="1:4" x14ac:dyDescent="0.2">
      <c r="A468" s="4">
        <v>81.895555599999994</v>
      </c>
      <c r="B468" t="s">
        <v>20</v>
      </c>
      <c r="C468" t="s">
        <v>26</v>
      </c>
      <c r="D468" s="5">
        <v>7.8924520400000002</v>
      </c>
    </row>
    <row r="469" spans="1:4" x14ac:dyDescent="0.2">
      <c r="A469" s="4">
        <v>82.260361099999997</v>
      </c>
      <c r="B469" t="s">
        <v>20</v>
      </c>
      <c r="C469" t="s">
        <v>26</v>
      </c>
      <c r="D469" s="5">
        <v>7.89319887</v>
      </c>
    </row>
    <row r="470" spans="1:4" x14ac:dyDescent="0.2">
      <c r="A470" s="4">
        <v>82.625194399999998</v>
      </c>
      <c r="B470" t="s">
        <v>20</v>
      </c>
      <c r="C470" t="s">
        <v>26</v>
      </c>
      <c r="D470" s="5">
        <v>7.8958083800000001</v>
      </c>
    </row>
    <row r="471" spans="1:4" x14ac:dyDescent="0.2">
      <c r="A471" s="4">
        <v>82.99</v>
      </c>
      <c r="B471" t="s">
        <v>20</v>
      </c>
      <c r="C471" t="s">
        <v>26</v>
      </c>
      <c r="D471" s="5">
        <v>7.89618061</v>
      </c>
    </row>
    <row r="472" spans="1:4" x14ac:dyDescent="0.2">
      <c r="A472" s="4">
        <v>83.354805600000006</v>
      </c>
      <c r="B472" t="s">
        <v>20</v>
      </c>
      <c r="C472" t="s">
        <v>26</v>
      </c>
      <c r="D472" s="5">
        <v>7.89618061</v>
      </c>
    </row>
    <row r="473" spans="1:4" x14ac:dyDescent="0.2">
      <c r="A473" s="4">
        <v>83.719638900000007</v>
      </c>
      <c r="B473" t="s">
        <v>20</v>
      </c>
      <c r="C473" t="s">
        <v>26</v>
      </c>
      <c r="D473" s="5">
        <v>7.8909567200000001</v>
      </c>
    </row>
    <row r="474" spans="1:4" x14ac:dyDescent="0.2">
      <c r="A474" s="4">
        <v>84.084472199999993</v>
      </c>
      <c r="B474" t="s">
        <v>20</v>
      </c>
      <c r="C474" t="s">
        <v>26</v>
      </c>
      <c r="D474" s="5">
        <v>7.8943180599999998</v>
      </c>
    </row>
    <row r="475" spans="1:4" x14ac:dyDescent="0.2">
      <c r="A475" s="4">
        <v>84.449277800000004</v>
      </c>
      <c r="B475" t="s">
        <v>20</v>
      </c>
      <c r="C475" t="s">
        <v>26</v>
      </c>
      <c r="D475" s="5">
        <v>7.8954360100000001</v>
      </c>
    </row>
    <row r="476" spans="1:4" x14ac:dyDescent="0.2">
      <c r="A476" s="4">
        <v>84.814111100000005</v>
      </c>
      <c r="B476" t="s">
        <v>20</v>
      </c>
      <c r="C476" t="s">
        <v>26</v>
      </c>
      <c r="D476" s="5">
        <v>7.8969246599999998</v>
      </c>
    </row>
    <row r="477" spans="1:4" x14ac:dyDescent="0.2">
      <c r="A477" s="4">
        <v>85.178916700000002</v>
      </c>
      <c r="B477" t="s">
        <v>20</v>
      </c>
      <c r="C477" t="s">
        <v>26</v>
      </c>
      <c r="D477" s="5">
        <v>7.8924520400000002</v>
      </c>
    </row>
    <row r="478" spans="1:4" x14ac:dyDescent="0.2">
      <c r="A478" s="4">
        <v>85.543750000000003</v>
      </c>
      <c r="B478" t="s">
        <v>20</v>
      </c>
      <c r="C478" t="s">
        <v>26</v>
      </c>
      <c r="D478" s="5">
        <v>7.8950635</v>
      </c>
    </row>
    <row r="479" spans="1:4" x14ac:dyDescent="0.2">
      <c r="A479" s="4">
        <v>85.9085556</v>
      </c>
      <c r="B479" t="s">
        <v>20</v>
      </c>
      <c r="C479" t="s">
        <v>26</v>
      </c>
      <c r="D479" s="5">
        <v>7.8995244700000002</v>
      </c>
    </row>
    <row r="480" spans="1:4" x14ac:dyDescent="0.2">
      <c r="A480" s="4">
        <v>86.2733889</v>
      </c>
      <c r="B480" t="s">
        <v>20</v>
      </c>
      <c r="C480" t="s">
        <v>26</v>
      </c>
      <c r="D480" s="5">
        <v>7.8976681500000003</v>
      </c>
    </row>
    <row r="481" spans="1:4" x14ac:dyDescent="0.2">
      <c r="A481" s="4">
        <v>86.638194400000003</v>
      </c>
      <c r="B481" t="s">
        <v>20</v>
      </c>
      <c r="C481" t="s">
        <v>26</v>
      </c>
      <c r="D481" s="5">
        <v>7.89319887</v>
      </c>
    </row>
    <row r="482" spans="1:4" x14ac:dyDescent="0.2">
      <c r="A482" s="4">
        <v>87.003</v>
      </c>
      <c r="B482" t="s">
        <v>20</v>
      </c>
      <c r="C482" t="s">
        <v>26</v>
      </c>
      <c r="D482" s="5">
        <v>7.8980396900000001</v>
      </c>
    </row>
    <row r="483" spans="1:4" x14ac:dyDescent="0.2">
      <c r="A483" s="4">
        <v>87.367833300000001</v>
      </c>
      <c r="B483" t="s">
        <v>20</v>
      </c>
      <c r="C483" t="s">
        <v>26</v>
      </c>
      <c r="D483" s="5">
        <v>7.8950635</v>
      </c>
    </row>
    <row r="484" spans="1:4" x14ac:dyDescent="0.2">
      <c r="A484" s="4">
        <v>87.732638899999998</v>
      </c>
      <c r="B484" t="s">
        <v>20</v>
      </c>
      <c r="C484" t="s">
        <v>26</v>
      </c>
      <c r="D484" s="5">
        <v>7.8943180599999998</v>
      </c>
    </row>
    <row r="485" spans="1:4" x14ac:dyDescent="0.2">
      <c r="A485" s="4">
        <v>88.097583299999997</v>
      </c>
      <c r="B485" t="s">
        <v>20</v>
      </c>
      <c r="C485" t="s">
        <v>26</v>
      </c>
      <c r="D485" s="5">
        <v>7.8969246599999998</v>
      </c>
    </row>
    <row r="486" spans="1:4" x14ac:dyDescent="0.2">
      <c r="A486" s="4">
        <v>88.462388899999993</v>
      </c>
      <c r="B486" t="s">
        <v>20</v>
      </c>
      <c r="C486" t="s">
        <v>26</v>
      </c>
      <c r="D486" s="5">
        <v>7.8860814000000001</v>
      </c>
    </row>
    <row r="487" spans="1:4" x14ac:dyDescent="0.2">
      <c r="A487" s="4">
        <v>88.827222199999994</v>
      </c>
      <c r="B487" t="s">
        <v>20</v>
      </c>
      <c r="C487" t="s">
        <v>26</v>
      </c>
      <c r="D487" s="5">
        <v>7.8924520400000002</v>
      </c>
    </row>
    <row r="488" spans="1:4" x14ac:dyDescent="0.2">
      <c r="A488" s="4">
        <v>89.192027800000005</v>
      </c>
      <c r="B488" t="s">
        <v>20</v>
      </c>
      <c r="C488" t="s">
        <v>26</v>
      </c>
      <c r="D488" s="5">
        <v>7.8980396900000001</v>
      </c>
    </row>
    <row r="489" spans="1:4" x14ac:dyDescent="0.2">
      <c r="A489" s="4">
        <v>89.556833299999994</v>
      </c>
      <c r="B489" t="s">
        <v>20</v>
      </c>
      <c r="C489" t="s">
        <v>26</v>
      </c>
      <c r="D489" s="5">
        <v>7.8939451399999996</v>
      </c>
    </row>
    <row r="490" spans="1:4" x14ac:dyDescent="0.2">
      <c r="A490" s="4">
        <v>89.921666700000003</v>
      </c>
      <c r="B490" t="s">
        <v>20</v>
      </c>
      <c r="C490" t="s">
        <v>26</v>
      </c>
      <c r="D490" s="5">
        <v>7.8939451399999996</v>
      </c>
    </row>
    <row r="491" spans="1:4" x14ac:dyDescent="0.2">
      <c r="A491" s="4">
        <v>90.286472200000006</v>
      </c>
      <c r="B491" t="s">
        <v>20</v>
      </c>
      <c r="C491" t="s">
        <v>26</v>
      </c>
      <c r="D491" s="5">
        <v>7.8935720700000003</v>
      </c>
    </row>
    <row r="492" spans="1:4" x14ac:dyDescent="0.2">
      <c r="A492" s="4">
        <v>90.651305600000001</v>
      </c>
      <c r="B492" t="s">
        <v>20</v>
      </c>
      <c r="C492" t="s">
        <v>26</v>
      </c>
      <c r="D492" s="5">
        <v>7.8976681500000003</v>
      </c>
    </row>
    <row r="493" spans="1:4" x14ac:dyDescent="0.2">
      <c r="A493" s="4">
        <v>91.016111100000003</v>
      </c>
      <c r="B493" t="s">
        <v>20</v>
      </c>
      <c r="C493" t="s">
        <v>26</v>
      </c>
      <c r="D493" s="5">
        <v>7.8972964699999997</v>
      </c>
    </row>
    <row r="494" spans="1:4" x14ac:dyDescent="0.2">
      <c r="A494" s="4">
        <v>91.381</v>
      </c>
      <c r="B494" t="s">
        <v>20</v>
      </c>
      <c r="C494" t="s">
        <v>26</v>
      </c>
      <c r="D494" s="5">
        <v>7.8958083800000001</v>
      </c>
    </row>
    <row r="495" spans="1:4" x14ac:dyDescent="0.2">
      <c r="A495" s="4">
        <v>91.745833300000001</v>
      </c>
      <c r="B495" t="s">
        <v>20</v>
      </c>
      <c r="C495" t="s">
        <v>26</v>
      </c>
      <c r="D495" s="5">
        <v>7.8883345</v>
      </c>
    </row>
    <row r="496" spans="1:4" x14ac:dyDescent="0.2">
      <c r="A496" s="4">
        <v>0</v>
      </c>
      <c r="B496" t="s">
        <v>20</v>
      </c>
      <c r="C496" t="s">
        <v>27</v>
      </c>
      <c r="D496" s="5">
        <v>5.4249500199999998</v>
      </c>
    </row>
    <row r="497" spans="1:4" x14ac:dyDescent="0.2">
      <c r="A497" s="4">
        <v>0.36480555999999997</v>
      </c>
      <c r="B497" t="s">
        <v>20</v>
      </c>
      <c r="C497" t="s">
        <v>27</v>
      </c>
      <c r="D497" s="5">
        <v>5.4249500199999998</v>
      </c>
    </row>
    <row r="498" spans="1:4" x14ac:dyDescent="0.2">
      <c r="A498" s="4">
        <v>0.72961111000000001</v>
      </c>
      <c r="B498" t="s">
        <v>20</v>
      </c>
      <c r="C498" t="s">
        <v>27</v>
      </c>
      <c r="D498" s="5">
        <v>5.4161004000000004</v>
      </c>
    </row>
    <row r="499" spans="1:4" x14ac:dyDescent="0.2">
      <c r="A499" s="4">
        <v>1.09441667</v>
      </c>
      <c r="B499" t="s">
        <v>20</v>
      </c>
      <c r="C499" t="s">
        <v>27</v>
      </c>
      <c r="D499" s="5">
        <v>5.4205350000000001</v>
      </c>
    </row>
    <row r="500" spans="1:4" x14ac:dyDescent="0.2">
      <c r="A500" s="4">
        <v>1.4592499999999999</v>
      </c>
      <c r="B500" t="s">
        <v>20</v>
      </c>
      <c r="C500" t="s">
        <v>27</v>
      </c>
      <c r="D500" s="5">
        <v>5.3936275499999997</v>
      </c>
    </row>
    <row r="501" spans="1:4" x14ac:dyDescent="0.2">
      <c r="A501" s="4">
        <v>1.82402778</v>
      </c>
      <c r="B501" t="s">
        <v>20</v>
      </c>
      <c r="C501" t="s">
        <v>27</v>
      </c>
      <c r="D501" s="5">
        <v>5.4116460499999999</v>
      </c>
    </row>
    <row r="502" spans="1:4" x14ac:dyDescent="0.2">
      <c r="A502" s="4">
        <v>2.1888611099999999</v>
      </c>
      <c r="B502" t="s">
        <v>20</v>
      </c>
      <c r="C502" t="s">
        <v>27</v>
      </c>
      <c r="D502" s="5">
        <v>5.4116460499999999</v>
      </c>
    </row>
    <row r="503" spans="1:4" x14ac:dyDescent="0.2">
      <c r="A503" s="4">
        <v>2.5536944400000001</v>
      </c>
      <c r="B503" t="s">
        <v>20</v>
      </c>
      <c r="C503" t="s">
        <v>27</v>
      </c>
      <c r="D503" s="5">
        <v>5.4161004000000004</v>
      </c>
    </row>
    <row r="504" spans="1:4" x14ac:dyDescent="0.2">
      <c r="A504" s="4">
        <v>2.9184999999999999</v>
      </c>
      <c r="B504" t="s">
        <v>20</v>
      </c>
      <c r="C504" t="s">
        <v>27</v>
      </c>
      <c r="D504" s="5">
        <v>5.4071717699999997</v>
      </c>
    </row>
    <row r="505" spans="1:4" x14ac:dyDescent="0.2">
      <c r="A505" s="4">
        <v>3.2833055600000001</v>
      </c>
      <c r="B505" t="s">
        <v>20</v>
      </c>
      <c r="C505" t="s">
        <v>27</v>
      </c>
      <c r="D505" s="5">
        <v>5.4071717699999997</v>
      </c>
    </row>
    <row r="506" spans="1:4" x14ac:dyDescent="0.2">
      <c r="A506" s="4">
        <v>3.6481388899999998</v>
      </c>
      <c r="B506" t="s">
        <v>20</v>
      </c>
      <c r="C506" t="s">
        <v>27</v>
      </c>
      <c r="D506" s="5">
        <v>5.3936275499999997</v>
      </c>
    </row>
    <row r="507" spans="1:4" x14ac:dyDescent="0.2">
      <c r="A507" s="4">
        <v>4.01297222</v>
      </c>
      <c r="B507" t="s">
        <v>20</v>
      </c>
      <c r="C507" t="s">
        <v>27</v>
      </c>
      <c r="D507" s="5">
        <v>5.4205350000000001</v>
      </c>
    </row>
    <row r="508" spans="1:4" x14ac:dyDescent="0.2">
      <c r="A508" s="4">
        <v>4.3777777799999997</v>
      </c>
      <c r="B508" t="s">
        <v>20</v>
      </c>
      <c r="C508" t="s">
        <v>27</v>
      </c>
      <c r="D508" s="5">
        <v>5.4205350000000001</v>
      </c>
    </row>
    <row r="509" spans="1:4" x14ac:dyDescent="0.2">
      <c r="A509" s="4">
        <v>4.7425833300000004</v>
      </c>
      <c r="B509" t="s">
        <v>20</v>
      </c>
      <c r="C509" t="s">
        <v>27</v>
      </c>
      <c r="D509" s="5">
        <v>5.4116460499999999</v>
      </c>
    </row>
    <row r="510" spans="1:4" x14ac:dyDescent="0.2">
      <c r="A510" s="4">
        <v>5.1073888900000002</v>
      </c>
      <c r="B510" t="s">
        <v>20</v>
      </c>
      <c r="C510" t="s">
        <v>27</v>
      </c>
      <c r="D510" s="5">
        <v>5.4071717699999997</v>
      </c>
    </row>
    <row r="511" spans="1:4" x14ac:dyDescent="0.2">
      <c r="A511" s="4">
        <v>5.4722222199999999</v>
      </c>
      <c r="B511" t="s">
        <v>20</v>
      </c>
      <c r="C511" t="s">
        <v>27</v>
      </c>
      <c r="D511" s="5">
        <v>5.4205350000000001</v>
      </c>
    </row>
    <row r="512" spans="1:4" x14ac:dyDescent="0.2">
      <c r="A512" s="4">
        <v>5.8370277799999997</v>
      </c>
      <c r="B512" t="s">
        <v>20</v>
      </c>
      <c r="C512" t="s">
        <v>27</v>
      </c>
      <c r="D512" s="5">
        <v>5.4205350000000001</v>
      </c>
    </row>
    <row r="513" spans="1:4" x14ac:dyDescent="0.2">
      <c r="A513" s="4">
        <v>6.2018611100000003</v>
      </c>
      <c r="B513" t="s">
        <v>20</v>
      </c>
      <c r="C513" t="s">
        <v>27</v>
      </c>
      <c r="D513" s="5">
        <v>5.4249500199999998</v>
      </c>
    </row>
    <row r="514" spans="1:4" x14ac:dyDescent="0.2">
      <c r="A514" s="4">
        <v>6.56666667</v>
      </c>
      <c r="B514" t="s">
        <v>20</v>
      </c>
      <c r="C514" t="s">
        <v>27</v>
      </c>
      <c r="D514" s="5">
        <v>5.4467373700000001</v>
      </c>
    </row>
    <row r="515" spans="1:4" x14ac:dyDescent="0.2">
      <c r="A515" s="4">
        <v>6.9314722199999999</v>
      </c>
      <c r="B515" t="s">
        <v>20</v>
      </c>
      <c r="C515" t="s">
        <v>27</v>
      </c>
      <c r="D515" s="5">
        <v>5.4467373700000001</v>
      </c>
    </row>
    <row r="516" spans="1:4" x14ac:dyDescent="0.2">
      <c r="A516" s="4">
        <v>7.2963055600000004</v>
      </c>
      <c r="B516" t="s">
        <v>20</v>
      </c>
      <c r="C516" t="s">
        <v>27</v>
      </c>
      <c r="D516" s="5">
        <v>5.4680601400000004</v>
      </c>
    </row>
    <row r="517" spans="1:4" x14ac:dyDescent="0.2">
      <c r="A517" s="4">
        <v>7.6611388900000001</v>
      </c>
      <c r="B517" t="s">
        <v>20</v>
      </c>
      <c r="C517" t="s">
        <v>27</v>
      </c>
      <c r="D517" s="5">
        <v>5.4595855100000001</v>
      </c>
    </row>
    <row r="518" spans="1:4" x14ac:dyDescent="0.2">
      <c r="A518" s="4">
        <v>8.02594444</v>
      </c>
      <c r="B518" t="s">
        <v>20</v>
      </c>
      <c r="C518" t="s">
        <v>27</v>
      </c>
      <c r="D518" s="5">
        <v>5.4764635500000001</v>
      </c>
    </row>
    <row r="519" spans="1:4" x14ac:dyDescent="0.2">
      <c r="A519" s="4">
        <v>8.3907500000000006</v>
      </c>
      <c r="B519" t="s">
        <v>20</v>
      </c>
      <c r="C519" t="s">
        <v>27</v>
      </c>
      <c r="D519" s="5">
        <v>5.4847969299999999</v>
      </c>
    </row>
    <row r="520" spans="1:4" x14ac:dyDescent="0.2">
      <c r="A520" s="4">
        <v>8.7555833300000003</v>
      </c>
      <c r="B520" t="s">
        <v>20</v>
      </c>
      <c r="C520" t="s">
        <v>27</v>
      </c>
      <c r="D520" s="5">
        <v>5.48893773</v>
      </c>
    </row>
    <row r="521" spans="1:4" x14ac:dyDescent="0.2">
      <c r="A521" s="4">
        <v>9.1204166699999991</v>
      </c>
      <c r="B521" t="s">
        <v>20</v>
      </c>
      <c r="C521" t="s">
        <v>27</v>
      </c>
      <c r="D521" s="5">
        <v>5.5093883400000001</v>
      </c>
    </row>
    <row r="522" spans="1:4" x14ac:dyDescent="0.2">
      <c r="A522" s="4">
        <v>9.4852222200000007</v>
      </c>
      <c r="B522" t="s">
        <v>20</v>
      </c>
      <c r="C522" t="s">
        <v>27</v>
      </c>
      <c r="D522" s="5">
        <v>5.5294290899999998</v>
      </c>
    </row>
    <row r="523" spans="1:4" x14ac:dyDescent="0.2">
      <c r="A523" s="4">
        <v>9.8500277799999996</v>
      </c>
      <c r="B523" t="s">
        <v>20</v>
      </c>
      <c r="C523" t="s">
        <v>27</v>
      </c>
      <c r="D523" s="5">
        <v>5.5490760799999999</v>
      </c>
    </row>
    <row r="524" spans="1:4" x14ac:dyDescent="0.2">
      <c r="A524" s="4">
        <v>10.2148611</v>
      </c>
      <c r="B524" t="s">
        <v>20</v>
      </c>
      <c r="C524" t="s">
        <v>27</v>
      </c>
      <c r="D524" s="5">
        <v>5.5683445000000003</v>
      </c>
    </row>
    <row r="525" spans="1:4" x14ac:dyDescent="0.2">
      <c r="A525" s="4">
        <v>10.579666700000001</v>
      </c>
      <c r="B525" t="s">
        <v>20</v>
      </c>
      <c r="C525" t="s">
        <v>27</v>
      </c>
      <c r="D525" s="5">
        <v>5.5947113799999997</v>
      </c>
    </row>
    <row r="526" spans="1:4" x14ac:dyDescent="0.2">
      <c r="A526" s="4">
        <v>10.9445</v>
      </c>
      <c r="B526" t="s">
        <v>20</v>
      </c>
      <c r="C526" t="s">
        <v>27</v>
      </c>
      <c r="D526" s="5">
        <v>5.6276211099999998</v>
      </c>
    </row>
    <row r="527" spans="1:4" x14ac:dyDescent="0.2">
      <c r="A527" s="4">
        <v>11.3093056</v>
      </c>
      <c r="B527" t="s">
        <v>20</v>
      </c>
      <c r="C527" t="s">
        <v>27</v>
      </c>
      <c r="D527" s="5">
        <v>5.6419070700000002</v>
      </c>
    </row>
    <row r="528" spans="1:4" x14ac:dyDescent="0.2">
      <c r="A528" s="4">
        <v>11.674138900000001</v>
      </c>
      <c r="B528" t="s">
        <v>20</v>
      </c>
      <c r="C528" t="s">
        <v>27</v>
      </c>
      <c r="D528" s="5">
        <v>5.6698809199999998</v>
      </c>
    </row>
    <row r="529" spans="1:4" x14ac:dyDescent="0.2">
      <c r="A529" s="4">
        <v>12.0389444</v>
      </c>
      <c r="B529" t="s">
        <v>20</v>
      </c>
      <c r="C529" t="s">
        <v>27</v>
      </c>
      <c r="D529" s="5">
        <v>5.7235851000000002</v>
      </c>
    </row>
    <row r="530" spans="1:4" x14ac:dyDescent="0.2">
      <c r="A530" s="4">
        <v>12.4037778</v>
      </c>
      <c r="B530" t="s">
        <v>20</v>
      </c>
      <c r="C530" t="s">
        <v>27</v>
      </c>
      <c r="D530" s="5">
        <v>5.7714411200000004</v>
      </c>
    </row>
    <row r="531" spans="1:4" x14ac:dyDescent="0.2">
      <c r="A531" s="4">
        <v>12.7685833</v>
      </c>
      <c r="B531" t="s">
        <v>20</v>
      </c>
      <c r="C531" t="s">
        <v>27</v>
      </c>
      <c r="D531" s="5">
        <v>5.8111409900000002</v>
      </c>
    </row>
    <row r="532" spans="1:4" x14ac:dyDescent="0.2">
      <c r="A532" s="4">
        <v>13.1334167</v>
      </c>
      <c r="B532" t="s">
        <v>20</v>
      </c>
      <c r="C532" t="s">
        <v>27</v>
      </c>
      <c r="D532" s="5">
        <v>5.8777357800000001</v>
      </c>
    </row>
    <row r="533" spans="1:4" x14ac:dyDescent="0.2">
      <c r="A533" s="4">
        <v>13.498222200000001</v>
      </c>
      <c r="B533" t="s">
        <v>20</v>
      </c>
      <c r="C533" t="s">
        <v>27</v>
      </c>
      <c r="D533" s="5">
        <v>5.9242558000000001</v>
      </c>
    </row>
    <row r="534" spans="1:4" x14ac:dyDescent="0.2">
      <c r="A534" s="4">
        <v>13.863055599999999</v>
      </c>
      <c r="B534" t="s">
        <v>20</v>
      </c>
      <c r="C534" t="s">
        <v>27</v>
      </c>
      <c r="D534" s="5">
        <v>5.9635793399999999</v>
      </c>
    </row>
    <row r="535" spans="1:4" x14ac:dyDescent="0.2">
      <c r="A535" s="4">
        <v>14.2278611</v>
      </c>
      <c r="B535" t="s">
        <v>20</v>
      </c>
      <c r="C535" t="s">
        <v>27</v>
      </c>
      <c r="D535" s="5">
        <v>6.0185932099999997</v>
      </c>
    </row>
    <row r="536" spans="1:4" x14ac:dyDescent="0.2">
      <c r="A536" s="4">
        <v>14.592694399999999</v>
      </c>
      <c r="B536" t="s">
        <v>20</v>
      </c>
      <c r="C536" t="s">
        <v>27</v>
      </c>
      <c r="D536" s="5">
        <v>6.0822189099999999</v>
      </c>
    </row>
    <row r="537" spans="1:4" x14ac:dyDescent="0.2">
      <c r="A537" s="4">
        <v>14.9575</v>
      </c>
      <c r="B537" t="s">
        <v>20</v>
      </c>
      <c r="C537" t="s">
        <v>27</v>
      </c>
      <c r="D537" s="5">
        <v>6.1696107299999996</v>
      </c>
    </row>
    <row r="538" spans="1:4" x14ac:dyDescent="0.2">
      <c r="A538" s="4">
        <v>15.3223333</v>
      </c>
      <c r="B538" t="s">
        <v>20</v>
      </c>
      <c r="C538" t="s">
        <v>27</v>
      </c>
      <c r="D538" s="5">
        <v>6.2344107299999996</v>
      </c>
    </row>
    <row r="539" spans="1:4" x14ac:dyDescent="0.2">
      <c r="A539" s="4">
        <v>15.687138900000001</v>
      </c>
      <c r="B539" t="s">
        <v>20</v>
      </c>
      <c r="C539" t="s">
        <v>27</v>
      </c>
      <c r="D539" s="5">
        <v>6.3297209099999998</v>
      </c>
    </row>
    <row r="540" spans="1:4" x14ac:dyDescent="0.2">
      <c r="A540" s="4">
        <v>16.051972200000002</v>
      </c>
      <c r="B540" t="s">
        <v>20</v>
      </c>
      <c r="C540" t="s">
        <v>27</v>
      </c>
      <c r="D540" s="5">
        <v>6.4199949299999997</v>
      </c>
    </row>
    <row r="541" spans="1:4" x14ac:dyDescent="0.2">
      <c r="A541" s="4">
        <v>16.416777799999998</v>
      </c>
      <c r="B541" t="s">
        <v>20</v>
      </c>
      <c r="C541" t="s">
        <v>27</v>
      </c>
      <c r="D541" s="5">
        <v>6.51025834</v>
      </c>
    </row>
    <row r="542" spans="1:4" x14ac:dyDescent="0.2">
      <c r="A542" s="4">
        <v>16.781611099999999</v>
      </c>
      <c r="B542" t="s">
        <v>20</v>
      </c>
      <c r="C542" t="s">
        <v>27</v>
      </c>
      <c r="D542" s="5">
        <v>6.6214056499999998</v>
      </c>
    </row>
    <row r="543" spans="1:4" x14ac:dyDescent="0.2">
      <c r="A543" s="4">
        <v>17.1464167</v>
      </c>
      <c r="B543" t="s">
        <v>20</v>
      </c>
      <c r="C543" t="s">
        <v>27</v>
      </c>
      <c r="D543" s="5">
        <v>6.7202201600000002</v>
      </c>
    </row>
    <row r="544" spans="1:4" x14ac:dyDescent="0.2">
      <c r="A544" s="4">
        <v>17.511222199999999</v>
      </c>
      <c r="B544" t="s">
        <v>20</v>
      </c>
      <c r="C544" t="s">
        <v>27</v>
      </c>
      <c r="D544" s="5">
        <v>6.8211074700000003</v>
      </c>
    </row>
    <row r="545" spans="1:4" x14ac:dyDescent="0.2">
      <c r="A545" s="4">
        <v>17.876055600000001</v>
      </c>
      <c r="B545" t="s">
        <v>20</v>
      </c>
      <c r="C545" t="s">
        <v>27</v>
      </c>
      <c r="D545" s="5">
        <v>6.9236286299999996</v>
      </c>
    </row>
    <row r="546" spans="1:4" x14ac:dyDescent="0.2">
      <c r="A546" s="4">
        <v>18.2408611</v>
      </c>
      <c r="B546" t="s">
        <v>20</v>
      </c>
      <c r="C546" t="s">
        <v>27</v>
      </c>
      <c r="D546" s="5">
        <v>7.0290875599999998</v>
      </c>
    </row>
    <row r="547" spans="1:4" x14ac:dyDescent="0.2">
      <c r="A547" s="4">
        <v>18.605694400000001</v>
      </c>
      <c r="B547" t="s">
        <v>20</v>
      </c>
      <c r="C547" t="s">
        <v>27</v>
      </c>
      <c r="D547" s="5">
        <v>7.1491315999999996</v>
      </c>
    </row>
    <row r="548" spans="1:4" x14ac:dyDescent="0.2">
      <c r="A548" s="4">
        <v>18.970527799999999</v>
      </c>
      <c r="B548" t="s">
        <v>20</v>
      </c>
      <c r="C548" t="s">
        <v>27</v>
      </c>
      <c r="D548" s="5">
        <v>7.2520539499999996</v>
      </c>
    </row>
    <row r="549" spans="1:4" x14ac:dyDescent="0.2">
      <c r="A549" s="4">
        <v>19.335333299999999</v>
      </c>
      <c r="B549" t="s">
        <v>20</v>
      </c>
      <c r="C549" t="s">
        <v>27</v>
      </c>
      <c r="D549" s="5">
        <v>7.3727463699999998</v>
      </c>
    </row>
    <row r="550" spans="1:4" x14ac:dyDescent="0.2">
      <c r="A550" s="4">
        <v>19.700138899999999</v>
      </c>
      <c r="B550" t="s">
        <v>20</v>
      </c>
      <c r="C550" t="s">
        <v>27</v>
      </c>
      <c r="D550" s="5">
        <v>7.48885296</v>
      </c>
    </row>
    <row r="551" spans="1:4" x14ac:dyDescent="0.2">
      <c r="A551" s="4">
        <v>20.0649722</v>
      </c>
      <c r="B551" t="s">
        <v>20</v>
      </c>
      <c r="C551" t="s">
        <v>27</v>
      </c>
      <c r="D551" s="5">
        <v>7.6123368400000002</v>
      </c>
    </row>
    <row r="552" spans="1:4" x14ac:dyDescent="0.2">
      <c r="A552" s="4">
        <v>20.4297778</v>
      </c>
      <c r="B552" t="s">
        <v>20</v>
      </c>
      <c r="C552" t="s">
        <v>27</v>
      </c>
      <c r="D552" s="5">
        <v>7.7419678999999997</v>
      </c>
    </row>
    <row r="553" spans="1:4" x14ac:dyDescent="0.2">
      <c r="A553" s="4">
        <v>20.794611100000001</v>
      </c>
      <c r="B553" t="s">
        <v>20</v>
      </c>
      <c r="C553" t="s">
        <v>27</v>
      </c>
      <c r="D553" s="5">
        <v>7.8905825299999997</v>
      </c>
    </row>
    <row r="554" spans="1:4" x14ac:dyDescent="0.2">
      <c r="A554" s="4">
        <v>21.159416700000001</v>
      </c>
      <c r="B554" t="s">
        <v>20</v>
      </c>
      <c r="C554" t="s">
        <v>27</v>
      </c>
      <c r="D554" s="5">
        <v>7.9540210900000003</v>
      </c>
    </row>
    <row r="555" spans="1:4" x14ac:dyDescent="0.2">
      <c r="A555" s="4">
        <v>21.524333299999999</v>
      </c>
      <c r="B555" t="s">
        <v>20</v>
      </c>
      <c r="C555" t="s">
        <v>27</v>
      </c>
      <c r="D555" s="5">
        <v>7.9983354000000002</v>
      </c>
    </row>
    <row r="556" spans="1:4" x14ac:dyDescent="0.2">
      <c r="A556" s="4">
        <v>21.889166700000001</v>
      </c>
      <c r="B556" t="s">
        <v>20</v>
      </c>
      <c r="C556" t="s">
        <v>27</v>
      </c>
      <c r="D556" s="5">
        <v>8.0264969399999995</v>
      </c>
    </row>
    <row r="557" spans="1:4" x14ac:dyDescent="0.2">
      <c r="A557" s="4">
        <v>22.2539722</v>
      </c>
      <c r="B557" t="s">
        <v>20</v>
      </c>
      <c r="C557" t="s">
        <v>27</v>
      </c>
      <c r="D557" s="5">
        <v>8.0274765299999995</v>
      </c>
    </row>
    <row r="558" spans="1:4" x14ac:dyDescent="0.2">
      <c r="A558" s="4">
        <v>22.6187778</v>
      </c>
      <c r="B558" t="s">
        <v>20</v>
      </c>
      <c r="C558" t="s">
        <v>27</v>
      </c>
      <c r="D558" s="5">
        <v>8.0291070500000004</v>
      </c>
    </row>
    <row r="559" spans="1:4" x14ac:dyDescent="0.2">
      <c r="A559" s="4">
        <v>22.983611100000001</v>
      </c>
      <c r="B559" t="s">
        <v>20</v>
      </c>
      <c r="C559" t="s">
        <v>27</v>
      </c>
      <c r="D559" s="5">
        <v>8.0205991500000007</v>
      </c>
    </row>
    <row r="560" spans="1:4" x14ac:dyDescent="0.2">
      <c r="A560" s="4">
        <v>23.349916700000001</v>
      </c>
      <c r="B560" t="s">
        <v>20</v>
      </c>
      <c r="C560" t="s">
        <v>27</v>
      </c>
      <c r="D560" s="5">
        <v>8.0219127799999992</v>
      </c>
    </row>
    <row r="561" spans="1:4" x14ac:dyDescent="0.2">
      <c r="A561" s="4">
        <v>23.714722200000001</v>
      </c>
      <c r="B561" t="s">
        <v>20</v>
      </c>
      <c r="C561" t="s">
        <v>27</v>
      </c>
      <c r="D561" s="5">
        <v>8.0126809300000001</v>
      </c>
    </row>
    <row r="562" spans="1:4" x14ac:dyDescent="0.2">
      <c r="A562" s="4">
        <v>24.079555599999999</v>
      </c>
      <c r="B562" t="s">
        <v>20</v>
      </c>
      <c r="C562" t="s">
        <v>27</v>
      </c>
      <c r="D562" s="5">
        <v>8.0149968900000008</v>
      </c>
    </row>
    <row r="563" spans="1:4" x14ac:dyDescent="0.2">
      <c r="A563" s="4">
        <v>24.444888899999999</v>
      </c>
      <c r="B563" t="s">
        <v>20</v>
      </c>
      <c r="C563" t="s">
        <v>27</v>
      </c>
      <c r="D563" s="5">
        <v>8.0063675700000001</v>
      </c>
    </row>
    <row r="564" spans="1:4" x14ac:dyDescent="0.2">
      <c r="A564" s="4">
        <v>24.809194399999999</v>
      </c>
      <c r="B564" t="s">
        <v>20</v>
      </c>
      <c r="C564" t="s">
        <v>27</v>
      </c>
      <c r="D564" s="5">
        <v>8.0050333400000007</v>
      </c>
    </row>
    <row r="565" spans="1:4" x14ac:dyDescent="0.2">
      <c r="A565" s="4">
        <v>25.174027800000001</v>
      </c>
      <c r="B565" t="s">
        <v>20</v>
      </c>
      <c r="C565" t="s">
        <v>27</v>
      </c>
      <c r="D565" s="5">
        <v>7.9909154600000001</v>
      </c>
    </row>
    <row r="566" spans="1:4" x14ac:dyDescent="0.2">
      <c r="A566" s="4">
        <v>25.5388333</v>
      </c>
      <c r="B566" t="s">
        <v>20</v>
      </c>
      <c r="C566" t="s">
        <v>27</v>
      </c>
      <c r="D566" s="5">
        <v>7.9926066499999999</v>
      </c>
    </row>
    <row r="567" spans="1:4" x14ac:dyDescent="0.2">
      <c r="A567" s="4">
        <v>25.903666699999999</v>
      </c>
      <c r="B567" t="s">
        <v>20</v>
      </c>
      <c r="C567" t="s">
        <v>27</v>
      </c>
      <c r="D567" s="5">
        <v>7.9919305200000004</v>
      </c>
    </row>
    <row r="568" spans="1:4" x14ac:dyDescent="0.2">
      <c r="A568" s="4">
        <v>26.268472200000001</v>
      </c>
      <c r="B568" t="s">
        <v>20</v>
      </c>
      <c r="C568" t="s">
        <v>27</v>
      </c>
      <c r="D568" s="5">
        <v>7.9830989399999996</v>
      </c>
    </row>
    <row r="569" spans="1:4" x14ac:dyDescent="0.2">
      <c r="A569" s="4">
        <v>26.6333056</v>
      </c>
      <c r="B569" t="s">
        <v>20</v>
      </c>
      <c r="C569" t="s">
        <v>27</v>
      </c>
      <c r="D569" s="5">
        <v>7.9817332900000002</v>
      </c>
    </row>
    <row r="570" spans="1:4" x14ac:dyDescent="0.2">
      <c r="A570" s="4">
        <v>26.998111099999999</v>
      </c>
      <c r="B570" t="s">
        <v>20</v>
      </c>
      <c r="C570" t="s">
        <v>27</v>
      </c>
      <c r="D570" s="5">
        <v>7.9796813000000002</v>
      </c>
    </row>
    <row r="571" spans="1:4" x14ac:dyDescent="0.2">
      <c r="A571" s="4">
        <v>27.3629444</v>
      </c>
      <c r="B571" t="s">
        <v>20</v>
      </c>
      <c r="C571" t="s">
        <v>27</v>
      </c>
      <c r="D571" s="5">
        <v>7.9807078200000001</v>
      </c>
    </row>
    <row r="572" spans="1:4" x14ac:dyDescent="0.2">
      <c r="A572" s="4">
        <v>27.72775</v>
      </c>
      <c r="B572" t="s">
        <v>20</v>
      </c>
      <c r="C572" t="s">
        <v>27</v>
      </c>
      <c r="D572" s="5">
        <v>7.9820748799999999</v>
      </c>
    </row>
    <row r="573" spans="1:4" x14ac:dyDescent="0.2">
      <c r="A573" s="4">
        <v>30.091833300000001</v>
      </c>
      <c r="B573" t="s">
        <v>20</v>
      </c>
      <c r="C573" t="s">
        <v>27</v>
      </c>
      <c r="D573" s="5">
        <v>8.0278028500000005</v>
      </c>
    </row>
    <row r="574" spans="1:4" x14ac:dyDescent="0.2">
      <c r="A574" s="4">
        <v>30.4566667</v>
      </c>
      <c r="B574" t="s">
        <v>20</v>
      </c>
      <c r="C574" t="s">
        <v>27</v>
      </c>
      <c r="D574" s="5">
        <v>8.0516595599999992</v>
      </c>
    </row>
    <row r="575" spans="1:4" x14ac:dyDescent="0.2">
      <c r="A575" s="4">
        <v>30.821472199999999</v>
      </c>
      <c r="B575" t="s">
        <v>20</v>
      </c>
      <c r="C575" t="s">
        <v>27</v>
      </c>
      <c r="D575" s="5">
        <v>8.0149968900000008</v>
      </c>
    </row>
    <row r="576" spans="1:4" x14ac:dyDescent="0.2">
      <c r="A576" s="4">
        <v>31.186305600000001</v>
      </c>
      <c r="B576" t="s">
        <v>20</v>
      </c>
      <c r="C576" t="s">
        <v>27</v>
      </c>
      <c r="D576" s="5">
        <v>7.9796813000000002</v>
      </c>
    </row>
    <row r="577" spans="1:4" x14ac:dyDescent="0.2">
      <c r="A577" s="4">
        <v>31.5511111</v>
      </c>
      <c r="B577" t="s">
        <v>20</v>
      </c>
      <c r="C577" t="s">
        <v>27</v>
      </c>
      <c r="D577" s="5">
        <v>7.9734999599999998</v>
      </c>
    </row>
    <row r="578" spans="1:4" x14ac:dyDescent="0.2">
      <c r="A578" s="4">
        <v>31.915944400000001</v>
      </c>
      <c r="B578" t="s">
        <v>20</v>
      </c>
      <c r="C578" t="s">
        <v>27</v>
      </c>
      <c r="D578" s="5">
        <v>7.9686656999999999</v>
      </c>
    </row>
    <row r="579" spans="1:4" x14ac:dyDescent="0.2">
      <c r="A579" s="4">
        <v>32.280777800000003</v>
      </c>
      <c r="B579" t="s">
        <v>20</v>
      </c>
      <c r="C579" t="s">
        <v>27</v>
      </c>
      <c r="D579" s="5">
        <v>7.9679731800000004</v>
      </c>
    </row>
    <row r="580" spans="1:4" x14ac:dyDescent="0.2">
      <c r="A580" s="4">
        <v>32.645583299999998</v>
      </c>
      <c r="B580" t="s">
        <v>20</v>
      </c>
      <c r="C580" t="s">
        <v>27</v>
      </c>
      <c r="D580" s="5">
        <v>7.96762674</v>
      </c>
    </row>
    <row r="581" spans="1:4" x14ac:dyDescent="0.2">
      <c r="A581" s="4">
        <v>33.0104167</v>
      </c>
      <c r="B581" t="s">
        <v>20</v>
      </c>
      <c r="C581" t="s">
        <v>27</v>
      </c>
      <c r="D581" s="5">
        <v>7.9599745300000002</v>
      </c>
    </row>
    <row r="582" spans="1:4" x14ac:dyDescent="0.2">
      <c r="A582" s="4">
        <v>33.375222200000003</v>
      </c>
      <c r="B582" t="s">
        <v>20</v>
      </c>
      <c r="C582" t="s">
        <v>27</v>
      </c>
      <c r="D582" s="5">
        <v>7.9547233300000002</v>
      </c>
    </row>
    <row r="583" spans="1:4" x14ac:dyDescent="0.2">
      <c r="A583" s="4">
        <v>33.7400278</v>
      </c>
      <c r="B583" t="s">
        <v>20</v>
      </c>
      <c r="C583" t="s">
        <v>27</v>
      </c>
      <c r="D583" s="5">
        <v>7.9603236300000004</v>
      </c>
    </row>
    <row r="584" spans="1:4" x14ac:dyDescent="0.2">
      <c r="A584" s="4">
        <v>34.104861100000001</v>
      </c>
      <c r="B584" t="s">
        <v>20</v>
      </c>
      <c r="C584" t="s">
        <v>27</v>
      </c>
      <c r="D584" s="5">
        <v>7.9613702000000002</v>
      </c>
    </row>
    <row r="585" spans="1:4" x14ac:dyDescent="0.2">
      <c r="A585" s="4">
        <v>34.469666699999998</v>
      </c>
      <c r="B585" t="s">
        <v>20</v>
      </c>
      <c r="C585" t="s">
        <v>27</v>
      </c>
      <c r="D585" s="5">
        <v>7.9638079499999996</v>
      </c>
    </row>
    <row r="586" spans="1:4" x14ac:dyDescent="0.2">
      <c r="A586" s="4">
        <v>34.834499999999998</v>
      </c>
      <c r="B586" t="s">
        <v>20</v>
      </c>
      <c r="C586" t="s">
        <v>27</v>
      </c>
      <c r="D586" s="5">
        <v>7.9606726099999996</v>
      </c>
    </row>
    <row r="587" spans="1:4" x14ac:dyDescent="0.2">
      <c r="A587" s="4">
        <v>35.199305600000002</v>
      </c>
      <c r="B587" t="s">
        <v>20</v>
      </c>
      <c r="C587" t="s">
        <v>27</v>
      </c>
      <c r="D587" s="5">
        <v>7.9582271899999997</v>
      </c>
    </row>
    <row r="588" spans="1:4" x14ac:dyDescent="0.2">
      <c r="A588" s="4">
        <v>35.564111099999998</v>
      </c>
      <c r="B588" t="s">
        <v>20</v>
      </c>
      <c r="C588" t="s">
        <v>27</v>
      </c>
      <c r="D588" s="5">
        <v>7.9543722700000004</v>
      </c>
    </row>
    <row r="589" spans="1:4" x14ac:dyDescent="0.2">
      <c r="A589" s="4">
        <v>35.928944399999999</v>
      </c>
      <c r="B589" t="s">
        <v>20</v>
      </c>
      <c r="C589" t="s">
        <v>27</v>
      </c>
      <c r="D589" s="5">
        <v>7.9617188199999998</v>
      </c>
    </row>
    <row r="590" spans="1:4" x14ac:dyDescent="0.2">
      <c r="A590" s="4">
        <v>36.293750000000003</v>
      </c>
      <c r="B590" t="s">
        <v>20</v>
      </c>
      <c r="C590" t="s">
        <v>27</v>
      </c>
      <c r="D590" s="5">
        <v>7.9568271199999998</v>
      </c>
    </row>
    <row r="591" spans="1:4" x14ac:dyDescent="0.2">
      <c r="A591" s="4">
        <v>36.658583299999997</v>
      </c>
      <c r="B591" t="s">
        <v>20</v>
      </c>
      <c r="C591" t="s">
        <v>27</v>
      </c>
      <c r="D591" s="5">
        <v>7.9543722700000004</v>
      </c>
    </row>
    <row r="592" spans="1:4" x14ac:dyDescent="0.2">
      <c r="A592" s="4">
        <v>37.0233889</v>
      </c>
      <c r="B592" t="s">
        <v>20</v>
      </c>
      <c r="C592" t="s">
        <v>27</v>
      </c>
      <c r="D592" s="5">
        <v>7.9568271199999998</v>
      </c>
    </row>
    <row r="593" spans="1:4" x14ac:dyDescent="0.2">
      <c r="A593" s="4">
        <v>37.388222200000001</v>
      </c>
      <c r="B593" t="s">
        <v>20</v>
      </c>
      <c r="C593" t="s">
        <v>27</v>
      </c>
      <c r="D593" s="5">
        <v>7.9550742699999999</v>
      </c>
    </row>
    <row r="594" spans="1:4" x14ac:dyDescent="0.2">
      <c r="A594" s="4">
        <v>37.753055600000003</v>
      </c>
      <c r="B594" t="s">
        <v>20</v>
      </c>
      <c r="C594" t="s">
        <v>27</v>
      </c>
      <c r="D594" s="5">
        <v>7.9700493000000003</v>
      </c>
    </row>
    <row r="595" spans="1:4" x14ac:dyDescent="0.2">
      <c r="A595" s="4">
        <v>38.117861099999999</v>
      </c>
      <c r="B595" t="s">
        <v>20</v>
      </c>
      <c r="C595" t="s">
        <v>27</v>
      </c>
      <c r="D595" s="5">
        <v>7.96762674</v>
      </c>
    </row>
    <row r="596" spans="1:4" x14ac:dyDescent="0.2">
      <c r="A596" s="4">
        <v>38.4826944</v>
      </c>
      <c r="B596" t="s">
        <v>20</v>
      </c>
      <c r="C596" t="s">
        <v>27</v>
      </c>
      <c r="D596" s="5">
        <v>7.96970358</v>
      </c>
    </row>
    <row r="597" spans="1:4" x14ac:dyDescent="0.2">
      <c r="A597" s="4">
        <v>38.847499999999997</v>
      </c>
      <c r="B597" t="s">
        <v>20</v>
      </c>
      <c r="C597" t="s">
        <v>27</v>
      </c>
      <c r="D597" s="5">
        <v>7.9571773200000004</v>
      </c>
    </row>
    <row r="598" spans="1:4" x14ac:dyDescent="0.2">
      <c r="A598" s="4">
        <v>39.212305600000001</v>
      </c>
      <c r="B598" t="s">
        <v>20</v>
      </c>
      <c r="C598" t="s">
        <v>27</v>
      </c>
      <c r="D598" s="5">
        <v>7.9494444199999998</v>
      </c>
    </row>
    <row r="599" spans="1:4" x14ac:dyDescent="0.2">
      <c r="A599" s="4">
        <v>39.577138900000001</v>
      </c>
      <c r="B599" t="s">
        <v>20</v>
      </c>
      <c r="C599" t="s">
        <v>27</v>
      </c>
      <c r="D599" s="5">
        <v>7.9613702000000002</v>
      </c>
    </row>
    <row r="600" spans="1:4" x14ac:dyDescent="0.2">
      <c r="A600" s="4">
        <v>39.941944399999997</v>
      </c>
      <c r="B600" t="s">
        <v>20</v>
      </c>
      <c r="C600" t="s">
        <v>27</v>
      </c>
      <c r="D600" s="5">
        <v>7.9547233300000002</v>
      </c>
    </row>
    <row r="601" spans="1:4" x14ac:dyDescent="0.2">
      <c r="A601" s="4">
        <v>40.306777799999999</v>
      </c>
      <c r="B601" t="s">
        <v>20</v>
      </c>
      <c r="C601" t="s">
        <v>27</v>
      </c>
      <c r="D601" s="5">
        <v>7.9476785699999999</v>
      </c>
    </row>
    <row r="602" spans="1:4" x14ac:dyDescent="0.2">
      <c r="A602" s="4">
        <v>40.6716944</v>
      </c>
      <c r="B602" t="s">
        <v>20</v>
      </c>
      <c r="C602" t="s">
        <v>27</v>
      </c>
      <c r="D602" s="5">
        <v>7.94307272</v>
      </c>
    </row>
    <row r="603" spans="1:4" x14ac:dyDescent="0.2">
      <c r="A603" s="4">
        <v>41.036499999999997</v>
      </c>
      <c r="B603" t="s">
        <v>20</v>
      </c>
      <c r="C603" t="s">
        <v>27</v>
      </c>
      <c r="D603" s="5">
        <v>7.9437826899999999</v>
      </c>
    </row>
    <row r="604" spans="1:4" x14ac:dyDescent="0.2">
      <c r="A604" s="4">
        <v>41.401333299999997</v>
      </c>
      <c r="B604" t="s">
        <v>20</v>
      </c>
      <c r="C604" t="s">
        <v>27</v>
      </c>
      <c r="D604" s="5">
        <v>7.9416512499999996</v>
      </c>
    </row>
    <row r="605" spans="1:4" x14ac:dyDescent="0.2">
      <c r="A605" s="4">
        <v>41.766166699999999</v>
      </c>
      <c r="B605" t="s">
        <v>20</v>
      </c>
      <c r="C605" t="s">
        <v>27</v>
      </c>
      <c r="D605" s="5">
        <v>7.9476785699999999</v>
      </c>
    </row>
    <row r="606" spans="1:4" x14ac:dyDescent="0.2">
      <c r="A606" s="4">
        <v>42.130972200000002</v>
      </c>
      <c r="B606" t="s">
        <v>20</v>
      </c>
      <c r="C606" t="s">
        <v>27</v>
      </c>
      <c r="D606" s="5">
        <v>7.9448467100000002</v>
      </c>
    </row>
    <row r="607" spans="1:4" x14ac:dyDescent="0.2">
      <c r="A607" s="4">
        <v>42.495805599999997</v>
      </c>
      <c r="B607" t="s">
        <v>20</v>
      </c>
      <c r="C607" t="s">
        <v>27</v>
      </c>
      <c r="D607" s="5">
        <v>7.9455554299999998</v>
      </c>
    </row>
    <row r="608" spans="1:4" x14ac:dyDescent="0.2">
      <c r="A608" s="4">
        <v>42.8606111</v>
      </c>
      <c r="B608" t="s">
        <v>20</v>
      </c>
      <c r="C608" t="s">
        <v>27</v>
      </c>
      <c r="D608" s="5">
        <v>7.9441374900000001</v>
      </c>
    </row>
    <row r="609" spans="1:4" x14ac:dyDescent="0.2">
      <c r="A609" s="4">
        <v>43.225444400000001</v>
      </c>
      <c r="B609" t="s">
        <v>20</v>
      </c>
      <c r="C609" t="s">
        <v>27</v>
      </c>
      <c r="D609" s="5">
        <v>7.9448467100000002</v>
      </c>
    </row>
    <row r="610" spans="1:4" x14ac:dyDescent="0.2">
      <c r="A610" s="4">
        <v>43.590277800000003</v>
      </c>
      <c r="B610" t="s">
        <v>20</v>
      </c>
      <c r="C610" t="s">
        <v>27</v>
      </c>
      <c r="D610" s="5">
        <v>7.94732503</v>
      </c>
    </row>
    <row r="611" spans="1:4" x14ac:dyDescent="0.2">
      <c r="A611" s="4">
        <v>43.955083299999998</v>
      </c>
      <c r="B611" t="s">
        <v>20</v>
      </c>
      <c r="C611" t="s">
        <v>27</v>
      </c>
      <c r="D611" s="5">
        <v>7.9452011300000001</v>
      </c>
    </row>
    <row r="612" spans="1:4" x14ac:dyDescent="0.2">
      <c r="A612" s="4">
        <v>44.319888900000002</v>
      </c>
      <c r="B612" t="s">
        <v>20</v>
      </c>
      <c r="C612" t="s">
        <v>27</v>
      </c>
      <c r="D612" s="5">
        <v>7.9497972199999998</v>
      </c>
    </row>
    <row r="613" spans="1:4" x14ac:dyDescent="0.2">
      <c r="A613" s="4">
        <v>44.684722200000003</v>
      </c>
      <c r="B613" t="s">
        <v>20</v>
      </c>
      <c r="C613" t="s">
        <v>27</v>
      </c>
      <c r="D613" s="5">
        <v>7.9578773600000003</v>
      </c>
    </row>
    <row r="614" spans="1:4" x14ac:dyDescent="0.2">
      <c r="A614" s="4">
        <v>45.049194399999998</v>
      </c>
      <c r="B614" t="s">
        <v>20</v>
      </c>
      <c r="C614" t="s">
        <v>27</v>
      </c>
      <c r="D614" s="5">
        <v>7.9476785699999999</v>
      </c>
    </row>
    <row r="615" spans="1:4" x14ac:dyDescent="0.2">
      <c r="A615" s="4">
        <v>45.4140278</v>
      </c>
      <c r="B615" t="s">
        <v>20</v>
      </c>
      <c r="C615" t="s">
        <v>27</v>
      </c>
      <c r="D615" s="5">
        <v>7.9515593300000003</v>
      </c>
    </row>
    <row r="616" spans="1:4" x14ac:dyDescent="0.2">
      <c r="A616" s="4">
        <v>45.778833300000002</v>
      </c>
      <c r="B616" t="s">
        <v>20</v>
      </c>
      <c r="C616" t="s">
        <v>27</v>
      </c>
      <c r="D616" s="5">
        <v>7.9402277699999999</v>
      </c>
    </row>
    <row r="617" spans="1:4" x14ac:dyDescent="0.2">
      <c r="A617" s="4">
        <v>46.143666699999997</v>
      </c>
      <c r="B617" t="s">
        <v>20</v>
      </c>
      <c r="C617" t="s">
        <v>27</v>
      </c>
      <c r="D617" s="5">
        <v>7.94307272</v>
      </c>
    </row>
    <row r="618" spans="1:4" x14ac:dyDescent="0.2">
      <c r="A618" s="4">
        <v>46.5084722</v>
      </c>
      <c r="B618" t="s">
        <v>20</v>
      </c>
      <c r="C618" t="s">
        <v>27</v>
      </c>
      <c r="D618" s="5">
        <v>7.9320031499999999</v>
      </c>
    </row>
    <row r="619" spans="1:4" x14ac:dyDescent="0.2">
      <c r="A619" s="4">
        <v>46.873305600000002</v>
      </c>
      <c r="B619" t="s">
        <v>20</v>
      </c>
      <c r="C619" t="s">
        <v>27</v>
      </c>
      <c r="D619" s="5">
        <v>7.9540210900000003</v>
      </c>
    </row>
    <row r="620" spans="1:4" x14ac:dyDescent="0.2">
      <c r="A620" s="4">
        <v>47.238111099999998</v>
      </c>
      <c r="B620" t="s">
        <v>20</v>
      </c>
      <c r="C620" t="s">
        <v>27</v>
      </c>
      <c r="D620" s="5">
        <v>7.9302062099999997</v>
      </c>
    </row>
    <row r="621" spans="1:4" x14ac:dyDescent="0.2">
      <c r="A621" s="4">
        <v>47.602944399999998</v>
      </c>
      <c r="B621" t="s">
        <v>20</v>
      </c>
      <c r="C621" t="s">
        <v>27</v>
      </c>
      <c r="D621" s="5">
        <v>7.9412955700000003</v>
      </c>
    </row>
    <row r="622" spans="1:4" x14ac:dyDescent="0.2">
      <c r="A622" s="4">
        <v>47.9677778</v>
      </c>
      <c r="B622" t="s">
        <v>20</v>
      </c>
      <c r="C622" t="s">
        <v>27</v>
      </c>
      <c r="D622" s="5">
        <v>7.9571773200000004</v>
      </c>
    </row>
    <row r="623" spans="1:4" x14ac:dyDescent="0.2">
      <c r="A623" s="4">
        <v>48.332583300000003</v>
      </c>
      <c r="B623" t="s">
        <v>20</v>
      </c>
      <c r="C623" t="s">
        <v>27</v>
      </c>
      <c r="D623" s="5">
        <v>7.9557757799999997</v>
      </c>
    </row>
    <row r="624" spans="1:4" x14ac:dyDescent="0.2">
      <c r="A624" s="4">
        <v>48.697416699999998</v>
      </c>
      <c r="B624" t="s">
        <v>20</v>
      </c>
      <c r="C624" t="s">
        <v>27</v>
      </c>
      <c r="D624" s="5">
        <v>7.9312847599999996</v>
      </c>
    </row>
    <row r="625" spans="1:4" x14ac:dyDescent="0.2">
      <c r="A625" s="4">
        <v>49.062222200000001</v>
      </c>
      <c r="B625" t="s">
        <v>20</v>
      </c>
      <c r="C625" t="s">
        <v>27</v>
      </c>
      <c r="D625" s="5">
        <v>7.9554250900000003</v>
      </c>
    </row>
    <row r="626" spans="1:4" x14ac:dyDescent="0.2">
      <c r="A626" s="4">
        <v>49.427055600000003</v>
      </c>
      <c r="B626" t="s">
        <v>20</v>
      </c>
      <c r="C626" t="s">
        <v>27</v>
      </c>
      <c r="D626" s="5">
        <v>7.9508548599999997</v>
      </c>
    </row>
    <row r="627" spans="1:4" x14ac:dyDescent="0.2">
      <c r="A627" s="4">
        <v>49.791861099999998</v>
      </c>
      <c r="B627" t="s">
        <v>20</v>
      </c>
      <c r="C627" t="s">
        <v>27</v>
      </c>
      <c r="D627" s="5">
        <v>7.9462636399999997</v>
      </c>
    </row>
    <row r="628" spans="1:4" x14ac:dyDescent="0.2">
      <c r="A628" s="4">
        <v>50.156694399999999</v>
      </c>
      <c r="B628" t="s">
        <v>20</v>
      </c>
      <c r="C628" t="s">
        <v>27</v>
      </c>
      <c r="D628" s="5">
        <v>7.9359450999999996</v>
      </c>
    </row>
    <row r="629" spans="1:4" x14ac:dyDescent="0.2">
      <c r="A629" s="4">
        <v>50.521500000000003</v>
      </c>
      <c r="B629" t="s">
        <v>20</v>
      </c>
      <c r="C629" t="s">
        <v>27</v>
      </c>
      <c r="D629" s="5">
        <v>7.9244341800000004</v>
      </c>
    </row>
    <row r="630" spans="1:4" x14ac:dyDescent="0.2">
      <c r="A630" s="4">
        <v>50.886333299999997</v>
      </c>
      <c r="B630" t="s">
        <v>20</v>
      </c>
      <c r="C630" t="s">
        <v>27</v>
      </c>
      <c r="D630" s="5">
        <v>7.9309253699999998</v>
      </c>
    </row>
    <row r="631" spans="1:4" x14ac:dyDescent="0.2">
      <c r="A631" s="4">
        <v>51.251138900000001</v>
      </c>
      <c r="B631" t="s">
        <v>20</v>
      </c>
      <c r="C631" t="s">
        <v>27</v>
      </c>
      <c r="D631" s="5">
        <v>7.9512071600000001</v>
      </c>
    </row>
    <row r="632" spans="1:4" x14ac:dyDescent="0.2">
      <c r="A632" s="4">
        <v>51.615972200000002</v>
      </c>
      <c r="B632" t="s">
        <v>20</v>
      </c>
      <c r="C632" t="s">
        <v>27</v>
      </c>
      <c r="D632" s="5">
        <v>7.9448467100000002</v>
      </c>
    </row>
    <row r="633" spans="1:4" x14ac:dyDescent="0.2">
      <c r="A633" s="4">
        <v>51.980888899999997</v>
      </c>
      <c r="B633" t="s">
        <v>20</v>
      </c>
      <c r="C633" t="s">
        <v>27</v>
      </c>
      <c r="D633" s="5">
        <v>7.9522633100000002</v>
      </c>
    </row>
    <row r="634" spans="1:4" x14ac:dyDescent="0.2">
      <c r="A634" s="4">
        <v>52.345694399999999</v>
      </c>
      <c r="B634" t="s">
        <v>20</v>
      </c>
      <c r="C634" t="s">
        <v>27</v>
      </c>
      <c r="D634" s="5">
        <v>7.9455554299999998</v>
      </c>
    </row>
    <row r="635" spans="1:4" x14ac:dyDescent="0.2">
      <c r="A635" s="4">
        <v>52.710527800000001</v>
      </c>
      <c r="B635" t="s">
        <v>20</v>
      </c>
      <c r="C635" t="s">
        <v>27</v>
      </c>
      <c r="D635" s="5">
        <v>7.9480319899999996</v>
      </c>
    </row>
    <row r="636" spans="1:4" x14ac:dyDescent="0.2">
      <c r="A636" s="4">
        <v>53.075333299999997</v>
      </c>
      <c r="B636" t="s">
        <v>20</v>
      </c>
      <c r="C636" t="s">
        <v>27</v>
      </c>
      <c r="D636" s="5">
        <v>7.9298464299999996</v>
      </c>
    </row>
    <row r="637" spans="1:4" x14ac:dyDescent="0.2">
      <c r="A637" s="4">
        <v>53.440166699999999</v>
      </c>
      <c r="B637" t="s">
        <v>20</v>
      </c>
      <c r="C637" t="s">
        <v>27</v>
      </c>
      <c r="D637" s="5">
        <v>7.9373747000000003</v>
      </c>
    </row>
    <row r="638" spans="1:4" x14ac:dyDescent="0.2">
      <c r="A638" s="4">
        <v>53.805</v>
      </c>
      <c r="B638" t="s">
        <v>20</v>
      </c>
      <c r="C638" t="s">
        <v>27</v>
      </c>
      <c r="D638" s="5">
        <v>7.92768505</v>
      </c>
    </row>
    <row r="639" spans="1:4" x14ac:dyDescent="0.2">
      <c r="A639" s="4">
        <v>54.169805599999997</v>
      </c>
      <c r="B639" t="s">
        <v>20</v>
      </c>
      <c r="C639" t="s">
        <v>27</v>
      </c>
      <c r="D639" s="5">
        <v>7.95331835</v>
      </c>
    </row>
    <row r="640" spans="1:4" x14ac:dyDescent="0.2">
      <c r="A640" s="4">
        <v>54.534638899999997</v>
      </c>
      <c r="B640" t="s">
        <v>20</v>
      </c>
      <c r="C640" t="s">
        <v>27</v>
      </c>
      <c r="D640" s="5">
        <v>7.9294865200000002</v>
      </c>
    </row>
    <row r="641" spans="1:4" x14ac:dyDescent="0.2">
      <c r="A641" s="4">
        <v>54.8994444</v>
      </c>
      <c r="B641" t="s">
        <v>20</v>
      </c>
      <c r="C641" t="s">
        <v>27</v>
      </c>
      <c r="D641" s="5">
        <v>7.92696354</v>
      </c>
    </row>
    <row r="642" spans="1:4" x14ac:dyDescent="0.2">
      <c r="A642" s="4">
        <v>55.264249999999997</v>
      </c>
      <c r="B642" t="s">
        <v>20</v>
      </c>
      <c r="C642" t="s">
        <v>27</v>
      </c>
      <c r="D642" s="5">
        <v>7.9323621500000003</v>
      </c>
    </row>
    <row r="643" spans="1:4" x14ac:dyDescent="0.2">
      <c r="A643" s="4">
        <v>55.629083299999998</v>
      </c>
      <c r="B643" t="s">
        <v>20</v>
      </c>
      <c r="C643" t="s">
        <v>27</v>
      </c>
      <c r="D643" s="5">
        <v>7.94307272</v>
      </c>
    </row>
    <row r="644" spans="1:4" x14ac:dyDescent="0.2">
      <c r="A644" s="4">
        <v>55.993888900000002</v>
      </c>
      <c r="B644" t="s">
        <v>20</v>
      </c>
      <c r="C644" t="s">
        <v>27</v>
      </c>
      <c r="D644" s="5">
        <v>7.9215356300000002</v>
      </c>
    </row>
    <row r="645" spans="1:4" x14ac:dyDescent="0.2">
      <c r="A645" s="4">
        <v>56.358722200000003</v>
      </c>
      <c r="B645" t="s">
        <v>20</v>
      </c>
      <c r="C645" t="s">
        <v>27</v>
      </c>
      <c r="D645" s="5">
        <v>7.9459096000000002</v>
      </c>
    </row>
    <row r="646" spans="1:4" x14ac:dyDescent="0.2">
      <c r="A646" s="4">
        <v>56.723555599999997</v>
      </c>
      <c r="B646" t="s">
        <v>20</v>
      </c>
      <c r="C646" t="s">
        <v>27</v>
      </c>
      <c r="D646" s="5">
        <v>7.9452011300000001</v>
      </c>
    </row>
    <row r="647" spans="1:4" x14ac:dyDescent="0.2">
      <c r="A647" s="4">
        <v>57.0883611</v>
      </c>
      <c r="B647" t="s">
        <v>20</v>
      </c>
      <c r="C647" t="s">
        <v>27</v>
      </c>
      <c r="D647" s="5">
        <v>7.9505024300000002</v>
      </c>
    </row>
    <row r="648" spans="1:4" x14ac:dyDescent="0.2">
      <c r="A648" s="4">
        <v>57.453194400000001</v>
      </c>
      <c r="B648" t="s">
        <v>20</v>
      </c>
      <c r="C648" t="s">
        <v>27</v>
      </c>
      <c r="D648" s="5">
        <v>7.94661756</v>
      </c>
    </row>
    <row r="649" spans="1:4" x14ac:dyDescent="0.2">
      <c r="A649" s="4">
        <v>57.817999999999998</v>
      </c>
      <c r="B649" t="s">
        <v>20</v>
      </c>
      <c r="C649" t="s">
        <v>27</v>
      </c>
      <c r="D649" s="5">
        <v>7.9273243600000001</v>
      </c>
    </row>
    <row r="650" spans="1:4" x14ac:dyDescent="0.2">
      <c r="A650" s="4">
        <v>58.182833299999999</v>
      </c>
      <c r="B650" t="s">
        <v>20</v>
      </c>
      <c r="C650" t="s">
        <v>27</v>
      </c>
      <c r="D650" s="5">
        <v>7.94093976</v>
      </c>
    </row>
    <row r="651" spans="1:4" x14ac:dyDescent="0.2">
      <c r="A651" s="4">
        <v>58.547638900000003</v>
      </c>
      <c r="B651" t="s">
        <v>20</v>
      </c>
      <c r="C651" t="s">
        <v>27</v>
      </c>
      <c r="D651" s="5">
        <v>7.9459096000000002</v>
      </c>
    </row>
    <row r="652" spans="1:4" x14ac:dyDescent="0.2">
      <c r="A652" s="4">
        <v>58.912472200000003</v>
      </c>
      <c r="B652" t="s">
        <v>20</v>
      </c>
      <c r="C652" t="s">
        <v>27</v>
      </c>
      <c r="D652" s="5">
        <v>7.92768505</v>
      </c>
    </row>
    <row r="653" spans="1:4" x14ac:dyDescent="0.2">
      <c r="A653" s="4">
        <v>59.2772778</v>
      </c>
      <c r="B653" t="s">
        <v>20</v>
      </c>
      <c r="C653" t="s">
        <v>27</v>
      </c>
      <c r="D653" s="5">
        <v>7.9448467100000002</v>
      </c>
    </row>
    <row r="654" spans="1:4" x14ac:dyDescent="0.2">
      <c r="A654" s="4">
        <v>59.642083300000003</v>
      </c>
      <c r="B654" t="s">
        <v>20</v>
      </c>
      <c r="C654" t="s">
        <v>27</v>
      </c>
      <c r="D654" s="5">
        <v>7.9427175400000003</v>
      </c>
    </row>
    <row r="655" spans="1:4" x14ac:dyDescent="0.2">
      <c r="A655" s="4">
        <v>60.0068889</v>
      </c>
      <c r="B655" t="s">
        <v>20</v>
      </c>
      <c r="C655" t="s">
        <v>27</v>
      </c>
      <c r="D655" s="5">
        <v>7.9298464299999996</v>
      </c>
    </row>
    <row r="656" spans="1:4" x14ac:dyDescent="0.2">
      <c r="A656" s="4">
        <v>60.371722200000001</v>
      </c>
      <c r="B656" t="s">
        <v>20</v>
      </c>
      <c r="C656" t="s">
        <v>27</v>
      </c>
      <c r="D656" s="5">
        <v>7.9395152600000003</v>
      </c>
    </row>
    <row r="657" spans="1:4" x14ac:dyDescent="0.2">
      <c r="A657" s="4">
        <v>60.736527799999998</v>
      </c>
      <c r="B657" t="s">
        <v>20</v>
      </c>
      <c r="C657" t="s">
        <v>27</v>
      </c>
      <c r="D657" s="5">
        <v>7.9157131999999999</v>
      </c>
    </row>
    <row r="658" spans="1:4" x14ac:dyDescent="0.2">
      <c r="A658" s="4">
        <v>61.1013333</v>
      </c>
      <c r="B658" t="s">
        <v>20</v>
      </c>
      <c r="C658" t="s">
        <v>27</v>
      </c>
      <c r="D658" s="5">
        <v>7.9391588200000003</v>
      </c>
    </row>
    <row r="659" spans="1:4" x14ac:dyDescent="0.2">
      <c r="A659" s="4">
        <v>61.466166700000002</v>
      </c>
      <c r="B659" t="s">
        <v>20</v>
      </c>
      <c r="C659" t="s">
        <v>27</v>
      </c>
      <c r="D659" s="5">
        <v>7.9334383900000001</v>
      </c>
    </row>
    <row r="660" spans="1:4" x14ac:dyDescent="0.2">
      <c r="A660" s="4">
        <v>61.830972199999998</v>
      </c>
      <c r="B660" t="s">
        <v>20</v>
      </c>
      <c r="C660" t="s">
        <v>27</v>
      </c>
      <c r="D660" s="5">
        <v>7.9294865200000002</v>
      </c>
    </row>
    <row r="661" spans="1:4" x14ac:dyDescent="0.2">
      <c r="A661" s="4">
        <v>62.1958056</v>
      </c>
      <c r="B661" t="s">
        <v>20</v>
      </c>
      <c r="C661" t="s">
        <v>27</v>
      </c>
      <c r="D661" s="5">
        <v>7.9348715700000003</v>
      </c>
    </row>
    <row r="662" spans="1:4" x14ac:dyDescent="0.2">
      <c r="A662" s="4">
        <v>62.560638900000001</v>
      </c>
      <c r="B662" t="s">
        <v>20</v>
      </c>
      <c r="C662" t="s">
        <v>27</v>
      </c>
      <c r="D662" s="5">
        <v>7.93307977</v>
      </c>
    </row>
    <row r="663" spans="1:4" x14ac:dyDescent="0.2">
      <c r="A663" s="4">
        <v>62.925444400000003</v>
      </c>
      <c r="B663" t="s">
        <v>20</v>
      </c>
      <c r="C663" t="s">
        <v>27</v>
      </c>
      <c r="D663" s="5">
        <v>7.9334383900000001</v>
      </c>
    </row>
    <row r="664" spans="1:4" x14ac:dyDescent="0.2">
      <c r="A664" s="4">
        <v>63.29025</v>
      </c>
      <c r="B664" t="s">
        <v>20</v>
      </c>
      <c r="C664" t="s">
        <v>27</v>
      </c>
      <c r="D664" s="5">
        <v>7.9373747000000003</v>
      </c>
    </row>
    <row r="665" spans="1:4" x14ac:dyDescent="0.2">
      <c r="A665" s="4">
        <v>63.655083300000001</v>
      </c>
      <c r="B665" t="s">
        <v>20</v>
      </c>
      <c r="C665" t="s">
        <v>27</v>
      </c>
      <c r="D665" s="5">
        <v>7.9316440200000002</v>
      </c>
    </row>
    <row r="666" spans="1:4" x14ac:dyDescent="0.2">
      <c r="A666" s="4">
        <v>64.019888899999998</v>
      </c>
      <c r="B666" t="s">
        <v>20</v>
      </c>
      <c r="C666" t="s">
        <v>27</v>
      </c>
      <c r="D666" s="5">
        <v>7.9334383900000001</v>
      </c>
    </row>
    <row r="667" spans="1:4" x14ac:dyDescent="0.2">
      <c r="A667" s="4">
        <v>64.384694400000001</v>
      </c>
      <c r="B667" t="s">
        <v>20</v>
      </c>
      <c r="C667" t="s">
        <v>27</v>
      </c>
      <c r="D667" s="5">
        <v>7.92768505</v>
      </c>
    </row>
    <row r="668" spans="1:4" x14ac:dyDescent="0.2">
      <c r="A668" s="4">
        <v>64.749527799999996</v>
      </c>
      <c r="B668" t="s">
        <v>20</v>
      </c>
      <c r="C668" t="s">
        <v>27</v>
      </c>
      <c r="D668" s="5">
        <v>7.9287663200000003</v>
      </c>
    </row>
    <row r="669" spans="1:4" x14ac:dyDescent="0.2">
      <c r="A669" s="4">
        <v>65.114333299999998</v>
      </c>
      <c r="B669" t="s">
        <v>20</v>
      </c>
      <c r="C669" t="s">
        <v>27</v>
      </c>
      <c r="D669" s="5">
        <v>7.9302062099999997</v>
      </c>
    </row>
    <row r="670" spans="1:4" x14ac:dyDescent="0.2">
      <c r="A670" s="4">
        <v>65.479166699999993</v>
      </c>
      <c r="B670" t="s">
        <v>20</v>
      </c>
      <c r="C670" t="s">
        <v>27</v>
      </c>
      <c r="D670" s="5">
        <v>7.9327210299999997</v>
      </c>
    </row>
    <row r="671" spans="1:4" x14ac:dyDescent="0.2">
      <c r="A671" s="4">
        <v>65.843999999999994</v>
      </c>
      <c r="B671" t="s">
        <v>20</v>
      </c>
      <c r="C671" t="s">
        <v>27</v>
      </c>
      <c r="D671" s="5">
        <v>7.9345134599999998</v>
      </c>
    </row>
    <row r="672" spans="1:4" x14ac:dyDescent="0.2">
      <c r="A672" s="4">
        <v>66.208805600000005</v>
      </c>
      <c r="B672" t="s">
        <v>20</v>
      </c>
      <c r="C672" t="s">
        <v>27</v>
      </c>
      <c r="D672" s="5">
        <v>7.9294865200000002</v>
      </c>
    </row>
    <row r="673" spans="1:4" x14ac:dyDescent="0.2">
      <c r="A673" s="4">
        <v>66.573611099999994</v>
      </c>
      <c r="B673" t="s">
        <v>20</v>
      </c>
      <c r="C673" t="s">
        <v>27</v>
      </c>
      <c r="D673" s="5">
        <v>7.9262415199999996</v>
      </c>
    </row>
    <row r="674" spans="1:4" x14ac:dyDescent="0.2">
      <c r="A674" s="4">
        <v>66.938444399999995</v>
      </c>
      <c r="B674" t="s">
        <v>20</v>
      </c>
      <c r="C674" t="s">
        <v>27</v>
      </c>
      <c r="D674" s="5">
        <v>7.9298464299999996</v>
      </c>
    </row>
    <row r="675" spans="1:4" x14ac:dyDescent="0.2">
      <c r="A675" s="4">
        <v>67.303250000000006</v>
      </c>
      <c r="B675" t="s">
        <v>20</v>
      </c>
      <c r="C675" t="s">
        <v>27</v>
      </c>
      <c r="D675" s="5">
        <v>7.9258803200000001</v>
      </c>
    </row>
    <row r="676" spans="1:4" x14ac:dyDescent="0.2">
      <c r="A676" s="4">
        <v>67.668083300000006</v>
      </c>
      <c r="B676" t="s">
        <v>20</v>
      </c>
      <c r="C676" t="s">
        <v>27</v>
      </c>
      <c r="D676" s="5">
        <v>7.93307977</v>
      </c>
    </row>
    <row r="677" spans="1:4" x14ac:dyDescent="0.2">
      <c r="A677" s="4">
        <v>68.032888900000003</v>
      </c>
      <c r="B677" t="s">
        <v>20</v>
      </c>
      <c r="C677" t="s">
        <v>27</v>
      </c>
      <c r="D677" s="5">
        <v>7.9359450999999996</v>
      </c>
    </row>
    <row r="678" spans="1:4" x14ac:dyDescent="0.2">
      <c r="A678" s="4">
        <v>68.397722200000004</v>
      </c>
      <c r="B678" t="s">
        <v>20</v>
      </c>
      <c r="C678" t="s">
        <v>27</v>
      </c>
      <c r="D678" s="5">
        <v>7.92515751</v>
      </c>
    </row>
    <row r="679" spans="1:4" x14ac:dyDescent="0.2">
      <c r="A679" s="4">
        <v>68.762527800000001</v>
      </c>
      <c r="B679" t="s">
        <v>20</v>
      </c>
      <c r="C679" t="s">
        <v>27</v>
      </c>
      <c r="D679" s="5">
        <v>7.9323621500000003</v>
      </c>
    </row>
    <row r="680" spans="1:4" x14ac:dyDescent="0.2">
      <c r="A680" s="4">
        <v>69.126861099999999</v>
      </c>
      <c r="B680" t="s">
        <v>20</v>
      </c>
      <c r="C680" t="s">
        <v>27</v>
      </c>
      <c r="D680" s="5">
        <v>7.9302062099999997</v>
      </c>
    </row>
    <row r="681" spans="1:4" x14ac:dyDescent="0.2">
      <c r="A681" s="4">
        <v>69.491666699999996</v>
      </c>
      <c r="B681" t="s">
        <v>20</v>
      </c>
      <c r="C681" t="s">
        <v>27</v>
      </c>
      <c r="D681" s="5">
        <v>7.9309253699999998</v>
      </c>
    </row>
    <row r="682" spans="1:4" x14ac:dyDescent="0.2">
      <c r="A682" s="4">
        <v>69.856499999999997</v>
      </c>
      <c r="B682" t="s">
        <v>20</v>
      </c>
      <c r="C682" t="s">
        <v>27</v>
      </c>
      <c r="D682" s="5">
        <v>7.9302062099999997</v>
      </c>
    </row>
    <row r="683" spans="1:4" x14ac:dyDescent="0.2">
      <c r="A683" s="4">
        <v>70.221305599999994</v>
      </c>
      <c r="B683" t="s">
        <v>20</v>
      </c>
      <c r="C683" t="s">
        <v>27</v>
      </c>
      <c r="D683" s="5">
        <v>7.9186286499999996</v>
      </c>
    </row>
    <row r="684" spans="1:4" x14ac:dyDescent="0.2">
      <c r="A684" s="4">
        <v>70.586138899999995</v>
      </c>
      <c r="B684" t="s">
        <v>20</v>
      </c>
      <c r="C684" t="s">
        <v>27</v>
      </c>
      <c r="D684" s="5">
        <v>7.9229859600000001</v>
      </c>
    </row>
    <row r="685" spans="1:4" x14ac:dyDescent="0.2">
      <c r="A685" s="4">
        <v>70.950972199999995</v>
      </c>
      <c r="B685" t="s">
        <v>20</v>
      </c>
      <c r="C685" t="s">
        <v>27</v>
      </c>
      <c r="D685" s="5">
        <v>7.9305658499999998</v>
      </c>
    </row>
    <row r="686" spans="1:4" x14ac:dyDescent="0.2">
      <c r="A686" s="4">
        <v>71.315777800000006</v>
      </c>
      <c r="B686" t="s">
        <v>20</v>
      </c>
      <c r="C686" t="s">
        <v>27</v>
      </c>
      <c r="D686" s="5">
        <v>7.9244341800000004</v>
      </c>
    </row>
    <row r="687" spans="1:4" x14ac:dyDescent="0.2">
      <c r="A687" s="4">
        <v>71.680611099999993</v>
      </c>
      <c r="B687" t="s">
        <v>20</v>
      </c>
      <c r="C687" t="s">
        <v>27</v>
      </c>
      <c r="D687" s="5">
        <v>7.92768505</v>
      </c>
    </row>
    <row r="688" spans="1:4" x14ac:dyDescent="0.2">
      <c r="A688" s="4">
        <v>72.045416700000004</v>
      </c>
      <c r="B688" t="s">
        <v>20</v>
      </c>
      <c r="C688" t="s">
        <v>27</v>
      </c>
      <c r="D688" s="5">
        <v>7.9244341800000004</v>
      </c>
    </row>
    <row r="689" spans="1:4" x14ac:dyDescent="0.2">
      <c r="A689" s="4">
        <v>72.410277800000003</v>
      </c>
      <c r="B689" t="s">
        <v>20</v>
      </c>
      <c r="C689" t="s">
        <v>27</v>
      </c>
      <c r="D689" s="5">
        <v>7.9294865200000002</v>
      </c>
    </row>
    <row r="690" spans="1:4" x14ac:dyDescent="0.2">
      <c r="A690" s="4">
        <v>72.775083300000006</v>
      </c>
      <c r="B690" t="s">
        <v>20</v>
      </c>
      <c r="C690" t="s">
        <v>27</v>
      </c>
      <c r="D690" s="5">
        <v>7.9189924899999999</v>
      </c>
    </row>
    <row r="691" spans="1:4" x14ac:dyDescent="0.2">
      <c r="A691" s="4">
        <v>73.139916700000001</v>
      </c>
      <c r="B691" t="s">
        <v>20</v>
      </c>
      <c r="C691" t="s">
        <v>27</v>
      </c>
      <c r="D691" s="5">
        <v>7.9284060299999997</v>
      </c>
    </row>
    <row r="692" spans="1:4" x14ac:dyDescent="0.2">
      <c r="A692" s="4">
        <v>73.504722200000003</v>
      </c>
      <c r="B692" t="s">
        <v>20</v>
      </c>
      <c r="C692" t="s">
        <v>27</v>
      </c>
      <c r="D692" s="5">
        <v>7.9222610600000003</v>
      </c>
    </row>
    <row r="693" spans="1:4" x14ac:dyDescent="0.2">
      <c r="A693" s="4">
        <v>73.8695278</v>
      </c>
      <c r="B693" t="s">
        <v>20</v>
      </c>
      <c r="C693" t="s">
        <v>27</v>
      </c>
      <c r="D693" s="5">
        <v>7.9284060299999997</v>
      </c>
    </row>
    <row r="694" spans="1:4" x14ac:dyDescent="0.2">
      <c r="A694" s="4">
        <v>74.234361100000001</v>
      </c>
      <c r="B694" t="s">
        <v>20</v>
      </c>
      <c r="C694" t="s">
        <v>27</v>
      </c>
      <c r="D694" s="5">
        <v>7.9157131999999999</v>
      </c>
    </row>
    <row r="695" spans="1:4" x14ac:dyDescent="0.2">
      <c r="A695" s="4">
        <v>74.599166699999998</v>
      </c>
      <c r="B695" t="s">
        <v>20</v>
      </c>
      <c r="C695" t="s">
        <v>27</v>
      </c>
      <c r="D695" s="5">
        <v>7.9175363499999998</v>
      </c>
    </row>
    <row r="696" spans="1:4" x14ac:dyDescent="0.2">
      <c r="A696" s="4">
        <v>74.963972200000001</v>
      </c>
      <c r="B696" t="s">
        <v>20</v>
      </c>
      <c r="C696" t="s">
        <v>27</v>
      </c>
      <c r="D696" s="5">
        <v>7.9189924899999999</v>
      </c>
    </row>
    <row r="697" spans="1:4" x14ac:dyDescent="0.2">
      <c r="A697" s="4">
        <v>75.328805599999995</v>
      </c>
      <c r="B697" t="s">
        <v>20</v>
      </c>
      <c r="C697" t="s">
        <v>27</v>
      </c>
      <c r="D697" s="5">
        <v>7.9287663200000003</v>
      </c>
    </row>
    <row r="698" spans="1:4" x14ac:dyDescent="0.2">
      <c r="A698" s="4">
        <v>75.693611099999998</v>
      </c>
      <c r="B698" t="s">
        <v>20</v>
      </c>
      <c r="C698" t="s">
        <v>27</v>
      </c>
      <c r="D698" s="5">
        <v>7.9193561900000002</v>
      </c>
    </row>
    <row r="699" spans="1:4" x14ac:dyDescent="0.2">
      <c r="A699" s="4">
        <v>76.058444399999999</v>
      </c>
      <c r="B699" t="s">
        <v>20</v>
      </c>
      <c r="C699" t="s">
        <v>27</v>
      </c>
      <c r="D699" s="5">
        <v>7.9229859600000001</v>
      </c>
    </row>
    <row r="700" spans="1:4" x14ac:dyDescent="0.2">
      <c r="A700" s="4">
        <v>76.423277799999994</v>
      </c>
      <c r="B700" t="s">
        <v>20</v>
      </c>
      <c r="C700" t="s">
        <v>27</v>
      </c>
      <c r="D700" s="5">
        <v>7.9189924899999999</v>
      </c>
    </row>
    <row r="701" spans="1:4" x14ac:dyDescent="0.2">
      <c r="A701" s="4">
        <v>76.788083299999997</v>
      </c>
      <c r="B701" t="s">
        <v>20</v>
      </c>
      <c r="C701" t="s">
        <v>27</v>
      </c>
      <c r="D701" s="5">
        <v>7.9153481699999997</v>
      </c>
    </row>
    <row r="702" spans="1:4" x14ac:dyDescent="0.2">
      <c r="A702" s="4">
        <v>77.152888899999994</v>
      </c>
      <c r="B702" t="s">
        <v>20</v>
      </c>
      <c r="C702" t="s">
        <v>27</v>
      </c>
      <c r="D702" s="5">
        <v>7.9211727200000004</v>
      </c>
    </row>
    <row r="703" spans="1:4" x14ac:dyDescent="0.2">
      <c r="A703" s="4">
        <v>77.517722199999994</v>
      </c>
      <c r="B703" t="s">
        <v>20</v>
      </c>
      <c r="C703" t="s">
        <v>27</v>
      </c>
      <c r="D703" s="5">
        <v>7.9200831999999997</v>
      </c>
    </row>
    <row r="704" spans="1:4" x14ac:dyDescent="0.2">
      <c r="A704" s="4">
        <v>77.882555600000003</v>
      </c>
      <c r="B704" t="s">
        <v>20</v>
      </c>
      <c r="C704" t="s">
        <v>27</v>
      </c>
      <c r="D704" s="5">
        <v>7.9179005900000003</v>
      </c>
    </row>
    <row r="705" spans="1:4" x14ac:dyDescent="0.2">
      <c r="A705" s="4">
        <v>78.247361100000006</v>
      </c>
      <c r="B705" t="s">
        <v>20</v>
      </c>
      <c r="C705" t="s">
        <v>27</v>
      </c>
      <c r="D705" s="5">
        <v>7.9222610600000003</v>
      </c>
    </row>
    <row r="706" spans="1:4" x14ac:dyDescent="0.2">
      <c r="A706" s="4">
        <v>78.612166700000003</v>
      </c>
      <c r="B706" t="s">
        <v>20</v>
      </c>
      <c r="C706" t="s">
        <v>27</v>
      </c>
      <c r="D706" s="5">
        <v>7.9138867099999999</v>
      </c>
    </row>
    <row r="707" spans="1:4" x14ac:dyDescent="0.2">
      <c r="A707" s="4">
        <v>78.977000000000004</v>
      </c>
      <c r="B707" t="s">
        <v>20</v>
      </c>
      <c r="C707" t="s">
        <v>27</v>
      </c>
      <c r="D707" s="5">
        <v>7.9229859600000001</v>
      </c>
    </row>
    <row r="708" spans="1:4" x14ac:dyDescent="0.2">
      <c r="A708" s="4">
        <v>79.341805600000001</v>
      </c>
      <c r="B708" t="s">
        <v>20</v>
      </c>
      <c r="C708" t="s">
        <v>27</v>
      </c>
      <c r="D708" s="5">
        <v>7.91826469</v>
      </c>
    </row>
    <row r="709" spans="1:4" x14ac:dyDescent="0.2">
      <c r="A709" s="4">
        <v>79.706638900000002</v>
      </c>
      <c r="B709" t="s">
        <v>20</v>
      </c>
      <c r="C709" t="s">
        <v>27</v>
      </c>
      <c r="D709" s="5">
        <v>7.9153481699999997</v>
      </c>
    </row>
    <row r="710" spans="1:4" x14ac:dyDescent="0.2">
      <c r="A710" s="4">
        <v>80.071444400000004</v>
      </c>
      <c r="B710" t="s">
        <v>20</v>
      </c>
      <c r="C710" t="s">
        <v>27</v>
      </c>
      <c r="D710" s="5">
        <v>7.8995244700000002</v>
      </c>
    </row>
    <row r="711" spans="1:4" x14ac:dyDescent="0.2">
      <c r="A711" s="4">
        <v>80.436250000000001</v>
      </c>
      <c r="B711" t="s">
        <v>20</v>
      </c>
      <c r="C711" t="s">
        <v>27</v>
      </c>
      <c r="D711" s="5">
        <v>7.9116905199999996</v>
      </c>
    </row>
    <row r="712" spans="1:4" x14ac:dyDescent="0.2">
      <c r="A712" s="4">
        <v>80.801083300000002</v>
      </c>
      <c r="B712" t="s">
        <v>20</v>
      </c>
      <c r="C712" t="s">
        <v>27</v>
      </c>
      <c r="D712" s="5">
        <v>7.9124231199999997</v>
      </c>
    </row>
    <row r="713" spans="1:4" x14ac:dyDescent="0.2">
      <c r="A713" s="4">
        <v>81.165888899999999</v>
      </c>
      <c r="B713" t="s">
        <v>20</v>
      </c>
      <c r="C713" t="s">
        <v>27</v>
      </c>
      <c r="D713" s="5">
        <v>7.9127892199999996</v>
      </c>
    </row>
    <row r="714" spans="1:4" x14ac:dyDescent="0.2">
      <c r="A714" s="4">
        <v>81.5307222</v>
      </c>
      <c r="B714" t="s">
        <v>20</v>
      </c>
      <c r="C714" t="s">
        <v>27</v>
      </c>
      <c r="D714" s="5">
        <v>7.9113240200000003</v>
      </c>
    </row>
    <row r="715" spans="1:4" x14ac:dyDescent="0.2">
      <c r="A715" s="4">
        <v>81.895555599999994</v>
      </c>
      <c r="B715" t="s">
        <v>20</v>
      </c>
      <c r="C715" t="s">
        <v>27</v>
      </c>
      <c r="D715" s="5">
        <v>7.9179005900000003</v>
      </c>
    </row>
    <row r="716" spans="1:4" x14ac:dyDescent="0.2">
      <c r="A716" s="4">
        <v>82.260361099999997</v>
      </c>
      <c r="B716" t="s">
        <v>20</v>
      </c>
      <c r="C716" t="s">
        <v>27</v>
      </c>
      <c r="D716" s="5">
        <v>7.9109573800000001</v>
      </c>
    </row>
    <row r="717" spans="1:4" x14ac:dyDescent="0.2">
      <c r="A717" s="4">
        <v>82.625194399999998</v>
      </c>
      <c r="B717" t="s">
        <v>20</v>
      </c>
      <c r="C717" t="s">
        <v>27</v>
      </c>
      <c r="D717" s="5">
        <v>7.9116905199999996</v>
      </c>
    </row>
    <row r="718" spans="1:4" x14ac:dyDescent="0.2">
      <c r="A718" s="4">
        <v>82.99</v>
      </c>
      <c r="B718" t="s">
        <v>20</v>
      </c>
      <c r="C718" t="s">
        <v>27</v>
      </c>
      <c r="D718" s="5">
        <v>7.9153481699999997</v>
      </c>
    </row>
    <row r="719" spans="1:4" x14ac:dyDescent="0.2">
      <c r="A719" s="4">
        <v>83.354805600000006</v>
      </c>
      <c r="B719" t="s">
        <v>20</v>
      </c>
      <c r="C719" t="s">
        <v>27</v>
      </c>
      <c r="D719" s="5">
        <v>7.9131551900000003</v>
      </c>
    </row>
    <row r="720" spans="1:4" x14ac:dyDescent="0.2">
      <c r="A720" s="4">
        <v>83.719638900000007</v>
      </c>
      <c r="B720" t="s">
        <v>20</v>
      </c>
      <c r="C720" t="s">
        <v>27</v>
      </c>
      <c r="D720" s="5">
        <v>7.9098566699999999</v>
      </c>
    </row>
    <row r="721" spans="1:4" x14ac:dyDescent="0.2">
      <c r="A721" s="4">
        <v>84.084472199999993</v>
      </c>
      <c r="B721" t="s">
        <v>20</v>
      </c>
      <c r="C721" t="s">
        <v>27</v>
      </c>
      <c r="D721" s="5">
        <v>7.9109573800000001</v>
      </c>
    </row>
    <row r="722" spans="1:4" x14ac:dyDescent="0.2">
      <c r="A722" s="4">
        <v>84.449277800000004</v>
      </c>
      <c r="B722" t="s">
        <v>20</v>
      </c>
      <c r="C722" t="s">
        <v>27</v>
      </c>
      <c r="D722" s="5">
        <v>7.9091221799999998</v>
      </c>
    </row>
    <row r="723" spans="1:4" x14ac:dyDescent="0.2">
      <c r="A723" s="4">
        <v>84.814111100000005</v>
      </c>
      <c r="B723" t="s">
        <v>20</v>
      </c>
      <c r="C723" t="s">
        <v>27</v>
      </c>
      <c r="D723" s="5">
        <v>7.9058103099999997</v>
      </c>
    </row>
    <row r="724" spans="1:4" x14ac:dyDescent="0.2">
      <c r="A724" s="4">
        <v>85.178916700000002</v>
      </c>
      <c r="B724" t="s">
        <v>20</v>
      </c>
      <c r="C724" t="s">
        <v>27</v>
      </c>
      <c r="D724" s="5">
        <v>7.9102237100000004</v>
      </c>
    </row>
    <row r="725" spans="1:4" x14ac:dyDescent="0.2">
      <c r="A725" s="4">
        <v>85.543750000000003</v>
      </c>
      <c r="B725" t="s">
        <v>20</v>
      </c>
      <c r="C725" t="s">
        <v>27</v>
      </c>
      <c r="D725" s="5">
        <v>7.9047039100000003</v>
      </c>
    </row>
    <row r="726" spans="1:4" x14ac:dyDescent="0.2">
      <c r="A726" s="4">
        <v>85.9085556</v>
      </c>
      <c r="B726" t="s">
        <v>20</v>
      </c>
      <c r="C726" t="s">
        <v>27</v>
      </c>
      <c r="D726" s="5">
        <v>7.9050728499999998</v>
      </c>
    </row>
    <row r="727" spans="1:4" x14ac:dyDescent="0.2">
      <c r="A727" s="4">
        <v>86.2733889</v>
      </c>
      <c r="B727" t="s">
        <v>20</v>
      </c>
      <c r="C727" t="s">
        <v>27</v>
      </c>
      <c r="D727" s="5">
        <v>7.9098566699999999</v>
      </c>
    </row>
    <row r="728" spans="1:4" x14ac:dyDescent="0.2">
      <c r="A728" s="4">
        <v>86.638194400000003</v>
      </c>
      <c r="B728" t="s">
        <v>20</v>
      </c>
      <c r="C728" t="s">
        <v>27</v>
      </c>
      <c r="D728" s="5">
        <v>7.9120568899999997</v>
      </c>
    </row>
    <row r="729" spans="1:4" x14ac:dyDescent="0.2">
      <c r="A729" s="4">
        <v>87.003</v>
      </c>
      <c r="B729" t="s">
        <v>20</v>
      </c>
      <c r="C729" t="s">
        <v>27</v>
      </c>
      <c r="D729" s="5">
        <v>7.9028571899999998</v>
      </c>
    </row>
    <row r="730" spans="1:4" x14ac:dyDescent="0.2">
      <c r="A730" s="4">
        <v>87.367833300000001</v>
      </c>
      <c r="B730" t="s">
        <v>20</v>
      </c>
      <c r="C730" t="s">
        <v>27</v>
      </c>
      <c r="D730" s="5">
        <v>7.9028571899999998</v>
      </c>
    </row>
    <row r="731" spans="1:4" x14ac:dyDescent="0.2">
      <c r="A731" s="4">
        <v>87.732638899999998</v>
      </c>
      <c r="B731" t="s">
        <v>20</v>
      </c>
      <c r="C731" t="s">
        <v>27</v>
      </c>
      <c r="D731" s="5">
        <v>7.9047039100000003</v>
      </c>
    </row>
    <row r="732" spans="1:4" x14ac:dyDescent="0.2">
      <c r="A732" s="4">
        <v>88.097583299999997</v>
      </c>
      <c r="B732" t="s">
        <v>20</v>
      </c>
      <c r="C732" t="s">
        <v>27</v>
      </c>
      <c r="D732" s="5">
        <v>7.9032268099999996</v>
      </c>
    </row>
    <row r="733" spans="1:4" x14ac:dyDescent="0.2">
      <c r="A733" s="4">
        <v>88.462388899999993</v>
      </c>
      <c r="B733" t="s">
        <v>20</v>
      </c>
      <c r="C733" t="s">
        <v>27</v>
      </c>
      <c r="D733" s="5">
        <v>7.8987823600000002</v>
      </c>
    </row>
    <row r="734" spans="1:4" x14ac:dyDescent="0.2">
      <c r="A734" s="4">
        <v>88.827222199999994</v>
      </c>
      <c r="B734" t="s">
        <v>20</v>
      </c>
      <c r="C734" t="s">
        <v>27</v>
      </c>
      <c r="D734" s="5">
        <v>7.9013773499999997</v>
      </c>
    </row>
    <row r="735" spans="1:4" x14ac:dyDescent="0.2">
      <c r="A735" s="4">
        <v>89.192027800000005</v>
      </c>
      <c r="B735" t="s">
        <v>20</v>
      </c>
      <c r="C735" t="s">
        <v>27</v>
      </c>
      <c r="D735" s="5">
        <v>7.8972964699999997</v>
      </c>
    </row>
    <row r="736" spans="1:4" x14ac:dyDescent="0.2">
      <c r="A736" s="4">
        <v>89.556833299999994</v>
      </c>
      <c r="B736" t="s">
        <v>20</v>
      </c>
      <c r="C736" t="s">
        <v>27</v>
      </c>
      <c r="D736" s="5">
        <v>7.8950635</v>
      </c>
    </row>
    <row r="737" spans="1:4" x14ac:dyDescent="0.2">
      <c r="A737" s="4">
        <v>89.921666700000003</v>
      </c>
      <c r="B737" t="s">
        <v>20</v>
      </c>
      <c r="C737" t="s">
        <v>27</v>
      </c>
      <c r="D737" s="5">
        <v>7.8972964699999997</v>
      </c>
    </row>
    <row r="738" spans="1:4" x14ac:dyDescent="0.2">
      <c r="A738" s="4">
        <v>90.286472200000006</v>
      </c>
      <c r="B738" t="s">
        <v>20</v>
      </c>
      <c r="C738" t="s">
        <v>27</v>
      </c>
      <c r="D738" s="5">
        <v>7.8995244700000002</v>
      </c>
    </row>
    <row r="739" spans="1:4" x14ac:dyDescent="0.2">
      <c r="A739" s="4">
        <v>90.651305600000001</v>
      </c>
      <c r="B739" t="s">
        <v>20</v>
      </c>
      <c r="C739" t="s">
        <v>27</v>
      </c>
      <c r="D739" s="5">
        <v>7.8972964699999997</v>
      </c>
    </row>
    <row r="740" spans="1:4" x14ac:dyDescent="0.2">
      <c r="A740" s="4">
        <v>91.016111100000003</v>
      </c>
      <c r="B740" t="s">
        <v>20</v>
      </c>
      <c r="C740" t="s">
        <v>27</v>
      </c>
      <c r="D740" s="5">
        <v>7.8958083800000001</v>
      </c>
    </row>
    <row r="741" spans="1:4" x14ac:dyDescent="0.2">
      <c r="A741" s="4">
        <v>91.381</v>
      </c>
      <c r="B741" t="s">
        <v>20</v>
      </c>
      <c r="C741" t="s">
        <v>27</v>
      </c>
      <c r="D741" s="5">
        <v>7.8917046600000003</v>
      </c>
    </row>
    <row r="742" spans="1:4" x14ac:dyDescent="0.2">
      <c r="A742" s="4">
        <v>91.745833300000001</v>
      </c>
      <c r="B742" t="s">
        <v>20</v>
      </c>
      <c r="C742" t="s">
        <v>27</v>
      </c>
      <c r="D742" s="5">
        <v>7.8890844099999997</v>
      </c>
    </row>
    <row r="743" spans="1:4" x14ac:dyDescent="0.2">
      <c r="A743" s="4">
        <v>0</v>
      </c>
      <c r="B743" t="s">
        <v>20</v>
      </c>
      <c r="C743" t="s">
        <v>4</v>
      </c>
      <c r="D743" s="5">
        <v>5.4293456300000003</v>
      </c>
    </row>
    <row r="744" spans="1:4" x14ac:dyDescent="0.2">
      <c r="A744" s="4">
        <v>0.36480555999999997</v>
      </c>
      <c r="B744" t="s">
        <v>20</v>
      </c>
      <c r="C744" t="s">
        <v>4</v>
      </c>
      <c r="D744" s="5">
        <v>5.4249500199999998</v>
      </c>
    </row>
    <row r="745" spans="1:4" x14ac:dyDescent="0.2">
      <c r="A745" s="4">
        <v>0.72961111000000001</v>
      </c>
      <c r="B745" t="s">
        <v>20</v>
      </c>
      <c r="C745" t="s">
        <v>4</v>
      </c>
      <c r="D745" s="5">
        <v>5.4116460499999999</v>
      </c>
    </row>
    <row r="746" spans="1:4" x14ac:dyDescent="0.2">
      <c r="A746" s="4">
        <v>1.09441667</v>
      </c>
      <c r="B746" t="s">
        <v>20</v>
      </c>
      <c r="C746" t="s">
        <v>4</v>
      </c>
      <c r="D746" s="5">
        <v>5.3981627000000003</v>
      </c>
    </row>
    <row r="747" spans="1:4" x14ac:dyDescent="0.2">
      <c r="A747" s="4">
        <v>1.4592499999999999</v>
      </c>
      <c r="B747" t="s">
        <v>20</v>
      </c>
      <c r="C747" t="s">
        <v>4</v>
      </c>
      <c r="D747" s="5">
        <v>5.3981627000000003</v>
      </c>
    </row>
    <row r="748" spans="1:4" x14ac:dyDescent="0.2">
      <c r="A748" s="4">
        <v>1.82402778</v>
      </c>
      <c r="B748" t="s">
        <v>20</v>
      </c>
      <c r="C748" t="s">
        <v>4</v>
      </c>
      <c r="D748" s="5">
        <v>5.4071717699999997</v>
      </c>
    </row>
    <row r="749" spans="1:4" x14ac:dyDescent="0.2">
      <c r="A749" s="4">
        <v>2.1888611099999999</v>
      </c>
      <c r="B749" t="s">
        <v>20</v>
      </c>
      <c r="C749" t="s">
        <v>4</v>
      </c>
      <c r="D749" s="5">
        <v>5.3890717300000004</v>
      </c>
    </row>
    <row r="750" spans="1:4" x14ac:dyDescent="0.2">
      <c r="A750" s="4">
        <v>2.5536944400000001</v>
      </c>
      <c r="B750" t="s">
        <v>20</v>
      </c>
      <c r="C750" t="s">
        <v>4</v>
      </c>
      <c r="D750" s="5">
        <v>5.3936275499999997</v>
      </c>
    </row>
    <row r="751" spans="1:4" x14ac:dyDescent="0.2">
      <c r="A751" s="4">
        <v>2.9184999999999999</v>
      </c>
      <c r="B751" t="s">
        <v>20</v>
      </c>
      <c r="C751" t="s">
        <v>4</v>
      </c>
      <c r="D751" s="5">
        <v>5.4026773800000001</v>
      </c>
    </row>
    <row r="752" spans="1:4" x14ac:dyDescent="0.2">
      <c r="A752" s="4">
        <v>3.2833055600000001</v>
      </c>
      <c r="B752" t="s">
        <v>20</v>
      </c>
      <c r="C752" t="s">
        <v>4</v>
      </c>
      <c r="D752" s="5">
        <v>5.3844950599999999</v>
      </c>
    </row>
    <row r="753" spans="1:4" x14ac:dyDescent="0.2">
      <c r="A753" s="4">
        <v>3.6481388899999998</v>
      </c>
      <c r="B753" t="s">
        <v>20</v>
      </c>
      <c r="C753" t="s">
        <v>4</v>
      </c>
      <c r="D753" s="5">
        <v>5.4205350000000001</v>
      </c>
    </row>
    <row r="754" spans="1:4" x14ac:dyDescent="0.2">
      <c r="A754" s="4">
        <v>4.01297222</v>
      </c>
      <c r="B754" t="s">
        <v>20</v>
      </c>
      <c r="C754" t="s">
        <v>4</v>
      </c>
      <c r="D754" s="5">
        <v>5.3981627000000003</v>
      </c>
    </row>
    <row r="755" spans="1:4" x14ac:dyDescent="0.2">
      <c r="A755" s="4">
        <v>4.3777777799999997</v>
      </c>
      <c r="B755" t="s">
        <v>20</v>
      </c>
      <c r="C755" t="s">
        <v>4</v>
      </c>
      <c r="D755" s="5">
        <v>5.4026773800000001</v>
      </c>
    </row>
    <row r="756" spans="1:4" x14ac:dyDescent="0.2">
      <c r="A756" s="4">
        <v>4.7425833300000004</v>
      </c>
      <c r="B756" t="s">
        <v>20</v>
      </c>
      <c r="C756" t="s">
        <v>4</v>
      </c>
      <c r="D756" s="5">
        <v>5.4026773800000001</v>
      </c>
    </row>
    <row r="757" spans="1:4" x14ac:dyDescent="0.2">
      <c r="A757" s="4">
        <v>5.1073888900000002</v>
      </c>
      <c r="B757" t="s">
        <v>20</v>
      </c>
      <c r="C757" t="s">
        <v>4</v>
      </c>
      <c r="D757" s="5">
        <v>5.4026773800000001</v>
      </c>
    </row>
    <row r="758" spans="1:4" x14ac:dyDescent="0.2">
      <c r="A758" s="4">
        <v>5.4722222199999999</v>
      </c>
      <c r="B758" t="s">
        <v>20</v>
      </c>
      <c r="C758" t="s">
        <v>4</v>
      </c>
      <c r="D758" s="5">
        <v>5.4026773800000001</v>
      </c>
    </row>
    <row r="759" spans="1:4" x14ac:dyDescent="0.2">
      <c r="A759" s="4">
        <v>5.8370277799999997</v>
      </c>
      <c r="B759" t="s">
        <v>20</v>
      </c>
      <c r="C759" t="s">
        <v>4</v>
      </c>
      <c r="D759" s="5">
        <v>5.4116460499999999</v>
      </c>
    </row>
    <row r="760" spans="1:4" x14ac:dyDescent="0.2">
      <c r="A760" s="4">
        <v>6.2018611100000003</v>
      </c>
      <c r="B760" t="s">
        <v>20</v>
      </c>
      <c r="C760" t="s">
        <v>4</v>
      </c>
      <c r="D760" s="5">
        <v>5.4467373700000001</v>
      </c>
    </row>
    <row r="761" spans="1:4" x14ac:dyDescent="0.2">
      <c r="A761" s="4">
        <v>6.56666667</v>
      </c>
      <c r="B761" t="s">
        <v>20</v>
      </c>
      <c r="C761" t="s">
        <v>4</v>
      </c>
      <c r="D761" s="5">
        <v>5.4293456300000003</v>
      </c>
    </row>
    <row r="762" spans="1:4" x14ac:dyDescent="0.2">
      <c r="A762" s="4">
        <v>6.9314722199999999</v>
      </c>
      <c r="B762" t="s">
        <v>20</v>
      </c>
      <c r="C762" t="s">
        <v>4</v>
      </c>
      <c r="D762" s="5">
        <v>5.4553211199999998</v>
      </c>
    </row>
    <row r="763" spans="1:4" x14ac:dyDescent="0.2">
      <c r="A763" s="4">
        <v>7.2963055600000004</v>
      </c>
      <c r="B763" t="s">
        <v>20</v>
      </c>
      <c r="C763" t="s">
        <v>4</v>
      </c>
      <c r="D763" s="5">
        <v>5.43807931</v>
      </c>
    </row>
    <row r="764" spans="1:4" x14ac:dyDescent="0.2">
      <c r="A764" s="4">
        <v>7.6611388900000001</v>
      </c>
      <c r="B764" t="s">
        <v>20</v>
      </c>
      <c r="C764" t="s">
        <v>4</v>
      </c>
      <c r="D764" s="5">
        <v>5.4595855100000001</v>
      </c>
    </row>
    <row r="765" spans="1:4" x14ac:dyDescent="0.2">
      <c r="A765" s="4">
        <v>8.02594444</v>
      </c>
      <c r="B765" t="s">
        <v>20</v>
      </c>
      <c r="C765" t="s">
        <v>4</v>
      </c>
      <c r="D765" s="5">
        <v>5.4764635500000001</v>
      </c>
    </row>
    <row r="766" spans="1:4" x14ac:dyDescent="0.2">
      <c r="A766" s="4">
        <v>8.3907500000000006</v>
      </c>
      <c r="B766" t="s">
        <v>20</v>
      </c>
      <c r="C766" t="s">
        <v>4</v>
      </c>
      <c r="D766" s="5">
        <v>5.4806389199999996</v>
      </c>
    </row>
    <row r="767" spans="1:4" x14ac:dyDescent="0.2">
      <c r="A767" s="4">
        <v>8.7555833300000003</v>
      </c>
      <c r="B767" t="s">
        <v>20</v>
      </c>
      <c r="C767" t="s">
        <v>4</v>
      </c>
      <c r="D767" s="5">
        <v>5.48893773</v>
      </c>
    </row>
    <row r="768" spans="1:4" x14ac:dyDescent="0.2">
      <c r="A768" s="4">
        <v>9.1204166699999991</v>
      </c>
      <c r="B768" t="s">
        <v>20</v>
      </c>
      <c r="C768" t="s">
        <v>4</v>
      </c>
      <c r="D768" s="5">
        <v>5.5012582099999996</v>
      </c>
    </row>
    <row r="769" spans="1:4" x14ac:dyDescent="0.2">
      <c r="A769" s="4">
        <v>9.4852222200000007</v>
      </c>
      <c r="B769" t="s">
        <v>20</v>
      </c>
      <c r="C769" t="s">
        <v>4</v>
      </c>
      <c r="D769" s="5">
        <v>5.52146092</v>
      </c>
    </row>
    <row r="770" spans="1:4" x14ac:dyDescent="0.2">
      <c r="A770" s="4">
        <v>9.8500277799999996</v>
      </c>
      <c r="B770" t="s">
        <v>20</v>
      </c>
      <c r="C770" t="s">
        <v>4</v>
      </c>
      <c r="D770" s="5">
        <v>5.5529595799999996</v>
      </c>
    </row>
    <row r="771" spans="1:4" x14ac:dyDescent="0.2">
      <c r="A771" s="4">
        <v>10.2148611</v>
      </c>
      <c r="B771" t="s">
        <v>20</v>
      </c>
      <c r="C771" t="s">
        <v>4</v>
      </c>
      <c r="D771" s="5">
        <v>5.5721540300000001</v>
      </c>
    </row>
    <row r="772" spans="1:4" x14ac:dyDescent="0.2">
      <c r="A772" s="4">
        <v>10.579666700000001</v>
      </c>
      <c r="B772" t="s">
        <v>20</v>
      </c>
      <c r="C772" t="s">
        <v>4</v>
      </c>
      <c r="D772" s="5">
        <v>5.5834963100000001</v>
      </c>
    </row>
    <row r="773" spans="1:4" x14ac:dyDescent="0.2">
      <c r="A773" s="4">
        <v>10.9445</v>
      </c>
      <c r="B773" t="s">
        <v>20</v>
      </c>
      <c r="C773" t="s">
        <v>4</v>
      </c>
      <c r="D773" s="5">
        <v>5.6204008700000001</v>
      </c>
    </row>
    <row r="774" spans="1:4" x14ac:dyDescent="0.2">
      <c r="A774" s="4">
        <v>11.3093056</v>
      </c>
      <c r="B774" t="s">
        <v>20</v>
      </c>
      <c r="C774" t="s">
        <v>4</v>
      </c>
      <c r="D774" s="5">
        <v>5.6312117800000001</v>
      </c>
    </row>
    <row r="775" spans="1:4" x14ac:dyDescent="0.2">
      <c r="A775" s="4">
        <v>11.674138900000001</v>
      </c>
      <c r="B775" t="s">
        <v>20</v>
      </c>
      <c r="C775" t="s">
        <v>4</v>
      </c>
      <c r="D775" s="5">
        <v>5.6767538000000002</v>
      </c>
    </row>
    <row r="776" spans="1:4" x14ac:dyDescent="0.2">
      <c r="A776" s="4">
        <v>12.0389444</v>
      </c>
      <c r="B776" t="s">
        <v>20</v>
      </c>
      <c r="C776" t="s">
        <v>4</v>
      </c>
      <c r="D776" s="5">
        <v>5.6835797699999997</v>
      </c>
    </row>
    <row r="777" spans="1:4" x14ac:dyDescent="0.2">
      <c r="A777" s="4">
        <v>12.4037778</v>
      </c>
      <c r="B777" t="s">
        <v>20</v>
      </c>
      <c r="C777" t="s">
        <v>4</v>
      </c>
      <c r="D777" s="5">
        <v>5.7462031900000001</v>
      </c>
    </row>
    <row r="778" spans="1:4" x14ac:dyDescent="0.2">
      <c r="A778" s="4">
        <v>12.7685833</v>
      </c>
      <c r="B778" t="s">
        <v>20</v>
      </c>
      <c r="C778" t="s">
        <v>4</v>
      </c>
      <c r="D778" s="5">
        <v>5.77455155</v>
      </c>
    </row>
    <row r="779" spans="1:4" x14ac:dyDescent="0.2">
      <c r="A779" s="4">
        <v>13.1334167</v>
      </c>
      <c r="B779" t="s">
        <v>20</v>
      </c>
      <c r="C779" t="s">
        <v>4</v>
      </c>
      <c r="D779" s="5">
        <v>5.8171111599999996</v>
      </c>
    </row>
    <row r="780" spans="1:4" x14ac:dyDescent="0.2">
      <c r="A780" s="4">
        <v>13.498222200000001</v>
      </c>
      <c r="B780" t="s">
        <v>20</v>
      </c>
      <c r="C780" t="s">
        <v>4</v>
      </c>
      <c r="D780" s="5">
        <v>5.8636311799999996</v>
      </c>
    </row>
    <row r="781" spans="1:4" x14ac:dyDescent="0.2">
      <c r="A781" s="4">
        <v>13.863055599999999</v>
      </c>
      <c r="B781" t="s">
        <v>20</v>
      </c>
      <c r="C781" t="s">
        <v>4</v>
      </c>
      <c r="D781" s="5">
        <v>5.9188938499999999</v>
      </c>
    </row>
    <row r="782" spans="1:4" x14ac:dyDescent="0.2">
      <c r="A782" s="4">
        <v>14.2278611</v>
      </c>
      <c r="B782" t="s">
        <v>20</v>
      </c>
      <c r="C782" t="s">
        <v>4</v>
      </c>
      <c r="D782" s="5">
        <v>5.9687075600000004</v>
      </c>
    </row>
    <row r="783" spans="1:4" x14ac:dyDescent="0.2">
      <c r="A783" s="4">
        <v>14.592694399999999</v>
      </c>
      <c r="B783" t="s">
        <v>20</v>
      </c>
      <c r="C783" t="s">
        <v>4</v>
      </c>
      <c r="D783" s="5">
        <v>6.0330862200000004</v>
      </c>
    </row>
    <row r="784" spans="1:4" x14ac:dyDescent="0.2">
      <c r="A784" s="4">
        <v>14.9575</v>
      </c>
      <c r="B784" t="s">
        <v>20</v>
      </c>
      <c r="C784" t="s">
        <v>4</v>
      </c>
      <c r="D784" s="5">
        <v>6.0799332000000001</v>
      </c>
    </row>
    <row r="785" spans="1:4" x14ac:dyDescent="0.2">
      <c r="A785" s="4">
        <v>15.3223333</v>
      </c>
      <c r="B785" t="s">
        <v>20</v>
      </c>
      <c r="C785" t="s">
        <v>4</v>
      </c>
      <c r="D785" s="5">
        <v>6.1484683000000002</v>
      </c>
    </row>
    <row r="786" spans="1:4" x14ac:dyDescent="0.2">
      <c r="A786" s="4">
        <v>15.687138900000001</v>
      </c>
      <c r="B786" t="s">
        <v>20</v>
      </c>
      <c r="C786" t="s">
        <v>4</v>
      </c>
      <c r="D786" s="5">
        <v>6.2045577600000001</v>
      </c>
    </row>
    <row r="787" spans="1:4" x14ac:dyDescent="0.2">
      <c r="A787" s="4">
        <v>16.051972200000002</v>
      </c>
      <c r="B787" t="s">
        <v>20</v>
      </c>
      <c r="C787" t="s">
        <v>4</v>
      </c>
      <c r="D787" s="5">
        <v>6.2822667499999998</v>
      </c>
    </row>
    <row r="788" spans="1:4" x14ac:dyDescent="0.2">
      <c r="A788" s="4">
        <v>16.416777799999998</v>
      </c>
      <c r="B788" t="s">
        <v>20</v>
      </c>
      <c r="C788" t="s">
        <v>4</v>
      </c>
      <c r="D788" s="5">
        <v>6.3647507599999997</v>
      </c>
    </row>
    <row r="789" spans="1:4" x14ac:dyDescent="0.2">
      <c r="A789" s="4">
        <v>16.781611099999999</v>
      </c>
      <c r="B789" t="s">
        <v>20</v>
      </c>
      <c r="C789" t="s">
        <v>4</v>
      </c>
      <c r="D789" s="5">
        <v>6.4345465199999996</v>
      </c>
    </row>
    <row r="790" spans="1:4" x14ac:dyDescent="0.2">
      <c r="A790" s="4">
        <v>17.1464167</v>
      </c>
      <c r="B790" t="s">
        <v>20</v>
      </c>
      <c r="C790" t="s">
        <v>4</v>
      </c>
      <c r="D790" s="5">
        <v>6.5072777100000003</v>
      </c>
    </row>
    <row r="791" spans="1:4" x14ac:dyDescent="0.2">
      <c r="A791" s="4">
        <v>17.511222199999999</v>
      </c>
      <c r="B791" t="s">
        <v>20</v>
      </c>
      <c r="C791" t="s">
        <v>4</v>
      </c>
      <c r="D791" s="5">
        <v>6.5998704999999998</v>
      </c>
    </row>
    <row r="792" spans="1:4" x14ac:dyDescent="0.2">
      <c r="A792" s="4">
        <v>17.876055600000001</v>
      </c>
      <c r="B792" t="s">
        <v>20</v>
      </c>
      <c r="C792" t="s">
        <v>4</v>
      </c>
      <c r="D792" s="5">
        <v>6.67834211</v>
      </c>
    </row>
    <row r="793" spans="1:4" x14ac:dyDescent="0.2">
      <c r="A793" s="4">
        <v>18.2408611</v>
      </c>
      <c r="B793" t="s">
        <v>20</v>
      </c>
      <c r="C793" t="s">
        <v>4</v>
      </c>
      <c r="D793" s="5">
        <v>6.7730803799999997</v>
      </c>
    </row>
    <row r="794" spans="1:4" x14ac:dyDescent="0.2">
      <c r="A794" s="4">
        <v>18.605694400000001</v>
      </c>
      <c r="B794" t="s">
        <v>20</v>
      </c>
      <c r="C794" t="s">
        <v>4</v>
      </c>
      <c r="D794" s="5">
        <v>6.8834625899999997</v>
      </c>
    </row>
    <row r="795" spans="1:4" x14ac:dyDescent="0.2">
      <c r="A795" s="4">
        <v>18.970527799999999</v>
      </c>
      <c r="B795" t="s">
        <v>20</v>
      </c>
      <c r="C795" t="s">
        <v>4</v>
      </c>
      <c r="D795" s="5">
        <v>6.9716686000000001</v>
      </c>
    </row>
    <row r="796" spans="1:4" x14ac:dyDescent="0.2">
      <c r="A796" s="4">
        <v>19.335333299999999</v>
      </c>
      <c r="B796" t="s">
        <v>20</v>
      </c>
      <c r="C796" t="s">
        <v>4</v>
      </c>
      <c r="D796" s="5">
        <v>7.0630481600000001</v>
      </c>
    </row>
    <row r="797" spans="1:4" x14ac:dyDescent="0.2">
      <c r="A797" s="4">
        <v>19.700138899999999</v>
      </c>
      <c r="B797" t="s">
        <v>20</v>
      </c>
      <c r="C797" t="s">
        <v>4</v>
      </c>
      <c r="D797" s="5">
        <v>7.17011954</v>
      </c>
    </row>
    <row r="798" spans="1:4" x14ac:dyDescent="0.2">
      <c r="A798" s="4">
        <v>20.0649722</v>
      </c>
      <c r="B798" t="s">
        <v>20</v>
      </c>
      <c r="C798" t="s">
        <v>4</v>
      </c>
      <c r="D798" s="5">
        <v>7.2868764099999996</v>
      </c>
    </row>
    <row r="799" spans="1:4" x14ac:dyDescent="0.2">
      <c r="A799" s="4">
        <v>20.4297778</v>
      </c>
      <c r="B799" t="s">
        <v>20</v>
      </c>
      <c r="C799" t="s">
        <v>4</v>
      </c>
      <c r="D799" s="5">
        <v>7.3901814300000002</v>
      </c>
    </row>
    <row r="800" spans="1:4" x14ac:dyDescent="0.2">
      <c r="A800" s="4">
        <v>20.794611100000001</v>
      </c>
      <c r="B800" t="s">
        <v>20</v>
      </c>
      <c r="C800" t="s">
        <v>4</v>
      </c>
      <c r="D800" s="5">
        <v>7.5021864899999997</v>
      </c>
    </row>
    <row r="801" spans="1:4" x14ac:dyDescent="0.2">
      <c r="A801" s="4">
        <v>21.159416700000001</v>
      </c>
      <c r="B801" t="s">
        <v>20</v>
      </c>
      <c r="C801" t="s">
        <v>4</v>
      </c>
      <c r="D801" s="5">
        <v>7.6216850000000003</v>
      </c>
    </row>
    <row r="802" spans="1:4" x14ac:dyDescent="0.2">
      <c r="A802" s="4">
        <v>21.524333299999999</v>
      </c>
      <c r="B802" t="s">
        <v>20</v>
      </c>
      <c r="C802" t="s">
        <v>4</v>
      </c>
      <c r="D802" s="5">
        <v>7.7323692199999998</v>
      </c>
    </row>
    <row r="803" spans="1:4" x14ac:dyDescent="0.2">
      <c r="A803" s="4">
        <v>21.889166700000001</v>
      </c>
      <c r="B803" t="s">
        <v>20</v>
      </c>
      <c r="C803" t="s">
        <v>4</v>
      </c>
      <c r="D803" s="5">
        <v>7.8632667200000004</v>
      </c>
    </row>
    <row r="804" spans="1:4" x14ac:dyDescent="0.2">
      <c r="A804" s="4">
        <v>22.2539722</v>
      </c>
      <c r="B804" t="s">
        <v>20</v>
      </c>
      <c r="C804" t="s">
        <v>4</v>
      </c>
      <c r="D804" s="5">
        <v>7.9610214700000004</v>
      </c>
    </row>
    <row r="805" spans="1:4" x14ac:dyDescent="0.2">
      <c r="A805" s="4">
        <v>22.6187778</v>
      </c>
      <c r="B805" t="s">
        <v>20</v>
      </c>
      <c r="C805" t="s">
        <v>4</v>
      </c>
      <c r="D805" s="5">
        <v>7.9969904100000004</v>
      </c>
    </row>
    <row r="806" spans="1:4" x14ac:dyDescent="0.2">
      <c r="A806" s="4">
        <v>22.983611100000001</v>
      </c>
      <c r="B806" t="s">
        <v>20</v>
      </c>
      <c r="C806" t="s">
        <v>4</v>
      </c>
      <c r="D806" s="5">
        <v>8.0439844300000001</v>
      </c>
    </row>
    <row r="807" spans="1:4" x14ac:dyDescent="0.2">
      <c r="A807" s="4">
        <v>23.349916700000001</v>
      </c>
      <c r="B807" t="s">
        <v>20</v>
      </c>
      <c r="C807" t="s">
        <v>4</v>
      </c>
      <c r="D807" s="5">
        <v>8.0586437100000001</v>
      </c>
    </row>
    <row r="808" spans="1:4" x14ac:dyDescent="0.2">
      <c r="A808" s="4">
        <v>23.714722200000001</v>
      </c>
      <c r="B808" t="s">
        <v>20</v>
      </c>
      <c r="C808" t="s">
        <v>4</v>
      </c>
      <c r="D808" s="5">
        <v>8.0532511499999995</v>
      </c>
    </row>
    <row r="809" spans="1:4" x14ac:dyDescent="0.2">
      <c r="A809" s="4">
        <v>24.079555599999999</v>
      </c>
      <c r="B809" t="s">
        <v>20</v>
      </c>
      <c r="C809" t="s">
        <v>4</v>
      </c>
      <c r="D809" s="5">
        <v>8.0564267699999998</v>
      </c>
    </row>
    <row r="810" spans="1:4" x14ac:dyDescent="0.2">
      <c r="A810" s="4">
        <v>24.444888899999999</v>
      </c>
      <c r="B810" t="s">
        <v>20</v>
      </c>
      <c r="C810" t="s">
        <v>4</v>
      </c>
      <c r="D810" s="5">
        <v>8.0548402200000009</v>
      </c>
    </row>
    <row r="811" spans="1:4" x14ac:dyDescent="0.2">
      <c r="A811" s="4">
        <v>24.809194399999999</v>
      </c>
      <c r="B811" t="s">
        <v>20</v>
      </c>
      <c r="C811" t="s">
        <v>4</v>
      </c>
      <c r="D811" s="5">
        <v>8.0455882800000005</v>
      </c>
    </row>
    <row r="812" spans="1:4" x14ac:dyDescent="0.2">
      <c r="A812" s="4">
        <v>25.174027800000001</v>
      </c>
      <c r="B812" t="s">
        <v>20</v>
      </c>
      <c r="C812" t="s">
        <v>4</v>
      </c>
      <c r="D812" s="5">
        <v>8.0426994999999994</v>
      </c>
    </row>
    <row r="813" spans="1:4" x14ac:dyDescent="0.2">
      <c r="A813" s="4">
        <v>25.5388333</v>
      </c>
      <c r="B813" t="s">
        <v>20</v>
      </c>
      <c r="C813" t="s">
        <v>4</v>
      </c>
      <c r="D813" s="5">
        <v>8.0398023399999996</v>
      </c>
    </row>
    <row r="814" spans="1:4" x14ac:dyDescent="0.2">
      <c r="A814" s="4">
        <v>25.903666699999999</v>
      </c>
      <c r="B814" t="s">
        <v>20</v>
      </c>
      <c r="C814" t="s">
        <v>4</v>
      </c>
      <c r="D814" s="5">
        <v>8.0310601800000008</v>
      </c>
    </row>
    <row r="815" spans="1:4" x14ac:dyDescent="0.2">
      <c r="A815" s="4">
        <v>26.268472200000001</v>
      </c>
      <c r="B815" t="s">
        <v>20</v>
      </c>
      <c r="C815" t="s">
        <v>4</v>
      </c>
      <c r="D815" s="5">
        <v>8.0317103799999998</v>
      </c>
    </row>
    <row r="816" spans="1:4" x14ac:dyDescent="0.2">
      <c r="A816" s="4">
        <v>26.6333056</v>
      </c>
      <c r="B816" t="s">
        <v>20</v>
      </c>
      <c r="C816" t="s">
        <v>4</v>
      </c>
      <c r="D816" s="5">
        <v>8.0209277199999995</v>
      </c>
    </row>
    <row r="817" spans="1:4" x14ac:dyDescent="0.2">
      <c r="A817" s="4">
        <v>26.998111099999999</v>
      </c>
      <c r="B817" t="s">
        <v>20</v>
      </c>
      <c r="C817" t="s">
        <v>4</v>
      </c>
      <c r="D817" s="5">
        <v>8.0179667000000006</v>
      </c>
    </row>
    <row r="818" spans="1:4" x14ac:dyDescent="0.2">
      <c r="A818" s="4">
        <v>27.3629444</v>
      </c>
      <c r="B818" t="s">
        <v>20</v>
      </c>
      <c r="C818" t="s">
        <v>4</v>
      </c>
      <c r="D818" s="5">
        <v>8.0156576099999999</v>
      </c>
    </row>
    <row r="819" spans="1:4" x14ac:dyDescent="0.2">
      <c r="A819" s="4">
        <v>27.72775</v>
      </c>
      <c r="B819" t="s">
        <v>20</v>
      </c>
      <c r="C819" t="s">
        <v>4</v>
      </c>
      <c r="D819" s="5">
        <v>8.0140049900000001</v>
      </c>
    </row>
    <row r="820" spans="1:4" x14ac:dyDescent="0.2">
      <c r="A820" s="4">
        <v>30.091833300000001</v>
      </c>
      <c r="B820" t="s">
        <v>20</v>
      </c>
      <c r="C820" t="s">
        <v>4</v>
      </c>
      <c r="D820" s="5">
        <v>8.0532511499999995</v>
      </c>
    </row>
    <row r="821" spans="1:4" x14ac:dyDescent="0.2">
      <c r="A821" s="4">
        <v>30.4566667</v>
      </c>
      <c r="B821" t="s">
        <v>20</v>
      </c>
      <c r="C821" t="s">
        <v>4</v>
      </c>
      <c r="D821" s="5">
        <v>8.1047034700000005</v>
      </c>
    </row>
    <row r="822" spans="1:4" x14ac:dyDescent="0.2">
      <c r="A822" s="4">
        <v>30.821472199999999</v>
      </c>
      <c r="B822" t="s">
        <v>20</v>
      </c>
      <c r="C822" t="s">
        <v>4</v>
      </c>
      <c r="D822" s="5">
        <v>8.0830199199999999</v>
      </c>
    </row>
    <row r="823" spans="1:4" x14ac:dyDescent="0.2">
      <c r="A823" s="4">
        <v>31.186305600000001</v>
      </c>
      <c r="B823" t="s">
        <v>20</v>
      </c>
      <c r="C823" t="s">
        <v>4</v>
      </c>
      <c r="D823" s="5">
        <v>8.0614868699999995</v>
      </c>
    </row>
    <row r="824" spans="1:4" x14ac:dyDescent="0.2">
      <c r="A824" s="4">
        <v>31.5511111</v>
      </c>
      <c r="B824" t="s">
        <v>20</v>
      </c>
      <c r="C824" t="s">
        <v>4</v>
      </c>
      <c r="D824" s="5">
        <v>8.0336584299999991</v>
      </c>
    </row>
    <row r="825" spans="1:4" x14ac:dyDescent="0.2">
      <c r="A825" s="4">
        <v>31.915944400000001</v>
      </c>
      <c r="B825" t="s">
        <v>20</v>
      </c>
      <c r="C825" t="s">
        <v>4</v>
      </c>
      <c r="D825" s="5">
        <v>8.0063675700000001</v>
      </c>
    </row>
    <row r="826" spans="1:4" x14ac:dyDescent="0.2">
      <c r="A826" s="4">
        <v>32.280777800000003</v>
      </c>
      <c r="B826" t="s">
        <v>20</v>
      </c>
      <c r="C826" t="s">
        <v>4</v>
      </c>
      <c r="D826" s="5">
        <v>7.99934295</v>
      </c>
    </row>
    <row r="827" spans="1:4" x14ac:dyDescent="0.2">
      <c r="A827" s="4">
        <v>32.645583299999998</v>
      </c>
      <c r="B827" t="s">
        <v>20</v>
      </c>
      <c r="C827" t="s">
        <v>4</v>
      </c>
      <c r="D827" s="5">
        <v>7.99530662</v>
      </c>
    </row>
    <row r="828" spans="1:4" x14ac:dyDescent="0.2">
      <c r="A828" s="4">
        <v>33.0104167</v>
      </c>
      <c r="B828" t="s">
        <v>20</v>
      </c>
      <c r="C828" t="s">
        <v>4</v>
      </c>
      <c r="D828" s="5">
        <v>7.99361999</v>
      </c>
    </row>
    <row r="829" spans="1:4" x14ac:dyDescent="0.2">
      <c r="A829" s="4">
        <v>33.375222200000003</v>
      </c>
      <c r="B829" t="s">
        <v>20</v>
      </c>
      <c r="C829" t="s">
        <v>4</v>
      </c>
      <c r="D829" s="5">
        <v>7.9895604499999999</v>
      </c>
    </row>
    <row r="830" spans="1:4" x14ac:dyDescent="0.2">
      <c r="A830" s="4">
        <v>33.7400278</v>
      </c>
      <c r="B830" t="s">
        <v>20</v>
      </c>
      <c r="C830" t="s">
        <v>4</v>
      </c>
      <c r="D830" s="5">
        <v>7.9969904100000004</v>
      </c>
    </row>
    <row r="831" spans="1:4" x14ac:dyDescent="0.2">
      <c r="A831" s="4">
        <v>34.104861100000001</v>
      </c>
      <c r="B831" t="s">
        <v>20</v>
      </c>
      <c r="C831" t="s">
        <v>4</v>
      </c>
      <c r="D831" s="5">
        <v>7.9922686399999998</v>
      </c>
    </row>
    <row r="832" spans="1:4" x14ac:dyDescent="0.2">
      <c r="A832" s="4">
        <v>34.469666699999998</v>
      </c>
      <c r="B832" t="s">
        <v>20</v>
      </c>
      <c r="C832" t="s">
        <v>4</v>
      </c>
      <c r="D832" s="5">
        <v>7.9912539300000001</v>
      </c>
    </row>
    <row r="833" spans="1:4" x14ac:dyDescent="0.2">
      <c r="A833" s="4">
        <v>34.834499999999998</v>
      </c>
      <c r="B833" t="s">
        <v>20</v>
      </c>
      <c r="C833" t="s">
        <v>4</v>
      </c>
      <c r="D833" s="5">
        <v>7.9959804700000001</v>
      </c>
    </row>
    <row r="834" spans="1:4" x14ac:dyDescent="0.2">
      <c r="A834" s="4">
        <v>35.199305600000002</v>
      </c>
      <c r="B834" t="s">
        <v>20</v>
      </c>
      <c r="C834" t="s">
        <v>4</v>
      </c>
      <c r="D834" s="5">
        <v>7.9892214099999999</v>
      </c>
    </row>
    <row r="835" spans="1:4" x14ac:dyDescent="0.2">
      <c r="A835" s="4">
        <v>35.564111099999998</v>
      </c>
      <c r="B835" t="s">
        <v>20</v>
      </c>
      <c r="C835" t="s">
        <v>4</v>
      </c>
      <c r="D835" s="5">
        <v>7.9898993699999998</v>
      </c>
    </row>
    <row r="836" spans="1:4" x14ac:dyDescent="0.2">
      <c r="A836" s="4">
        <v>35.928944399999999</v>
      </c>
      <c r="B836" t="s">
        <v>20</v>
      </c>
      <c r="C836" t="s">
        <v>4</v>
      </c>
      <c r="D836" s="5">
        <v>7.9929445499999998</v>
      </c>
    </row>
    <row r="837" spans="1:4" x14ac:dyDescent="0.2">
      <c r="A837" s="4">
        <v>36.293750000000003</v>
      </c>
      <c r="B837" t="s">
        <v>20</v>
      </c>
      <c r="C837" t="s">
        <v>4</v>
      </c>
      <c r="D837" s="5">
        <v>8.0010199600000007</v>
      </c>
    </row>
    <row r="838" spans="1:4" x14ac:dyDescent="0.2">
      <c r="A838" s="4">
        <v>36.658583299999997</v>
      </c>
      <c r="B838" t="s">
        <v>20</v>
      </c>
      <c r="C838" t="s">
        <v>4</v>
      </c>
      <c r="D838" s="5">
        <v>7.9905768799999999</v>
      </c>
    </row>
    <row r="839" spans="1:4" x14ac:dyDescent="0.2">
      <c r="A839" s="4">
        <v>37.0233889</v>
      </c>
      <c r="B839" t="s">
        <v>20</v>
      </c>
      <c r="C839" t="s">
        <v>4</v>
      </c>
      <c r="D839" s="5">
        <v>7.99530662</v>
      </c>
    </row>
    <row r="840" spans="1:4" x14ac:dyDescent="0.2">
      <c r="A840" s="4">
        <v>37.388222200000001</v>
      </c>
      <c r="B840" t="s">
        <v>20</v>
      </c>
      <c r="C840" t="s">
        <v>4</v>
      </c>
      <c r="D840" s="5">
        <v>7.9912539300000001</v>
      </c>
    </row>
    <row r="841" spans="1:4" x14ac:dyDescent="0.2">
      <c r="A841" s="4">
        <v>37.753055600000003</v>
      </c>
      <c r="B841" t="s">
        <v>20</v>
      </c>
      <c r="C841" t="s">
        <v>4</v>
      </c>
      <c r="D841" s="5">
        <v>7.9956436000000002</v>
      </c>
    </row>
    <row r="842" spans="1:4" x14ac:dyDescent="0.2">
      <c r="A842" s="4">
        <v>38.117861099999999</v>
      </c>
      <c r="B842" t="s">
        <v>20</v>
      </c>
      <c r="C842" t="s">
        <v>4</v>
      </c>
      <c r="D842" s="5">
        <v>7.9912539300000001</v>
      </c>
    </row>
    <row r="843" spans="1:4" x14ac:dyDescent="0.2">
      <c r="A843" s="4">
        <v>38.4826944</v>
      </c>
      <c r="B843" t="s">
        <v>20</v>
      </c>
      <c r="C843" t="s">
        <v>4</v>
      </c>
      <c r="D843" s="5">
        <v>7.9892214099999999</v>
      </c>
    </row>
    <row r="844" spans="1:4" x14ac:dyDescent="0.2">
      <c r="A844" s="4">
        <v>38.847499999999997</v>
      </c>
      <c r="B844" t="s">
        <v>20</v>
      </c>
      <c r="C844" t="s">
        <v>4</v>
      </c>
      <c r="D844" s="5">
        <v>7.99361999</v>
      </c>
    </row>
    <row r="845" spans="1:4" x14ac:dyDescent="0.2">
      <c r="A845" s="4">
        <v>39.212305600000001</v>
      </c>
      <c r="B845" t="s">
        <v>20</v>
      </c>
      <c r="C845" t="s">
        <v>4</v>
      </c>
      <c r="D845" s="5">
        <v>7.9888822499999996</v>
      </c>
    </row>
    <row r="846" spans="1:4" x14ac:dyDescent="0.2">
      <c r="A846" s="4">
        <v>39.577138900000001</v>
      </c>
      <c r="B846" t="s">
        <v>20</v>
      </c>
      <c r="C846" t="s">
        <v>4</v>
      </c>
      <c r="D846" s="5">
        <v>7.9922686399999998</v>
      </c>
    </row>
    <row r="847" spans="1:4" x14ac:dyDescent="0.2">
      <c r="A847" s="4">
        <v>39.941944399999997</v>
      </c>
      <c r="B847" t="s">
        <v>20</v>
      </c>
      <c r="C847" t="s">
        <v>4</v>
      </c>
      <c r="D847" s="5">
        <v>7.9885429800000001</v>
      </c>
    </row>
    <row r="848" spans="1:4" x14ac:dyDescent="0.2">
      <c r="A848" s="4">
        <v>40.306777799999999</v>
      </c>
      <c r="B848" t="s">
        <v>20</v>
      </c>
      <c r="C848" t="s">
        <v>4</v>
      </c>
      <c r="D848" s="5">
        <v>7.9793389000000001</v>
      </c>
    </row>
    <row r="849" spans="1:4" x14ac:dyDescent="0.2">
      <c r="A849" s="4">
        <v>40.6716944</v>
      </c>
      <c r="B849" t="s">
        <v>20</v>
      </c>
      <c r="C849" t="s">
        <v>4</v>
      </c>
      <c r="D849" s="5">
        <v>7.9848033899999997</v>
      </c>
    </row>
    <row r="850" spans="1:4" x14ac:dyDescent="0.2">
      <c r="A850" s="4">
        <v>41.036499999999997</v>
      </c>
      <c r="B850" t="s">
        <v>20</v>
      </c>
      <c r="C850" t="s">
        <v>4</v>
      </c>
      <c r="D850" s="5">
        <v>7.9942949900000002</v>
      </c>
    </row>
    <row r="851" spans="1:4" x14ac:dyDescent="0.2">
      <c r="A851" s="4">
        <v>41.401333299999997</v>
      </c>
      <c r="B851" t="s">
        <v>20</v>
      </c>
      <c r="C851" t="s">
        <v>4</v>
      </c>
      <c r="D851" s="5">
        <v>7.9861648599999997</v>
      </c>
    </row>
    <row r="852" spans="1:4" x14ac:dyDescent="0.2">
      <c r="A852" s="4">
        <v>41.766166699999999</v>
      </c>
      <c r="B852" t="s">
        <v>20</v>
      </c>
      <c r="C852" t="s">
        <v>4</v>
      </c>
      <c r="D852" s="5">
        <v>7.9851439299999996</v>
      </c>
    </row>
    <row r="853" spans="1:4" x14ac:dyDescent="0.2">
      <c r="A853" s="4">
        <v>42.130972200000002</v>
      </c>
      <c r="B853" t="s">
        <v>20</v>
      </c>
      <c r="C853" t="s">
        <v>4</v>
      </c>
      <c r="D853" s="5">
        <v>7.9882036000000003</v>
      </c>
    </row>
    <row r="854" spans="1:4" x14ac:dyDescent="0.2">
      <c r="A854" s="4">
        <v>42.495805599999997</v>
      </c>
      <c r="B854" t="s">
        <v>20</v>
      </c>
      <c r="C854" t="s">
        <v>4</v>
      </c>
      <c r="D854" s="5">
        <v>7.9892214099999999</v>
      </c>
    </row>
    <row r="855" spans="1:4" x14ac:dyDescent="0.2">
      <c r="A855" s="4">
        <v>42.8606111</v>
      </c>
      <c r="B855" t="s">
        <v>20</v>
      </c>
      <c r="C855" t="s">
        <v>4</v>
      </c>
      <c r="D855" s="5">
        <v>7.9800235900000001</v>
      </c>
    </row>
    <row r="856" spans="1:4" x14ac:dyDescent="0.2">
      <c r="A856" s="4">
        <v>43.225444400000001</v>
      </c>
      <c r="B856" t="s">
        <v>20</v>
      </c>
      <c r="C856" t="s">
        <v>4</v>
      </c>
      <c r="D856" s="5">
        <v>7.9824163500000003</v>
      </c>
    </row>
    <row r="857" spans="1:4" x14ac:dyDescent="0.2">
      <c r="A857" s="4">
        <v>43.590277800000003</v>
      </c>
      <c r="B857" t="s">
        <v>20</v>
      </c>
      <c r="C857" t="s">
        <v>4</v>
      </c>
      <c r="D857" s="5">
        <v>7.9854843600000001</v>
      </c>
    </row>
    <row r="858" spans="1:4" x14ac:dyDescent="0.2">
      <c r="A858" s="4">
        <v>43.955083299999998</v>
      </c>
      <c r="B858" t="s">
        <v>20</v>
      </c>
      <c r="C858" t="s">
        <v>4</v>
      </c>
      <c r="D858" s="5">
        <v>7.9854843600000001</v>
      </c>
    </row>
    <row r="859" spans="1:4" x14ac:dyDescent="0.2">
      <c r="A859" s="4">
        <v>44.319888900000002</v>
      </c>
      <c r="B859" t="s">
        <v>20</v>
      </c>
      <c r="C859" t="s">
        <v>4</v>
      </c>
      <c r="D859" s="5">
        <v>7.9817332900000002</v>
      </c>
    </row>
    <row r="860" spans="1:4" x14ac:dyDescent="0.2">
      <c r="A860" s="4">
        <v>44.684722200000003</v>
      </c>
      <c r="B860" t="s">
        <v>20</v>
      </c>
      <c r="C860" t="s">
        <v>4</v>
      </c>
      <c r="D860" s="5">
        <v>7.9905768799999999</v>
      </c>
    </row>
    <row r="861" spans="1:4" x14ac:dyDescent="0.2">
      <c r="A861" s="4">
        <v>45.049194399999998</v>
      </c>
      <c r="B861" t="s">
        <v>20</v>
      </c>
      <c r="C861" t="s">
        <v>4</v>
      </c>
      <c r="D861" s="5">
        <v>7.9748768999999999</v>
      </c>
    </row>
    <row r="862" spans="1:4" x14ac:dyDescent="0.2">
      <c r="A862" s="4">
        <v>45.4140278</v>
      </c>
      <c r="B862" t="s">
        <v>20</v>
      </c>
      <c r="C862" t="s">
        <v>4</v>
      </c>
      <c r="D862" s="5">
        <v>7.9834400600000004</v>
      </c>
    </row>
    <row r="863" spans="1:4" x14ac:dyDescent="0.2">
      <c r="A863" s="4">
        <v>45.778833300000002</v>
      </c>
      <c r="B863" t="s">
        <v>20</v>
      </c>
      <c r="C863" t="s">
        <v>4</v>
      </c>
      <c r="D863" s="5">
        <v>7.9796813000000002</v>
      </c>
    </row>
    <row r="864" spans="1:4" x14ac:dyDescent="0.2">
      <c r="A864" s="4">
        <v>46.143666699999997</v>
      </c>
      <c r="B864" t="s">
        <v>20</v>
      </c>
      <c r="C864" t="s">
        <v>4</v>
      </c>
      <c r="D864" s="5">
        <v>7.9800235900000001</v>
      </c>
    </row>
    <row r="865" spans="1:4" x14ac:dyDescent="0.2">
      <c r="A865" s="4">
        <v>46.5084722</v>
      </c>
      <c r="B865" t="s">
        <v>20</v>
      </c>
      <c r="C865" t="s">
        <v>4</v>
      </c>
      <c r="D865" s="5">
        <v>7.9789963699999999</v>
      </c>
    </row>
    <row r="866" spans="1:4" x14ac:dyDescent="0.2">
      <c r="A866" s="4">
        <v>46.873305600000002</v>
      </c>
      <c r="B866" t="s">
        <v>20</v>
      </c>
      <c r="C866" t="s">
        <v>4</v>
      </c>
      <c r="D866" s="5">
        <v>7.9796813000000002</v>
      </c>
    </row>
    <row r="867" spans="1:4" x14ac:dyDescent="0.2">
      <c r="A867" s="4">
        <v>47.238111099999998</v>
      </c>
      <c r="B867" t="s">
        <v>20</v>
      </c>
      <c r="C867" t="s">
        <v>4</v>
      </c>
      <c r="D867" s="5">
        <v>7.9752208400000004</v>
      </c>
    </row>
    <row r="868" spans="1:4" x14ac:dyDescent="0.2">
      <c r="A868" s="4">
        <v>47.602944399999998</v>
      </c>
      <c r="B868" t="s">
        <v>20</v>
      </c>
      <c r="C868" t="s">
        <v>4</v>
      </c>
      <c r="D868" s="5">
        <v>7.97625194</v>
      </c>
    </row>
    <row r="869" spans="1:4" x14ac:dyDescent="0.2">
      <c r="A869" s="4">
        <v>47.9677778</v>
      </c>
      <c r="B869" t="s">
        <v>20</v>
      </c>
      <c r="C869" t="s">
        <v>4</v>
      </c>
      <c r="D869" s="5">
        <v>7.9783109699999999</v>
      </c>
    </row>
    <row r="870" spans="1:4" x14ac:dyDescent="0.2">
      <c r="A870" s="4">
        <v>48.332583300000003</v>
      </c>
      <c r="B870" t="s">
        <v>20</v>
      </c>
      <c r="C870" t="s">
        <v>4</v>
      </c>
      <c r="D870" s="5">
        <v>7.9707403899999996</v>
      </c>
    </row>
    <row r="871" spans="1:4" x14ac:dyDescent="0.2">
      <c r="A871" s="4">
        <v>48.697416699999998</v>
      </c>
      <c r="B871" t="s">
        <v>20</v>
      </c>
      <c r="C871" t="s">
        <v>4</v>
      </c>
      <c r="D871" s="5">
        <v>7.9796813000000002</v>
      </c>
    </row>
    <row r="872" spans="1:4" x14ac:dyDescent="0.2">
      <c r="A872" s="4">
        <v>49.062222200000001</v>
      </c>
      <c r="B872" t="s">
        <v>20</v>
      </c>
      <c r="C872" t="s">
        <v>4</v>
      </c>
      <c r="D872" s="5">
        <v>7.9665866999999997</v>
      </c>
    </row>
    <row r="873" spans="1:4" x14ac:dyDescent="0.2">
      <c r="A873" s="4">
        <v>49.427055600000003</v>
      </c>
      <c r="B873" t="s">
        <v>20</v>
      </c>
      <c r="C873" t="s">
        <v>4</v>
      </c>
      <c r="D873" s="5">
        <v>7.9721211299999997</v>
      </c>
    </row>
    <row r="874" spans="1:4" x14ac:dyDescent="0.2">
      <c r="A874" s="4">
        <v>49.791861099999998</v>
      </c>
      <c r="B874" t="s">
        <v>20</v>
      </c>
      <c r="C874" t="s">
        <v>4</v>
      </c>
      <c r="D874" s="5">
        <v>7.9707403899999996</v>
      </c>
    </row>
    <row r="875" spans="1:4" x14ac:dyDescent="0.2">
      <c r="A875" s="4">
        <v>50.156694399999999</v>
      </c>
      <c r="B875" t="s">
        <v>20</v>
      </c>
      <c r="C875" t="s">
        <v>4</v>
      </c>
      <c r="D875" s="5">
        <v>7.9724660199999997</v>
      </c>
    </row>
    <row r="876" spans="1:4" x14ac:dyDescent="0.2">
      <c r="A876" s="4">
        <v>50.521500000000003</v>
      </c>
      <c r="B876" t="s">
        <v>20</v>
      </c>
      <c r="C876" t="s">
        <v>4</v>
      </c>
      <c r="D876" s="5">
        <v>7.9717761200000004</v>
      </c>
    </row>
    <row r="877" spans="1:4" x14ac:dyDescent="0.2">
      <c r="A877" s="4">
        <v>50.886333299999997</v>
      </c>
      <c r="B877" t="s">
        <v>20</v>
      </c>
      <c r="C877" t="s">
        <v>4</v>
      </c>
      <c r="D877" s="5">
        <v>7.9734999599999998</v>
      </c>
    </row>
    <row r="878" spans="1:4" x14ac:dyDescent="0.2">
      <c r="A878" s="4">
        <v>51.251138900000001</v>
      </c>
      <c r="B878" t="s">
        <v>20</v>
      </c>
      <c r="C878" t="s">
        <v>4</v>
      </c>
      <c r="D878" s="5">
        <v>7.9755646599999999</v>
      </c>
    </row>
    <row r="879" spans="1:4" x14ac:dyDescent="0.2">
      <c r="A879" s="4">
        <v>51.615972200000002</v>
      </c>
      <c r="B879" t="s">
        <v>20</v>
      </c>
      <c r="C879" t="s">
        <v>4</v>
      </c>
      <c r="D879" s="5">
        <v>7.9779680900000001</v>
      </c>
    </row>
    <row r="880" spans="1:4" x14ac:dyDescent="0.2">
      <c r="A880" s="4">
        <v>51.980888899999997</v>
      </c>
      <c r="B880" t="s">
        <v>20</v>
      </c>
      <c r="C880" t="s">
        <v>4</v>
      </c>
      <c r="D880" s="5">
        <v>7.9724660199999997</v>
      </c>
    </row>
    <row r="881" spans="1:4" x14ac:dyDescent="0.2">
      <c r="A881" s="4">
        <v>52.345694399999999</v>
      </c>
      <c r="B881" t="s">
        <v>20</v>
      </c>
      <c r="C881" t="s">
        <v>4</v>
      </c>
      <c r="D881" s="5">
        <v>7.97625194</v>
      </c>
    </row>
    <row r="882" spans="1:4" x14ac:dyDescent="0.2">
      <c r="A882" s="4">
        <v>52.710527800000001</v>
      </c>
      <c r="B882" t="s">
        <v>20</v>
      </c>
      <c r="C882" t="s">
        <v>4</v>
      </c>
      <c r="D882" s="5">
        <v>7.9731554300000003</v>
      </c>
    </row>
    <row r="883" spans="1:4" x14ac:dyDescent="0.2">
      <c r="A883" s="4">
        <v>53.075333299999997</v>
      </c>
      <c r="B883" t="s">
        <v>20</v>
      </c>
      <c r="C883" t="s">
        <v>4</v>
      </c>
      <c r="D883" s="5">
        <v>7.9755646599999999</v>
      </c>
    </row>
    <row r="884" spans="1:4" x14ac:dyDescent="0.2">
      <c r="A884" s="4">
        <v>53.440166699999999</v>
      </c>
      <c r="B884" t="s">
        <v>20</v>
      </c>
      <c r="C884" t="s">
        <v>4</v>
      </c>
      <c r="D884" s="5">
        <v>7.9721211299999997</v>
      </c>
    </row>
    <row r="885" spans="1:4" x14ac:dyDescent="0.2">
      <c r="A885" s="4">
        <v>53.805</v>
      </c>
      <c r="B885" t="s">
        <v>20</v>
      </c>
      <c r="C885" t="s">
        <v>4</v>
      </c>
      <c r="D885" s="5">
        <v>7.9714309999999999</v>
      </c>
    </row>
    <row r="886" spans="1:4" x14ac:dyDescent="0.2">
      <c r="A886" s="4">
        <v>54.169805599999997</v>
      </c>
      <c r="B886" t="s">
        <v>20</v>
      </c>
      <c r="C886" t="s">
        <v>4</v>
      </c>
      <c r="D886" s="5">
        <v>7.9700493000000003</v>
      </c>
    </row>
    <row r="887" spans="1:4" x14ac:dyDescent="0.2">
      <c r="A887" s="4">
        <v>54.534638899999997</v>
      </c>
      <c r="B887" t="s">
        <v>20</v>
      </c>
      <c r="C887" t="s">
        <v>4</v>
      </c>
      <c r="D887" s="5">
        <v>7.9700493000000003</v>
      </c>
    </row>
    <row r="888" spans="1:4" x14ac:dyDescent="0.2">
      <c r="A888" s="4">
        <v>54.8994444</v>
      </c>
      <c r="B888" t="s">
        <v>20</v>
      </c>
      <c r="C888" t="s">
        <v>4</v>
      </c>
      <c r="D888" s="5">
        <v>7.96970358</v>
      </c>
    </row>
    <row r="889" spans="1:4" x14ac:dyDescent="0.2">
      <c r="A889" s="4">
        <v>55.264249999999997</v>
      </c>
      <c r="B889" t="s">
        <v>20</v>
      </c>
      <c r="C889" t="s">
        <v>4</v>
      </c>
      <c r="D889" s="5">
        <v>7.9655455699999997</v>
      </c>
    </row>
    <row r="890" spans="1:4" x14ac:dyDescent="0.2">
      <c r="A890" s="4">
        <v>55.629083299999998</v>
      </c>
      <c r="B890" t="s">
        <v>20</v>
      </c>
      <c r="C890" t="s">
        <v>4</v>
      </c>
      <c r="D890" s="5">
        <v>7.9714309999999999</v>
      </c>
    </row>
    <row r="891" spans="1:4" x14ac:dyDescent="0.2">
      <c r="A891" s="4">
        <v>55.993888900000002</v>
      </c>
      <c r="B891" t="s">
        <v>20</v>
      </c>
      <c r="C891" t="s">
        <v>4</v>
      </c>
      <c r="D891" s="5">
        <v>7.96970358</v>
      </c>
    </row>
    <row r="892" spans="1:4" x14ac:dyDescent="0.2">
      <c r="A892" s="4">
        <v>56.358722200000003</v>
      </c>
      <c r="B892" t="s">
        <v>20</v>
      </c>
      <c r="C892" t="s">
        <v>4</v>
      </c>
      <c r="D892" s="5">
        <v>7.9627639300000004</v>
      </c>
    </row>
    <row r="893" spans="1:4" x14ac:dyDescent="0.2">
      <c r="A893" s="4">
        <v>56.723555599999997</v>
      </c>
      <c r="B893" t="s">
        <v>20</v>
      </c>
      <c r="C893" t="s">
        <v>4</v>
      </c>
      <c r="D893" s="5">
        <v>7.9627639300000004</v>
      </c>
    </row>
    <row r="894" spans="1:4" x14ac:dyDescent="0.2">
      <c r="A894" s="4">
        <v>57.0883611</v>
      </c>
      <c r="B894" t="s">
        <v>20</v>
      </c>
      <c r="C894" t="s">
        <v>4</v>
      </c>
      <c r="D894" s="5">
        <v>7.96762674</v>
      </c>
    </row>
    <row r="895" spans="1:4" x14ac:dyDescent="0.2">
      <c r="A895" s="4">
        <v>57.453194400000001</v>
      </c>
      <c r="B895" t="s">
        <v>20</v>
      </c>
      <c r="C895" t="s">
        <v>4</v>
      </c>
      <c r="D895" s="5">
        <v>7.9658927400000001</v>
      </c>
    </row>
    <row r="896" spans="1:4" x14ac:dyDescent="0.2">
      <c r="A896" s="4">
        <v>57.817999999999998</v>
      </c>
      <c r="B896" t="s">
        <v>20</v>
      </c>
      <c r="C896" t="s">
        <v>4</v>
      </c>
      <c r="D896" s="5">
        <v>7.9672801800000004</v>
      </c>
    </row>
    <row r="897" spans="1:4" x14ac:dyDescent="0.2">
      <c r="A897" s="4">
        <v>58.182833299999999</v>
      </c>
      <c r="B897" t="s">
        <v>20</v>
      </c>
      <c r="C897" t="s">
        <v>4</v>
      </c>
      <c r="D897" s="5">
        <v>7.96970358</v>
      </c>
    </row>
    <row r="898" spans="1:4" x14ac:dyDescent="0.2">
      <c r="A898" s="4">
        <v>58.547638900000003</v>
      </c>
      <c r="B898" t="s">
        <v>20</v>
      </c>
      <c r="C898" t="s">
        <v>4</v>
      </c>
      <c r="D898" s="5">
        <v>7.9686656999999999</v>
      </c>
    </row>
    <row r="899" spans="1:4" x14ac:dyDescent="0.2">
      <c r="A899" s="4">
        <v>58.912472200000003</v>
      </c>
      <c r="B899" t="s">
        <v>20</v>
      </c>
      <c r="C899" t="s">
        <v>4</v>
      </c>
      <c r="D899" s="5">
        <v>7.9624156800000003</v>
      </c>
    </row>
    <row r="900" spans="1:4" x14ac:dyDescent="0.2">
      <c r="A900" s="4">
        <v>59.2772778</v>
      </c>
      <c r="B900" t="s">
        <v>20</v>
      </c>
      <c r="C900" t="s">
        <v>4</v>
      </c>
      <c r="D900" s="5">
        <v>7.9665866999999997</v>
      </c>
    </row>
    <row r="901" spans="1:4" x14ac:dyDescent="0.2">
      <c r="A901" s="4">
        <v>59.642083300000003</v>
      </c>
      <c r="B901" t="s">
        <v>20</v>
      </c>
      <c r="C901" t="s">
        <v>4</v>
      </c>
      <c r="D901" s="5">
        <v>7.9645033600000001</v>
      </c>
    </row>
    <row r="902" spans="1:4" x14ac:dyDescent="0.2">
      <c r="A902" s="4">
        <v>60.0068889</v>
      </c>
      <c r="B902" t="s">
        <v>20</v>
      </c>
      <c r="C902" t="s">
        <v>4</v>
      </c>
      <c r="D902" s="5">
        <v>7.9627639300000004</v>
      </c>
    </row>
    <row r="903" spans="1:4" x14ac:dyDescent="0.2">
      <c r="A903" s="4">
        <v>60.371722200000001</v>
      </c>
      <c r="B903" t="s">
        <v>20</v>
      </c>
      <c r="C903" t="s">
        <v>4</v>
      </c>
      <c r="D903" s="5">
        <v>7.9596253099999998</v>
      </c>
    </row>
    <row r="904" spans="1:4" x14ac:dyDescent="0.2">
      <c r="A904" s="4">
        <v>60.736527799999998</v>
      </c>
      <c r="B904" t="s">
        <v>20</v>
      </c>
      <c r="C904" t="s">
        <v>4</v>
      </c>
      <c r="D904" s="5">
        <v>7.9641557199999999</v>
      </c>
    </row>
    <row r="905" spans="1:4" x14ac:dyDescent="0.2">
      <c r="A905" s="4">
        <v>61.1013333</v>
      </c>
      <c r="B905" t="s">
        <v>20</v>
      </c>
      <c r="C905" t="s">
        <v>4</v>
      </c>
      <c r="D905" s="5">
        <v>7.9631120600000003</v>
      </c>
    </row>
    <row r="906" spans="1:4" x14ac:dyDescent="0.2">
      <c r="A906" s="4">
        <v>61.466166700000002</v>
      </c>
      <c r="B906" t="s">
        <v>20</v>
      </c>
      <c r="C906" t="s">
        <v>4</v>
      </c>
      <c r="D906" s="5">
        <v>7.9631120600000003</v>
      </c>
    </row>
    <row r="907" spans="1:4" x14ac:dyDescent="0.2">
      <c r="A907" s="4">
        <v>61.830972199999998</v>
      </c>
      <c r="B907" t="s">
        <v>20</v>
      </c>
      <c r="C907" t="s">
        <v>4</v>
      </c>
      <c r="D907" s="5">
        <v>7.9599745300000002</v>
      </c>
    </row>
    <row r="908" spans="1:4" x14ac:dyDescent="0.2">
      <c r="A908" s="4">
        <v>62.1958056</v>
      </c>
      <c r="B908" t="s">
        <v>20</v>
      </c>
      <c r="C908" t="s">
        <v>4</v>
      </c>
      <c r="D908" s="5">
        <v>7.9536697800000002</v>
      </c>
    </row>
    <row r="909" spans="1:4" x14ac:dyDescent="0.2">
      <c r="A909" s="4">
        <v>62.560638900000001</v>
      </c>
      <c r="B909" t="s">
        <v>20</v>
      </c>
      <c r="C909" t="s">
        <v>4</v>
      </c>
      <c r="D909" s="5">
        <v>7.9641557199999999</v>
      </c>
    </row>
    <row r="910" spans="1:4" x14ac:dyDescent="0.2">
      <c r="A910" s="4">
        <v>62.925444400000003</v>
      </c>
      <c r="B910" t="s">
        <v>20</v>
      </c>
      <c r="C910" t="s">
        <v>4</v>
      </c>
      <c r="D910" s="5">
        <v>7.9585768999999997</v>
      </c>
    </row>
    <row r="911" spans="1:4" x14ac:dyDescent="0.2">
      <c r="A911" s="4">
        <v>63.29025</v>
      </c>
      <c r="B911" t="s">
        <v>20</v>
      </c>
      <c r="C911" t="s">
        <v>4</v>
      </c>
      <c r="D911" s="5">
        <v>7.9589264899999996</v>
      </c>
    </row>
    <row r="912" spans="1:4" x14ac:dyDescent="0.2">
      <c r="A912" s="4">
        <v>63.655083300000001</v>
      </c>
      <c r="B912" t="s">
        <v>20</v>
      </c>
      <c r="C912" t="s">
        <v>4</v>
      </c>
      <c r="D912" s="5">
        <v>7.9568271199999998</v>
      </c>
    </row>
    <row r="913" spans="1:4" x14ac:dyDescent="0.2">
      <c r="A913" s="4">
        <v>64.019888899999998</v>
      </c>
      <c r="B913" t="s">
        <v>20</v>
      </c>
      <c r="C913" t="s">
        <v>4</v>
      </c>
      <c r="D913" s="5">
        <v>7.9658927400000001</v>
      </c>
    </row>
    <row r="914" spans="1:4" x14ac:dyDescent="0.2">
      <c r="A914" s="4">
        <v>64.384694400000001</v>
      </c>
      <c r="B914" t="s">
        <v>20</v>
      </c>
      <c r="C914" t="s">
        <v>4</v>
      </c>
      <c r="D914" s="5">
        <v>7.95261511</v>
      </c>
    </row>
    <row r="915" spans="1:4" x14ac:dyDescent="0.2">
      <c r="A915" s="4">
        <v>64.749527799999996</v>
      </c>
      <c r="B915" t="s">
        <v>20</v>
      </c>
      <c r="C915" t="s">
        <v>4</v>
      </c>
      <c r="D915" s="5">
        <v>7.9557757799999997</v>
      </c>
    </row>
    <row r="916" spans="1:4" x14ac:dyDescent="0.2">
      <c r="A916" s="4">
        <v>65.114333299999998</v>
      </c>
      <c r="B916" t="s">
        <v>20</v>
      </c>
      <c r="C916" t="s">
        <v>4</v>
      </c>
      <c r="D916" s="5">
        <v>7.9554250900000003</v>
      </c>
    </row>
    <row r="917" spans="1:4" x14ac:dyDescent="0.2">
      <c r="A917" s="4">
        <v>65.479166699999993</v>
      </c>
      <c r="B917" t="s">
        <v>20</v>
      </c>
      <c r="C917" t="s">
        <v>4</v>
      </c>
      <c r="D917" s="5">
        <v>7.9568271199999998</v>
      </c>
    </row>
    <row r="918" spans="1:4" x14ac:dyDescent="0.2">
      <c r="A918" s="4">
        <v>65.843999999999994</v>
      </c>
      <c r="B918" t="s">
        <v>20</v>
      </c>
      <c r="C918" t="s">
        <v>4</v>
      </c>
      <c r="D918" s="5">
        <v>7.9662397800000004</v>
      </c>
    </row>
    <row r="919" spans="1:4" x14ac:dyDescent="0.2">
      <c r="A919" s="4">
        <v>66.208805600000005</v>
      </c>
      <c r="B919" t="s">
        <v>20</v>
      </c>
      <c r="C919" t="s">
        <v>4</v>
      </c>
      <c r="D919" s="5">
        <v>7.9554250900000003</v>
      </c>
    </row>
    <row r="920" spans="1:4" x14ac:dyDescent="0.2">
      <c r="A920" s="4">
        <v>66.573611099999994</v>
      </c>
      <c r="B920" t="s">
        <v>20</v>
      </c>
      <c r="C920" t="s">
        <v>4</v>
      </c>
      <c r="D920" s="5">
        <v>7.9564767999999999</v>
      </c>
    </row>
    <row r="921" spans="1:4" x14ac:dyDescent="0.2">
      <c r="A921" s="4">
        <v>66.938444399999995</v>
      </c>
      <c r="B921" t="s">
        <v>20</v>
      </c>
      <c r="C921" t="s">
        <v>4</v>
      </c>
      <c r="D921" s="5">
        <v>7.9620673100000001</v>
      </c>
    </row>
    <row r="922" spans="1:4" x14ac:dyDescent="0.2">
      <c r="A922" s="4">
        <v>67.303250000000006</v>
      </c>
      <c r="B922" t="s">
        <v>20</v>
      </c>
      <c r="C922" t="s">
        <v>4</v>
      </c>
      <c r="D922" s="5">
        <v>7.9613702000000002</v>
      </c>
    </row>
    <row r="923" spans="1:4" x14ac:dyDescent="0.2">
      <c r="A923" s="4">
        <v>67.668083300000006</v>
      </c>
      <c r="B923" t="s">
        <v>20</v>
      </c>
      <c r="C923" t="s">
        <v>4</v>
      </c>
      <c r="D923" s="5">
        <v>7.9631120600000003</v>
      </c>
    </row>
    <row r="924" spans="1:4" x14ac:dyDescent="0.2">
      <c r="A924" s="4">
        <v>68.032888900000003</v>
      </c>
      <c r="B924" t="s">
        <v>20</v>
      </c>
      <c r="C924" t="s">
        <v>4</v>
      </c>
      <c r="D924" s="5">
        <v>7.9575274</v>
      </c>
    </row>
    <row r="925" spans="1:4" x14ac:dyDescent="0.2">
      <c r="A925" s="4">
        <v>68.397722200000004</v>
      </c>
      <c r="B925" t="s">
        <v>20</v>
      </c>
      <c r="C925" t="s">
        <v>4</v>
      </c>
      <c r="D925" s="5">
        <v>7.9536697800000002</v>
      </c>
    </row>
    <row r="926" spans="1:4" x14ac:dyDescent="0.2">
      <c r="A926" s="4">
        <v>68.762527800000001</v>
      </c>
      <c r="B926" t="s">
        <v>20</v>
      </c>
      <c r="C926" t="s">
        <v>4</v>
      </c>
      <c r="D926" s="5">
        <v>7.9568271199999998</v>
      </c>
    </row>
    <row r="927" spans="1:4" x14ac:dyDescent="0.2">
      <c r="A927" s="4">
        <v>69.126861099999999</v>
      </c>
      <c r="B927" t="s">
        <v>20</v>
      </c>
      <c r="C927" t="s">
        <v>4</v>
      </c>
      <c r="D927" s="5">
        <v>7.9519113800000003</v>
      </c>
    </row>
    <row r="928" spans="1:4" x14ac:dyDescent="0.2">
      <c r="A928" s="4">
        <v>69.491666699999996</v>
      </c>
      <c r="B928" t="s">
        <v>20</v>
      </c>
      <c r="C928" t="s">
        <v>4</v>
      </c>
      <c r="D928" s="5">
        <v>7.9554250900000003</v>
      </c>
    </row>
    <row r="929" spans="1:4" x14ac:dyDescent="0.2">
      <c r="A929" s="4">
        <v>69.856499999999997</v>
      </c>
      <c r="B929" t="s">
        <v>20</v>
      </c>
      <c r="C929" t="s">
        <v>4</v>
      </c>
      <c r="D929" s="5">
        <v>7.9617188199999998</v>
      </c>
    </row>
    <row r="930" spans="1:4" x14ac:dyDescent="0.2">
      <c r="A930" s="4">
        <v>70.221305599999994</v>
      </c>
      <c r="B930" t="s">
        <v>20</v>
      </c>
      <c r="C930" t="s">
        <v>4</v>
      </c>
      <c r="D930" s="5">
        <v>7.9557757799999997</v>
      </c>
    </row>
    <row r="931" spans="1:4" x14ac:dyDescent="0.2">
      <c r="A931" s="4">
        <v>70.586138899999995</v>
      </c>
      <c r="B931" t="s">
        <v>20</v>
      </c>
      <c r="C931" t="s">
        <v>4</v>
      </c>
      <c r="D931" s="5">
        <v>7.9547233300000002</v>
      </c>
    </row>
    <row r="932" spans="1:4" x14ac:dyDescent="0.2">
      <c r="A932" s="4">
        <v>70.950972199999995</v>
      </c>
      <c r="B932" t="s">
        <v>20</v>
      </c>
      <c r="C932" t="s">
        <v>4</v>
      </c>
      <c r="D932" s="5">
        <v>7.9536697800000002</v>
      </c>
    </row>
    <row r="933" spans="1:4" x14ac:dyDescent="0.2">
      <c r="A933" s="4">
        <v>71.315777800000006</v>
      </c>
      <c r="B933" t="s">
        <v>20</v>
      </c>
      <c r="C933" t="s">
        <v>4</v>
      </c>
      <c r="D933" s="5">
        <v>7.9543722700000004</v>
      </c>
    </row>
    <row r="934" spans="1:4" x14ac:dyDescent="0.2">
      <c r="A934" s="4">
        <v>71.680611099999993</v>
      </c>
      <c r="B934" t="s">
        <v>20</v>
      </c>
      <c r="C934" t="s">
        <v>4</v>
      </c>
      <c r="D934" s="5">
        <v>7.9554250900000003</v>
      </c>
    </row>
    <row r="935" spans="1:4" x14ac:dyDescent="0.2">
      <c r="A935" s="4">
        <v>72.045416700000004</v>
      </c>
      <c r="B935" t="s">
        <v>20</v>
      </c>
      <c r="C935" t="s">
        <v>4</v>
      </c>
      <c r="D935" s="5">
        <v>7.9564767999999999</v>
      </c>
    </row>
    <row r="936" spans="1:4" x14ac:dyDescent="0.2">
      <c r="A936" s="4">
        <v>72.410277800000003</v>
      </c>
      <c r="B936" t="s">
        <v>20</v>
      </c>
      <c r="C936" t="s">
        <v>4</v>
      </c>
      <c r="D936" s="5">
        <v>7.95261511</v>
      </c>
    </row>
    <row r="937" spans="1:4" x14ac:dyDescent="0.2">
      <c r="A937" s="4">
        <v>72.775083300000006</v>
      </c>
      <c r="B937" t="s">
        <v>20</v>
      </c>
      <c r="C937" t="s">
        <v>4</v>
      </c>
      <c r="D937" s="5">
        <v>7.9505024300000002</v>
      </c>
    </row>
    <row r="938" spans="1:4" x14ac:dyDescent="0.2">
      <c r="A938" s="4">
        <v>73.139916700000001</v>
      </c>
      <c r="B938" t="s">
        <v>20</v>
      </c>
      <c r="C938" t="s">
        <v>4</v>
      </c>
      <c r="D938" s="5">
        <v>7.9515593300000003</v>
      </c>
    </row>
    <row r="939" spans="1:4" x14ac:dyDescent="0.2">
      <c r="A939" s="4">
        <v>73.504722200000003</v>
      </c>
      <c r="B939" t="s">
        <v>20</v>
      </c>
      <c r="C939" t="s">
        <v>4</v>
      </c>
      <c r="D939" s="5">
        <v>7.9543722700000004</v>
      </c>
    </row>
    <row r="940" spans="1:4" x14ac:dyDescent="0.2">
      <c r="A940" s="4">
        <v>73.8695278</v>
      </c>
      <c r="B940" t="s">
        <v>20</v>
      </c>
      <c r="C940" t="s">
        <v>4</v>
      </c>
      <c r="D940" s="5">
        <v>7.9540210900000003</v>
      </c>
    </row>
    <row r="941" spans="1:4" x14ac:dyDescent="0.2">
      <c r="A941" s="4">
        <v>74.234361100000001</v>
      </c>
      <c r="B941" t="s">
        <v>20</v>
      </c>
      <c r="C941" t="s">
        <v>4</v>
      </c>
      <c r="D941" s="5">
        <v>7.9519113800000003</v>
      </c>
    </row>
    <row r="942" spans="1:4" x14ac:dyDescent="0.2">
      <c r="A942" s="4">
        <v>74.599166699999998</v>
      </c>
      <c r="B942" t="s">
        <v>20</v>
      </c>
      <c r="C942" t="s">
        <v>4</v>
      </c>
      <c r="D942" s="5">
        <v>7.9568271199999998</v>
      </c>
    </row>
    <row r="943" spans="1:4" x14ac:dyDescent="0.2">
      <c r="A943" s="4">
        <v>74.963972200000001</v>
      </c>
      <c r="B943" t="s">
        <v>20</v>
      </c>
      <c r="C943" t="s">
        <v>4</v>
      </c>
      <c r="D943" s="5">
        <v>7.9589264899999996</v>
      </c>
    </row>
    <row r="944" spans="1:4" x14ac:dyDescent="0.2">
      <c r="A944" s="4">
        <v>75.328805599999995</v>
      </c>
      <c r="B944" t="s">
        <v>20</v>
      </c>
      <c r="C944" t="s">
        <v>4</v>
      </c>
      <c r="D944" s="5">
        <v>7.9596253099999998</v>
      </c>
    </row>
    <row r="945" spans="1:4" x14ac:dyDescent="0.2">
      <c r="A945" s="4">
        <v>75.693611099999998</v>
      </c>
      <c r="B945" t="s">
        <v>20</v>
      </c>
      <c r="C945" t="s">
        <v>4</v>
      </c>
      <c r="D945" s="5">
        <v>7.9522633100000002</v>
      </c>
    </row>
    <row r="946" spans="1:4" x14ac:dyDescent="0.2">
      <c r="A946" s="4">
        <v>76.058444399999999</v>
      </c>
      <c r="B946" t="s">
        <v>20</v>
      </c>
      <c r="C946" t="s">
        <v>4</v>
      </c>
      <c r="D946" s="5">
        <v>7.9610214700000004</v>
      </c>
    </row>
    <row r="947" spans="1:4" x14ac:dyDescent="0.2">
      <c r="A947" s="4">
        <v>76.423277799999994</v>
      </c>
      <c r="B947" t="s">
        <v>20</v>
      </c>
      <c r="C947" t="s">
        <v>4</v>
      </c>
      <c r="D947" s="5">
        <v>7.9561263499999999</v>
      </c>
    </row>
    <row r="948" spans="1:4" x14ac:dyDescent="0.2">
      <c r="A948" s="4">
        <v>76.788083299999997</v>
      </c>
      <c r="B948" t="s">
        <v>20</v>
      </c>
      <c r="C948" t="s">
        <v>4</v>
      </c>
      <c r="D948" s="5">
        <v>7.9494444199999998</v>
      </c>
    </row>
    <row r="949" spans="1:4" x14ac:dyDescent="0.2">
      <c r="A949" s="4">
        <v>77.152888899999994</v>
      </c>
      <c r="B949" t="s">
        <v>20</v>
      </c>
      <c r="C949" t="s">
        <v>4</v>
      </c>
      <c r="D949" s="5">
        <v>7.9568271199999998</v>
      </c>
    </row>
    <row r="950" spans="1:4" x14ac:dyDescent="0.2">
      <c r="A950" s="4">
        <v>77.517722199999994</v>
      </c>
      <c r="B950" t="s">
        <v>20</v>
      </c>
      <c r="C950" t="s">
        <v>4</v>
      </c>
      <c r="D950" s="5">
        <v>7.9508548599999997</v>
      </c>
    </row>
    <row r="951" spans="1:4" x14ac:dyDescent="0.2">
      <c r="A951" s="4">
        <v>77.882555600000003</v>
      </c>
      <c r="B951" t="s">
        <v>20</v>
      </c>
      <c r="C951" t="s">
        <v>4</v>
      </c>
      <c r="D951" s="5">
        <v>7.9494444199999998</v>
      </c>
    </row>
    <row r="952" spans="1:4" x14ac:dyDescent="0.2">
      <c r="A952" s="4">
        <v>78.247361100000006</v>
      </c>
      <c r="B952" t="s">
        <v>20</v>
      </c>
      <c r="C952" t="s">
        <v>4</v>
      </c>
      <c r="D952" s="5">
        <v>7.9448467100000002</v>
      </c>
    </row>
    <row r="953" spans="1:4" x14ac:dyDescent="0.2">
      <c r="A953" s="4">
        <v>78.612166700000003</v>
      </c>
      <c r="B953" t="s">
        <v>20</v>
      </c>
      <c r="C953" t="s">
        <v>4</v>
      </c>
      <c r="D953" s="5">
        <v>7.95331835</v>
      </c>
    </row>
    <row r="954" spans="1:4" x14ac:dyDescent="0.2">
      <c r="A954" s="4">
        <v>78.977000000000004</v>
      </c>
      <c r="B954" t="s">
        <v>20</v>
      </c>
      <c r="C954" t="s">
        <v>4</v>
      </c>
      <c r="D954" s="5">
        <v>7.9582271899999997</v>
      </c>
    </row>
    <row r="955" spans="1:4" x14ac:dyDescent="0.2">
      <c r="A955" s="4">
        <v>79.341805600000001</v>
      </c>
      <c r="B955" t="s">
        <v>20</v>
      </c>
      <c r="C955" t="s">
        <v>4</v>
      </c>
      <c r="D955" s="5">
        <v>7.9547233300000002</v>
      </c>
    </row>
    <row r="956" spans="1:4" x14ac:dyDescent="0.2">
      <c r="A956" s="4">
        <v>79.706638900000002</v>
      </c>
      <c r="B956" t="s">
        <v>20</v>
      </c>
      <c r="C956" t="s">
        <v>4</v>
      </c>
      <c r="D956" s="5">
        <v>7.9557757799999997</v>
      </c>
    </row>
    <row r="957" spans="1:4" x14ac:dyDescent="0.2">
      <c r="A957" s="4">
        <v>80.071444400000004</v>
      </c>
      <c r="B957" t="s">
        <v>20</v>
      </c>
      <c r="C957" t="s">
        <v>4</v>
      </c>
      <c r="D957" s="5">
        <v>7.9480319899999996</v>
      </c>
    </row>
    <row r="958" spans="1:4" x14ac:dyDescent="0.2">
      <c r="A958" s="4">
        <v>80.436250000000001</v>
      </c>
      <c r="B958" t="s">
        <v>20</v>
      </c>
      <c r="C958" t="s">
        <v>4</v>
      </c>
      <c r="D958" s="5">
        <v>7.9540210900000003</v>
      </c>
    </row>
    <row r="959" spans="1:4" x14ac:dyDescent="0.2">
      <c r="A959" s="4">
        <v>80.801083300000002</v>
      </c>
      <c r="B959" t="s">
        <v>20</v>
      </c>
      <c r="C959" t="s">
        <v>4</v>
      </c>
      <c r="D959" s="5">
        <v>7.9543722700000004</v>
      </c>
    </row>
    <row r="960" spans="1:4" x14ac:dyDescent="0.2">
      <c r="A960" s="4">
        <v>81.165888899999999</v>
      </c>
      <c r="B960" t="s">
        <v>20</v>
      </c>
      <c r="C960" t="s">
        <v>4</v>
      </c>
      <c r="D960" s="5">
        <v>7.95261511</v>
      </c>
    </row>
    <row r="961" spans="1:4" x14ac:dyDescent="0.2">
      <c r="A961" s="4">
        <v>81.5307222</v>
      </c>
      <c r="B961" t="s">
        <v>20</v>
      </c>
      <c r="C961" t="s">
        <v>4</v>
      </c>
      <c r="D961" s="5">
        <v>7.9540210900000003</v>
      </c>
    </row>
    <row r="962" spans="1:4" x14ac:dyDescent="0.2">
      <c r="A962" s="4">
        <v>81.895555599999994</v>
      </c>
      <c r="B962" t="s">
        <v>20</v>
      </c>
      <c r="C962" t="s">
        <v>4</v>
      </c>
      <c r="D962" s="5">
        <v>7.9536697800000002</v>
      </c>
    </row>
    <row r="963" spans="1:4" x14ac:dyDescent="0.2">
      <c r="A963" s="4">
        <v>82.260361099999997</v>
      </c>
      <c r="B963" t="s">
        <v>20</v>
      </c>
      <c r="C963" t="s">
        <v>4</v>
      </c>
      <c r="D963" s="5">
        <v>7.9515593300000003</v>
      </c>
    </row>
    <row r="964" spans="1:4" x14ac:dyDescent="0.2">
      <c r="A964" s="4">
        <v>82.625194399999998</v>
      </c>
      <c r="B964" t="s">
        <v>20</v>
      </c>
      <c r="C964" t="s">
        <v>4</v>
      </c>
      <c r="D964" s="5">
        <v>7.95261511</v>
      </c>
    </row>
    <row r="965" spans="1:4" x14ac:dyDescent="0.2">
      <c r="A965" s="4">
        <v>82.99</v>
      </c>
      <c r="B965" t="s">
        <v>20</v>
      </c>
      <c r="C965" t="s">
        <v>4</v>
      </c>
      <c r="D965" s="5">
        <v>7.9515593300000003</v>
      </c>
    </row>
    <row r="966" spans="1:4" x14ac:dyDescent="0.2">
      <c r="A966" s="4">
        <v>83.354805600000006</v>
      </c>
      <c r="B966" t="s">
        <v>20</v>
      </c>
      <c r="C966" t="s">
        <v>4</v>
      </c>
      <c r="D966" s="5">
        <v>7.9557757799999997</v>
      </c>
    </row>
    <row r="967" spans="1:4" x14ac:dyDescent="0.2">
      <c r="A967" s="4">
        <v>83.719638900000007</v>
      </c>
      <c r="B967" t="s">
        <v>20</v>
      </c>
      <c r="C967" t="s">
        <v>4</v>
      </c>
      <c r="D967" s="5">
        <v>7.9529667899999996</v>
      </c>
    </row>
    <row r="968" spans="1:4" x14ac:dyDescent="0.2">
      <c r="A968" s="4">
        <v>84.084472199999993</v>
      </c>
      <c r="B968" t="s">
        <v>20</v>
      </c>
      <c r="C968" t="s">
        <v>4</v>
      </c>
      <c r="D968" s="5">
        <v>7.9561263499999999</v>
      </c>
    </row>
    <row r="969" spans="1:4" x14ac:dyDescent="0.2">
      <c r="A969" s="4">
        <v>84.449277800000004</v>
      </c>
      <c r="B969" t="s">
        <v>20</v>
      </c>
      <c r="C969" t="s">
        <v>4</v>
      </c>
      <c r="D969" s="5">
        <v>7.9487384499999996</v>
      </c>
    </row>
    <row r="970" spans="1:4" x14ac:dyDescent="0.2">
      <c r="A970" s="4">
        <v>84.814111100000005</v>
      </c>
      <c r="B970" t="s">
        <v>20</v>
      </c>
      <c r="C970" t="s">
        <v>4</v>
      </c>
      <c r="D970" s="5">
        <v>7.9557757799999997</v>
      </c>
    </row>
    <row r="971" spans="1:4" x14ac:dyDescent="0.2">
      <c r="A971" s="4">
        <v>85.178916700000002</v>
      </c>
      <c r="B971" t="s">
        <v>20</v>
      </c>
      <c r="C971" t="s">
        <v>4</v>
      </c>
      <c r="D971" s="5">
        <v>7.9522633100000002</v>
      </c>
    </row>
    <row r="972" spans="1:4" x14ac:dyDescent="0.2">
      <c r="A972" s="4">
        <v>85.543750000000003</v>
      </c>
      <c r="B972" t="s">
        <v>20</v>
      </c>
      <c r="C972" t="s">
        <v>4</v>
      </c>
      <c r="D972" s="5">
        <v>7.9554250900000003</v>
      </c>
    </row>
    <row r="973" spans="1:4" x14ac:dyDescent="0.2">
      <c r="A973" s="4">
        <v>85.9085556</v>
      </c>
      <c r="B973" t="s">
        <v>20</v>
      </c>
      <c r="C973" t="s">
        <v>4</v>
      </c>
      <c r="D973" s="5">
        <v>7.9592759600000003</v>
      </c>
    </row>
    <row r="974" spans="1:4" x14ac:dyDescent="0.2">
      <c r="A974" s="4">
        <v>86.2733889</v>
      </c>
      <c r="B974" t="s">
        <v>20</v>
      </c>
      <c r="C974" t="s">
        <v>4</v>
      </c>
      <c r="D974" s="5">
        <v>7.94838529</v>
      </c>
    </row>
    <row r="975" spans="1:4" x14ac:dyDescent="0.2">
      <c r="A975" s="4">
        <v>86.638194400000003</v>
      </c>
      <c r="B975" t="s">
        <v>20</v>
      </c>
      <c r="C975" t="s">
        <v>4</v>
      </c>
      <c r="D975" s="5">
        <v>7.9505024300000002</v>
      </c>
    </row>
    <row r="976" spans="1:4" x14ac:dyDescent="0.2">
      <c r="A976" s="4">
        <v>87.003</v>
      </c>
      <c r="B976" t="s">
        <v>20</v>
      </c>
      <c r="C976" t="s">
        <v>4</v>
      </c>
      <c r="D976" s="5">
        <v>7.9459096000000002</v>
      </c>
    </row>
    <row r="977" spans="1:4" x14ac:dyDescent="0.2">
      <c r="A977" s="4">
        <v>87.367833300000001</v>
      </c>
      <c r="B977" t="s">
        <v>20</v>
      </c>
      <c r="C977" t="s">
        <v>4</v>
      </c>
      <c r="D977" s="5">
        <v>7.9501498899999996</v>
      </c>
    </row>
    <row r="978" spans="1:4" x14ac:dyDescent="0.2">
      <c r="A978" s="4">
        <v>87.732638899999998</v>
      </c>
      <c r="B978" t="s">
        <v>20</v>
      </c>
      <c r="C978" t="s">
        <v>4</v>
      </c>
      <c r="D978" s="5">
        <v>7.9522633100000002</v>
      </c>
    </row>
    <row r="979" spans="1:4" x14ac:dyDescent="0.2">
      <c r="A979" s="4">
        <v>88.097583299999997</v>
      </c>
      <c r="B979" t="s">
        <v>20</v>
      </c>
      <c r="C979" t="s">
        <v>4</v>
      </c>
      <c r="D979" s="5">
        <v>7.9501498899999996</v>
      </c>
    </row>
    <row r="980" spans="1:4" x14ac:dyDescent="0.2">
      <c r="A980" s="4">
        <v>88.462388899999993</v>
      </c>
      <c r="B980" t="s">
        <v>20</v>
      </c>
      <c r="C980" t="s">
        <v>4</v>
      </c>
      <c r="D980" s="5">
        <v>7.9512071600000001</v>
      </c>
    </row>
    <row r="981" spans="1:4" x14ac:dyDescent="0.2">
      <c r="A981" s="4">
        <v>88.827222199999994</v>
      </c>
      <c r="B981" t="s">
        <v>20</v>
      </c>
      <c r="C981" t="s">
        <v>4</v>
      </c>
      <c r="D981" s="5">
        <v>7.9505024300000002</v>
      </c>
    </row>
    <row r="982" spans="1:4" x14ac:dyDescent="0.2">
      <c r="A982" s="4">
        <v>89.192027800000005</v>
      </c>
      <c r="B982" t="s">
        <v>20</v>
      </c>
      <c r="C982" t="s">
        <v>4</v>
      </c>
      <c r="D982" s="5">
        <v>7.9557757799999997</v>
      </c>
    </row>
    <row r="983" spans="1:4" x14ac:dyDescent="0.2">
      <c r="A983" s="4">
        <v>89.556833299999994</v>
      </c>
      <c r="B983" t="s">
        <v>20</v>
      </c>
      <c r="C983" t="s">
        <v>4</v>
      </c>
      <c r="D983" s="5">
        <v>7.9459096000000002</v>
      </c>
    </row>
    <row r="984" spans="1:4" x14ac:dyDescent="0.2">
      <c r="A984" s="4">
        <v>89.921666700000003</v>
      </c>
      <c r="B984" t="s">
        <v>20</v>
      </c>
      <c r="C984" t="s">
        <v>4</v>
      </c>
      <c r="D984" s="5">
        <v>7.9529667899999996</v>
      </c>
    </row>
    <row r="985" spans="1:4" x14ac:dyDescent="0.2">
      <c r="A985" s="4">
        <v>90.286472200000006</v>
      </c>
      <c r="B985" t="s">
        <v>20</v>
      </c>
      <c r="C985" t="s">
        <v>4</v>
      </c>
      <c r="D985" s="5">
        <v>7.9462636399999997</v>
      </c>
    </row>
    <row r="986" spans="1:4" x14ac:dyDescent="0.2">
      <c r="A986" s="4">
        <v>90.651305600000001</v>
      </c>
      <c r="B986" t="s">
        <v>20</v>
      </c>
      <c r="C986" t="s">
        <v>4</v>
      </c>
      <c r="D986" s="5">
        <v>7.9561263499999999</v>
      </c>
    </row>
    <row r="987" spans="1:4" x14ac:dyDescent="0.2">
      <c r="A987" s="4">
        <v>91.016111100000003</v>
      </c>
      <c r="B987" t="s">
        <v>20</v>
      </c>
      <c r="C987" t="s">
        <v>4</v>
      </c>
      <c r="D987" s="5">
        <v>7.9543722700000004</v>
      </c>
    </row>
    <row r="988" spans="1:4" x14ac:dyDescent="0.2">
      <c r="A988" s="4">
        <v>91.381</v>
      </c>
      <c r="B988" t="s">
        <v>20</v>
      </c>
      <c r="C988" t="s">
        <v>4</v>
      </c>
      <c r="D988" s="5">
        <v>7.9564767999999999</v>
      </c>
    </row>
    <row r="989" spans="1:4" x14ac:dyDescent="0.2">
      <c r="A989" s="4">
        <v>91.745833300000001</v>
      </c>
      <c r="B989" t="s">
        <v>20</v>
      </c>
      <c r="C989" t="s">
        <v>4</v>
      </c>
      <c r="D989" s="5">
        <v>7.9536697800000002</v>
      </c>
    </row>
    <row r="990" spans="1:4" x14ac:dyDescent="0.2">
      <c r="A990" s="4">
        <v>0</v>
      </c>
      <c r="B990" t="s">
        <v>33</v>
      </c>
      <c r="C990" t="s">
        <v>30</v>
      </c>
      <c r="D990" s="5">
        <v>5.4249500199999998</v>
      </c>
    </row>
    <row r="991" spans="1:4" x14ac:dyDescent="0.2">
      <c r="A991" s="4">
        <v>0.36480555999999997</v>
      </c>
      <c r="B991" t="s">
        <v>33</v>
      </c>
      <c r="C991" t="s">
        <v>30</v>
      </c>
      <c r="D991" s="5">
        <v>5.4071717699999997</v>
      </c>
    </row>
    <row r="992" spans="1:4" x14ac:dyDescent="0.2">
      <c r="A992" s="4">
        <v>0.72961111000000001</v>
      </c>
      <c r="B992" t="s">
        <v>33</v>
      </c>
      <c r="C992" t="s">
        <v>30</v>
      </c>
      <c r="D992" s="5">
        <v>5.3936275499999997</v>
      </c>
    </row>
    <row r="993" spans="1:4" x14ac:dyDescent="0.2">
      <c r="A993" s="4">
        <v>1.09441667</v>
      </c>
      <c r="B993" t="s">
        <v>33</v>
      </c>
      <c r="C993" t="s">
        <v>30</v>
      </c>
      <c r="D993" s="5">
        <v>5.3844950599999999</v>
      </c>
    </row>
    <row r="994" spans="1:4" x14ac:dyDescent="0.2">
      <c r="A994" s="4">
        <v>1.4592499999999999</v>
      </c>
      <c r="B994" t="s">
        <v>33</v>
      </c>
      <c r="C994" t="s">
        <v>30</v>
      </c>
      <c r="D994" s="5">
        <v>5.3890717300000004</v>
      </c>
    </row>
    <row r="995" spans="1:4" x14ac:dyDescent="0.2">
      <c r="A995" s="4">
        <v>1.82402778</v>
      </c>
      <c r="B995" t="s">
        <v>33</v>
      </c>
      <c r="C995" t="s">
        <v>30</v>
      </c>
      <c r="D995" s="5">
        <v>5.3798973500000002</v>
      </c>
    </row>
    <row r="996" spans="1:4" x14ac:dyDescent="0.2">
      <c r="A996" s="4">
        <v>2.1888611099999999</v>
      </c>
      <c r="B996" t="s">
        <v>33</v>
      </c>
      <c r="C996" t="s">
        <v>30</v>
      </c>
      <c r="D996" s="5">
        <v>5.3844950599999999</v>
      </c>
    </row>
    <row r="997" spans="1:4" x14ac:dyDescent="0.2">
      <c r="A997" s="4">
        <v>2.5536944400000001</v>
      </c>
      <c r="B997" t="s">
        <v>33</v>
      </c>
      <c r="C997" t="s">
        <v>30</v>
      </c>
      <c r="D997" s="5">
        <v>5.3936275499999997</v>
      </c>
    </row>
    <row r="998" spans="1:4" x14ac:dyDescent="0.2">
      <c r="A998" s="4">
        <v>2.9184999999999999</v>
      </c>
      <c r="B998" t="s">
        <v>33</v>
      </c>
      <c r="C998" t="s">
        <v>30</v>
      </c>
      <c r="D998" s="5">
        <v>5.3890717300000004</v>
      </c>
    </row>
    <row r="999" spans="1:4" x14ac:dyDescent="0.2">
      <c r="A999" s="4">
        <v>3.2833055600000001</v>
      </c>
      <c r="B999" t="s">
        <v>33</v>
      </c>
      <c r="C999" t="s">
        <v>30</v>
      </c>
      <c r="D999" s="5">
        <v>5.3981627000000003</v>
      </c>
    </row>
    <row r="1000" spans="1:4" x14ac:dyDescent="0.2">
      <c r="A1000" s="4">
        <v>3.6481388899999998</v>
      </c>
      <c r="B1000" t="s">
        <v>33</v>
      </c>
      <c r="C1000" t="s">
        <v>30</v>
      </c>
      <c r="D1000" s="5">
        <v>5.3844950599999999</v>
      </c>
    </row>
    <row r="1001" spans="1:4" x14ac:dyDescent="0.2">
      <c r="A1001" s="4">
        <v>4.01297222</v>
      </c>
      <c r="B1001" t="s">
        <v>33</v>
      </c>
      <c r="C1001" t="s">
        <v>30</v>
      </c>
      <c r="D1001" s="5">
        <v>5.3844950599999999</v>
      </c>
    </row>
    <row r="1002" spans="1:4" x14ac:dyDescent="0.2">
      <c r="A1002" s="4">
        <v>4.3777777799999997</v>
      </c>
      <c r="B1002" t="s">
        <v>33</v>
      </c>
      <c r="C1002" t="s">
        <v>30</v>
      </c>
      <c r="D1002" s="5">
        <v>5.3981627000000003</v>
      </c>
    </row>
    <row r="1003" spans="1:4" x14ac:dyDescent="0.2">
      <c r="A1003" s="4">
        <v>4.7425833300000004</v>
      </c>
      <c r="B1003" t="s">
        <v>33</v>
      </c>
      <c r="C1003" t="s">
        <v>30</v>
      </c>
      <c r="D1003" s="5">
        <v>5.4071717699999997</v>
      </c>
    </row>
    <row r="1004" spans="1:4" x14ac:dyDescent="0.2">
      <c r="A1004" s="4">
        <v>5.1073888900000002</v>
      </c>
      <c r="B1004" t="s">
        <v>33</v>
      </c>
      <c r="C1004" t="s">
        <v>30</v>
      </c>
      <c r="D1004" s="5">
        <v>5.3981627000000003</v>
      </c>
    </row>
    <row r="1005" spans="1:4" x14ac:dyDescent="0.2">
      <c r="A1005" s="4">
        <v>5.4722222199999999</v>
      </c>
      <c r="B1005" t="s">
        <v>33</v>
      </c>
      <c r="C1005" t="s">
        <v>30</v>
      </c>
      <c r="D1005" s="5">
        <v>5.3981627000000003</v>
      </c>
    </row>
    <row r="1006" spans="1:4" x14ac:dyDescent="0.2">
      <c r="A1006" s="4">
        <v>5.8370277799999997</v>
      </c>
      <c r="B1006" t="s">
        <v>33</v>
      </c>
      <c r="C1006" t="s">
        <v>30</v>
      </c>
      <c r="D1006" s="5">
        <v>5.3844950599999999</v>
      </c>
    </row>
    <row r="1007" spans="1:4" x14ac:dyDescent="0.2">
      <c r="A1007" s="4">
        <v>6.2018611100000003</v>
      </c>
      <c r="B1007" t="s">
        <v>33</v>
      </c>
      <c r="C1007" t="s">
        <v>30</v>
      </c>
      <c r="D1007" s="5">
        <v>5.3890717300000004</v>
      </c>
    </row>
    <row r="1008" spans="1:4" x14ac:dyDescent="0.2">
      <c r="A1008" s="4">
        <v>6.56666667</v>
      </c>
      <c r="B1008" t="s">
        <v>33</v>
      </c>
      <c r="C1008" t="s">
        <v>30</v>
      </c>
      <c r="D1008" s="5">
        <v>5.3890717300000004</v>
      </c>
    </row>
    <row r="1009" spans="1:4" x14ac:dyDescent="0.2">
      <c r="A1009" s="4">
        <v>6.9314722199999999</v>
      </c>
      <c r="B1009" t="s">
        <v>33</v>
      </c>
      <c r="C1009" t="s">
        <v>30</v>
      </c>
      <c r="D1009" s="5">
        <v>5.3844950599999999</v>
      </c>
    </row>
    <row r="1010" spans="1:4" x14ac:dyDescent="0.2">
      <c r="A1010" s="4">
        <v>7.2963055600000004</v>
      </c>
      <c r="B1010" t="s">
        <v>33</v>
      </c>
      <c r="C1010" t="s">
        <v>30</v>
      </c>
      <c r="D1010" s="5">
        <v>5.3981627000000003</v>
      </c>
    </row>
    <row r="1011" spans="1:4" x14ac:dyDescent="0.2">
      <c r="A1011" s="4">
        <v>7.6611388900000001</v>
      </c>
      <c r="B1011" t="s">
        <v>33</v>
      </c>
      <c r="C1011" t="s">
        <v>30</v>
      </c>
      <c r="D1011" s="5">
        <v>5.3936275499999997</v>
      </c>
    </row>
    <row r="1012" spans="1:4" x14ac:dyDescent="0.2">
      <c r="A1012" s="4">
        <v>8.02594444</v>
      </c>
      <c r="B1012" t="s">
        <v>33</v>
      </c>
      <c r="C1012" t="s">
        <v>30</v>
      </c>
      <c r="D1012" s="5">
        <v>5.3844950599999999</v>
      </c>
    </row>
    <row r="1013" spans="1:4" x14ac:dyDescent="0.2">
      <c r="A1013" s="4">
        <v>8.3907500000000006</v>
      </c>
      <c r="B1013" t="s">
        <v>33</v>
      </c>
      <c r="C1013" t="s">
        <v>30</v>
      </c>
      <c r="D1013" s="5">
        <v>5.3936275499999997</v>
      </c>
    </row>
    <row r="1014" spans="1:4" x14ac:dyDescent="0.2">
      <c r="A1014" s="4">
        <v>8.7555833300000003</v>
      </c>
      <c r="B1014" t="s">
        <v>33</v>
      </c>
      <c r="C1014" t="s">
        <v>30</v>
      </c>
      <c r="D1014" s="5">
        <v>5.4116460499999999</v>
      </c>
    </row>
    <row r="1015" spans="1:4" x14ac:dyDescent="0.2">
      <c r="A1015" s="4">
        <v>9.1204166699999991</v>
      </c>
      <c r="B1015" t="s">
        <v>33</v>
      </c>
      <c r="C1015" t="s">
        <v>30</v>
      </c>
      <c r="D1015" s="5">
        <v>5.4116460499999999</v>
      </c>
    </row>
    <row r="1016" spans="1:4" x14ac:dyDescent="0.2">
      <c r="A1016" s="4">
        <v>9.4852222200000007</v>
      </c>
      <c r="B1016" t="s">
        <v>33</v>
      </c>
      <c r="C1016" t="s">
        <v>30</v>
      </c>
      <c r="D1016" s="5">
        <v>5.4116460499999999</v>
      </c>
    </row>
    <row r="1017" spans="1:4" x14ac:dyDescent="0.2">
      <c r="A1017" s="4">
        <v>9.8500277799999996</v>
      </c>
      <c r="B1017" t="s">
        <v>33</v>
      </c>
      <c r="C1017" t="s">
        <v>30</v>
      </c>
      <c r="D1017" s="5">
        <v>5.4249500199999998</v>
      </c>
    </row>
    <row r="1018" spans="1:4" x14ac:dyDescent="0.2">
      <c r="A1018" s="4">
        <v>10.2148611</v>
      </c>
      <c r="B1018" t="s">
        <v>33</v>
      </c>
      <c r="C1018" t="s">
        <v>30</v>
      </c>
      <c r="D1018" s="5">
        <v>5.4116460499999999</v>
      </c>
    </row>
    <row r="1019" spans="1:4" x14ac:dyDescent="0.2">
      <c r="A1019" s="4">
        <v>10.579666700000001</v>
      </c>
      <c r="B1019" t="s">
        <v>33</v>
      </c>
      <c r="C1019" t="s">
        <v>30</v>
      </c>
      <c r="D1019" s="5">
        <v>5.4249500199999998</v>
      </c>
    </row>
    <row r="1020" spans="1:4" x14ac:dyDescent="0.2">
      <c r="A1020" s="4">
        <v>10.9445</v>
      </c>
      <c r="B1020" t="s">
        <v>33</v>
      </c>
      <c r="C1020" t="s">
        <v>30</v>
      </c>
      <c r="D1020" s="5">
        <v>5.4293456300000003</v>
      </c>
    </row>
    <row r="1021" spans="1:4" x14ac:dyDescent="0.2">
      <c r="A1021" s="4">
        <v>11.3093056</v>
      </c>
      <c r="B1021" t="s">
        <v>33</v>
      </c>
      <c r="C1021" t="s">
        <v>30</v>
      </c>
      <c r="D1021" s="5">
        <v>5.4467373700000001</v>
      </c>
    </row>
    <row r="1022" spans="1:4" x14ac:dyDescent="0.2">
      <c r="A1022" s="4">
        <v>11.674138900000001</v>
      </c>
      <c r="B1022" t="s">
        <v>33</v>
      </c>
      <c r="C1022" t="s">
        <v>30</v>
      </c>
      <c r="D1022" s="5">
        <v>5.4293456300000003</v>
      </c>
    </row>
    <row r="1023" spans="1:4" x14ac:dyDescent="0.2">
      <c r="A1023" s="4">
        <v>12.0389444</v>
      </c>
      <c r="B1023" t="s">
        <v>33</v>
      </c>
      <c r="C1023" t="s">
        <v>30</v>
      </c>
      <c r="D1023" s="5">
        <v>5.4553211199999998</v>
      </c>
    </row>
    <row r="1024" spans="1:4" x14ac:dyDescent="0.2">
      <c r="A1024" s="4">
        <v>12.4037778</v>
      </c>
      <c r="B1024" t="s">
        <v>33</v>
      </c>
      <c r="C1024" t="s">
        <v>30</v>
      </c>
      <c r="D1024" s="5">
        <v>5.4553211199999998</v>
      </c>
    </row>
    <row r="1025" spans="1:4" x14ac:dyDescent="0.2">
      <c r="A1025" s="4">
        <v>12.7685833</v>
      </c>
      <c r="B1025" t="s">
        <v>33</v>
      </c>
      <c r="C1025" t="s">
        <v>30</v>
      </c>
      <c r="D1025" s="5">
        <v>5.4595855100000001</v>
      </c>
    </row>
    <row r="1026" spans="1:4" x14ac:dyDescent="0.2">
      <c r="A1026" s="4">
        <v>13.1334167</v>
      </c>
      <c r="B1026" t="s">
        <v>33</v>
      </c>
      <c r="C1026" t="s">
        <v>30</v>
      </c>
      <c r="D1026" s="5">
        <v>5.4764635500000001</v>
      </c>
    </row>
    <row r="1027" spans="1:4" x14ac:dyDescent="0.2">
      <c r="A1027" s="4">
        <v>13.498222200000001</v>
      </c>
      <c r="B1027" t="s">
        <v>33</v>
      </c>
      <c r="C1027" t="s">
        <v>30</v>
      </c>
      <c r="D1027" s="5">
        <v>5.4847969299999999</v>
      </c>
    </row>
    <row r="1028" spans="1:4" x14ac:dyDescent="0.2">
      <c r="A1028" s="4">
        <v>13.863055599999999</v>
      </c>
      <c r="B1028" t="s">
        <v>33</v>
      </c>
      <c r="C1028" t="s">
        <v>30</v>
      </c>
      <c r="D1028" s="5">
        <v>5.5012582099999996</v>
      </c>
    </row>
    <row r="1029" spans="1:4" x14ac:dyDescent="0.2">
      <c r="A1029" s="4">
        <v>14.2278611</v>
      </c>
      <c r="B1029" t="s">
        <v>33</v>
      </c>
      <c r="C1029" t="s">
        <v>30</v>
      </c>
      <c r="D1029" s="5">
        <v>5.5174529000000003</v>
      </c>
    </row>
    <row r="1030" spans="1:4" x14ac:dyDescent="0.2">
      <c r="A1030" s="4">
        <v>14.592694399999999</v>
      </c>
      <c r="B1030" t="s">
        <v>33</v>
      </c>
      <c r="C1030" t="s">
        <v>30</v>
      </c>
      <c r="D1030" s="5">
        <v>5.5451774399999998</v>
      </c>
    </row>
    <row r="1031" spans="1:4" x14ac:dyDescent="0.2">
      <c r="A1031" s="4">
        <v>14.9575</v>
      </c>
      <c r="B1031" t="s">
        <v>33</v>
      </c>
      <c r="C1031" t="s">
        <v>30</v>
      </c>
      <c r="D1031" s="5">
        <v>5.5490760799999999</v>
      </c>
    </row>
    <row r="1032" spans="1:4" x14ac:dyDescent="0.2">
      <c r="A1032" s="4">
        <v>15.3223333</v>
      </c>
      <c r="B1032" t="s">
        <v>33</v>
      </c>
      <c r="C1032" t="s">
        <v>30</v>
      </c>
      <c r="D1032" s="5">
        <v>5.5683445000000003</v>
      </c>
    </row>
    <row r="1033" spans="1:4" x14ac:dyDescent="0.2">
      <c r="A1033" s="4">
        <v>15.687138900000001</v>
      </c>
      <c r="B1033" t="s">
        <v>33</v>
      </c>
      <c r="C1033" t="s">
        <v>30</v>
      </c>
      <c r="D1033" s="5">
        <v>5.5984219599999996</v>
      </c>
    </row>
    <row r="1034" spans="1:4" x14ac:dyDescent="0.2">
      <c r="A1034" s="4">
        <v>16.051972200000002</v>
      </c>
      <c r="B1034" t="s">
        <v>33</v>
      </c>
      <c r="C1034" t="s">
        <v>30</v>
      </c>
      <c r="D1034" s="5">
        <v>5.5984219599999996</v>
      </c>
    </row>
    <row r="1035" spans="1:4" x14ac:dyDescent="0.2">
      <c r="A1035" s="4">
        <v>16.416777799999998</v>
      </c>
      <c r="B1035" t="s">
        <v>33</v>
      </c>
      <c r="C1035" t="s">
        <v>30</v>
      </c>
      <c r="D1035" s="5">
        <v>5.6419070700000002</v>
      </c>
    </row>
    <row r="1036" spans="1:4" x14ac:dyDescent="0.2">
      <c r="A1036" s="4">
        <v>16.781611099999999</v>
      </c>
      <c r="B1036" t="s">
        <v>33</v>
      </c>
      <c r="C1036" t="s">
        <v>30</v>
      </c>
      <c r="D1036" s="5">
        <v>5.6594822200000001</v>
      </c>
    </row>
    <row r="1037" spans="1:4" x14ac:dyDescent="0.2">
      <c r="A1037" s="4">
        <v>17.1464167</v>
      </c>
      <c r="B1037" t="s">
        <v>33</v>
      </c>
      <c r="C1037" t="s">
        <v>30</v>
      </c>
      <c r="D1037" s="5">
        <v>5.7037824700000002</v>
      </c>
    </row>
    <row r="1038" spans="1:4" x14ac:dyDescent="0.2">
      <c r="A1038" s="4">
        <v>17.511222199999999</v>
      </c>
      <c r="B1038" t="s">
        <v>33</v>
      </c>
      <c r="C1038" t="s">
        <v>30</v>
      </c>
      <c r="D1038" s="5">
        <v>5.7397929100000002</v>
      </c>
    </row>
    <row r="1039" spans="1:4" x14ac:dyDescent="0.2">
      <c r="A1039" s="4">
        <v>17.876055600000001</v>
      </c>
      <c r="B1039" t="s">
        <v>33</v>
      </c>
      <c r="C1039" t="s">
        <v>30</v>
      </c>
      <c r="D1039" s="5">
        <v>5.7899601699999996</v>
      </c>
    </row>
    <row r="1040" spans="1:4" x14ac:dyDescent="0.2">
      <c r="A1040" s="4">
        <v>18.2408611</v>
      </c>
      <c r="B1040" t="s">
        <v>33</v>
      </c>
      <c r="C1040" t="s">
        <v>30</v>
      </c>
      <c r="D1040" s="5">
        <v>5.8260001099999998</v>
      </c>
    </row>
    <row r="1041" spans="1:4" x14ac:dyDescent="0.2">
      <c r="A1041" s="4">
        <v>18.605694400000001</v>
      </c>
      <c r="B1041" t="s">
        <v>33</v>
      </c>
      <c r="C1041" t="s">
        <v>30</v>
      </c>
      <c r="D1041" s="5">
        <v>5.8692969100000001</v>
      </c>
    </row>
    <row r="1042" spans="1:4" x14ac:dyDescent="0.2">
      <c r="A1042" s="4">
        <v>18.970527799999999</v>
      </c>
      <c r="B1042" t="s">
        <v>33</v>
      </c>
      <c r="C1042" t="s">
        <v>30</v>
      </c>
      <c r="D1042" s="5">
        <v>5.9242558000000001</v>
      </c>
    </row>
    <row r="1043" spans="1:4" x14ac:dyDescent="0.2">
      <c r="A1043" s="4">
        <v>19.335333299999999</v>
      </c>
      <c r="B1043" t="s">
        <v>33</v>
      </c>
      <c r="C1043" t="s">
        <v>30</v>
      </c>
      <c r="D1043" s="5">
        <v>5.9763509099999998</v>
      </c>
    </row>
    <row r="1044" spans="1:4" x14ac:dyDescent="0.2">
      <c r="A1044" s="4">
        <v>19.700138899999999</v>
      </c>
      <c r="B1044" t="s">
        <v>33</v>
      </c>
      <c r="C1044" t="s">
        <v>30</v>
      </c>
      <c r="D1044" s="5">
        <v>6.0450053099999996</v>
      </c>
    </row>
    <row r="1045" spans="1:4" x14ac:dyDescent="0.2">
      <c r="A1045" s="4">
        <v>20.0649722</v>
      </c>
      <c r="B1045" t="s">
        <v>33</v>
      </c>
      <c r="C1045" t="s">
        <v>30</v>
      </c>
      <c r="D1045" s="5">
        <v>6.1158921299999998</v>
      </c>
    </row>
    <row r="1046" spans="1:4" x14ac:dyDescent="0.2">
      <c r="A1046" s="4">
        <v>20.4297778</v>
      </c>
      <c r="B1046" t="s">
        <v>33</v>
      </c>
      <c r="C1046" t="s">
        <v>30</v>
      </c>
      <c r="D1046" s="5">
        <v>6.1903154100000002</v>
      </c>
    </row>
    <row r="1047" spans="1:4" x14ac:dyDescent="0.2">
      <c r="A1047" s="4">
        <v>20.794611100000001</v>
      </c>
      <c r="B1047" t="s">
        <v>33</v>
      </c>
      <c r="C1047" t="s">
        <v>30</v>
      </c>
      <c r="D1047" s="5">
        <v>6.2690962800000003</v>
      </c>
    </row>
    <row r="1048" spans="1:4" x14ac:dyDescent="0.2">
      <c r="A1048" s="4">
        <v>21.159416700000001</v>
      </c>
      <c r="B1048" t="s">
        <v>33</v>
      </c>
      <c r="C1048" t="s">
        <v>30</v>
      </c>
      <c r="D1048" s="5">
        <v>6.3681871900000004</v>
      </c>
    </row>
    <row r="1049" spans="1:4" x14ac:dyDescent="0.2">
      <c r="A1049" s="4">
        <v>21.524333299999999</v>
      </c>
      <c r="B1049" t="s">
        <v>33</v>
      </c>
      <c r="C1049" t="s">
        <v>30</v>
      </c>
      <c r="D1049" s="5">
        <v>6.4754327199999997</v>
      </c>
    </row>
    <row r="1050" spans="1:4" x14ac:dyDescent="0.2">
      <c r="A1050" s="4">
        <v>21.889166700000001</v>
      </c>
      <c r="B1050" t="s">
        <v>33</v>
      </c>
      <c r="C1050" t="s">
        <v>30</v>
      </c>
      <c r="D1050" s="5">
        <v>6.5736801700000003</v>
      </c>
    </row>
    <row r="1051" spans="1:4" x14ac:dyDescent="0.2">
      <c r="A1051" s="4">
        <v>22.2539722</v>
      </c>
      <c r="B1051" t="s">
        <v>33</v>
      </c>
      <c r="C1051" t="s">
        <v>30</v>
      </c>
      <c r="D1051" s="5">
        <v>6.6871086100000001</v>
      </c>
    </row>
    <row r="1052" spans="1:4" x14ac:dyDescent="0.2">
      <c r="A1052" s="4">
        <v>22.6187778</v>
      </c>
      <c r="B1052" t="s">
        <v>33</v>
      </c>
      <c r="C1052" t="s">
        <v>30</v>
      </c>
      <c r="D1052" s="5">
        <v>6.8046145200000003</v>
      </c>
    </row>
    <row r="1053" spans="1:4" x14ac:dyDescent="0.2">
      <c r="A1053" s="4">
        <v>22.983611100000001</v>
      </c>
      <c r="B1053" t="s">
        <v>33</v>
      </c>
      <c r="C1053" t="s">
        <v>30</v>
      </c>
      <c r="D1053" s="5">
        <v>6.9226438899999998</v>
      </c>
    </row>
    <row r="1054" spans="1:4" x14ac:dyDescent="0.2">
      <c r="A1054" s="4">
        <v>23.349916700000001</v>
      </c>
      <c r="B1054" t="s">
        <v>33</v>
      </c>
      <c r="C1054" t="s">
        <v>30</v>
      </c>
      <c r="D1054" s="5">
        <v>7.0681719999999997</v>
      </c>
    </row>
    <row r="1055" spans="1:4" x14ac:dyDescent="0.2">
      <c r="A1055" s="4">
        <v>23.714722200000001</v>
      </c>
      <c r="B1055" t="s">
        <v>33</v>
      </c>
      <c r="C1055" t="s">
        <v>30</v>
      </c>
      <c r="D1055" s="5">
        <v>7.2004248899999999</v>
      </c>
    </row>
    <row r="1056" spans="1:4" x14ac:dyDescent="0.2">
      <c r="A1056" s="4">
        <v>24.079555599999999</v>
      </c>
      <c r="B1056" t="s">
        <v>33</v>
      </c>
      <c r="C1056" t="s">
        <v>30</v>
      </c>
      <c r="D1056" s="5">
        <v>7.3158835</v>
      </c>
    </row>
    <row r="1057" spans="1:4" x14ac:dyDescent="0.2">
      <c r="A1057" s="4">
        <v>24.444888899999999</v>
      </c>
      <c r="B1057" t="s">
        <v>33</v>
      </c>
      <c r="C1057" t="s">
        <v>30</v>
      </c>
      <c r="D1057" s="5">
        <v>7.4229712499999998</v>
      </c>
    </row>
    <row r="1058" spans="1:4" x14ac:dyDescent="0.2">
      <c r="A1058" s="4">
        <v>24.809194399999999</v>
      </c>
      <c r="B1058" t="s">
        <v>33</v>
      </c>
      <c r="C1058" t="s">
        <v>30</v>
      </c>
      <c r="D1058" s="5">
        <v>7.52725592</v>
      </c>
    </row>
    <row r="1059" spans="1:4" x14ac:dyDescent="0.2">
      <c r="A1059" s="4">
        <v>25.174027800000001</v>
      </c>
      <c r="B1059" t="s">
        <v>33</v>
      </c>
      <c r="C1059" t="s">
        <v>30</v>
      </c>
      <c r="D1059" s="5">
        <v>7.6143121499999999</v>
      </c>
    </row>
    <row r="1060" spans="1:4" x14ac:dyDescent="0.2">
      <c r="A1060" s="4">
        <v>25.5388333</v>
      </c>
      <c r="B1060" t="s">
        <v>33</v>
      </c>
      <c r="C1060" t="s">
        <v>30</v>
      </c>
      <c r="D1060" s="5">
        <v>7.6998424099999996</v>
      </c>
    </row>
    <row r="1061" spans="1:4" x14ac:dyDescent="0.2">
      <c r="A1061" s="4">
        <v>25.903666699999999</v>
      </c>
      <c r="B1061" t="s">
        <v>33</v>
      </c>
      <c r="C1061" t="s">
        <v>30</v>
      </c>
      <c r="D1061" s="5">
        <v>7.7902823799999998</v>
      </c>
    </row>
    <row r="1062" spans="1:4" x14ac:dyDescent="0.2">
      <c r="A1062" s="4">
        <v>26.268472200000001</v>
      </c>
      <c r="B1062" t="s">
        <v>33</v>
      </c>
      <c r="C1062" t="s">
        <v>30</v>
      </c>
      <c r="D1062" s="5">
        <v>7.8648040000000004</v>
      </c>
    </row>
    <row r="1063" spans="1:4" x14ac:dyDescent="0.2">
      <c r="A1063" s="4">
        <v>26.6333056</v>
      </c>
      <c r="B1063" t="s">
        <v>33</v>
      </c>
      <c r="C1063" t="s">
        <v>30</v>
      </c>
      <c r="D1063" s="5">
        <v>7.9291264899999998</v>
      </c>
    </row>
    <row r="1064" spans="1:4" x14ac:dyDescent="0.2">
      <c r="A1064" s="4">
        <v>26.998111099999999</v>
      </c>
      <c r="B1064" t="s">
        <v>33</v>
      </c>
      <c r="C1064" t="s">
        <v>30</v>
      </c>
      <c r="D1064" s="5">
        <v>7.9554250900000003</v>
      </c>
    </row>
    <row r="1065" spans="1:4" x14ac:dyDescent="0.2">
      <c r="A1065" s="4">
        <v>27.3629444</v>
      </c>
      <c r="B1065" t="s">
        <v>33</v>
      </c>
      <c r="C1065" t="s">
        <v>30</v>
      </c>
      <c r="D1065" s="5">
        <v>7.9690117799999998</v>
      </c>
    </row>
    <row r="1066" spans="1:4" x14ac:dyDescent="0.2">
      <c r="A1066" s="4">
        <v>27.72775</v>
      </c>
      <c r="B1066" t="s">
        <v>33</v>
      </c>
      <c r="C1066" t="s">
        <v>30</v>
      </c>
      <c r="D1066" s="5">
        <v>7.97590836</v>
      </c>
    </row>
    <row r="1067" spans="1:4" x14ac:dyDescent="0.2">
      <c r="A1067" s="4">
        <v>30.091833300000001</v>
      </c>
      <c r="B1067" t="s">
        <v>33</v>
      </c>
      <c r="C1067" t="s">
        <v>30</v>
      </c>
      <c r="D1067" s="5">
        <v>8.0420564100000007</v>
      </c>
    </row>
    <row r="1068" spans="1:4" x14ac:dyDescent="0.2">
      <c r="A1068" s="4">
        <v>30.4566667</v>
      </c>
      <c r="B1068" t="s">
        <v>33</v>
      </c>
      <c r="C1068" t="s">
        <v>30</v>
      </c>
      <c r="D1068" s="5">
        <v>8.0487882800000001</v>
      </c>
    </row>
    <row r="1069" spans="1:4" x14ac:dyDescent="0.2">
      <c r="A1069" s="4">
        <v>30.821472199999999</v>
      </c>
      <c r="B1069" t="s">
        <v>33</v>
      </c>
      <c r="C1069" t="s">
        <v>30</v>
      </c>
      <c r="D1069" s="5">
        <v>8.0067008499999996</v>
      </c>
    </row>
    <row r="1070" spans="1:4" x14ac:dyDescent="0.2">
      <c r="A1070" s="4">
        <v>31.186305600000001</v>
      </c>
      <c r="B1070" t="s">
        <v>33</v>
      </c>
      <c r="C1070" t="s">
        <v>30</v>
      </c>
      <c r="D1070" s="5">
        <v>8.0067008499999996</v>
      </c>
    </row>
    <row r="1071" spans="1:4" x14ac:dyDescent="0.2">
      <c r="A1071" s="4">
        <v>31.5511111</v>
      </c>
      <c r="B1071" t="s">
        <v>33</v>
      </c>
      <c r="C1071" t="s">
        <v>30</v>
      </c>
      <c r="D1071" s="5">
        <v>8.0120182399999997</v>
      </c>
    </row>
    <row r="1072" spans="1:4" x14ac:dyDescent="0.2">
      <c r="A1072" s="4">
        <v>31.915944400000001</v>
      </c>
      <c r="B1072" t="s">
        <v>33</v>
      </c>
      <c r="C1072" t="s">
        <v>30</v>
      </c>
      <c r="D1072" s="5">
        <v>8.0103595900000002</v>
      </c>
    </row>
    <row r="1073" spans="1:4" x14ac:dyDescent="0.2">
      <c r="A1073" s="4">
        <v>32.280777800000003</v>
      </c>
      <c r="B1073" t="s">
        <v>33</v>
      </c>
      <c r="C1073" t="s">
        <v>30</v>
      </c>
      <c r="D1073" s="5">
        <v>8.0073670700000008</v>
      </c>
    </row>
    <row r="1074" spans="1:4" x14ac:dyDescent="0.2">
      <c r="A1074" s="4">
        <v>32.645583299999998</v>
      </c>
      <c r="B1074" t="s">
        <v>33</v>
      </c>
      <c r="C1074" t="s">
        <v>30</v>
      </c>
      <c r="D1074" s="5">
        <v>8.00469951</v>
      </c>
    </row>
    <row r="1075" spans="1:4" x14ac:dyDescent="0.2">
      <c r="A1075" s="4">
        <v>33.0104167</v>
      </c>
      <c r="B1075" t="s">
        <v>33</v>
      </c>
      <c r="C1075" t="s">
        <v>30</v>
      </c>
      <c r="D1075" s="5">
        <v>8.0026941600000008</v>
      </c>
    </row>
    <row r="1076" spans="1:4" x14ac:dyDescent="0.2">
      <c r="A1076" s="4">
        <v>33.375222200000003</v>
      </c>
      <c r="B1076" t="s">
        <v>33</v>
      </c>
      <c r="C1076" t="s">
        <v>30</v>
      </c>
      <c r="D1076" s="5">
        <v>8.0060341800000003</v>
      </c>
    </row>
    <row r="1077" spans="1:4" x14ac:dyDescent="0.2">
      <c r="A1077" s="4">
        <v>33.7400278</v>
      </c>
      <c r="B1077" t="s">
        <v>33</v>
      </c>
      <c r="C1077" t="s">
        <v>30</v>
      </c>
      <c r="D1077" s="5">
        <v>8.0026941600000008</v>
      </c>
    </row>
    <row r="1078" spans="1:4" x14ac:dyDescent="0.2">
      <c r="A1078" s="4">
        <v>34.104861100000001</v>
      </c>
      <c r="B1078" t="s">
        <v>33</v>
      </c>
      <c r="C1078" t="s">
        <v>30</v>
      </c>
      <c r="D1078" s="5">
        <v>8.0010199600000007</v>
      </c>
    </row>
    <row r="1079" spans="1:4" x14ac:dyDescent="0.2">
      <c r="A1079" s="4">
        <v>34.469666699999998</v>
      </c>
      <c r="B1079" t="s">
        <v>33</v>
      </c>
      <c r="C1079" t="s">
        <v>30</v>
      </c>
      <c r="D1079" s="5">
        <v>8.0013550299999991</v>
      </c>
    </row>
    <row r="1080" spans="1:4" x14ac:dyDescent="0.2">
      <c r="A1080" s="4">
        <v>34.834499999999998</v>
      </c>
      <c r="B1080" t="s">
        <v>33</v>
      </c>
      <c r="C1080" t="s">
        <v>30</v>
      </c>
      <c r="D1080" s="5">
        <v>8.0026941600000008</v>
      </c>
    </row>
    <row r="1081" spans="1:4" x14ac:dyDescent="0.2">
      <c r="A1081" s="4">
        <v>35.199305600000002</v>
      </c>
      <c r="B1081" t="s">
        <v>33</v>
      </c>
      <c r="C1081" t="s">
        <v>30</v>
      </c>
      <c r="D1081" s="5">
        <v>8.0013550299999991</v>
      </c>
    </row>
    <row r="1082" spans="1:4" x14ac:dyDescent="0.2">
      <c r="A1082" s="4">
        <v>35.564111099999998</v>
      </c>
      <c r="B1082" t="s">
        <v>33</v>
      </c>
      <c r="C1082" t="s">
        <v>30</v>
      </c>
      <c r="D1082" s="5">
        <v>7.9966538800000002</v>
      </c>
    </row>
    <row r="1083" spans="1:4" x14ac:dyDescent="0.2">
      <c r="A1083" s="4">
        <v>35.928944399999999</v>
      </c>
      <c r="B1083" t="s">
        <v>33</v>
      </c>
      <c r="C1083" t="s">
        <v>30</v>
      </c>
      <c r="D1083" s="5">
        <v>7.9963172299999998</v>
      </c>
    </row>
    <row r="1084" spans="1:4" x14ac:dyDescent="0.2">
      <c r="A1084" s="4">
        <v>36.293750000000003</v>
      </c>
      <c r="B1084" t="s">
        <v>33</v>
      </c>
      <c r="C1084" t="s">
        <v>30</v>
      </c>
      <c r="D1084" s="5">
        <v>8.0016899800000001</v>
      </c>
    </row>
    <row r="1085" spans="1:4" x14ac:dyDescent="0.2">
      <c r="A1085" s="4">
        <v>36.658583299999997</v>
      </c>
      <c r="B1085" t="s">
        <v>33</v>
      </c>
      <c r="C1085" t="s">
        <v>30</v>
      </c>
      <c r="D1085" s="5">
        <v>8.0000140900000005</v>
      </c>
    </row>
    <row r="1086" spans="1:4" x14ac:dyDescent="0.2">
      <c r="A1086" s="4">
        <v>37.0233889</v>
      </c>
      <c r="B1086" t="s">
        <v>33</v>
      </c>
      <c r="C1086" t="s">
        <v>30</v>
      </c>
      <c r="D1086" s="5">
        <v>7.9878641000000004</v>
      </c>
    </row>
    <row r="1087" spans="1:4" x14ac:dyDescent="0.2">
      <c r="A1087" s="4">
        <v>37.388222200000001</v>
      </c>
      <c r="B1087" t="s">
        <v>33</v>
      </c>
      <c r="C1087" t="s">
        <v>30</v>
      </c>
      <c r="D1087" s="5">
        <v>7.9915922799999999</v>
      </c>
    </row>
    <row r="1088" spans="1:4" x14ac:dyDescent="0.2">
      <c r="A1088" s="4">
        <v>37.753055600000003</v>
      </c>
      <c r="B1088" t="s">
        <v>33</v>
      </c>
      <c r="C1088" t="s">
        <v>30</v>
      </c>
      <c r="D1088" s="5">
        <v>7.99530662</v>
      </c>
    </row>
    <row r="1089" spans="1:4" x14ac:dyDescent="0.2">
      <c r="A1089" s="4">
        <v>38.117861099999999</v>
      </c>
      <c r="B1089" t="s">
        <v>33</v>
      </c>
      <c r="C1089" t="s">
        <v>30</v>
      </c>
      <c r="D1089" s="5">
        <v>7.9892214099999999</v>
      </c>
    </row>
    <row r="1090" spans="1:4" x14ac:dyDescent="0.2">
      <c r="A1090" s="4">
        <v>38.4826944</v>
      </c>
      <c r="B1090" t="s">
        <v>33</v>
      </c>
      <c r="C1090" t="s">
        <v>30</v>
      </c>
      <c r="D1090" s="5">
        <v>7.9929445499999998</v>
      </c>
    </row>
    <row r="1091" spans="1:4" x14ac:dyDescent="0.2">
      <c r="A1091" s="4">
        <v>38.847499999999997</v>
      </c>
      <c r="B1091" t="s">
        <v>33</v>
      </c>
      <c r="C1091" t="s">
        <v>30</v>
      </c>
      <c r="D1091" s="5">
        <v>7.9932823300000004</v>
      </c>
    </row>
    <row r="1092" spans="1:4" x14ac:dyDescent="0.2">
      <c r="A1092" s="4">
        <v>39.212305600000001</v>
      </c>
      <c r="B1092" t="s">
        <v>33</v>
      </c>
      <c r="C1092" t="s">
        <v>30</v>
      </c>
      <c r="D1092" s="5">
        <v>7.9902381900000004</v>
      </c>
    </row>
    <row r="1093" spans="1:4" x14ac:dyDescent="0.2">
      <c r="A1093" s="4">
        <v>39.577138900000001</v>
      </c>
      <c r="B1093" t="s">
        <v>33</v>
      </c>
      <c r="C1093" t="s">
        <v>30</v>
      </c>
      <c r="D1093" s="5">
        <v>7.9926066499999999</v>
      </c>
    </row>
    <row r="1094" spans="1:4" x14ac:dyDescent="0.2">
      <c r="A1094" s="4">
        <v>39.941944399999997</v>
      </c>
      <c r="B1094" t="s">
        <v>33</v>
      </c>
      <c r="C1094" t="s">
        <v>30</v>
      </c>
      <c r="D1094" s="5">
        <v>7.9865049399999997</v>
      </c>
    </row>
    <row r="1095" spans="1:4" x14ac:dyDescent="0.2">
      <c r="A1095" s="4">
        <v>40.306777799999999</v>
      </c>
      <c r="B1095" t="s">
        <v>33</v>
      </c>
      <c r="C1095" t="s">
        <v>30</v>
      </c>
      <c r="D1095" s="5">
        <v>7.9848033899999997</v>
      </c>
    </row>
    <row r="1096" spans="1:4" x14ac:dyDescent="0.2">
      <c r="A1096" s="4">
        <v>40.6716944</v>
      </c>
      <c r="B1096" t="s">
        <v>33</v>
      </c>
      <c r="C1096" t="s">
        <v>30</v>
      </c>
      <c r="D1096" s="5">
        <v>7.9888822499999996</v>
      </c>
    </row>
    <row r="1097" spans="1:4" x14ac:dyDescent="0.2">
      <c r="A1097" s="4">
        <v>41.036499999999997</v>
      </c>
      <c r="B1097" t="s">
        <v>33</v>
      </c>
      <c r="C1097" t="s">
        <v>30</v>
      </c>
      <c r="D1097" s="5">
        <v>7.9885429800000001</v>
      </c>
    </row>
    <row r="1098" spans="1:4" x14ac:dyDescent="0.2">
      <c r="A1098" s="4">
        <v>41.401333299999997</v>
      </c>
      <c r="B1098" t="s">
        <v>33</v>
      </c>
      <c r="C1098" t="s">
        <v>30</v>
      </c>
      <c r="D1098" s="5">
        <v>7.9800235900000001</v>
      </c>
    </row>
    <row r="1099" spans="1:4" x14ac:dyDescent="0.2">
      <c r="A1099" s="4">
        <v>41.766166699999999</v>
      </c>
      <c r="B1099" t="s">
        <v>33</v>
      </c>
      <c r="C1099" t="s">
        <v>30</v>
      </c>
      <c r="D1099" s="5">
        <v>7.9796813000000002</v>
      </c>
    </row>
    <row r="1100" spans="1:4" x14ac:dyDescent="0.2">
      <c r="A1100" s="4">
        <v>42.130972200000002</v>
      </c>
      <c r="B1100" t="s">
        <v>33</v>
      </c>
      <c r="C1100" t="s">
        <v>30</v>
      </c>
      <c r="D1100" s="5">
        <v>7.9830989399999996</v>
      </c>
    </row>
    <row r="1101" spans="1:4" x14ac:dyDescent="0.2">
      <c r="A1101" s="4">
        <v>42.495805599999997</v>
      </c>
      <c r="B1101" t="s">
        <v>33</v>
      </c>
      <c r="C1101" t="s">
        <v>30</v>
      </c>
      <c r="D1101" s="5">
        <v>7.9728107799999997</v>
      </c>
    </row>
    <row r="1102" spans="1:4" x14ac:dyDescent="0.2">
      <c r="A1102" s="4">
        <v>42.8606111</v>
      </c>
      <c r="B1102" t="s">
        <v>33</v>
      </c>
      <c r="C1102" t="s">
        <v>30</v>
      </c>
      <c r="D1102" s="5">
        <v>7.9779680900000001</v>
      </c>
    </row>
    <row r="1103" spans="1:4" x14ac:dyDescent="0.2">
      <c r="A1103" s="4">
        <v>43.225444400000001</v>
      </c>
      <c r="B1103" t="s">
        <v>33</v>
      </c>
      <c r="C1103" t="s">
        <v>30</v>
      </c>
      <c r="D1103" s="5">
        <v>7.9793389000000001</v>
      </c>
    </row>
    <row r="1104" spans="1:4" x14ac:dyDescent="0.2">
      <c r="A1104" s="4">
        <v>43.590277800000003</v>
      </c>
      <c r="B1104" t="s">
        <v>33</v>
      </c>
      <c r="C1104" t="s">
        <v>30</v>
      </c>
      <c r="D1104" s="5">
        <v>7.98378107</v>
      </c>
    </row>
    <row r="1105" spans="1:4" x14ac:dyDescent="0.2">
      <c r="A1105" s="4">
        <v>43.955083299999998</v>
      </c>
      <c r="B1105" t="s">
        <v>33</v>
      </c>
      <c r="C1105" t="s">
        <v>30</v>
      </c>
      <c r="D1105" s="5">
        <v>7.9769387600000004</v>
      </c>
    </row>
    <row r="1106" spans="1:4" x14ac:dyDescent="0.2">
      <c r="A1106" s="4">
        <v>44.319888900000002</v>
      </c>
      <c r="B1106" t="s">
        <v>33</v>
      </c>
      <c r="C1106" t="s">
        <v>30</v>
      </c>
      <c r="D1106" s="5">
        <v>7.9724660199999997</v>
      </c>
    </row>
    <row r="1107" spans="1:4" x14ac:dyDescent="0.2">
      <c r="A1107" s="4">
        <v>44.684722200000003</v>
      </c>
      <c r="B1107" t="s">
        <v>33</v>
      </c>
      <c r="C1107" t="s">
        <v>30</v>
      </c>
      <c r="D1107" s="5">
        <v>7.9772819899999998</v>
      </c>
    </row>
    <row r="1108" spans="1:4" x14ac:dyDescent="0.2">
      <c r="A1108" s="4">
        <v>45.049194399999998</v>
      </c>
      <c r="B1108" t="s">
        <v>33</v>
      </c>
      <c r="C1108" t="s">
        <v>30</v>
      </c>
      <c r="D1108" s="5">
        <v>7.9741886700000002</v>
      </c>
    </row>
    <row r="1109" spans="1:4" x14ac:dyDescent="0.2">
      <c r="A1109" s="4">
        <v>45.4140278</v>
      </c>
      <c r="B1109" t="s">
        <v>33</v>
      </c>
      <c r="C1109" t="s">
        <v>30</v>
      </c>
      <c r="D1109" s="5">
        <v>7.9703949100000004</v>
      </c>
    </row>
    <row r="1110" spans="1:4" x14ac:dyDescent="0.2">
      <c r="A1110" s="4">
        <v>45.778833300000002</v>
      </c>
      <c r="B1110" t="s">
        <v>33</v>
      </c>
      <c r="C1110" t="s">
        <v>30</v>
      </c>
      <c r="D1110" s="5">
        <v>7.9721211299999997</v>
      </c>
    </row>
    <row r="1111" spans="1:4" x14ac:dyDescent="0.2">
      <c r="A1111" s="4">
        <v>46.143666699999997</v>
      </c>
      <c r="B1111" t="s">
        <v>33</v>
      </c>
      <c r="C1111" t="s">
        <v>30</v>
      </c>
      <c r="D1111" s="5">
        <v>7.9738443800000001</v>
      </c>
    </row>
    <row r="1112" spans="1:4" x14ac:dyDescent="0.2">
      <c r="A1112" s="4">
        <v>46.5084722</v>
      </c>
      <c r="B1112" t="s">
        <v>33</v>
      </c>
      <c r="C1112" t="s">
        <v>30</v>
      </c>
      <c r="D1112" s="5">
        <v>7.9665866999999997</v>
      </c>
    </row>
    <row r="1113" spans="1:4" x14ac:dyDescent="0.2">
      <c r="A1113" s="4">
        <v>46.873305600000002</v>
      </c>
      <c r="B1113" t="s">
        <v>33</v>
      </c>
      <c r="C1113" t="s">
        <v>30</v>
      </c>
      <c r="D1113" s="5">
        <v>7.9731554300000003</v>
      </c>
    </row>
    <row r="1114" spans="1:4" x14ac:dyDescent="0.2">
      <c r="A1114" s="4">
        <v>47.238111099999998</v>
      </c>
      <c r="B1114" t="s">
        <v>33</v>
      </c>
      <c r="C1114" t="s">
        <v>30</v>
      </c>
      <c r="D1114" s="5">
        <v>7.9755646599999999</v>
      </c>
    </row>
    <row r="1115" spans="1:4" x14ac:dyDescent="0.2">
      <c r="A1115" s="4">
        <v>47.602944399999998</v>
      </c>
      <c r="B1115" t="s">
        <v>33</v>
      </c>
      <c r="C1115" t="s">
        <v>30</v>
      </c>
      <c r="D1115" s="5">
        <v>7.9662397800000004</v>
      </c>
    </row>
    <row r="1116" spans="1:4" x14ac:dyDescent="0.2">
      <c r="A1116" s="4">
        <v>47.9677778</v>
      </c>
      <c r="B1116" t="s">
        <v>33</v>
      </c>
      <c r="C1116" t="s">
        <v>30</v>
      </c>
      <c r="D1116" s="5">
        <v>7.9672801800000004</v>
      </c>
    </row>
    <row r="1117" spans="1:4" x14ac:dyDescent="0.2">
      <c r="A1117" s="4">
        <v>48.332583300000003</v>
      </c>
      <c r="B1117" t="s">
        <v>33</v>
      </c>
      <c r="C1117" t="s">
        <v>30</v>
      </c>
      <c r="D1117" s="5">
        <v>7.9658927400000001</v>
      </c>
    </row>
    <row r="1118" spans="1:4" x14ac:dyDescent="0.2">
      <c r="A1118" s="4">
        <v>48.697416699999998</v>
      </c>
      <c r="B1118" t="s">
        <v>33</v>
      </c>
      <c r="C1118" t="s">
        <v>30</v>
      </c>
      <c r="D1118" s="5">
        <v>7.96519829</v>
      </c>
    </row>
    <row r="1119" spans="1:4" x14ac:dyDescent="0.2">
      <c r="A1119" s="4">
        <v>49.062222200000001</v>
      </c>
      <c r="B1119" t="s">
        <v>33</v>
      </c>
      <c r="C1119" t="s">
        <v>30</v>
      </c>
      <c r="D1119" s="5">
        <v>7.96519829</v>
      </c>
    </row>
    <row r="1120" spans="1:4" x14ac:dyDescent="0.2">
      <c r="A1120" s="4">
        <v>49.427055600000003</v>
      </c>
      <c r="B1120" t="s">
        <v>33</v>
      </c>
      <c r="C1120" t="s">
        <v>30</v>
      </c>
      <c r="D1120" s="5">
        <v>7.9613702000000002</v>
      </c>
    </row>
    <row r="1121" spans="1:4" x14ac:dyDescent="0.2">
      <c r="A1121" s="4">
        <v>49.791861099999998</v>
      </c>
      <c r="B1121" t="s">
        <v>33</v>
      </c>
      <c r="C1121" t="s">
        <v>30</v>
      </c>
      <c r="D1121" s="5">
        <v>7.9631120600000003</v>
      </c>
    </row>
    <row r="1122" spans="1:4" x14ac:dyDescent="0.2">
      <c r="A1122" s="4">
        <v>50.156694399999999</v>
      </c>
      <c r="B1122" t="s">
        <v>33</v>
      </c>
      <c r="C1122" t="s">
        <v>30</v>
      </c>
      <c r="D1122" s="5">
        <v>7.96346007</v>
      </c>
    </row>
    <row r="1123" spans="1:4" x14ac:dyDescent="0.2">
      <c r="A1123" s="4">
        <v>50.521500000000003</v>
      </c>
      <c r="B1123" t="s">
        <v>33</v>
      </c>
      <c r="C1123" t="s">
        <v>30</v>
      </c>
      <c r="D1123" s="5">
        <v>7.9603236300000004</v>
      </c>
    </row>
    <row r="1124" spans="1:4" x14ac:dyDescent="0.2">
      <c r="A1124" s="4">
        <v>50.886333299999997</v>
      </c>
      <c r="B1124" t="s">
        <v>33</v>
      </c>
      <c r="C1124" t="s">
        <v>30</v>
      </c>
      <c r="D1124" s="5">
        <v>7.9707403899999996</v>
      </c>
    </row>
    <row r="1125" spans="1:4" x14ac:dyDescent="0.2">
      <c r="A1125" s="4">
        <v>51.251138900000001</v>
      </c>
      <c r="B1125" t="s">
        <v>33</v>
      </c>
      <c r="C1125" t="s">
        <v>30</v>
      </c>
      <c r="D1125" s="5">
        <v>7.9648508900000001</v>
      </c>
    </row>
    <row r="1126" spans="1:4" x14ac:dyDescent="0.2">
      <c r="A1126" s="4">
        <v>51.615972200000002</v>
      </c>
      <c r="B1126" t="s">
        <v>33</v>
      </c>
      <c r="C1126" t="s">
        <v>30</v>
      </c>
      <c r="D1126" s="5">
        <v>7.9638079499999996</v>
      </c>
    </row>
    <row r="1127" spans="1:4" x14ac:dyDescent="0.2">
      <c r="A1127" s="4">
        <v>51.980888899999997</v>
      </c>
      <c r="B1127" t="s">
        <v>33</v>
      </c>
      <c r="C1127" t="s">
        <v>30</v>
      </c>
      <c r="D1127" s="5">
        <v>7.9606726099999996</v>
      </c>
    </row>
    <row r="1128" spans="1:4" x14ac:dyDescent="0.2">
      <c r="A1128" s="4">
        <v>52.345694399999999</v>
      </c>
      <c r="B1128" t="s">
        <v>33</v>
      </c>
      <c r="C1128" t="s">
        <v>30</v>
      </c>
      <c r="D1128" s="5">
        <v>7.9592759600000003</v>
      </c>
    </row>
    <row r="1129" spans="1:4" x14ac:dyDescent="0.2">
      <c r="A1129" s="4">
        <v>52.710527800000001</v>
      </c>
      <c r="B1129" t="s">
        <v>33</v>
      </c>
      <c r="C1129" t="s">
        <v>30</v>
      </c>
      <c r="D1129" s="5">
        <v>7.9592759600000003</v>
      </c>
    </row>
    <row r="1130" spans="1:4" x14ac:dyDescent="0.2">
      <c r="A1130" s="4">
        <v>53.075333299999997</v>
      </c>
      <c r="B1130" t="s">
        <v>33</v>
      </c>
      <c r="C1130" t="s">
        <v>30</v>
      </c>
      <c r="D1130" s="5">
        <v>7.9592759600000003</v>
      </c>
    </row>
    <row r="1131" spans="1:4" x14ac:dyDescent="0.2">
      <c r="A1131" s="4">
        <v>53.440166699999999</v>
      </c>
      <c r="B1131" t="s">
        <v>33</v>
      </c>
      <c r="C1131" t="s">
        <v>30</v>
      </c>
      <c r="D1131" s="5">
        <v>7.9575274</v>
      </c>
    </row>
    <row r="1132" spans="1:4" x14ac:dyDescent="0.2">
      <c r="A1132" s="4">
        <v>53.805</v>
      </c>
      <c r="B1132" t="s">
        <v>33</v>
      </c>
      <c r="C1132" t="s">
        <v>30</v>
      </c>
      <c r="D1132" s="5">
        <v>7.9599745300000002</v>
      </c>
    </row>
    <row r="1133" spans="1:4" x14ac:dyDescent="0.2">
      <c r="A1133" s="4">
        <v>54.169805599999997</v>
      </c>
      <c r="B1133" t="s">
        <v>33</v>
      </c>
      <c r="C1133" t="s">
        <v>30</v>
      </c>
      <c r="D1133" s="5">
        <v>7.9561263499999999</v>
      </c>
    </row>
    <row r="1134" spans="1:4" x14ac:dyDescent="0.2">
      <c r="A1134" s="4">
        <v>54.534638899999997</v>
      </c>
      <c r="B1134" t="s">
        <v>33</v>
      </c>
      <c r="C1134" t="s">
        <v>30</v>
      </c>
      <c r="D1134" s="5">
        <v>7.9599745300000002</v>
      </c>
    </row>
    <row r="1135" spans="1:4" x14ac:dyDescent="0.2">
      <c r="A1135" s="4">
        <v>54.8994444</v>
      </c>
      <c r="B1135" t="s">
        <v>33</v>
      </c>
      <c r="C1135" t="s">
        <v>30</v>
      </c>
      <c r="D1135" s="5">
        <v>7.9550742699999999</v>
      </c>
    </row>
    <row r="1136" spans="1:4" x14ac:dyDescent="0.2">
      <c r="A1136" s="4">
        <v>55.264249999999997</v>
      </c>
      <c r="B1136" t="s">
        <v>33</v>
      </c>
      <c r="C1136" t="s">
        <v>30</v>
      </c>
      <c r="D1136" s="5">
        <v>7.9547233300000002</v>
      </c>
    </row>
    <row r="1137" spans="1:4" x14ac:dyDescent="0.2">
      <c r="A1137" s="4">
        <v>55.629083299999998</v>
      </c>
      <c r="B1137" t="s">
        <v>33</v>
      </c>
      <c r="C1137" t="s">
        <v>30</v>
      </c>
      <c r="D1137" s="5">
        <v>7.9620673100000001</v>
      </c>
    </row>
    <row r="1138" spans="1:4" x14ac:dyDescent="0.2">
      <c r="A1138" s="4">
        <v>55.993888900000002</v>
      </c>
      <c r="B1138" t="s">
        <v>33</v>
      </c>
      <c r="C1138" t="s">
        <v>30</v>
      </c>
      <c r="D1138" s="5">
        <v>7.9582271899999997</v>
      </c>
    </row>
    <row r="1139" spans="1:4" x14ac:dyDescent="0.2">
      <c r="A1139" s="4">
        <v>56.358722200000003</v>
      </c>
      <c r="B1139" t="s">
        <v>33</v>
      </c>
      <c r="C1139" t="s">
        <v>30</v>
      </c>
      <c r="D1139" s="5">
        <v>7.9599745300000002</v>
      </c>
    </row>
    <row r="1140" spans="1:4" x14ac:dyDescent="0.2">
      <c r="A1140" s="4">
        <v>56.723555599999997</v>
      </c>
      <c r="B1140" t="s">
        <v>33</v>
      </c>
      <c r="C1140" t="s">
        <v>30</v>
      </c>
      <c r="D1140" s="5">
        <v>7.9561263499999999</v>
      </c>
    </row>
    <row r="1141" spans="1:4" x14ac:dyDescent="0.2">
      <c r="A1141" s="4">
        <v>57.0883611</v>
      </c>
      <c r="B1141" t="s">
        <v>33</v>
      </c>
      <c r="C1141" t="s">
        <v>30</v>
      </c>
      <c r="D1141" s="5">
        <v>7.9578773600000003</v>
      </c>
    </row>
    <row r="1142" spans="1:4" x14ac:dyDescent="0.2">
      <c r="A1142" s="4">
        <v>57.453194400000001</v>
      </c>
      <c r="B1142" t="s">
        <v>33</v>
      </c>
      <c r="C1142" t="s">
        <v>30</v>
      </c>
      <c r="D1142" s="5">
        <v>7.9564767999999999</v>
      </c>
    </row>
    <row r="1143" spans="1:4" x14ac:dyDescent="0.2">
      <c r="A1143" s="4">
        <v>57.817999999999998</v>
      </c>
      <c r="B1143" t="s">
        <v>33</v>
      </c>
      <c r="C1143" t="s">
        <v>30</v>
      </c>
      <c r="D1143" s="5">
        <v>7.9522633100000002</v>
      </c>
    </row>
    <row r="1144" spans="1:4" x14ac:dyDescent="0.2">
      <c r="A1144" s="4">
        <v>58.182833299999999</v>
      </c>
      <c r="B1144" t="s">
        <v>33</v>
      </c>
      <c r="C1144" t="s">
        <v>30</v>
      </c>
      <c r="D1144" s="5">
        <v>7.9547233300000002</v>
      </c>
    </row>
    <row r="1145" spans="1:4" x14ac:dyDescent="0.2">
      <c r="A1145" s="4">
        <v>58.547638900000003</v>
      </c>
      <c r="B1145" t="s">
        <v>33</v>
      </c>
      <c r="C1145" t="s">
        <v>30</v>
      </c>
      <c r="D1145" s="5">
        <v>7.9617188199999998</v>
      </c>
    </row>
    <row r="1146" spans="1:4" x14ac:dyDescent="0.2">
      <c r="A1146" s="4">
        <v>58.912472200000003</v>
      </c>
      <c r="B1146" t="s">
        <v>33</v>
      </c>
      <c r="C1146" t="s">
        <v>30</v>
      </c>
      <c r="D1146" s="5">
        <v>7.9596253099999998</v>
      </c>
    </row>
    <row r="1147" spans="1:4" x14ac:dyDescent="0.2">
      <c r="A1147" s="4">
        <v>59.2772778</v>
      </c>
      <c r="B1147" t="s">
        <v>33</v>
      </c>
      <c r="C1147" t="s">
        <v>30</v>
      </c>
      <c r="D1147" s="5">
        <v>7.9529667899999996</v>
      </c>
    </row>
    <row r="1148" spans="1:4" x14ac:dyDescent="0.2">
      <c r="A1148" s="4">
        <v>59.642083300000003</v>
      </c>
      <c r="B1148" t="s">
        <v>33</v>
      </c>
      <c r="C1148" t="s">
        <v>30</v>
      </c>
      <c r="D1148" s="5">
        <v>7.9589264899999996</v>
      </c>
    </row>
    <row r="1149" spans="1:4" x14ac:dyDescent="0.2">
      <c r="A1149" s="4">
        <v>60.0068889</v>
      </c>
      <c r="B1149" t="s">
        <v>33</v>
      </c>
      <c r="C1149" t="s">
        <v>30</v>
      </c>
      <c r="D1149" s="5">
        <v>7.9561263499999999</v>
      </c>
    </row>
    <row r="1150" spans="1:4" x14ac:dyDescent="0.2">
      <c r="A1150" s="4">
        <v>60.371722200000001</v>
      </c>
      <c r="B1150" t="s">
        <v>33</v>
      </c>
      <c r="C1150" t="s">
        <v>30</v>
      </c>
      <c r="D1150" s="5">
        <v>7.9589264899999996</v>
      </c>
    </row>
    <row r="1151" spans="1:4" x14ac:dyDescent="0.2">
      <c r="A1151" s="4">
        <v>60.736527799999998</v>
      </c>
      <c r="B1151" t="s">
        <v>33</v>
      </c>
      <c r="C1151" t="s">
        <v>30</v>
      </c>
      <c r="D1151" s="5">
        <v>7.9585768999999997</v>
      </c>
    </row>
    <row r="1152" spans="1:4" x14ac:dyDescent="0.2">
      <c r="A1152" s="4">
        <v>61.1013333</v>
      </c>
      <c r="B1152" t="s">
        <v>33</v>
      </c>
      <c r="C1152" t="s">
        <v>30</v>
      </c>
      <c r="D1152" s="5">
        <v>7.9550742699999999</v>
      </c>
    </row>
    <row r="1153" spans="1:4" x14ac:dyDescent="0.2">
      <c r="A1153" s="4">
        <v>61.466166700000002</v>
      </c>
      <c r="B1153" t="s">
        <v>33</v>
      </c>
      <c r="C1153" t="s">
        <v>30</v>
      </c>
      <c r="D1153" s="5">
        <v>7.9547233300000002</v>
      </c>
    </row>
    <row r="1154" spans="1:4" x14ac:dyDescent="0.2">
      <c r="A1154" s="4">
        <v>61.830972199999998</v>
      </c>
      <c r="B1154" t="s">
        <v>33</v>
      </c>
      <c r="C1154" t="s">
        <v>30</v>
      </c>
      <c r="D1154" s="5">
        <v>7.9480319899999996</v>
      </c>
    </row>
    <row r="1155" spans="1:4" x14ac:dyDescent="0.2">
      <c r="A1155" s="4">
        <v>62.1958056</v>
      </c>
      <c r="B1155" t="s">
        <v>33</v>
      </c>
      <c r="C1155" t="s">
        <v>30</v>
      </c>
      <c r="D1155" s="5">
        <v>7.9547233300000002</v>
      </c>
    </row>
    <row r="1156" spans="1:4" x14ac:dyDescent="0.2">
      <c r="A1156" s="4">
        <v>62.560638900000001</v>
      </c>
      <c r="B1156" t="s">
        <v>33</v>
      </c>
      <c r="C1156" t="s">
        <v>30</v>
      </c>
      <c r="D1156" s="5">
        <v>7.9476785699999999</v>
      </c>
    </row>
    <row r="1157" spans="1:4" x14ac:dyDescent="0.2">
      <c r="A1157" s="4">
        <v>62.925444400000003</v>
      </c>
      <c r="B1157" t="s">
        <v>33</v>
      </c>
      <c r="C1157" t="s">
        <v>30</v>
      </c>
      <c r="D1157" s="5">
        <v>7.9519113800000003</v>
      </c>
    </row>
    <row r="1158" spans="1:4" x14ac:dyDescent="0.2">
      <c r="A1158" s="4">
        <v>63.29025</v>
      </c>
      <c r="B1158" t="s">
        <v>33</v>
      </c>
      <c r="C1158" t="s">
        <v>30</v>
      </c>
      <c r="D1158" s="5">
        <v>7.9550742699999999</v>
      </c>
    </row>
    <row r="1159" spans="1:4" x14ac:dyDescent="0.2">
      <c r="A1159" s="4">
        <v>63.655083300000001</v>
      </c>
      <c r="B1159" t="s">
        <v>33</v>
      </c>
      <c r="C1159" t="s">
        <v>30</v>
      </c>
      <c r="D1159" s="5">
        <v>7.95331835</v>
      </c>
    </row>
    <row r="1160" spans="1:4" x14ac:dyDescent="0.2">
      <c r="A1160" s="4">
        <v>64.019888899999998</v>
      </c>
      <c r="B1160" t="s">
        <v>33</v>
      </c>
      <c r="C1160" t="s">
        <v>30</v>
      </c>
      <c r="D1160" s="5">
        <v>7.9550742699999999</v>
      </c>
    </row>
    <row r="1161" spans="1:4" x14ac:dyDescent="0.2">
      <c r="A1161" s="4">
        <v>64.384694400000001</v>
      </c>
      <c r="B1161" t="s">
        <v>33</v>
      </c>
      <c r="C1161" t="s">
        <v>30</v>
      </c>
      <c r="D1161" s="5">
        <v>7.9529667899999996</v>
      </c>
    </row>
    <row r="1162" spans="1:4" x14ac:dyDescent="0.2">
      <c r="A1162" s="4">
        <v>64.749527799999996</v>
      </c>
      <c r="B1162" t="s">
        <v>33</v>
      </c>
      <c r="C1162" t="s">
        <v>30</v>
      </c>
      <c r="D1162" s="5">
        <v>7.9512071600000001</v>
      </c>
    </row>
    <row r="1163" spans="1:4" x14ac:dyDescent="0.2">
      <c r="A1163" s="4">
        <v>65.114333299999998</v>
      </c>
      <c r="B1163" t="s">
        <v>33</v>
      </c>
      <c r="C1163" t="s">
        <v>30</v>
      </c>
      <c r="D1163" s="5">
        <v>7.9564767999999999</v>
      </c>
    </row>
    <row r="1164" spans="1:4" x14ac:dyDescent="0.2">
      <c r="A1164" s="4">
        <v>65.479166699999993</v>
      </c>
      <c r="B1164" t="s">
        <v>33</v>
      </c>
      <c r="C1164" t="s">
        <v>30</v>
      </c>
      <c r="D1164" s="5">
        <v>7.9494444199999998</v>
      </c>
    </row>
    <row r="1165" spans="1:4" x14ac:dyDescent="0.2">
      <c r="A1165" s="4">
        <v>65.843999999999994</v>
      </c>
      <c r="B1165" t="s">
        <v>33</v>
      </c>
      <c r="C1165" t="s">
        <v>30</v>
      </c>
      <c r="D1165" s="5">
        <v>7.9490914999999998</v>
      </c>
    </row>
    <row r="1166" spans="1:4" x14ac:dyDescent="0.2">
      <c r="A1166" s="4">
        <v>66.208805600000005</v>
      </c>
      <c r="B1166" t="s">
        <v>33</v>
      </c>
      <c r="C1166" t="s">
        <v>30</v>
      </c>
      <c r="D1166" s="5">
        <v>7.9554250900000003</v>
      </c>
    </row>
    <row r="1167" spans="1:4" x14ac:dyDescent="0.2">
      <c r="A1167" s="4">
        <v>66.573611099999994</v>
      </c>
      <c r="B1167" t="s">
        <v>33</v>
      </c>
      <c r="C1167" t="s">
        <v>30</v>
      </c>
      <c r="D1167" s="5">
        <v>7.9522633100000002</v>
      </c>
    </row>
    <row r="1168" spans="1:4" x14ac:dyDescent="0.2">
      <c r="A1168" s="4">
        <v>66.938444399999995</v>
      </c>
      <c r="B1168" t="s">
        <v>33</v>
      </c>
      <c r="C1168" t="s">
        <v>30</v>
      </c>
      <c r="D1168" s="5">
        <v>7.9515593300000003</v>
      </c>
    </row>
    <row r="1169" spans="1:4" x14ac:dyDescent="0.2">
      <c r="A1169" s="4">
        <v>67.303250000000006</v>
      </c>
      <c r="B1169" t="s">
        <v>33</v>
      </c>
      <c r="C1169" t="s">
        <v>30</v>
      </c>
      <c r="D1169" s="5">
        <v>7.9557757799999997</v>
      </c>
    </row>
    <row r="1170" spans="1:4" x14ac:dyDescent="0.2">
      <c r="A1170" s="4">
        <v>67.668083300000006</v>
      </c>
      <c r="B1170" t="s">
        <v>33</v>
      </c>
      <c r="C1170" t="s">
        <v>30</v>
      </c>
      <c r="D1170" s="5">
        <v>7.94838529</v>
      </c>
    </row>
    <row r="1171" spans="1:4" x14ac:dyDescent="0.2">
      <c r="A1171" s="4">
        <v>68.032888900000003</v>
      </c>
      <c r="B1171" t="s">
        <v>33</v>
      </c>
      <c r="C1171" t="s">
        <v>30</v>
      </c>
      <c r="D1171" s="5">
        <v>7.94838529</v>
      </c>
    </row>
    <row r="1172" spans="1:4" x14ac:dyDescent="0.2">
      <c r="A1172" s="4">
        <v>68.397722200000004</v>
      </c>
      <c r="B1172" t="s">
        <v>33</v>
      </c>
      <c r="C1172" t="s">
        <v>30</v>
      </c>
      <c r="D1172" s="5">
        <v>7.9494444199999998</v>
      </c>
    </row>
    <row r="1173" spans="1:4" x14ac:dyDescent="0.2">
      <c r="A1173" s="4">
        <v>68.762527800000001</v>
      </c>
      <c r="B1173" t="s">
        <v>33</v>
      </c>
      <c r="C1173" t="s">
        <v>30</v>
      </c>
      <c r="D1173" s="5">
        <v>7.9519113800000003</v>
      </c>
    </row>
    <row r="1174" spans="1:4" x14ac:dyDescent="0.2">
      <c r="A1174" s="4">
        <v>69.126861099999999</v>
      </c>
      <c r="B1174" t="s">
        <v>33</v>
      </c>
      <c r="C1174" t="s">
        <v>30</v>
      </c>
      <c r="D1174" s="5">
        <v>7.9490914999999998</v>
      </c>
    </row>
    <row r="1175" spans="1:4" x14ac:dyDescent="0.2">
      <c r="A1175" s="4">
        <v>69.491666699999996</v>
      </c>
      <c r="B1175" t="s">
        <v>33</v>
      </c>
      <c r="C1175" t="s">
        <v>30</v>
      </c>
      <c r="D1175" s="5">
        <v>7.9501498899999996</v>
      </c>
    </row>
    <row r="1176" spans="1:4" x14ac:dyDescent="0.2">
      <c r="A1176" s="4">
        <v>69.856499999999997</v>
      </c>
      <c r="B1176" t="s">
        <v>33</v>
      </c>
      <c r="C1176" t="s">
        <v>30</v>
      </c>
      <c r="D1176" s="5">
        <v>7.9522633100000002</v>
      </c>
    </row>
    <row r="1177" spans="1:4" x14ac:dyDescent="0.2">
      <c r="A1177" s="4">
        <v>70.221305599999994</v>
      </c>
      <c r="B1177" t="s">
        <v>33</v>
      </c>
      <c r="C1177" t="s">
        <v>30</v>
      </c>
      <c r="D1177" s="5">
        <v>7.9462636399999997</v>
      </c>
    </row>
    <row r="1178" spans="1:4" x14ac:dyDescent="0.2">
      <c r="A1178" s="4">
        <v>70.586138899999995</v>
      </c>
      <c r="B1178" t="s">
        <v>33</v>
      </c>
      <c r="C1178" t="s">
        <v>30</v>
      </c>
      <c r="D1178" s="5">
        <v>7.9437826899999999</v>
      </c>
    </row>
    <row r="1179" spans="1:4" x14ac:dyDescent="0.2">
      <c r="A1179" s="4">
        <v>70.950972199999995</v>
      </c>
      <c r="B1179" t="s">
        <v>33</v>
      </c>
      <c r="C1179" t="s">
        <v>30</v>
      </c>
      <c r="D1179" s="5">
        <v>7.9543722700000004</v>
      </c>
    </row>
    <row r="1180" spans="1:4" x14ac:dyDescent="0.2">
      <c r="A1180" s="4">
        <v>71.315777800000006</v>
      </c>
      <c r="B1180" t="s">
        <v>33</v>
      </c>
      <c r="C1180" t="s">
        <v>30</v>
      </c>
      <c r="D1180" s="5">
        <v>7.9437826899999999</v>
      </c>
    </row>
    <row r="1181" spans="1:4" x14ac:dyDescent="0.2">
      <c r="A1181" s="4">
        <v>71.680611099999993</v>
      </c>
      <c r="B1181" t="s">
        <v>33</v>
      </c>
      <c r="C1181" t="s">
        <v>30</v>
      </c>
      <c r="D1181" s="5">
        <v>7.9515593300000003</v>
      </c>
    </row>
    <row r="1182" spans="1:4" x14ac:dyDescent="0.2">
      <c r="A1182" s="4">
        <v>72.045416700000004</v>
      </c>
      <c r="B1182" t="s">
        <v>33</v>
      </c>
      <c r="C1182" t="s">
        <v>30</v>
      </c>
      <c r="D1182" s="5">
        <v>7.9522633100000002</v>
      </c>
    </row>
    <row r="1183" spans="1:4" x14ac:dyDescent="0.2">
      <c r="A1183" s="4">
        <v>72.410277800000003</v>
      </c>
      <c r="B1183" t="s">
        <v>33</v>
      </c>
      <c r="C1183" t="s">
        <v>30</v>
      </c>
      <c r="D1183" s="5">
        <v>7.94697136</v>
      </c>
    </row>
    <row r="1184" spans="1:4" x14ac:dyDescent="0.2">
      <c r="A1184" s="4">
        <v>72.775083300000006</v>
      </c>
      <c r="B1184" t="s">
        <v>33</v>
      </c>
      <c r="C1184" t="s">
        <v>30</v>
      </c>
      <c r="D1184" s="5">
        <v>7.9395152600000003</v>
      </c>
    </row>
    <row r="1185" spans="1:4" x14ac:dyDescent="0.2">
      <c r="A1185" s="4">
        <v>73.139916700000001</v>
      </c>
      <c r="B1185" t="s">
        <v>33</v>
      </c>
      <c r="C1185" t="s">
        <v>30</v>
      </c>
      <c r="D1185" s="5">
        <v>7.94661756</v>
      </c>
    </row>
    <row r="1186" spans="1:4" x14ac:dyDescent="0.2">
      <c r="A1186" s="4">
        <v>73.504722200000003</v>
      </c>
      <c r="B1186" t="s">
        <v>33</v>
      </c>
      <c r="C1186" t="s">
        <v>30</v>
      </c>
      <c r="D1186" s="5">
        <v>7.9501498899999996</v>
      </c>
    </row>
    <row r="1187" spans="1:4" x14ac:dyDescent="0.2">
      <c r="A1187" s="4">
        <v>73.8695278</v>
      </c>
      <c r="B1187" t="s">
        <v>33</v>
      </c>
      <c r="C1187" t="s">
        <v>30</v>
      </c>
      <c r="D1187" s="5">
        <v>7.95261511</v>
      </c>
    </row>
    <row r="1188" spans="1:4" x14ac:dyDescent="0.2">
      <c r="A1188" s="4">
        <v>74.234361100000001</v>
      </c>
      <c r="B1188" t="s">
        <v>33</v>
      </c>
      <c r="C1188" t="s">
        <v>30</v>
      </c>
      <c r="D1188" s="5">
        <v>7.9494444199999998</v>
      </c>
    </row>
    <row r="1189" spans="1:4" x14ac:dyDescent="0.2">
      <c r="A1189" s="4">
        <v>74.599166699999998</v>
      </c>
      <c r="B1189" t="s">
        <v>33</v>
      </c>
      <c r="C1189" t="s">
        <v>30</v>
      </c>
      <c r="D1189" s="5">
        <v>7.9505024300000002</v>
      </c>
    </row>
    <row r="1190" spans="1:4" x14ac:dyDescent="0.2">
      <c r="A1190" s="4">
        <v>74.963972200000001</v>
      </c>
      <c r="B1190" t="s">
        <v>33</v>
      </c>
      <c r="C1190" t="s">
        <v>30</v>
      </c>
      <c r="D1190" s="5">
        <v>7.9512071600000001</v>
      </c>
    </row>
    <row r="1191" spans="1:4" x14ac:dyDescent="0.2">
      <c r="A1191" s="4">
        <v>75.328805599999995</v>
      </c>
      <c r="B1191" t="s">
        <v>33</v>
      </c>
      <c r="C1191" t="s">
        <v>30</v>
      </c>
      <c r="D1191" s="5">
        <v>7.9427175400000003</v>
      </c>
    </row>
    <row r="1192" spans="1:4" x14ac:dyDescent="0.2">
      <c r="A1192" s="4">
        <v>75.693611099999998</v>
      </c>
      <c r="B1192" t="s">
        <v>33</v>
      </c>
      <c r="C1192" t="s">
        <v>30</v>
      </c>
      <c r="D1192" s="5">
        <v>7.9522633100000002</v>
      </c>
    </row>
    <row r="1193" spans="1:4" x14ac:dyDescent="0.2">
      <c r="A1193" s="4">
        <v>76.058444399999999</v>
      </c>
      <c r="B1193" t="s">
        <v>33</v>
      </c>
      <c r="C1193" t="s">
        <v>30</v>
      </c>
      <c r="D1193" s="5">
        <v>7.9547233300000002</v>
      </c>
    </row>
    <row r="1194" spans="1:4" x14ac:dyDescent="0.2">
      <c r="A1194" s="4">
        <v>76.423277799999994</v>
      </c>
      <c r="B1194" t="s">
        <v>33</v>
      </c>
      <c r="C1194" t="s">
        <v>30</v>
      </c>
      <c r="D1194" s="5">
        <v>7.9497972199999998</v>
      </c>
    </row>
    <row r="1195" spans="1:4" x14ac:dyDescent="0.2">
      <c r="A1195" s="4">
        <v>76.788083299999997</v>
      </c>
      <c r="B1195" t="s">
        <v>33</v>
      </c>
      <c r="C1195" t="s">
        <v>30</v>
      </c>
      <c r="D1195" s="5">
        <v>7.9536697800000002</v>
      </c>
    </row>
    <row r="1196" spans="1:4" x14ac:dyDescent="0.2">
      <c r="A1196" s="4">
        <v>77.152888899999994</v>
      </c>
      <c r="B1196" t="s">
        <v>33</v>
      </c>
      <c r="C1196" t="s">
        <v>30</v>
      </c>
      <c r="D1196" s="5">
        <v>7.9476785699999999</v>
      </c>
    </row>
    <row r="1197" spans="1:4" x14ac:dyDescent="0.2">
      <c r="A1197" s="4">
        <v>77.517722199999994</v>
      </c>
      <c r="B1197" t="s">
        <v>33</v>
      </c>
      <c r="C1197" t="s">
        <v>30</v>
      </c>
      <c r="D1197" s="5">
        <v>7.9515593300000003</v>
      </c>
    </row>
    <row r="1198" spans="1:4" x14ac:dyDescent="0.2">
      <c r="A1198" s="4">
        <v>77.882555600000003</v>
      </c>
      <c r="B1198" t="s">
        <v>33</v>
      </c>
      <c r="C1198" t="s">
        <v>30</v>
      </c>
      <c r="D1198" s="5">
        <v>7.9505024300000002</v>
      </c>
    </row>
    <row r="1199" spans="1:4" x14ac:dyDescent="0.2">
      <c r="A1199" s="4">
        <v>78.247361100000006</v>
      </c>
      <c r="B1199" t="s">
        <v>33</v>
      </c>
      <c r="C1199" t="s">
        <v>30</v>
      </c>
      <c r="D1199" s="5">
        <v>7.9448467100000002</v>
      </c>
    </row>
    <row r="1200" spans="1:4" x14ac:dyDescent="0.2">
      <c r="A1200" s="4">
        <v>78.612166700000003</v>
      </c>
      <c r="B1200" t="s">
        <v>33</v>
      </c>
      <c r="C1200" t="s">
        <v>30</v>
      </c>
      <c r="D1200" s="5">
        <v>7.94838529</v>
      </c>
    </row>
    <row r="1201" spans="1:4" x14ac:dyDescent="0.2">
      <c r="A1201" s="4">
        <v>78.977000000000004</v>
      </c>
      <c r="B1201" t="s">
        <v>33</v>
      </c>
      <c r="C1201" t="s">
        <v>30</v>
      </c>
      <c r="D1201" s="5">
        <v>7.9529667899999996</v>
      </c>
    </row>
    <row r="1202" spans="1:4" x14ac:dyDescent="0.2">
      <c r="A1202" s="4">
        <v>79.341805600000001</v>
      </c>
      <c r="B1202" t="s">
        <v>33</v>
      </c>
      <c r="C1202" t="s">
        <v>30</v>
      </c>
      <c r="D1202" s="5">
        <v>7.9487384499999996</v>
      </c>
    </row>
    <row r="1203" spans="1:4" x14ac:dyDescent="0.2">
      <c r="A1203" s="4">
        <v>79.706638900000002</v>
      </c>
      <c r="B1203" t="s">
        <v>33</v>
      </c>
      <c r="C1203" t="s">
        <v>30</v>
      </c>
      <c r="D1203" s="5">
        <v>7.9497972199999998</v>
      </c>
    </row>
    <row r="1204" spans="1:4" x14ac:dyDescent="0.2">
      <c r="A1204" s="4">
        <v>80.071444400000004</v>
      </c>
      <c r="B1204" t="s">
        <v>33</v>
      </c>
      <c r="C1204" t="s">
        <v>30</v>
      </c>
      <c r="D1204" s="5">
        <v>7.9519113800000003</v>
      </c>
    </row>
    <row r="1205" spans="1:4" x14ac:dyDescent="0.2">
      <c r="A1205" s="4">
        <v>80.436250000000001</v>
      </c>
      <c r="B1205" t="s">
        <v>33</v>
      </c>
      <c r="C1205" t="s">
        <v>30</v>
      </c>
      <c r="D1205" s="5">
        <v>7.9512071600000001</v>
      </c>
    </row>
    <row r="1206" spans="1:4" x14ac:dyDescent="0.2">
      <c r="A1206" s="4">
        <v>80.801083300000002</v>
      </c>
      <c r="B1206" t="s">
        <v>33</v>
      </c>
      <c r="C1206" t="s">
        <v>30</v>
      </c>
      <c r="D1206" s="5">
        <v>7.9505024300000002</v>
      </c>
    </row>
    <row r="1207" spans="1:4" x14ac:dyDescent="0.2">
      <c r="A1207" s="4">
        <v>81.165888899999999</v>
      </c>
      <c r="B1207" t="s">
        <v>33</v>
      </c>
      <c r="C1207" t="s">
        <v>30</v>
      </c>
      <c r="D1207" s="5">
        <v>7.9444921600000002</v>
      </c>
    </row>
    <row r="1208" spans="1:4" x14ac:dyDescent="0.2">
      <c r="A1208" s="4">
        <v>81.5307222</v>
      </c>
      <c r="B1208" t="s">
        <v>33</v>
      </c>
      <c r="C1208" t="s">
        <v>30</v>
      </c>
      <c r="D1208" s="5">
        <v>7.9497972199999998</v>
      </c>
    </row>
    <row r="1209" spans="1:4" x14ac:dyDescent="0.2">
      <c r="A1209" s="4">
        <v>81.895555599999994</v>
      </c>
      <c r="B1209" t="s">
        <v>33</v>
      </c>
      <c r="C1209" t="s">
        <v>30</v>
      </c>
      <c r="D1209" s="5">
        <v>7.9547233300000002</v>
      </c>
    </row>
    <row r="1210" spans="1:4" x14ac:dyDescent="0.2">
      <c r="A1210" s="4">
        <v>82.260361099999997</v>
      </c>
      <c r="B1210" t="s">
        <v>33</v>
      </c>
      <c r="C1210" t="s">
        <v>30</v>
      </c>
      <c r="D1210" s="5">
        <v>7.94732503</v>
      </c>
    </row>
    <row r="1211" spans="1:4" x14ac:dyDescent="0.2">
      <c r="A1211" s="4">
        <v>82.625194399999998</v>
      </c>
      <c r="B1211" t="s">
        <v>33</v>
      </c>
      <c r="C1211" t="s">
        <v>30</v>
      </c>
      <c r="D1211" s="5">
        <v>7.9505024300000002</v>
      </c>
    </row>
    <row r="1212" spans="1:4" x14ac:dyDescent="0.2">
      <c r="A1212" s="4">
        <v>82.99</v>
      </c>
      <c r="B1212" t="s">
        <v>33</v>
      </c>
      <c r="C1212" t="s">
        <v>30</v>
      </c>
      <c r="D1212" s="5">
        <v>7.9487384499999996</v>
      </c>
    </row>
    <row r="1213" spans="1:4" x14ac:dyDescent="0.2">
      <c r="A1213" s="4">
        <v>83.354805600000006</v>
      </c>
      <c r="B1213" t="s">
        <v>33</v>
      </c>
      <c r="C1213" t="s">
        <v>30</v>
      </c>
      <c r="D1213" s="5">
        <v>7.94697136</v>
      </c>
    </row>
    <row r="1214" spans="1:4" x14ac:dyDescent="0.2">
      <c r="A1214" s="4">
        <v>83.719638900000007</v>
      </c>
      <c r="B1214" t="s">
        <v>33</v>
      </c>
      <c r="C1214" t="s">
        <v>30</v>
      </c>
      <c r="D1214" s="5">
        <v>7.9490914999999998</v>
      </c>
    </row>
    <row r="1215" spans="1:4" x14ac:dyDescent="0.2">
      <c r="A1215" s="4">
        <v>84.084472199999993</v>
      </c>
      <c r="B1215" t="s">
        <v>33</v>
      </c>
      <c r="C1215" t="s">
        <v>30</v>
      </c>
      <c r="D1215" s="5">
        <v>7.9515593300000003</v>
      </c>
    </row>
    <row r="1216" spans="1:4" x14ac:dyDescent="0.2">
      <c r="A1216" s="4">
        <v>84.449277800000004</v>
      </c>
      <c r="B1216" t="s">
        <v>33</v>
      </c>
      <c r="C1216" t="s">
        <v>30</v>
      </c>
      <c r="D1216" s="5">
        <v>7.9494444199999998</v>
      </c>
    </row>
    <row r="1217" spans="1:4" x14ac:dyDescent="0.2">
      <c r="A1217" s="4">
        <v>84.814111100000005</v>
      </c>
      <c r="B1217" t="s">
        <v>33</v>
      </c>
      <c r="C1217" t="s">
        <v>30</v>
      </c>
      <c r="D1217" s="5">
        <v>7.9536697800000002</v>
      </c>
    </row>
    <row r="1218" spans="1:4" x14ac:dyDescent="0.2">
      <c r="A1218" s="4">
        <v>85.178916700000002</v>
      </c>
      <c r="B1218" t="s">
        <v>33</v>
      </c>
      <c r="C1218" t="s">
        <v>30</v>
      </c>
      <c r="D1218" s="5">
        <v>7.9420068099999996</v>
      </c>
    </row>
    <row r="1219" spans="1:4" x14ac:dyDescent="0.2">
      <c r="A1219" s="4">
        <v>85.543750000000003</v>
      </c>
      <c r="B1219" t="s">
        <v>33</v>
      </c>
      <c r="C1219" t="s">
        <v>30</v>
      </c>
      <c r="D1219" s="5">
        <v>7.9515593300000003</v>
      </c>
    </row>
    <row r="1220" spans="1:4" x14ac:dyDescent="0.2">
      <c r="A1220" s="4">
        <v>85.9085556</v>
      </c>
      <c r="B1220" t="s">
        <v>33</v>
      </c>
      <c r="C1220" t="s">
        <v>30</v>
      </c>
      <c r="D1220" s="5">
        <v>7.9476785699999999</v>
      </c>
    </row>
    <row r="1221" spans="1:4" x14ac:dyDescent="0.2">
      <c r="A1221" s="4">
        <v>86.2733889</v>
      </c>
      <c r="B1221" t="s">
        <v>33</v>
      </c>
      <c r="C1221" t="s">
        <v>30</v>
      </c>
      <c r="D1221" s="5">
        <v>7.9497972199999998</v>
      </c>
    </row>
    <row r="1222" spans="1:4" x14ac:dyDescent="0.2">
      <c r="A1222" s="4">
        <v>86.638194400000003</v>
      </c>
      <c r="B1222" t="s">
        <v>33</v>
      </c>
      <c r="C1222" t="s">
        <v>30</v>
      </c>
      <c r="D1222" s="5">
        <v>7.9420068099999996</v>
      </c>
    </row>
    <row r="1223" spans="1:4" x14ac:dyDescent="0.2">
      <c r="A1223" s="4">
        <v>87.003</v>
      </c>
      <c r="B1223" t="s">
        <v>33</v>
      </c>
      <c r="C1223" t="s">
        <v>30</v>
      </c>
      <c r="D1223" s="5">
        <v>7.9459096000000002</v>
      </c>
    </row>
    <row r="1224" spans="1:4" x14ac:dyDescent="0.2">
      <c r="A1224" s="4">
        <v>87.367833300000001</v>
      </c>
      <c r="B1224" t="s">
        <v>33</v>
      </c>
      <c r="C1224" t="s">
        <v>30</v>
      </c>
      <c r="D1224" s="5">
        <v>7.94732503</v>
      </c>
    </row>
    <row r="1225" spans="1:4" x14ac:dyDescent="0.2">
      <c r="A1225" s="4">
        <v>87.732638899999998</v>
      </c>
      <c r="B1225" t="s">
        <v>33</v>
      </c>
      <c r="C1225" t="s">
        <v>30</v>
      </c>
      <c r="D1225" s="5">
        <v>7.9448467100000002</v>
      </c>
    </row>
    <row r="1226" spans="1:4" x14ac:dyDescent="0.2">
      <c r="A1226" s="4">
        <v>88.097583299999997</v>
      </c>
      <c r="B1226" t="s">
        <v>33</v>
      </c>
      <c r="C1226" t="s">
        <v>30</v>
      </c>
      <c r="D1226" s="5">
        <v>7.9522633100000002</v>
      </c>
    </row>
    <row r="1227" spans="1:4" x14ac:dyDescent="0.2">
      <c r="A1227" s="4">
        <v>88.462388899999993</v>
      </c>
      <c r="B1227" t="s">
        <v>33</v>
      </c>
      <c r="C1227" t="s">
        <v>30</v>
      </c>
      <c r="D1227" s="5">
        <v>7.94661756</v>
      </c>
    </row>
    <row r="1228" spans="1:4" x14ac:dyDescent="0.2">
      <c r="A1228" s="4">
        <v>88.827222199999994</v>
      </c>
      <c r="B1228" t="s">
        <v>33</v>
      </c>
      <c r="C1228" t="s">
        <v>30</v>
      </c>
      <c r="D1228" s="5">
        <v>7.9476785699999999</v>
      </c>
    </row>
    <row r="1229" spans="1:4" x14ac:dyDescent="0.2">
      <c r="A1229" s="4">
        <v>89.192027800000005</v>
      </c>
      <c r="B1229" t="s">
        <v>33</v>
      </c>
      <c r="C1229" t="s">
        <v>30</v>
      </c>
      <c r="D1229" s="5">
        <v>7.9480319899999996</v>
      </c>
    </row>
    <row r="1230" spans="1:4" x14ac:dyDescent="0.2">
      <c r="A1230" s="4">
        <v>89.556833299999994</v>
      </c>
      <c r="B1230" t="s">
        <v>33</v>
      </c>
      <c r="C1230" t="s">
        <v>30</v>
      </c>
      <c r="D1230" s="5">
        <v>7.9476785699999999</v>
      </c>
    </row>
    <row r="1231" spans="1:4" x14ac:dyDescent="0.2">
      <c r="A1231" s="4">
        <v>89.921666700000003</v>
      </c>
      <c r="B1231" t="s">
        <v>33</v>
      </c>
      <c r="C1231" t="s">
        <v>30</v>
      </c>
      <c r="D1231" s="5">
        <v>7.9522633100000002</v>
      </c>
    </row>
    <row r="1232" spans="1:4" x14ac:dyDescent="0.2">
      <c r="A1232" s="4">
        <v>90.286472200000006</v>
      </c>
      <c r="B1232" t="s">
        <v>33</v>
      </c>
      <c r="C1232" t="s">
        <v>30</v>
      </c>
      <c r="D1232" s="5">
        <v>7.9452011300000001</v>
      </c>
    </row>
    <row r="1233" spans="1:4" x14ac:dyDescent="0.2">
      <c r="A1233" s="4">
        <v>90.651305600000001</v>
      </c>
      <c r="B1233" t="s">
        <v>33</v>
      </c>
      <c r="C1233" t="s">
        <v>30</v>
      </c>
      <c r="D1233" s="5">
        <v>7.9480319899999996</v>
      </c>
    </row>
    <row r="1234" spans="1:4" x14ac:dyDescent="0.2">
      <c r="A1234" s="4">
        <v>91.016111100000003</v>
      </c>
      <c r="B1234" t="s">
        <v>33</v>
      </c>
      <c r="C1234" t="s">
        <v>30</v>
      </c>
      <c r="D1234" s="5">
        <v>7.9497972199999998</v>
      </c>
    </row>
    <row r="1235" spans="1:4" x14ac:dyDescent="0.2">
      <c r="A1235" s="4">
        <v>91.381</v>
      </c>
      <c r="B1235" t="s">
        <v>33</v>
      </c>
      <c r="C1235" t="s">
        <v>30</v>
      </c>
      <c r="D1235" s="5">
        <v>7.94307272</v>
      </c>
    </row>
    <row r="1236" spans="1:4" x14ac:dyDescent="0.2">
      <c r="A1236" s="4">
        <v>91.745833300000001</v>
      </c>
      <c r="B1236" t="s">
        <v>33</v>
      </c>
      <c r="C1236" t="s">
        <v>30</v>
      </c>
      <c r="D1236" s="5">
        <v>7.9476785699999999</v>
      </c>
    </row>
    <row r="1237" spans="1:4" x14ac:dyDescent="0.2">
      <c r="A1237" s="4">
        <v>0</v>
      </c>
      <c r="B1237" t="s">
        <v>33</v>
      </c>
      <c r="C1237" t="s">
        <v>26</v>
      </c>
      <c r="D1237" s="5">
        <v>5.3890717300000004</v>
      </c>
    </row>
    <row r="1238" spans="1:4" x14ac:dyDescent="0.2">
      <c r="A1238" s="4">
        <v>0.36480555999999997</v>
      </c>
      <c r="B1238" t="s">
        <v>33</v>
      </c>
      <c r="C1238" t="s">
        <v>26</v>
      </c>
      <c r="D1238" s="5">
        <v>5.4071717699999997</v>
      </c>
    </row>
    <row r="1239" spans="1:4" x14ac:dyDescent="0.2">
      <c r="A1239" s="4">
        <v>0.72961111000000001</v>
      </c>
      <c r="B1239" t="s">
        <v>33</v>
      </c>
      <c r="C1239" t="s">
        <v>26</v>
      </c>
      <c r="D1239" s="5">
        <v>5.3890717300000004</v>
      </c>
    </row>
    <row r="1240" spans="1:4" x14ac:dyDescent="0.2">
      <c r="A1240" s="4">
        <v>1.09441667</v>
      </c>
      <c r="B1240" t="s">
        <v>33</v>
      </c>
      <c r="C1240" t="s">
        <v>26</v>
      </c>
      <c r="D1240" s="5">
        <v>5.3890717300000004</v>
      </c>
    </row>
    <row r="1241" spans="1:4" x14ac:dyDescent="0.2">
      <c r="A1241" s="4">
        <v>1.4592499999999999</v>
      </c>
      <c r="B1241" t="s">
        <v>33</v>
      </c>
      <c r="C1241" t="s">
        <v>26</v>
      </c>
      <c r="D1241" s="5">
        <v>5.3844950599999999</v>
      </c>
    </row>
    <row r="1242" spans="1:4" x14ac:dyDescent="0.2">
      <c r="A1242" s="4">
        <v>1.82402778</v>
      </c>
      <c r="B1242" t="s">
        <v>33</v>
      </c>
      <c r="C1242" t="s">
        <v>26</v>
      </c>
      <c r="D1242" s="5">
        <v>5.3844950599999999</v>
      </c>
    </row>
    <row r="1243" spans="1:4" x14ac:dyDescent="0.2">
      <c r="A1243" s="4">
        <v>2.1888611099999999</v>
      </c>
      <c r="B1243" t="s">
        <v>33</v>
      </c>
      <c r="C1243" t="s">
        <v>26</v>
      </c>
      <c r="D1243" s="5">
        <v>5.3706380300000003</v>
      </c>
    </row>
    <row r="1244" spans="1:4" x14ac:dyDescent="0.2">
      <c r="A1244" s="4">
        <v>2.5536944400000001</v>
      </c>
      <c r="B1244" t="s">
        <v>33</v>
      </c>
      <c r="C1244" t="s">
        <v>26</v>
      </c>
      <c r="D1244" s="5">
        <v>5.3706380300000003</v>
      </c>
    </row>
    <row r="1245" spans="1:4" x14ac:dyDescent="0.2">
      <c r="A1245" s="4">
        <v>2.9184999999999999</v>
      </c>
      <c r="B1245" t="s">
        <v>33</v>
      </c>
      <c r="C1245" t="s">
        <v>26</v>
      </c>
      <c r="D1245" s="5">
        <v>5.37527841</v>
      </c>
    </row>
    <row r="1246" spans="1:4" x14ac:dyDescent="0.2">
      <c r="A1246" s="4">
        <v>3.2833055600000001</v>
      </c>
      <c r="B1246" t="s">
        <v>33</v>
      </c>
      <c r="C1246" t="s">
        <v>26</v>
      </c>
      <c r="D1246" s="5">
        <v>5.3844950599999999</v>
      </c>
    </row>
    <row r="1247" spans="1:4" x14ac:dyDescent="0.2">
      <c r="A1247" s="4">
        <v>3.6481388899999998</v>
      </c>
      <c r="B1247" t="s">
        <v>33</v>
      </c>
      <c r="C1247" t="s">
        <v>26</v>
      </c>
      <c r="D1247" s="5">
        <v>5.3844950599999999</v>
      </c>
    </row>
    <row r="1248" spans="1:4" x14ac:dyDescent="0.2">
      <c r="A1248" s="4">
        <v>4.01297222</v>
      </c>
      <c r="B1248" t="s">
        <v>33</v>
      </c>
      <c r="C1248" t="s">
        <v>26</v>
      </c>
      <c r="D1248" s="5">
        <v>5.3844950599999999</v>
      </c>
    </row>
    <row r="1249" spans="1:4" x14ac:dyDescent="0.2">
      <c r="A1249" s="4">
        <v>4.3777777799999997</v>
      </c>
      <c r="B1249" t="s">
        <v>33</v>
      </c>
      <c r="C1249" t="s">
        <v>26</v>
      </c>
      <c r="D1249" s="5">
        <v>5.3798973500000002</v>
      </c>
    </row>
    <row r="1250" spans="1:4" x14ac:dyDescent="0.2">
      <c r="A1250" s="4">
        <v>4.7425833300000004</v>
      </c>
      <c r="B1250" t="s">
        <v>33</v>
      </c>
      <c r="C1250" t="s">
        <v>26</v>
      </c>
      <c r="D1250" s="5">
        <v>5.3798973500000002</v>
      </c>
    </row>
    <row r="1251" spans="1:4" x14ac:dyDescent="0.2">
      <c r="A1251" s="4">
        <v>5.1073888900000002</v>
      </c>
      <c r="B1251" t="s">
        <v>33</v>
      </c>
      <c r="C1251" t="s">
        <v>26</v>
      </c>
      <c r="D1251" s="5">
        <v>5.3844950599999999</v>
      </c>
    </row>
    <row r="1252" spans="1:4" x14ac:dyDescent="0.2">
      <c r="A1252" s="4">
        <v>5.4722222199999999</v>
      </c>
      <c r="B1252" t="s">
        <v>33</v>
      </c>
      <c r="C1252" t="s">
        <v>26</v>
      </c>
      <c r="D1252" s="5">
        <v>5.3844950599999999</v>
      </c>
    </row>
    <row r="1253" spans="1:4" x14ac:dyDescent="0.2">
      <c r="A1253" s="4">
        <v>5.8370277799999997</v>
      </c>
      <c r="B1253" t="s">
        <v>33</v>
      </c>
      <c r="C1253" t="s">
        <v>26</v>
      </c>
      <c r="D1253" s="5">
        <v>5.3798973500000002</v>
      </c>
    </row>
    <row r="1254" spans="1:4" x14ac:dyDescent="0.2">
      <c r="A1254" s="4">
        <v>6.2018611100000003</v>
      </c>
      <c r="B1254" t="s">
        <v>33</v>
      </c>
      <c r="C1254" t="s">
        <v>26</v>
      </c>
      <c r="D1254" s="5">
        <v>5.3890717300000004</v>
      </c>
    </row>
    <row r="1255" spans="1:4" x14ac:dyDescent="0.2">
      <c r="A1255" s="4">
        <v>6.56666667</v>
      </c>
      <c r="B1255" t="s">
        <v>33</v>
      </c>
      <c r="C1255" t="s">
        <v>26</v>
      </c>
      <c r="D1255" s="5">
        <v>5.3890717300000004</v>
      </c>
    </row>
    <row r="1256" spans="1:4" x14ac:dyDescent="0.2">
      <c r="A1256" s="4">
        <v>6.9314722199999999</v>
      </c>
      <c r="B1256" t="s">
        <v>33</v>
      </c>
      <c r="C1256" t="s">
        <v>26</v>
      </c>
      <c r="D1256" s="5">
        <v>5.3981627000000003</v>
      </c>
    </row>
    <row r="1257" spans="1:4" x14ac:dyDescent="0.2">
      <c r="A1257" s="4">
        <v>7.2963055600000004</v>
      </c>
      <c r="B1257" t="s">
        <v>33</v>
      </c>
      <c r="C1257" t="s">
        <v>26</v>
      </c>
      <c r="D1257" s="5">
        <v>5.3798973500000002</v>
      </c>
    </row>
    <row r="1258" spans="1:4" x14ac:dyDescent="0.2">
      <c r="A1258" s="4">
        <v>7.6611388900000001</v>
      </c>
      <c r="B1258" t="s">
        <v>33</v>
      </c>
      <c r="C1258" t="s">
        <v>26</v>
      </c>
      <c r="D1258" s="5">
        <v>5.37527841</v>
      </c>
    </row>
    <row r="1259" spans="1:4" x14ac:dyDescent="0.2">
      <c r="A1259" s="4">
        <v>8.02594444</v>
      </c>
      <c r="B1259" t="s">
        <v>33</v>
      </c>
      <c r="C1259" t="s">
        <v>26</v>
      </c>
      <c r="D1259" s="5">
        <v>5.3936275499999997</v>
      </c>
    </row>
    <row r="1260" spans="1:4" x14ac:dyDescent="0.2">
      <c r="A1260" s="4">
        <v>8.3907500000000006</v>
      </c>
      <c r="B1260" t="s">
        <v>33</v>
      </c>
      <c r="C1260" t="s">
        <v>26</v>
      </c>
      <c r="D1260" s="5">
        <v>5.3844950599999999</v>
      </c>
    </row>
    <row r="1261" spans="1:4" x14ac:dyDescent="0.2">
      <c r="A1261" s="4">
        <v>8.7555833300000003</v>
      </c>
      <c r="B1261" t="s">
        <v>33</v>
      </c>
      <c r="C1261" t="s">
        <v>26</v>
      </c>
      <c r="D1261" s="5">
        <v>5.3936275499999997</v>
      </c>
    </row>
    <row r="1262" spans="1:4" x14ac:dyDescent="0.2">
      <c r="A1262" s="4">
        <v>9.1204166699999991</v>
      </c>
      <c r="B1262" t="s">
        <v>33</v>
      </c>
      <c r="C1262" t="s">
        <v>26</v>
      </c>
      <c r="D1262" s="5">
        <v>5.3981627000000003</v>
      </c>
    </row>
    <row r="1263" spans="1:4" x14ac:dyDescent="0.2">
      <c r="A1263" s="4">
        <v>9.4852222200000007</v>
      </c>
      <c r="B1263" t="s">
        <v>33</v>
      </c>
      <c r="C1263" t="s">
        <v>26</v>
      </c>
      <c r="D1263" s="5">
        <v>5.3890717300000004</v>
      </c>
    </row>
    <row r="1264" spans="1:4" x14ac:dyDescent="0.2">
      <c r="A1264" s="4">
        <v>9.8500277799999996</v>
      </c>
      <c r="B1264" t="s">
        <v>33</v>
      </c>
      <c r="C1264" t="s">
        <v>26</v>
      </c>
      <c r="D1264" s="5">
        <v>5.4205350000000001</v>
      </c>
    </row>
    <row r="1265" spans="1:4" x14ac:dyDescent="0.2">
      <c r="A1265" s="4">
        <v>10.2148611</v>
      </c>
      <c r="B1265" t="s">
        <v>33</v>
      </c>
      <c r="C1265" t="s">
        <v>26</v>
      </c>
      <c r="D1265" s="5">
        <v>5.4161004000000004</v>
      </c>
    </row>
    <row r="1266" spans="1:4" x14ac:dyDescent="0.2">
      <c r="A1266" s="4">
        <v>10.579666700000001</v>
      </c>
      <c r="B1266" t="s">
        <v>33</v>
      </c>
      <c r="C1266" t="s">
        <v>26</v>
      </c>
      <c r="D1266" s="5">
        <v>5.4161004000000004</v>
      </c>
    </row>
    <row r="1267" spans="1:4" x14ac:dyDescent="0.2">
      <c r="A1267" s="4">
        <v>10.9445</v>
      </c>
      <c r="B1267" t="s">
        <v>33</v>
      </c>
      <c r="C1267" t="s">
        <v>26</v>
      </c>
      <c r="D1267" s="5">
        <v>5.4293456300000003</v>
      </c>
    </row>
    <row r="1268" spans="1:4" x14ac:dyDescent="0.2">
      <c r="A1268" s="4">
        <v>11.3093056</v>
      </c>
      <c r="B1268" t="s">
        <v>33</v>
      </c>
      <c r="C1268" t="s">
        <v>26</v>
      </c>
      <c r="D1268" s="5">
        <v>5.4337220000000004</v>
      </c>
    </row>
    <row r="1269" spans="1:4" x14ac:dyDescent="0.2">
      <c r="A1269" s="4">
        <v>11.674138900000001</v>
      </c>
      <c r="B1269" t="s">
        <v>33</v>
      </c>
      <c r="C1269" t="s">
        <v>26</v>
      </c>
      <c r="D1269" s="5">
        <v>5.4116460499999999</v>
      </c>
    </row>
    <row r="1270" spans="1:4" x14ac:dyDescent="0.2">
      <c r="A1270" s="4">
        <v>12.0389444</v>
      </c>
      <c r="B1270" t="s">
        <v>33</v>
      </c>
      <c r="C1270" t="s">
        <v>26</v>
      </c>
      <c r="D1270" s="5">
        <v>5.43807931</v>
      </c>
    </row>
    <row r="1271" spans="1:4" x14ac:dyDescent="0.2">
      <c r="A1271" s="4">
        <v>12.4037778</v>
      </c>
      <c r="B1271" t="s">
        <v>33</v>
      </c>
      <c r="C1271" t="s">
        <v>26</v>
      </c>
      <c r="D1271" s="5">
        <v>5.4467373700000001</v>
      </c>
    </row>
    <row r="1272" spans="1:4" x14ac:dyDescent="0.2">
      <c r="A1272" s="4">
        <v>12.7685833</v>
      </c>
      <c r="B1272" t="s">
        <v>33</v>
      </c>
      <c r="C1272" t="s">
        <v>26</v>
      </c>
      <c r="D1272" s="5">
        <v>5.4249500199999998</v>
      </c>
    </row>
    <row r="1273" spans="1:4" x14ac:dyDescent="0.2">
      <c r="A1273" s="4">
        <v>13.1334167</v>
      </c>
      <c r="B1273" t="s">
        <v>33</v>
      </c>
      <c r="C1273" t="s">
        <v>26</v>
      </c>
      <c r="D1273" s="5">
        <v>5.4553211199999998</v>
      </c>
    </row>
    <row r="1274" spans="1:4" x14ac:dyDescent="0.2">
      <c r="A1274" s="4">
        <v>13.498222200000001</v>
      </c>
      <c r="B1274" t="s">
        <v>33</v>
      </c>
      <c r="C1274" t="s">
        <v>26</v>
      </c>
      <c r="D1274" s="5">
        <v>5.4680601400000004</v>
      </c>
    </row>
    <row r="1275" spans="1:4" x14ac:dyDescent="0.2">
      <c r="A1275" s="4">
        <v>13.863055599999999</v>
      </c>
      <c r="B1275" t="s">
        <v>33</v>
      </c>
      <c r="C1275" t="s">
        <v>26</v>
      </c>
      <c r="D1275" s="5">
        <v>5.4510384500000004</v>
      </c>
    </row>
    <row r="1276" spans="1:4" x14ac:dyDescent="0.2">
      <c r="A1276" s="4">
        <v>14.2278611</v>
      </c>
      <c r="B1276" t="s">
        <v>33</v>
      </c>
      <c r="C1276" t="s">
        <v>26</v>
      </c>
      <c r="D1276" s="5">
        <v>5.4806389199999996</v>
      </c>
    </row>
    <row r="1277" spans="1:4" x14ac:dyDescent="0.2">
      <c r="A1277" s="4">
        <v>14.592694399999999</v>
      </c>
      <c r="B1277" t="s">
        <v>33</v>
      </c>
      <c r="C1277" t="s">
        <v>26</v>
      </c>
      <c r="D1277" s="5">
        <v>5.4553211199999998</v>
      </c>
    </row>
    <row r="1278" spans="1:4" x14ac:dyDescent="0.2">
      <c r="A1278" s="4">
        <v>14.9575</v>
      </c>
      <c r="B1278" t="s">
        <v>33</v>
      </c>
      <c r="C1278" t="s">
        <v>26</v>
      </c>
      <c r="D1278" s="5">
        <v>5.5053315400000002</v>
      </c>
    </row>
    <row r="1279" spans="1:4" x14ac:dyDescent="0.2">
      <c r="A1279" s="4">
        <v>15.3223333</v>
      </c>
      <c r="B1279" t="s">
        <v>33</v>
      </c>
      <c r="C1279" t="s">
        <v>26</v>
      </c>
      <c r="D1279" s="5">
        <v>5.4847969299999999</v>
      </c>
    </row>
    <row r="1280" spans="1:4" x14ac:dyDescent="0.2">
      <c r="A1280" s="4">
        <v>15.687138900000001</v>
      </c>
      <c r="B1280" t="s">
        <v>33</v>
      </c>
      <c r="C1280" t="s">
        <v>26</v>
      </c>
      <c r="D1280" s="5">
        <v>5.52146092</v>
      </c>
    </row>
    <row r="1281" spans="1:4" x14ac:dyDescent="0.2">
      <c r="A1281" s="4">
        <v>16.051972200000002</v>
      </c>
      <c r="B1281" t="s">
        <v>33</v>
      </c>
      <c r="C1281" t="s">
        <v>26</v>
      </c>
      <c r="D1281" s="5">
        <v>5.52146092</v>
      </c>
    </row>
    <row r="1282" spans="1:4" x14ac:dyDescent="0.2">
      <c r="A1282" s="4">
        <v>16.416777799999998</v>
      </c>
      <c r="B1282" t="s">
        <v>33</v>
      </c>
      <c r="C1282" t="s">
        <v>26</v>
      </c>
      <c r="D1282" s="5">
        <v>5.52146092</v>
      </c>
    </row>
    <row r="1283" spans="1:4" x14ac:dyDescent="0.2">
      <c r="A1283" s="4">
        <v>16.781611099999999</v>
      </c>
      <c r="B1283" t="s">
        <v>33</v>
      </c>
      <c r="C1283" t="s">
        <v>26</v>
      </c>
      <c r="D1283" s="5">
        <v>5.5093883400000001</v>
      </c>
    </row>
    <row r="1284" spans="1:4" x14ac:dyDescent="0.2">
      <c r="A1284" s="4">
        <v>17.1464167</v>
      </c>
      <c r="B1284" t="s">
        <v>33</v>
      </c>
      <c r="C1284" t="s">
        <v>26</v>
      </c>
      <c r="D1284" s="5">
        <v>5.5174529000000003</v>
      </c>
    </row>
    <row r="1285" spans="1:4" x14ac:dyDescent="0.2">
      <c r="A1285" s="4">
        <v>17.511222199999999</v>
      </c>
      <c r="B1285" t="s">
        <v>33</v>
      </c>
      <c r="C1285" t="s">
        <v>26</v>
      </c>
      <c r="D1285" s="5">
        <v>5.5451774399999998</v>
      </c>
    </row>
    <row r="1286" spans="1:4" x14ac:dyDescent="0.2">
      <c r="A1286" s="4">
        <v>17.876055600000001</v>
      </c>
      <c r="B1286" t="s">
        <v>33</v>
      </c>
      <c r="C1286" t="s">
        <v>26</v>
      </c>
      <c r="D1286" s="5">
        <v>5.5529595799999996</v>
      </c>
    </row>
    <row r="1287" spans="1:4" x14ac:dyDescent="0.2">
      <c r="A1287" s="4">
        <v>18.2408611</v>
      </c>
      <c r="B1287" t="s">
        <v>33</v>
      </c>
      <c r="C1287" t="s">
        <v>26</v>
      </c>
      <c r="D1287" s="5">
        <v>5.5294290899999998</v>
      </c>
    </row>
    <row r="1288" spans="1:4" x14ac:dyDescent="0.2">
      <c r="A1288" s="4">
        <v>18.605694400000001</v>
      </c>
      <c r="B1288" t="s">
        <v>33</v>
      </c>
      <c r="C1288" t="s">
        <v>26</v>
      </c>
      <c r="D1288" s="5">
        <v>5.55682806</v>
      </c>
    </row>
    <row r="1289" spans="1:4" x14ac:dyDescent="0.2">
      <c r="A1289" s="4">
        <v>18.970527799999999</v>
      </c>
      <c r="B1289" t="s">
        <v>33</v>
      </c>
      <c r="C1289" t="s">
        <v>26</v>
      </c>
      <c r="D1289" s="5">
        <v>5.5606816300000004</v>
      </c>
    </row>
    <row r="1290" spans="1:4" x14ac:dyDescent="0.2">
      <c r="A1290" s="4">
        <v>19.335333299999999</v>
      </c>
      <c r="B1290" t="s">
        <v>33</v>
      </c>
      <c r="C1290" t="s">
        <v>26</v>
      </c>
      <c r="D1290" s="5">
        <v>5.5759490999999999</v>
      </c>
    </row>
    <row r="1291" spans="1:4" x14ac:dyDescent="0.2">
      <c r="A1291" s="4">
        <v>19.700138899999999</v>
      </c>
      <c r="B1291" t="s">
        <v>33</v>
      </c>
      <c r="C1291" t="s">
        <v>26</v>
      </c>
      <c r="D1291" s="5">
        <v>5.6021188200000003</v>
      </c>
    </row>
    <row r="1292" spans="1:4" x14ac:dyDescent="0.2">
      <c r="A1292" s="4">
        <v>20.0649722</v>
      </c>
      <c r="B1292" t="s">
        <v>33</v>
      </c>
      <c r="C1292" t="s">
        <v>26</v>
      </c>
      <c r="D1292" s="5">
        <v>5.5984219599999996</v>
      </c>
    </row>
    <row r="1293" spans="1:4" x14ac:dyDescent="0.2">
      <c r="A1293" s="4">
        <v>20.4297778</v>
      </c>
      <c r="B1293" t="s">
        <v>33</v>
      </c>
      <c r="C1293" t="s">
        <v>26</v>
      </c>
      <c r="D1293" s="5">
        <v>5.5909869800000003</v>
      </c>
    </row>
    <row r="1294" spans="1:4" x14ac:dyDescent="0.2">
      <c r="A1294" s="4">
        <v>20.794611100000001</v>
      </c>
      <c r="B1294" t="s">
        <v>33</v>
      </c>
      <c r="C1294" t="s">
        <v>26</v>
      </c>
      <c r="D1294" s="5">
        <v>5.5947113799999997</v>
      </c>
    </row>
    <row r="1295" spans="1:4" x14ac:dyDescent="0.2">
      <c r="A1295" s="4">
        <v>21.159416700000001</v>
      </c>
      <c r="B1295" t="s">
        <v>33</v>
      </c>
      <c r="C1295" t="s">
        <v>26</v>
      </c>
      <c r="D1295" s="5">
        <v>5.6131281099999999</v>
      </c>
    </row>
    <row r="1296" spans="1:4" x14ac:dyDescent="0.2">
      <c r="A1296" s="4">
        <v>21.524333299999999</v>
      </c>
      <c r="B1296" t="s">
        <v>33</v>
      </c>
      <c r="C1296" t="s">
        <v>26</v>
      </c>
      <c r="D1296" s="5">
        <v>5.6276211099999998</v>
      </c>
    </row>
    <row r="1297" spans="1:4" x14ac:dyDescent="0.2">
      <c r="A1297" s="4">
        <v>21.889166700000001</v>
      </c>
      <c r="B1297" t="s">
        <v>33</v>
      </c>
      <c r="C1297" t="s">
        <v>26</v>
      </c>
      <c r="D1297" s="5">
        <v>5.6312117800000001</v>
      </c>
    </row>
    <row r="1298" spans="1:4" x14ac:dyDescent="0.2">
      <c r="A1298" s="4">
        <v>22.2539722</v>
      </c>
      <c r="B1298" t="s">
        <v>33</v>
      </c>
      <c r="C1298" t="s">
        <v>26</v>
      </c>
      <c r="D1298" s="5">
        <v>5.6276211099999998</v>
      </c>
    </row>
    <row r="1299" spans="1:4" x14ac:dyDescent="0.2">
      <c r="A1299" s="4">
        <v>22.6187778</v>
      </c>
      <c r="B1299" t="s">
        <v>33</v>
      </c>
      <c r="C1299" t="s">
        <v>26</v>
      </c>
      <c r="D1299" s="5">
        <v>5.6454468999999996</v>
      </c>
    </row>
    <row r="1300" spans="1:4" x14ac:dyDescent="0.2">
      <c r="A1300" s="4">
        <v>22.983611100000001</v>
      </c>
      <c r="B1300" t="s">
        <v>33</v>
      </c>
      <c r="C1300" t="s">
        <v>26</v>
      </c>
      <c r="D1300" s="5">
        <v>5.6559918099999997</v>
      </c>
    </row>
    <row r="1301" spans="1:4" x14ac:dyDescent="0.2">
      <c r="A1301" s="4">
        <v>23.349916700000001</v>
      </c>
      <c r="B1301" t="s">
        <v>33</v>
      </c>
      <c r="C1301" t="s">
        <v>26</v>
      </c>
      <c r="D1301" s="5">
        <v>5.6664266899999998</v>
      </c>
    </row>
    <row r="1302" spans="1:4" x14ac:dyDescent="0.2">
      <c r="A1302" s="4">
        <v>23.714722200000001</v>
      </c>
      <c r="B1302" t="s">
        <v>33</v>
      </c>
      <c r="C1302" t="s">
        <v>26</v>
      </c>
      <c r="D1302" s="5">
        <v>5.6559918099999997</v>
      </c>
    </row>
    <row r="1303" spans="1:4" x14ac:dyDescent="0.2">
      <c r="A1303" s="4">
        <v>24.079555599999999</v>
      </c>
      <c r="B1303" t="s">
        <v>33</v>
      </c>
      <c r="C1303" t="s">
        <v>26</v>
      </c>
      <c r="D1303" s="5">
        <v>5.6970934900000003</v>
      </c>
    </row>
    <row r="1304" spans="1:4" x14ac:dyDescent="0.2">
      <c r="A1304" s="4">
        <v>24.444888899999999</v>
      </c>
      <c r="B1304" t="s">
        <v>33</v>
      </c>
      <c r="C1304" t="s">
        <v>26</v>
      </c>
      <c r="D1304" s="5">
        <v>5.6869753599999999</v>
      </c>
    </row>
    <row r="1305" spans="1:4" x14ac:dyDescent="0.2">
      <c r="A1305" s="4">
        <v>24.809194399999999</v>
      </c>
      <c r="B1305" t="s">
        <v>33</v>
      </c>
      <c r="C1305" t="s">
        <v>26</v>
      </c>
      <c r="D1305" s="5">
        <v>5.6903594499999999</v>
      </c>
    </row>
    <row r="1306" spans="1:4" x14ac:dyDescent="0.2">
      <c r="A1306" s="4">
        <v>25.174027800000001</v>
      </c>
      <c r="B1306" t="s">
        <v>33</v>
      </c>
      <c r="C1306" t="s">
        <v>26</v>
      </c>
      <c r="D1306" s="5">
        <v>5.6970934900000003</v>
      </c>
    </row>
    <row r="1307" spans="1:4" x14ac:dyDescent="0.2">
      <c r="A1307" s="4">
        <v>25.5388333</v>
      </c>
      <c r="B1307" t="s">
        <v>33</v>
      </c>
      <c r="C1307" t="s">
        <v>26</v>
      </c>
      <c r="D1307" s="5">
        <v>5.6937321399999998</v>
      </c>
    </row>
    <row r="1308" spans="1:4" x14ac:dyDescent="0.2">
      <c r="A1308" s="4">
        <v>25.903666699999999</v>
      </c>
      <c r="B1308" t="s">
        <v>33</v>
      </c>
      <c r="C1308" t="s">
        <v>26</v>
      </c>
      <c r="D1308" s="5">
        <v>5.7170277</v>
      </c>
    </row>
    <row r="1309" spans="1:4" x14ac:dyDescent="0.2">
      <c r="A1309" s="4">
        <v>26.268472200000001</v>
      </c>
      <c r="B1309" t="s">
        <v>33</v>
      </c>
      <c r="C1309" t="s">
        <v>26</v>
      </c>
      <c r="D1309" s="5">
        <v>5.7137328099999998</v>
      </c>
    </row>
    <row r="1310" spans="1:4" x14ac:dyDescent="0.2">
      <c r="A1310" s="4">
        <v>26.6333056</v>
      </c>
      <c r="B1310" t="s">
        <v>33</v>
      </c>
      <c r="C1310" t="s">
        <v>26</v>
      </c>
      <c r="D1310" s="5">
        <v>5.7333412800000003</v>
      </c>
    </row>
    <row r="1311" spans="1:4" x14ac:dyDescent="0.2">
      <c r="A1311" s="4">
        <v>26.998111099999999</v>
      </c>
      <c r="B1311" t="s">
        <v>33</v>
      </c>
      <c r="C1311" t="s">
        <v>26</v>
      </c>
      <c r="D1311" s="5">
        <v>5.7203117800000003</v>
      </c>
    </row>
    <row r="1312" spans="1:4" x14ac:dyDescent="0.2">
      <c r="A1312" s="4">
        <v>27.3629444</v>
      </c>
      <c r="B1312" t="s">
        <v>33</v>
      </c>
      <c r="C1312" t="s">
        <v>26</v>
      </c>
      <c r="D1312" s="5">
        <v>5.7333412800000003</v>
      </c>
    </row>
    <row r="1313" spans="1:4" x14ac:dyDescent="0.2">
      <c r="A1313" s="4">
        <v>27.72775</v>
      </c>
      <c r="B1313" t="s">
        <v>33</v>
      </c>
      <c r="C1313" t="s">
        <v>26</v>
      </c>
      <c r="D1313" s="5">
        <v>5.7397929100000002</v>
      </c>
    </row>
    <row r="1314" spans="1:4" x14ac:dyDescent="0.2">
      <c r="A1314" s="4">
        <v>30.091833300000001</v>
      </c>
      <c r="B1314" t="s">
        <v>33</v>
      </c>
      <c r="C1314" t="s">
        <v>26</v>
      </c>
      <c r="D1314" s="5">
        <v>5.7960577500000001</v>
      </c>
    </row>
    <row r="1315" spans="1:4" x14ac:dyDescent="0.2">
      <c r="A1315" s="4">
        <v>30.4566667</v>
      </c>
      <c r="B1315" t="s">
        <v>33</v>
      </c>
      <c r="C1315" t="s">
        <v>26</v>
      </c>
      <c r="D1315" s="5">
        <v>5.7899601699999996</v>
      </c>
    </row>
    <row r="1316" spans="1:4" x14ac:dyDescent="0.2">
      <c r="A1316" s="4">
        <v>30.821472199999999</v>
      </c>
      <c r="B1316" t="s">
        <v>33</v>
      </c>
      <c r="C1316" t="s">
        <v>26</v>
      </c>
      <c r="D1316" s="5">
        <v>5.8111409900000002</v>
      </c>
    </row>
    <row r="1317" spans="1:4" x14ac:dyDescent="0.2">
      <c r="A1317" s="4">
        <v>31.186305600000001</v>
      </c>
      <c r="B1317" t="s">
        <v>33</v>
      </c>
      <c r="C1317" t="s">
        <v>26</v>
      </c>
      <c r="D1317" s="5">
        <v>5.8141305299999999</v>
      </c>
    </row>
    <row r="1318" spans="1:4" x14ac:dyDescent="0.2">
      <c r="A1318" s="4">
        <v>31.5511111</v>
      </c>
      <c r="B1318" t="s">
        <v>33</v>
      </c>
      <c r="C1318" t="s">
        <v>26</v>
      </c>
      <c r="D1318" s="5">
        <v>5.8289456199999998</v>
      </c>
    </row>
    <row r="1319" spans="1:4" x14ac:dyDescent="0.2">
      <c r="A1319" s="4">
        <v>31.915944400000001</v>
      </c>
      <c r="B1319" t="s">
        <v>33</v>
      </c>
      <c r="C1319" t="s">
        <v>26</v>
      </c>
      <c r="D1319" s="5">
        <v>5.8200829299999999</v>
      </c>
    </row>
    <row r="1320" spans="1:4" x14ac:dyDescent="0.2">
      <c r="A1320" s="4">
        <v>32.280777800000003</v>
      </c>
      <c r="B1320" t="s">
        <v>33</v>
      </c>
      <c r="C1320" t="s">
        <v>26</v>
      </c>
      <c r="D1320" s="5">
        <v>5.83188248</v>
      </c>
    </row>
    <row r="1321" spans="1:4" x14ac:dyDescent="0.2">
      <c r="A1321" s="4">
        <v>32.645583299999998</v>
      </c>
      <c r="B1321" t="s">
        <v>33</v>
      </c>
      <c r="C1321" t="s">
        <v>26</v>
      </c>
      <c r="D1321" s="5">
        <v>5.8406416600000002</v>
      </c>
    </row>
    <row r="1322" spans="1:4" x14ac:dyDescent="0.2">
      <c r="A1322" s="4">
        <v>33.0104167</v>
      </c>
      <c r="B1322" t="s">
        <v>33</v>
      </c>
      <c r="C1322" t="s">
        <v>26</v>
      </c>
      <c r="D1322" s="5">
        <v>5.8464387799999997</v>
      </c>
    </row>
    <row r="1323" spans="1:4" x14ac:dyDescent="0.2">
      <c r="A1323" s="4">
        <v>33.375222200000003</v>
      </c>
      <c r="B1323" t="s">
        <v>33</v>
      </c>
      <c r="C1323" t="s">
        <v>26</v>
      </c>
      <c r="D1323" s="5">
        <v>5.8777357800000001</v>
      </c>
    </row>
    <row r="1324" spans="1:4" x14ac:dyDescent="0.2">
      <c r="A1324" s="4">
        <v>33.7400278</v>
      </c>
      <c r="B1324" t="s">
        <v>33</v>
      </c>
      <c r="C1324" t="s">
        <v>26</v>
      </c>
      <c r="D1324" s="5">
        <v>5.8721177899999999</v>
      </c>
    </row>
    <row r="1325" spans="1:4" x14ac:dyDescent="0.2">
      <c r="A1325" s="4">
        <v>34.104861100000001</v>
      </c>
      <c r="B1325" t="s">
        <v>33</v>
      </c>
      <c r="C1325" t="s">
        <v>26</v>
      </c>
      <c r="D1325" s="5">
        <v>5.87493073</v>
      </c>
    </row>
    <row r="1326" spans="1:4" x14ac:dyDescent="0.2">
      <c r="A1326" s="4">
        <v>34.469666699999998</v>
      </c>
      <c r="B1326" t="s">
        <v>33</v>
      </c>
      <c r="C1326" t="s">
        <v>26</v>
      </c>
      <c r="D1326" s="5">
        <v>5.8944028299999998</v>
      </c>
    </row>
    <row r="1327" spans="1:4" x14ac:dyDescent="0.2">
      <c r="A1327" s="4">
        <v>34.834499999999998</v>
      </c>
      <c r="B1327" t="s">
        <v>33</v>
      </c>
      <c r="C1327" t="s">
        <v>26</v>
      </c>
      <c r="D1327" s="5">
        <v>5.9053618500000002</v>
      </c>
    </row>
    <row r="1328" spans="1:4" x14ac:dyDescent="0.2">
      <c r="A1328" s="4">
        <v>35.199305600000002</v>
      </c>
      <c r="B1328" t="s">
        <v>33</v>
      </c>
      <c r="C1328" t="s">
        <v>26</v>
      </c>
      <c r="D1328" s="5">
        <v>5.8944028299999998</v>
      </c>
    </row>
    <row r="1329" spans="1:4" x14ac:dyDescent="0.2">
      <c r="A1329" s="4">
        <v>35.564111099999998</v>
      </c>
      <c r="B1329" t="s">
        <v>33</v>
      </c>
      <c r="C1329" t="s">
        <v>26</v>
      </c>
      <c r="D1329" s="5">
        <v>5.9215784200000003</v>
      </c>
    </row>
    <row r="1330" spans="1:4" x14ac:dyDescent="0.2">
      <c r="A1330" s="4">
        <v>35.928944399999999</v>
      </c>
      <c r="B1330" t="s">
        <v>33</v>
      </c>
      <c r="C1330" t="s">
        <v>26</v>
      </c>
      <c r="D1330" s="5">
        <v>5.9242558000000001</v>
      </c>
    </row>
    <row r="1331" spans="1:4" x14ac:dyDescent="0.2">
      <c r="A1331" s="4">
        <v>36.293750000000003</v>
      </c>
      <c r="B1331" t="s">
        <v>33</v>
      </c>
      <c r="C1331" t="s">
        <v>26</v>
      </c>
      <c r="D1331" s="5">
        <v>5.9401712499999997</v>
      </c>
    </row>
    <row r="1332" spans="1:4" x14ac:dyDescent="0.2">
      <c r="A1332" s="4">
        <v>36.658583299999997</v>
      </c>
      <c r="B1332" t="s">
        <v>33</v>
      </c>
      <c r="C1332" t="s">
        <v>26</v>
      </c>
      <c r="D1332" s="5">
        <v>5.9427993800000003</v>
      </c>
    </row>
    <row r="1333" spans="1:4" x14ac:dyDescent="0.2">
      <c r="A1333" s="4">
        <v>37.0233889</v>
      </c>
      <c r="B1333" t="s">
        <v>33</v>
      </c>
      <c r="C1333" t="s">
        <v>26</v>
      </c>
      <c r="D1333" s="5">
        <v>5.9584246900000002</v>
      </c>
    </row>
    <row r="1334" spans="1:4" x14ac:dyDescent="0.2">
      <c r="A1334" s="4">
        <v>37.388222200000001</v>
      </c>
      <c r="B1334" t="s">
        <v>33</v>
      </c>
      <c r="C1334" t="s">
        <v>26</v>
      </c>
      <c r="D1334" s="5">
        <v>5.97380961</v>
      </c>
    </row>
    <row r="1335" spans="1:4" x14ac:dyDescent="0.2">
      <c r="A1335" s="4">
        <v>37.753055600000003</v>
      </c>
      <c r="B1335" t="s">
        <v>33</v>
      </c>
      <c r="C1335" t="s">
        <v>26</v>
      </c>
      <c r="D1335" s="5">
        <v>5.98393628</v>
      </c>
    </row>
    <row r="1336" spans="1:4" x14ac:dyDescent="0.2">
      <c r="A1336" s="4">
        <v>38.117861099999999</v>
      </c>
      <c r="B1336" t="s">
        <v>33</v>
      </c>
      <c r="C1336" t="s">
        <v>26</v>
      </c>
      <c r="D1336" s="5">
        <v>6.0038870700000002</v>
      </c>
    </row>
    <row r="1337" spans="1:4" x14ac:dyDescent="0.2">
      <c r="A1337" s="4">
        <v>38.4826944</v>
      </c>
      <c r="B1337" t="s">
        <v>33</v>
      </c>
      <c r="C1337" t="s">
        <v>26</v>
      </c>
      <c r="D1337" s="5">
        <v>6.0161571599999997</v>
      </c>
    </row>
    <row r="1338" spans="1:4" x14ac:dyDescent="0.2">
      <c r="A1338" s="4">
        <v>38.847499999999997</v>
      </c>
      <c r="B1338" t="s">
        <v>33</v>
      </c>
      <c r="C1338" t="s">
        <v>26</v>
      </c>
      <c r="D1338" s="5">
        <v>6.0306852600000003</v>
      </c>
    </row>
    <row r="1339" spans="1:4" x14ac:dyDescent="0.2">
      <c r="A1339" s="4">
        <v>39.212305600000001</v>
      </c>
      <c r="B1339" t="s">
        <v>33</v>
      </c>
      <c r="C1339" t="s">
        <v>26</v>
      </c>
      <c r="D1339" s="5">
        <v>6.0567840100000003</v>
      </c>
    </row>
    <row r="1340" spans="1:4" x14ac:dyDescent="0.2">
      <c r="A1340" s="4">
        <v>39.577138900000001</v>
      </c>
      <c r="B1340" t="s">
        <v>33</v>
      </c>
      <c r="C1340" t="s">
        <v>26</v>
      </c>
      <c r="D1340" s="5">
        <v>6.0684255900000004</v>
      </c>
    </row>
    <row r="1341" spans="1:4" x14ac:dyDescent="0.2">
      <c r="A1341" s="4">
        <v>39.941944399999997</v>
      </c>
      <c r="B1341" t="s">
        <v>33</v>
      </c>
      <c r="C1341" t="s">
        <v>26</v>
      </c>
      <c r="D1341" s="5">
        <v>6.0753460300000004</v>
      </c>
    </row>
    <row r="1342" spans="1:4" x14ac:dyDescent="0.2">
      <c r="A1342" s="4">
        <v>40.306777799999999</v>
      </c>
      <c r="B1342" t="s">
        <v>33</v>
      </c>
      <c r="C1342" t="s">
        <v>26</v>
      </c>
      <c r="D1342" s="5">
        <v>6.0844994100000003</v>
      </c>
    </row>
    <row r="1343" spans="1:4" x14ac:dyDescent="0.2">
      <c r="A1343" s="4">
        <v>40.6716944</v>
      </c>
      <c r="B1343" t="s">
        <v>33</v>
      </c>
      <c r="C1343" t="s">
        <v>26</v>
      </c>
      <c r="D1343" s="5">
        <v>6.1158921299999998</v>
      </c>
    </row>
    <row r="1344" spans="1:4" x14ac:dyDescent="0.2">
      <c r="A1344" s="4">
        <v>41.036499999999997</v>
      </c>
      <c r="B1344" t="s">
        <v>33</v>
      </c>
      <c r="C1344" t="s">
        <v>26</v>
      </c>
      <c r="D1344" s="5">
        <v>6.1377270499999996</v>
      </c>
    </row>
    <row r="1345" spans="1:4" x14ac:dyDescent="0.2">
      <c r="A1345" s="4">
        <v>41.401333299999997</v>
      </c>
      <c r="B1345" t="s">
        <v>33</v>
      </c>
      <c r="C1345" t="s">
        <v>26</v>
      </c>
      <c r="D1345" s="5">
        <v>6.1654178499999999</v>
      </c>
    </row>
    <row r="1346" spans="1:4" x14ac:dyDescent="0.2">
      <c r="A1346" s="4">
        <v>41.766166699999999</v>
      </c>
      <c r="B1346" t="s">
        <v>33</v>
      </c>
      <c r="C1346" t="s">
        <v>26</v>
      </c>
      <c r="D1346" s="5">
        <v>6.1675164899999997</v>
      </c>
    </row>
    <row r="1347" spans="1:4" x14ac:dyDescent="0.2">
      <c r="A1347" s="4">
        <v>42.130972200000002</v>
      </c>
      <c r="B1347" t="s">
        <v>33</v>
      </c>
      <c r="C1347" t="s">
        <v>26</v>
      </c>
      <c r="D1347" s="5">
        <v>6.19440539</v>
      </c>
    </row>
    <row r="1348" spans="1:4" x14ac:dyDescent="0.2">
      <c r="A1348" s="4">
        <v>42.495805599999997</v>
      </c>
      <c r="B1348" t="s">
        <v>33</v>
      </c>
      <c r="C1348" t="s">
        <v>26</v>
      </c>
      <c r="D1348" s="5">
        <v>6.2146081000000004</v>
      </c>
    </row>
    <row r="1349" spans="1:4" x14ac:dyDescent="0.2">
      <c r="A1349" s="4">
        <v>42.8606111</v>
      </c>
      <c r="B1349" t="s">
        <v>33</v>
      </c>
      <c r="C1349" t="s">
        <v>26</v>
      </c>
      <c r="D1349" s="5">
        <v>6.2422232700000002</v>
      </c>
    </row>
    <row r="1350" spans="1:4" x14ac:dyDescent="0.2">
      <c r="A1350" s="4">
        <v>43.225444400000001</v>
      </c>
      <c r="B1350" t="s">
        <v>33</v>
      </c>
      <c r="C1350" t="s">
        <v>26</v>
      </c>
      <c r="D1350" s="5">
        <v>6.2557500399999997</v>
      </c>
    </row>
    <row r="1351" spans="1:4" x14ac:dyDescent="0.2">
      <c r="A1351" s="4">
        <v>43.590277800000003</v>
      </c>
      <c r="B1351" t="s">
        <v>33</v>
      </c>
      <c r="C1351" t="s">
        <v>26</v>
      </c>
      <c r="D1351" s="5">
        <v>6.2934192800000002</v>
      </c>
    </row>
    <row r="1352" spans="1:4" x14ac:dyDescent="0.2">
      <c r="A1352" s="4">
        <v>43.955083299999998</v>
      </c>
      <c r="B1352" t="s">
        <v>33</v>
      </c>
      <c r="C1352" t="s">
        <v>26</v>
      </c>
      <c r="D1352" s="5">
        <v>6.3062752900000003</v>
      </c>
    </row>
    <row r="1353" spans="1:4" x14ac:dyDescent="0.2">
      <c r="A1353" s="4">
        <v>44.319888900000002</v>
      </c>
      <c r="B1353" t="s">
        <v>33</v>
      </c>
      <c r="C1353" t="s">
        <v>26</v>
      </c>
      <c r="D1353" s="5">
        <v>6.3225652400000003</v>
      </c>
    </row>
    <row r="1354" spans="1:4" x14ac:dyDescent="0.2">
      <c r="A1354" s="4">
        <v>44.684722200000003</v>
      </c>
      <c r="B1354" t="s">
        <v>33</v>
      </c>
      <c r="C1354" t="s">
        <v>26</v>
      </c>
      <c r="D1354" s="5">
        <v>6.3561076600000002</v>
      </c>
    </row>
    <row r="1355" spans="1:4" x14ac:dyDescent="0.2">
      <c r="A1355" s="4">
        <v>45.049194399999998</v>
      </c>
      <c r="B1355" t="s">
        <v>33</v>
      </c>
      <c r="C1355" t="s">
        <v>26</v>
      </c>
      <c r="D1355" s="5">
        <v>6.3885614100000003</v>
      </c>
    </row>
    <row r="1356" spans="1:4" x14ac:dyDescent="0.2">
      <c r="A1356" s="4">
        <v>45.4140278</v>
      </c>
      <c r="B1356" t="s">
        <v>33</v>
      </c>
      <c r="C1356" t="s">
        <v>26</v>
      </c>
      <c r="D1356" s="5">
        <v>6.4297194800000002</v>
      </c>
    </row>
    <row r="1357" spans="1:4" x14ac:dyDescent="0.2">
      <c r="A1357" s="4">
        <v>45.778833300000002</v>
      </c>
      <c r="B1357" t="s">
        <v>33</v>
      </c>
      <c r="C1357" t="s">
        <v>26</v>
      </c>
      <c r="D1357" s="5">
        <v>6.4473058600000002</v>
      </c>
    </row>
    <row r="1358" spans="1:4" x14ac:dyDescent="0.2">
      <c r="A1358" s="4">
        <v>46.143666699999997</v>
      </c>
      <c r="B1358" t="s">
        <v>33</v>
      </c>
      <c r="C1358" t="s">
        <v>26</v>
      </c>
      <c r="D1358" s="5">
        <v>6.4861607899999996</v>
      </c>
    </row>
    <row r="1359" spans="1:4" x14ac:dyDescent="0.2">
      <c r="A1359" s="4">
        <v>46.5084722</v>
      </c>
      <c r="B1359" t="s">
        <v>33</v>
      </c>
      <c r="C1359" t="s">
        <v>26</v>
      </c>
      <c r="D1359" s="5">
        <v>6.5132301100000003</v>
      </c>
    </row>
    <row r="1360" spans="1:4" x14ac:dyDescent="0.2">
      <c r="A1360" s="4">
        <v>46.873305600000002</v>
      </c>
      <c r="B1360" t="s">
        <v>33</v>
      </c>
      <c r="C1360" t="s">
        <v>26</v>
      </c>
      <c r="D1360" s="5">
        <v>6.5510803400000004</v>
      </c>
    </row>
    <row r="1361" spans="1:4" x14ac:dyDescent="0.2">
      <c r="A1361" s="4">
        <v>47.238111099999998</v>
      </c>
      <c r="B1361" t="s">
        <v>33</v>
      </c>
      <c r="C1361" t="s">
        <v>26</v>
      </c>
      <c r="D1361" s="5">
        <v>6.5861716499999998</v>
      </c>
    </row>
    <row r="1362" spans="1:4" x14ac:dyDescent="0.2">
      <c r="A1362" s="4">
        <v>47.602944399999998</v>
      </c>
      <c r="B1362" t="s">
        <v>33</v>
      </c>
      <c r="C1362" t="s">
        <v>26</v>
      </c>
      <c r="D1362" s="5">
        <v>6.6214056499999998</v>
      </c>
    </row>
    <row r="1363" spans="1:4" x14ac:dyDescent="0.2">
      <c r="A1363" s="4">
        <v>47.9677778</v>
      </c>
      <c r="B1363" t="s">
        <v>33</v>
      </c>
      <c r="C1363" t="s">
        <v>26</v>
      </c>
      <c r="D1363" s="5">
        <v>6.6618547399999999</v>
      </c>
    </row>
    <row r="1364" spans="1:4" x14ac:dyDescent="0.2">
      <c r="A1364" s="4">
        <v>48.332583300000003</v>
      </c>
      <c r="B1364" t="s">
        <v>33</v>
      </c>
      <c r="C1364" t="s">
        <v>26</v>
      </c>
      <c r="D1364" s="5">
        <v>6.6995003400000002</v>
      </c>
    </row>
    <row r="1365" spans="1:4" x14ac:dyDescent="0.2">
      <c r="A1365" s="4">
        <v>48.697416699999998</v>
      </c>
      <c r="B1365" t="s">
        <v>33</v>
      </c>
      <c r="C1365" t="s">
        <v>26</v>
      </c>
      <c r="D1365" s="5">
        <v>6.7417006900000001</v>
      </c>
    </row>
    <row r="1366" spans="1:4" x14ac:dyDescent="0.2">
      <c r="A1366" s="4">
        <v>49.062222200000001</v>
      </c>
      <c r="B1366" t="s">
        <v>33</v>
      </c>
      <c r="C1366" t="s">
        <v>26</v>
      </c>
      <c r="D1366" s="5">
        <v>6.7900972399999997</v>
      </c>
    </row>
    <row r="1367" spans="1:4" x14ac:dyDescent="0.2">
      <c r="A1367" s="4">
        <v>49.427055600000003</v>
      </c>
      <c r="B1367" t="s">
        <v>33</v>
      </c>
      <c r="C1367" t="s">
        <v>26</v>
      </c>
      <c r="D1367" s="5">
        <v>6.8211074700000003</v>
      </c>
    </row>
    <row r="1368" spans="1:4" x14ac:dyDescent="0.2">
      <c r="A1368" s="4">
        <v>49.791861099999998</v>
      </c>
      <c r="B1368" t="s">
        <v>33</v>
      </c>
      <c r="C1368" t="s">
        <v>26</v>
      </c>
      <c r="D1368" s="5">
        <v>6.8710912899999999</v>
      </c>
    </row>
    <row r="1369" spans="1:4" x14ac:dyDescent="0.2">
      <c r="A1369" s="4">
        <v>50.156694399999999</v>
      </c>
      <c r="B1369" t="s">
        <v>33</v>
      </c>
      <c r="C1369" t="s">
        <v>26</v>
      </c>
      <c r="D1369" s="5">
        <v>6.9295167700000002</v>
      </c>
    </row>
    <row r="1370" spans="1:4" x14ac:dyDescent="0.2">
      <c r="A1370" s="4">
        <v>50.521500000000003</v>
      </c>
      <c r="B1370" t="s">
        <v>33</v>
      </c>
      <c r="C1370" t="s">
        <v>26</v>
      </c>
      <c r="D1370" s="5">
        <v>6.9819346800000002</v>
      </c>
    </row>
    <row r="1371" spans="1:4" x14ac:dyDescent="0.2">
      <c r="A1371" s="4">
        <v>50.886333299999997</v>
      </c>
      <c r="B1371" t="s">
        <v>33</v>
      </c>
      <c r="C1371" t="s">
        <v>26</v>
      </c>
      <c r="D1371" s="5">
        <v>7.0308574799999999</v>
      </c>
    </row>
    <row r="1372" spans="1:4" x14ac:dyDescent="0.2">
      <c r="A1372" s="4">
        <v>51.251138900000001</v>
      </c>
      <c r="B1372" t="s">
        <v>33</v>
      </c>
      <c r="C1372" t="s">
        <v>26</v>
      </c>
      <c r="D1372" s="5">
        <v>7.0950643800000002</v>
      </c>
    </row>
    <row r="1373" spans="1:4" x14ac:dyDescent="0.2">
      <c r="A1373" s="4">
        <v>51.615972200000002</v>
      </c>
      <c r="B1373" t="s">
        <v>33</v>
      </c>
      <c r="C1373" t="s">
        <v>26</v>
      </c>
      <c r="D1373" s="5">
        <v>7.1608459099999999</v>
      </c>
    </row>
    <row r="1374" spans="1:4" x14ac:dyDescent="0.2">
      <c r="A1374" s="4">
        <v>51.980888899999997</v>
      </c>
      <c r="B1374" t="s">
        <v>33</v>
      </c>
      <c r="C1374" t="s">
        <v>26</v>
      </c>
      <c r="D1374" s="5">
        <v>7.2232956799999997</v>
      </c>
    </row>
    <row r="1375" spans="1:4" x14ac:dyDescent="0.2">
      <c r="A1375" s="4">
        <v>52.345694399999999</v>
      </c>
      <c r="B1375" t="s">
        <v>33</v>
      </c>
      <c r="C1375" t="s">
        <v>26</v>
      </c>
      <c r="D1375" s="5">
        <v>7.29029288</v>
      </c>
    </row>
    <row r="1376" spans="1:4" x14ac:dyDescent="0.2">
      <c r="A1376" s="4">
        <v>52.710527800000001</v>
      </c>
      <c r="B1376" t="s">
        <v>33</v>
      </c>
      <c r="C1376" t="s">
        <v>26</v>
      </c>
      <c r="D1376" s="5">
        <v>7.3613754299999998</v>
      </c>
    </row>
    <row r="1377" spans="1:4" x14ac:dyDescent="0.2">
      <c r="A1377" s="4">
        <v>53.075333299999997</v>
      </c>
      <c r="B1377" t="s">
        <v>33</v>
      </c>
      <c r="C1377" t="s">
        <v>26</v>
      </c>
      <c r="D1377" s="5">
        <v>7.43189192</v>
      </c>
    </row>
    <row r="1378" spans="1:4" x14ac:dyDescent="0.2">
      <c r="A1378" s="4">
        <v>53.440166699999999</v>
      </c>
      <c r="B1378" t="s">
        <v>33</v>
      </c>
      <c r="C1378" t="s">
        <v>26</v>
      </c>
      <c r="D1378" s="5">
        <v>7.4910875900000002</v>
      </c>
    </row>
    <row r="1379" spans="1:4" x14ac:dyDescent="0.2">
      <c r="A1379" s="4">
        <v>53.805</v>
      </c>
      <c r="B1379" t="s">
        <v>33</v>
      </c>
      <c r="C1379" t="s">
        <v>26</v>
      </c>
      <c r="D1379" s="5">
        <v>7.5626812499999998</v>
      </c>
    </row>
    <row r="1380" spans="1:4" x14ac:dyDescent="0.2">
      <c r="A1380" s="4">
        <v>54.169805599999997</v>
      </c>
      <c r="B1380" t="s">
        <v>33</v>
      </c>
      <c r="C1380" t="s">
        <v>26</v>
      </c>
      <c r="D1380" s="5">
        <v>7.6357868599999996</v>
      </c>
    </row>
    <row r="1381" spans="1:4" x14ac:dyDescent="0.2">
      <c r="A1381" s="4">
        <v>54.534638899999997</v>
      </c>
      <c r="B1381" t="s">
        <v>33</v>
      </c>
      <c r="C1381" t="s">
        <v>26</v>
      </c>
      <c r="D1381" s="5">
        <v>7.6989362000000003</v>
      </c>
    </row>
    <row r="1382" spans="1:4" x14ac:dyDescent="0.2">
      <c r="A1382" s="4">
        <v>54.8994444</v>
      </c>
      <c r="B1382" t="s">
        <v>33</v>
      </c>
      <c r="C1382" t="s">
        <v>26</v>
      </c>
      <c r="D1382" s="5">
        <v>7.7727527199999997</v>
      </c>
    </row>
    <row r="1383" spans="1:4" x14ac:dyDescent="0.2">
      <c r="A1383" s="4">
        <v>55.264249999999997</v>
      </c>
      <c r="B1383" t="s">
        <v>33</v>
      </c>
      <c r="C1383" t="s">
        <v>26</v>
      </c>
      <c r="D1383" s="5">
        <v>7.8446326400000004</v>
      </c>
    </row>
    <row r="1384" spans="1:4" x14ac:dyDescent="0.2">
      <c r="A1384" s="4">
        <v>55.629083299999998</v>
      </c>
      <c r="B1384" t="s">
        <v>33</v>
      </c>
      <c r="C1384" t="s">
        <v>26</v>
      </c>
      <c r="D1384" s="5">
        <v>7.9010070499999996</v>
      </c>
    </row>
    <row r="1385" spans="1:4" x14ac:dyDescent="0.2">
      <c r="A1385" s="4">
        <v>55.993888900000002</v>
      </c>
      <c r="B1385" t="s">
        <v>33</v>
      </c>
      <c r="C1385" t="s">
        <v>26</v>
      </c>
      <c r="D1385" s="5">
        <v>7.9624156800000003</v>
      </c>
    </row>
    <row r="1386" spans="1:4" x14ac:dyDescent="0.2">
      <c r="A1386" s="4">
        <v>56.358722200000003</v>
      </c>
      <c r="B1386" t="s">
        <v>33</v>
      </c>
      <c r="C1386" t="s">
        <v>26</v>
      </c>
      <c r="D1386" s="5">
        <v>8.0010199600000007</v>
      </c>
    </row>
    <row r="1387" spans="1:4" x14ac:dyDescent="0.2">
      <c r="A1387" s="4">
        <v>56.723555599999997</v>
      </c>
      <c r="B1387" t="s">
        <v>33</v>
      </c>
      <c r="C1387" t="s">
        <v>26</v>
      </c>
      <c r="D1387" s="5">
        <v>8.0225689500000001</v>
      </c>
    </row>
    <row r="1388" spans="1:4" x14ac:dyDescent="0.2">
      <c r="A1388" s="4">
        <v>57.0883611</v>
      </c>
      <c r="B1388" t="s">
        <v>33</v>
      </c>
      <c r="C1388" t="s">
        <v>26</v>
      </c>
      <c r="D1388" s="5">
        <v>8.0320353099999995</v>
      </c>
    </row>
    <row r="1389" spans="1:4" x14ac:dyDescent="0.2">
      <c r="A1389" s="4">
        <v>57.453194400000001</v>
      </c>
      <c r="B1389" t="s">
        <v>33</v>
      </c>
      <c r="C1389" t="s">
        <v>26</v>
      </c>
      <c r="D1389" s="5">
        <v>8.0398023399999996</v>
      </c>
    </row>
    <row r="1390" spans="1:4" x14ac:dyDescent="0.2">
      <c r="A1390" s="4">
        <v>57.817999999999998</v>
      </c>
      <c r="B1390" t="s">
        <v>33</v>
      </c>
      <c r="C1390" t="s">
        <v>26</v>
      </c>
      <c r="D1390" s="5">
        <v>8.0529330399999992</v>
      </c>
    </row>
    <row r="1391" spans="1:4" x14ac:dyDescent="0.2">
      <c r="A1391" s="4">
        <v>58.182833299999999</v>
      </c>
      <c r="B1391" t="s">
        <v>33</v>
      </c>
      <c r="C1391" t="s">
        <v>26</v>
      </c>
      <c r="D1391" s="5">
        <v>8.0586437100000001</v>
      </c>
    </row>
    <row r="1392" spans="1:4" x14ac:dyDescent="0.2">
      <c r="A1392" s="4">
        <v>58.547638900000003</v>
      </c>
      <c r="B1392" t="s">
        <v>33</v>
      </c>
      <c r="C1392" t="s">
        <v>26</v>
      </c>
      <c r="D1392" s="5">
        <v>8.0652652099999997</v>
      </c>
    </row>
    <row r="1393" spans="1:4" x14ac:dyDescent="0.2">
      <c r="A1393" s="4">
        <v>58.912472200000003</v>
      </c>
      <c r="B1393" t="s">
        <v>33</v>
      </c>
      <c r="C1393" t="s">
        <v>26</v>
      </c>
      <c r="D1393" s="5">
        <v>8.0652652099999997</v>
      </c>
    </row>
    <row r="1394" spans="1:4" x14ac:dyDescent="0.2">
      <c r="A1394" s="4">
        <v>59.2772778</v>
      </c>
      <c r="B1394" t="s">
        <v>33</v>
      </c>
      <c r="C1394" t="s">
        <v>26</v>
      </c>
      <c r="D1394" s="5">
        <v>8.0699681499999993</v>
      </c>
    </row>
    <row r="1395" spans="1:4" x14ac:dyDescent="0.2">
      <c r="A1395" s="4">
        <v>59.642083300000003</v>
      </c>
      <c r="B1395" t="s">
        <v>33</v>
      </c>
      <c r="C1395" t="s">
        <v>26</v>
      </c>
      <c r="D1395" s="5">
        <v>8.0727793299999995</v>
      </c>
    </row>
    <row r="1396" spans="1:4" x14ac:dyDescent="0.2">
      <c r="A1396" s="4">
        <v>60.0068889</v>
      </c>
      <c r="B1396" t="s">
        <v>33</v>
      </c>
      <c r="C1396" t="s">
        <v>26</v>
      </c>
      <c r="D1396" s="5">
        <v>8.0699681499999993</v>
      </c>
    </row>
    <row r="1397" spans="1:4" x14ac:dyDescent="0.2">
      <c r="A1397" s="4">
        <v>60.371722200000001</v>
      </c>
      <c r="B1397" t="s">
        <v>33</v>
      </c>
      <c r="C1397" t="s">
        <v>26</v>
      </c>
      <c r="D1397" s="5">
        <v>8.07620453</v>
      </c>
    </row>
    <row r="1398" spans="1:4" x14ac:dyDescent="0.2">
      <c r="A1398" s="4">
        <v>60.736527799999998</v>
      </c>
      <c r="B1398" t="s">
        <v>33</v>
      </c>
      <c r="C1398" t="s">
        <v>26</v>
      </c>
      <c r="D1398" s="5">
        <v>8.0727793299999995</v>
      </c>
    </row>
    <row r="1399" spans="1:4" x14ac:dyDescent="0.2">
      <c r="A1399" s="4">
        <v>61.1013333</v>
      </c>
      <c r="B1399" t="s">
        <v>33</v>
      </c>
      <c r="C1399" t="s">
        <v>26</v>
      </c>
      <c r="D1399" s="5">
        <v>8.0699681499999993</v>
      </c>
    </row>
    <row r="1400" spans="1:4" x14ac:dyDescent="0.2">
      <c r="A1400" s="4">
        <v>61.466166700000002</v>
      </c>
      <c r="B1400" t="s">
        <v>33</v>
      </c>
      <c r="C1400" t="s">
        <v>26</v>
      </c>
      <c r="D1400" s="5">
        <v>8.0643219599999991</v>
      </c>
    </row>
    <row r="1401" spans="1:4" x14ac:dyDescent="0.2">
      <c r="A1401" s="4">
        <v>61.830972199999998</v>
      </c>
      <c r="B1401" t="s">
        <v>33</v>
      </c>
      <c r="C1401" t="s">
        <v>26</v>
      </c>
      <c r="D1401" s="5">
        <v>8.07153089</v>
      </c>
    </row>
    <row r="1402" spans="1:4" x14ac:dyDescent="0.2">
      <c r="A1402" s="4">
        <v>62.1958056</v>
      </c>
      <c r="B1402" t="s">
        <v>33</v>
      </c>
      <c r="C1402" t="s">
        <v>26</v>
      </c>
      <c r="D1402" s="5">
        <v>8.0636926300000002</v>
      </c>
    </row>
    <row r="1403" spans="1:4" x14ac:dyDescent="0.2">
      <c r="A1403" s="4">
        <v>62.560638900000001</v>
      </c>
      <c r="B1403" t="s">
        <v>33</v>
      </c>
      <c r="C1403" t="s">
        <v>26</v>
      </c>
      <c r="D1403" s="5">
        <v>8.0643219599999991</v>
      </c>
    </row>
    <row r="1404" spans="1:4" x14ac:dyDescent="0.2">
      <c r="A1404" s="4">
        <v>62.925444400000003</v>
      </c>
      <c r="B1404" t="s">
        <v>33</v>
      </c>
      <c r="C1404" t="s">
        <v>26</v>
      </c>
      <c r="D1404" s="5">
        <v>8.0684029600000002</v>
      </c>
    </row>
    <row r="1405" spans="1:4" x14ac:dyDescent="0.2">
      <c r="A1405" s="4">
        <v>63.29025</v>
      </c>
      <c r="B1405" t="s">
        <v>33</v>
      </c>
      <c r="C1405" t="s">
        <v>26</v>
      </c>
      <c r="D1405" s="5">
        <v>8.06871619</v>
      </c>
    </row>
    <row r="1406" spans="1:4" x14ac:dyDescent="0.2">
      <c r="A1406" s="4">
        <v>63.655083300000001</v>
      </c>
      <c r="B1406" t="s">
        <v>33</v>
      </c>
      <c r="C1406" t="s">
        <v>26</v>
      </c>
      <c r="D1406" s="5">
        <v>8.0649508900000004</v>
      </c>
    </row>
    <row r="1407" spans="1:4" x14ac:dyDescent="0.2">
      <c r="A1407" s="4">
        <v>64.019888899999998</v>
      </c>
      <c r="B1407" t="s">
        <v>33</v>
      </c>
      <c r="C1407" t="s">
        <v>26</v>
      </c>
      <c r="D1407" s="5">
        <v>8.0658935500000002</v>
      </c>
    </row>
    <row r="1408" spans="1:4" x14ac:dyDescent="0.2">
      <c r="A1408" s="4">
        <v>64.384694400000001</v>
      </c>
      <c r="B1408" t="s">
        <v>33</v>
      </c>
      <c r="C1408" t="s">
        <v>26</v>
      </c>
      <c r="D1408" s="5">
        <v>8.0586437100000001</v>
      </c>
    </row>
    <row r="1409" spans="1:4" x14ac:dyDescent="0.2">
      <c r="A1409" s="4">
        <v>64.749527799999996</v>
      </c>
      <c r="B1409" t="s">
        <v>33</v>
      </c>
      <c r="C1409" t="s">
        <v>26</v>
      </c>
      <c r="D1409" s="5">
        <v>8.0636926300000002</v>
      </c>
    </row>
    <row r="1410" spans="1:4" x14ac:dyDescent="0.2">
      <c r="A1410" s="4">
        <v>65.114333299999998</v>
      </c>
      <c r="B1410" t="s">
        <v>33</v>
      </c>
      <c r="C1410" t="s">
        <v>26</v>
      </c>
      <c r="D1410" s="5">
        <v>8.0592762199999992</v>
      </c>
    </row>
    <row r="1411" spans="1:4" x14ac:dyDescent="0.2">
      <c r="A1411" s="4">
        <v>65.479166699999993</v>
      </c>
      <c r="B1411" t="s">
        <v>33</v>
      </c>
      <c r="C1411" t="s">
        <v>26</v>
      </c>
      <c r="D1411" s="5">
        <v>8.0592762199999992</v>
      </c>
    </row>
    <row r="1412" spans="1:4" x14ac:dyDescent="0.2">
      <c r="A1412" s="4">
        <v>65.843999999999994</v>
      </c>
      <c r="B1412" t="s">
        <v>33</v>
      </c>
      <c r="C1412" t="s">
        <v>26</v>
      </c>
      <c r="D1412" s="5">
        <v>8.0592762199999992</v>
      </c>
    </row>
    <row r="1413" spans="1:4" x14ac:dyDescent="0.2">
      <c r="A1413" s="4">
        <v>66.208805600000005</v>
      </c>
      <c r="B1413" t="s">
        <v>33</v>
      </c>
      <c r="C1413" t="s">
        <v>26</v>
      </c>
      <c r="D1413" s="5">
        <v>8.0599083300000007</v>
      </c>
    </row>
    <row r="1414" spans="1:4" x14ac:dyDescent="0.2">
      <c r="A1414" s="4">
        <v>66.573611099999994</v>
      </c>
      <c r="B1414" t="s">
        <v>33</v>
      </c>
      <c r="C1414" t="s">
        <v>26</v>
      </c>
      <c r="D1414" s="5">
        <v>8.0564267699999998</v>
      </c>
    </row>
    <row r="1415" spans="1:4" x14ac:dyDescent="0.2">
      <c r="A1415" s="4">
        <v>66.938444399999995</v>
      </c>
      <c r="B1415" t="s">
        <v>33</v>
      </c>
      <c r="C1415" t="s">
        <v>26</v>
      </c>
      <c r="D1415" s="5">
        <v>8.0589600200000007</v>
      </c>
    </row>
    <row r="1416" spans="1:4" x14ac:dyDescent="0.2">
      <c r="A1416" s="4">
        <v>67.303250000000006</v>
      </c>
      <c r="B1416" t="s">
        <v>33</v>
      </c>
      <c r="C1416" t="s">
        <v>26</v>
      </c>
      <c r="D1416" s="5">
        <v>8.0618022699999994</v>
      </c>
    </row>
    <row r="1417" spans="1:4" x14ac:dyDescent="0.2">
      <c r="A1417" s="4">
        <v>67.668083300000006</v>
      </c>
      <c r="B1417" t="s">
        <v>33</v>
      </c>
      <c r="C1417" t="s">
        <v>26</v>
      </c>
      <c r="D1417" s="5">
        <v>8.0573774900000004</v>
      </c>
    </row>
    <row r="1418" spans="1:4" x14ac:dyDescent="0.2">
      <c r="A1418" s="4">
        <v>68.032888900000003</v>
      </c>
      <c r="B1418" t="s">
        <v>33</v>
      </c>
      <c r="C1418" t="s">
        <v>26</v>
      </c>
      <c r="D1418" s="5">
        <v>8.0576941899999994</v>
      </c>
    </row>
    <row r="1419" spans="1:4" x14ac:dyDescent="0.2">
      <c r="A1419" s="4">
        <v>68.397722200000004</v>
      </c>
      <c r="B1419" t="s">
        <v>33</v>
      </c>
      <c r="C1419" t="s">
        <v>26</v>
      </c>
      <c r="D1419" s="5">
        <v>8.0522965000000006</v>
      </c>
    </row>
    <row r="1420" spans="1:4" x14ac:dyDescent="0.2">
      <c r="A1420" s="4">
        <v>68.762527800000001</v>
      </c>
      <c r="B1420" t="s">
        <v>33</v>
      </c>
      <c r="C1420" t="s">
        <v>26</v>
      </c>
      <c r="D1420" s="5">
        <v>8.0516595599999992</v>
      </c>
    </row>
    <row r="1421" spans="1:4" x14ac:dyDescent="0.2">
      <c r="A1421" s="4">
        <v>69.126861099999999</v>
      </c>
      <c r="B1421" t="s">
        <v>33</v>
      </c>
      <c r="C1421" t="s">
        <v>26</v>
      </c>
      <c r="D1421" s="5">
        <v>8.0522965000000006</v>
      </c>
    </row>
    <row r="1422" spans="1:4" x14ac:dyDescent="0.2">
      <c r="A1422" s="4">
        <v>69.491666699999996</v>
      </c>
      <c r="B1422" t="s">
        <v>33</v>
      </c>
      <c r="C1422" t="s">
        <v>26</v>
      </c>
      <c r="D1422" s="5">
        <v>8.0500654199999992</v>
      </c>
    </row>
    <row r="1423" spans="1:4" x14ac:dyDescent="0.2">
      <c r="A1423" s="4">
        <v>69.856499999999997</v>
      </c>
      <c r="B1423" t="s">
        <v>33</v>
      </c>
      <c r="C1423" t="s">
        <v>26</v>
      </c>
      <c r="D1423" s="5">
        <v>8.0462290999999997</v>
      </c>
    </row>
    <row r="1424" spans="1:4" x14ac:dyDescent="0.2">
      <c r="A1424" s="4">
        <v>70.221305599999994</v>
      </c>
      <c r="B1424" t="s">
        <v>33</v>
      </c>
      <c r="C1424" t="s">
        <v>26</v>
      </c>
      <c r="D1424" s="5">
        <v>8.0433421700000007</v>
      </c>
    </row>
    <row r="1425" spans="1:4" x14ac:dyDescent="0.2">
      <c r="A1425" s="4">
        <v>70.586138899999995</v>
      </c>
      <c r="B1425" t="s">
        <v>33</v>
      </c>
      <c r="C1425" t="s">
        <v>26</v>
      </c>
      <c r="D1425" s="5">
        <v>8.0513409300000003</v>
      </c>
    </row>
    <row r="1426" spans="1:4" x14ac:dyDescent="0.2">
      <c r="A1426" s="4">
        <v>70.950972199999995</v>
      </c>
      <c r="B1426" t="s">
        <v>33</v>
      </c>
      <c r="C1426" t="s">
        <v>26</v>
      </c>
      <c r="D1426" s="5">
        <v>8.0551577299999995</v>
      </c>
    </row>
    <row r="1427" spans="1:4" x14ac:dyDescent="0.2">
      <c r="A1427" s="4">
        <v>71.315777800000006</v>
      </c>
      <c r="B1427" t="s">
        <v>33</v>
      </c>
      <c r="C1427" t="s">
        <v>26</v>
      </c>
      <c r="D1427" s="5">
        <v>8.0455882800000005</v>
      </c>
    </row>
    <row r="1428" spans="1:4" x14ac:dyDescent="0.2">
      <c r="A1428" s="4">
        <v>71.680611099999993</v>
      </c>
      <c r="B1428" t="s">
        <v>33</v>
      </c>
      <c r="C1428" t="s">
        <v>26</v>
      </c>
      <c r="D1428" s="5">
        <v>8.0468695100000005</v>
      </c>
    </row>
    <row r="1429" spans="1:4" x14ac:dyDescent="0.2">
      <c r="A1429" s="4">
        <v>72.045416700000004</v>
      </c>
      <c r="B1429" t="s">
        <v>33</v>
      </c>
      <c r="C1429" t="s">
        <v>26</v>
      </c>
      <c r="D1429" s="5">
        <v>8.0446262799999992</v>
      </c>
    </row>
    <row r="1430" spans="1:4" x14ac:dyDescent="0.2">
      <c r="A1430" s="4">
        <v>72.410277800000003</v>
      </c>
      <c r="B1430" t="s">
        <v>33</v>
      </c>
      <c r="C1430" t="s">
        <v>26</v>
      </c>
      <c r="D1430" s="5">
        <v>8.0513409300000003</v>
      </c>
    </row>
    <row r="1431" spans="1:4" x14ac:dyDescent="0.2">
      <c r="A1431" s="4">
        <v>72.775083300000006</v>
      </c>
      <c r="B1431" t="s">
        <v>33</v>
      </c>
      <c r="C1431" t="s">
        <v>26</v>
      </c>
      <c r="D1431" s="5">
        <v>8.0468695100000005</v>
      </c>
    </row>
    <row r="1432" spans="1:4" x14ac:dyDescent="0.2">
      <c r="A1432" s="4">
        <v>73.139916700000001</v>
      </c>
      <c r="B1432" t="s">
        <v>33</v>
      </c>
      <c r="C1432" t="s">
        <v>26</v>
      </c>
      <c r="D1432" s="5">
        <v>8.0507033799999999</v>
      </c>
    </row>
    <row r="1433" spans="1:4" x14ac:dyDescent="0.2">
      <c r="A1433" s="4">
        <v>73.504722200000003</v>
      </c>
      <c r="B1433" t="s">
        <v>33</v>
      </c>
      <c r="C1433" t="s">
        <v>26</v>
      </c>
      <c r="D1433" s="5">
        <v>8.0471895599999996</v>
      </c>
    </row>
    <row r="1434" spans="1:4" x14ac:dyDescent="0.2">
      <c r="A1434" s="4">
        <v>73.8695278</v>
      </c>
      <c r="B1434" t="s">
        <v>33</v>
      </c>
      <c r="C1434" t="s">
        <v>26</v>
      </c>
      <c r="D1434" s="5">
        <v>8.0516595599999992</v>
      </c>
    </row>
    <row r="1435" spans="1:4" x14ac:dyDescent="0.2">
      <c r="A1435" s="4">
        <v>74.234361100000001</v>
      </c>
      <c r="B1435" t="s">
        <v>33</v>
      </c>
      <c r="C1435" t="s">
        <v>26</v>
      </c>
      <c r="D1435" s="5">
        <v>8.04141291</v>
      </c>
    </row>
    <row r="1436" spans="1:4" x14ac:dyDescent="0.2">
      <c r="A1436" s="4">
        <v>74.599166699999998</v>
      </c>
      <c r="B1436" t="s">
        <v>33</v>
      </c>
      <c r="C1436" t="s">
        <v>26</v>
      </c>
      <c r="D1436" s="5">
        <v>8.0449470499999993</v>
      </c>
    </row>
    <row r="1437" spans="1:4" x14ac:dyDescent="0.2">
      <c r="A1437" s="4">
        <v>74.963972200000001</v>
      </c>
      <c r="B1437" t="s">
        <v>33</v>
      </c>
      <c r="C1437" t="s">
        <v>26</v>
      </c>
      <c r="D1437" s="5">
        <v>8.0491077200000003</v>
      </c>
    </row>
    <row r="1438" spans="1:4" x14ac:dyDescent="0.2">
      <c r="A1438" s="4">
        <v>75.328805599999995</v>
      </c>
      <c r="B1438" t="s">
        <v>33</v>
      </c>
      <c r="C1438" t="s">
        <v>26</v>
      </c>
      <c r="D1438" s="5">
        <v>8.0471895599999996</v>
      </c>
    </row>
    <row r="1439" spans="1:4" x14ac:dyDescent="0.2">
      <c r="A1439" s="4">
        <v>75.693611099999998</v>
      </c>
      <c r="B1439" t="s">
        <v>33</v>
      </c>
      <c r="C1439" t="s">
        <v>26</v>
      </c>
      <c r="D1439" s="5">
        <v>8.04526772</v>
      </c>
    </row>
    <row r="1440" spans="1:4" x14ac:dyDescent="0.2">
      <c r="A1440" s="4">
        <v>76.058444399999999</v>
      </c>
      <c r="B1440" t="s">
        <v>33</v>
      </c>
      <c r="C1440" t="s">
        <v>26</v>
      </c>
      <c r="D1440" s="5">
        <v>8.0449470499999993</v>
      </c>
    </row>
    <row r="1441" spans="1:4" x14ac:dyDescent="0.2">
      <c r="A1441" s="4">
        <v>76.423277799999994</v>
      </c>
      <c r="B1441" t="s">
        <v>33</v>
      </c>
      <c r="C1441" t="s">
        <v>26</v>
      </c>
      <c r="D1441" s="5">
        <v>8.0484687400000006</v>
      </c>
    </row>
    <row r="1442" spans="1:4" x14ac:dyDescent="0.2">
      <c r="A1442" s="4">
        <v>76.788083299999997</v>
      </c>
      <c r="B1442" t="s">
        <v>33</v>
      </c>
      <c r="C1442" t="s">
        <v>26</v>
      </c>
      <c r="D1442" s="5">
        <v>8.0420564100000007</v>
      </c>
    </row>
    <row r="1443" spans="1:4" x14ac:dyDescent="0.2">
      <c r="A1443" s="4">
        <v>77.152888899999994</v>
      </c>
      <c r="B1443" t="s">
        <v>33</v>
      </c>
      <c r="C1443" t="s">
        <v>26</v>
      </c>
      <c r="D1443" s="5">
        <v>8.0455882800000005</v>
      </c>
    </row>
    <row r="1444" spans="1:4" x14ac:dyDescent="0.2">
      <c r="A1444" s="4">
        <v>77.517722199999994</v>
      </c>
      <c r="B1444" t="s">
        <v>33</v>
      </c>
      <c r="C1444" t="s">
        <v>26</v>
      </c>
      <c r="D1444" s="5">
        <v>8.0459087399999998</v>
      </c>
    </row>
    <row r="1445" spans="1:4" x14ac:dyDescent="0.2">
      <c r="A1445" s="4">
        <v>77.882555600000003</v>
      </c>
      <c r="B1445" t="s">
        <v>33</v>
      </c>
      <c r="C1445" t="s">
        <v>26</v>
      </c>
      <c r="D1445" s="5">
        <v>8.0420564100000007</v>
      </c>
    </row>
    <row r="1446" spans="1:4" x14ac:dyDescent="0.2">
      <c r="A1446" s="4">
        <v>78.247361100000006</v>
      </c>
      <c r="B1446" t="s">
        <v>33</v>
      </c>
      <c r="C1446" t="s">
        <v>26</v>
      </c>
      <c r="D1446" s="5">
        <v>8.0385120200000006</v>
      </c>
    </row>
    <row r="1447" spans="1:4" x14ac:dyDescent="0.2">
      <c r="A1447" s="4">
        <v>78.612166700000003</v>
      </c>
      <c r="B1447" t="s">
        <v>33</v>
      </c>
      <c r="C1447" t="s">
        <v>26</v>
      </c>
      <c r="D1447" s="5">
        <v>8.04012466</v>
      </c>
    </row>
    <row r="1448" spans="1:4" x14ac:dyDescent="0.2">
      <c r="A1448" s="4">
        <v>78.977000000000004</v>
      </c>
      <c r="B1448" t="s">
        <v>33</v>
      </c>
      <c r="C1448" t="s">
        <v>26</v>
      </c>
      <c r="D1448" s="5">
        <v>8.0516595599999992</v>
      </c>
    </row>
    <row r="1449" spans="1:4" x14ac:dyDescent="0.2">
      <c r="A1449" s="4">
        <v>79.341805600000001</v>
      </c>
      <c r="B1449" t="s">
        <v>33</v>
      </c>
      <c r="C1449" t="s">
        <v>26</v>
      </c>
      <c r="D1449" s="5">
        <v>8.0404468799999993</v>
      </c>
    </row>
    <row r="1450" spans="1:4" x14ac:dyDescent="0.2">
      <c r="A1450" s="4">
        <v>79.706638900000002</v>
      </c>
      <c r="B1450" t="s">
        <v>33</v>
      </c>
      <c r="C1450" t="s">
        <v>26</v>
      </c>
      <c r="D1450" s="5">
        <v>8.0475095099999994</v>
      </c>
    </row>
    <row r="1451" spans="1:4" x14ac:dyDescent="0.2">
      <c r="A1451" s="4">
        <v>80.071444400000004</v>
      </c>
      <c r="B1451" t="s">
        <v>33</v>
      </c>
      <c r="C1451" t="s">
        <v>26</v>
      </c>
      <c r="D1451" s="5">
        <v>8.0436633499999992</v>
      </c>
    </row>
    <row r="1452" spans="1:4" x14ac:dyDescent="0.2">
      <c r="A1452" s="4">
        <v>80.436250000000001</v>
      </c>
      <c r="B1452" t="s">
        <v>33</v>
      </c>
      <c r="C1452" t="s">
        <v>26</v>
      </c>
      <c r="D1452" s="5">
        <v>8.04526772</v>
      </c>
    </row>
    <row r="1453" spans="1:4" x14ac:dyDescent="0.2">
      <c r="A1453" s="4">
        <v>80.801083300000002</v>
      </c>
      <c r="B1453" t="s">
        <v>33</v>
      </c>
      <c r="C1453" t="s">
        <v>26</v>
      </c>
      <c r="D1453" s="5">
        <v>8.0465493600000002</v>
      </c>
    </row>
    <row r="1454" spans="1:4" x14ac:dyDescent="0.2">
      <c r="A1454" s="4">
        <v>81.165888899999999</v>
      </c>
      <c r="B1454" t="s">
        <v>33</v>
      </c>
      <c r="C1454" t="s">
        <v>26</v>
      </c>
      <c r="D1454" s="5">
        <v>8.0439844300000001</v>
      </c>
    </row>
    <row r="1455" spans="1:4" x14ac:dyDescent="0.2">
      <c r="A1455" s="4">
        <v>81.5307222</v>
      </c>
      <c r="B1455" t="s">
        <v>33</v>
      </c>
      <c r="C1455" t="s">
        <v>26</v>
      </c>
      <c r="D1455" s="5">
        <v>8.0465493600000002</v>
      </c>
    </row>
    <row r="1456" spans="1:4" x14ac:dyDescent="0.2">
      <c r="A1456" s="4">
        <v>81.895555599999994</v>
      </c>
      <c r="B1456" t="s">
        <v>33</v>
      </c>
      <c r="C1456" t="s">
        <v>26</v>
      </c>
      <c r="D1456" s="5">
        <v>8.0426994999999994</v>
      </c>
    </row>
    <row r="1457" spans="1:4" x14ac:dyDescent="0.2">
      <c r="A1457" s="4">
        <v>82.260361099999997</v>
      </c>
      <c r="B1457" t="s">
        <v>33</v>
      </c>
      <c r="C1457" t="s">
        <v>26</v>
      </c>
      <c r="D1457" s="5">
        <v>8.0478293599999997</v>
      </c>
    </row>
    <row r="1458" spans="1:4" x14ac:dyDescent="0.2">
      <c r="A1458" s="4">
        <v>82.625194399999998</v>
      </c>
      <c r="B1458" t="s">
        <v>33</v>
      </c>
      <c r="C1458" t="s">
        <v>26</v>
      </c>
      <c r="D1458" s="5">
        <v>8.0439844300000001</v>
      </c>
    </row>
    <row r="1459" spans="1:4" x14ac:dyDescent="0.2">
      <c r="A1459" s="4">
        <v>82.99</v>
      </c>
      <c r="B1459" t="s">
        <v>33</v>
      </c>
      <c r="C1459" t="s">
        <v>26</v>
      </c>
      <c r="D1459" s="5">
        <v>8.0455882800000005</v>
      </c>
    </row>
    <row r="1460" spans="1:4" x14ac:dyDescent="0.2">
      <c r="A1460" s="4">
        <v>83.354805600000006</v>
      </c>
      <c r="B1460" t="s">
        <v>33</v>
      </c>
      <c r="C1460" t="s">
        <v>26</v>
      </c>
      <c r="D1460" s="5">
        <v>8.0462290999999997</v>
      </c>
    </row>
    <row r="1461" spans="1:4" x14ac:dyDescent="0.2">
      <c r="A1461" s="4">
        <v>83.719638900000007</v>
      </c>
      <c r="B1461" t="s">
        <v>33</v>
      </c>
      <c r="C1461" t="s">
        <v>26</v>
      </c>
      <c r="D1461" s="5">
        <v>8.0503844499999992</v>
      </c>
    </row>
    <row r="1462" spans="1:4" x14ac:dyDescent="0.2">
      <c r="A1462" s="4">
        <v>84.084472199999993</v>
      </c>
      <c r="B1462" t="s">
        <v>33</v>
      </c>
      <c r="C1462" t="s">
        <v>26</v>
      </c>
      <c r="D1462" s="5">
        <v>8.0478293599999997</v>
      </c>
    </row>
    <row r="1463" spans="1:4" x14ac:dyDescent="0.2">
      <c r="A1463" s="4">
        <v>84.449277800000004</v>
      </c>
      <c r="B1463" t="s">
        <v>33</v>
      </c>
      <c r="C1463" t="s">
        <v>26</v>
      </c>
      <c r="D1463" s="5">
        <v>8.0423780100000002</v>
      </c>
    </row>
    <row r="1464" spans="1:4" x14ac:dyDescent="0.2">
      <c r="A1464" s="4">
        <v>84.814111100000005</v>
      </c>
      <c r="B1464" t="s">
        <v>33</v>
      </c>
      <c r="C1464" t="s">
        <v>26</v>
      </c>
      <c r="D1464" s="5">
        <v>8.0404468799999993</v>
      </c>
    </row>
    <row r="1465" spans="1:4" x14ac:dyDescent="0.2">
      <c r="A1465" s="4">
        <v>85.178916700000002</v>
      </c>
      <c r="B1465" t="s">
        <v>33</v>
      </c>
      <c r="C1465" t="s">
        <v>26</v>
      </c>
      <c r="D1465" s="5">
        <v>8.0426994999999994</v>
      </c>
    </row>
    <row r="1466" spans="1:4" x14ac:dyDescent="0.2">
      <c r="A1466" s="4">
        <v>85.543750000000003</v>
      </c>
      <c r="B1466" t="s">
        <v>33</v>
      </c>
      <c r="C1466" t="s">
        <v>26</v>
      </c>
      <c r="D1466" s="5">
        <v>8.0516595599999992</v>
      </c>
    </row>
    <row r="1467" spans="1:4" x14ac:dyDescent="0.2">
      <c r="A1467" s="4">
        <v>85.9085556</v>
      </c>
      <c r="B1467" t="s">
        <v>33</v>
      </c>
      <c r="C1467" t="s">
        <v>26</v>
      </c>
      <c r="D1467" s="5">
        <v>8.0465493600000002</v>
      </c>
    </row>
    <row r="1468" spans="1:4" x14ac:dyDescent="0.2">
      <c r="A1468" s="4">
        <v>86.2733889</v>
      </c>
      <c r="B1468" t="s">
        <v>33</v>
      </c>
      <c r="C1468" t="s">
        <v>26</v>
      </c>
      <c r="D1468" s="5">
        <v>8.0497462899999999</v>
      </c>
    </row>
    <row r="1469" spans="1:4" x14ac:dyDescent="0.2">
      <c r="A1469" s="4">
        <v>86.638194400000003</v>
      </c>
      <c r="B1469" t="s">
        <v>33</v>
      </c>
      <c r="C1469" t="s">
        <v>26</v>
      </c>
      <c r="D1469" s="5">
        <v>8.0407689900000001</v>
      </c>
    </row>
    <row r="1470" spans="1:4" x14ac:dyDescent="0.2">
      <c r="A1470" s="4">
        <v>87.003</v>
      </c>
      <c r="B1470" t="s">
        <v>33</v>
      </c>
      <c r="C1470" t="s">
        <v>26</v>
      </c>
      <c r="D1470" s="5">
        <v>8.0404468799999993</v>
      </c>
    </row>
    <row r="1471" spans="1:4" x14ac:dyDescent="0.2">
      <c r="A1471" s="4">
        <v>87.367833300000001</v>
      </c>
      <c r="B1471" t="s">
        <v>33</v>
      </c>
      <c r="C1471" t="s">
        <v>26</v>
      </c>
      <c r="D1471" s="5">
        <v>8.0426994999999994</v>
      </c>
    </row>
    <row r="1472" spans="1:4" x14ac:dyDescent="0.2">
      <c r="A1472" s="4">
        <v>87.732638899999998</v>
      </c>
      <c r="B1472" t="s">
        <v>33</v>
      </c>
      <c r="C1472" t="s">
        <v>26</v>
      </c>
      <c r="D1472" s="5">
        <v>8.0471895599999996</v>
      </c>
    </row>
    <row r="1473" spans="1:4" x14ac:dyDescent="0.2">
      <c r="A1473" s="4">
        <v>88.097583299999997</v>
      </c>
      <c r="B1473" t="s">
        <v>33</v>
      </c>
      <c r="C1473" t="s">
        <v>26</v>
      </c>
      <c r="D1473" s="5">
        <v>8.0426994999999994</v>
      </c>
    </row>
    <row r="1474" spans="1:4" x14ac:dyDescent="0.2">
      <c r="A1474" s="4">
        <v>88.462388899999993</v>
      </c>
      <c r="B1474" t="s">
        <v>33</v>
      </c>
      <c r="C1474" t="s">
        <v>26</v>
      </c>
      <c r="D1474" s="5">
        <v>8.0385120200000006</v>
      </c>
    </row>
    <row r="1475" spans="1:4" x14ac:dyDescent="0.2">
      <c r="A1475" s="4">
        <v>88.827222199999994</v>
      </c>
      <c r="B1475" t="s">
        <v>33</v>
      </c>
      <c r="C1475" t="s">
        <v>26</v>
      </c>
      <c r="D1475" s="5">
        <v>8.0446262799999992</v>
      </c>
    </row>
    <row r="1476" spans="1:4" x14ac:dyDescent="0.2">
      <c r="A1476" s="4">
        <v>89.192027800000005</v>
      </c>
      <c r="B1476" t="s">
        <v>33</v>
      </c>
      <c r="C1476" t="s">
        <v>26</v>
      </c>
      <c r="D1476" s="5">
        <v>8.0433421700000007</v>
      </c>
    </row>
    <row r="1477" spans="1:4" x14ac:dyDescent="0.2">
      <c r="A1477" s="4">
        <v>89.556833299999994</v>
      </c>
      <c r="B1477" t="s">
        <v>33</v>
      </c>
      <c r="C1477" t="s">
        <v>26</v>
      </c>
      <c r="D1477" s="5">
        <v>8.0449470499999993</v>
      </c>
    </row>
    <row r="1478" spans="1:4" x14ac:dyDescent="0.2">
      <c r="A1478" s="4">
        <v>89.921666700000003</v>
      </c>
      <c r="B1478" t="s">
        <v>33</v>
      </c>
      <c r="C1478" t="s">
        <v>26</v>
      </c>
      <c r="D1478" s="5">
        <v>8.0455882800000005</v>
      </c>
    </row>
    <row r="1479" spans="1:4" x14ac:dyDescent="0.2">
      <c r="A1479" s="4">
        <v>90.286472200000006</v>
      </c>
      <c r="B1479" t="s">
        <v>33</v>
      </c>
      <c r="C1479" t="s">
        <v>26</v>
      </c>
      <c r="D1479" s="5">
        <v>8.0443054099999998</v>
      </c>
    </row>
    <row r="1480" spans="1:4" x14ac:dyDescent="0.2">
      <c r="A1480" s="4">
        <v>90.651305600000001</v>
      </c>
      <c r="B1480" t="s">
        <v>33</v>
      </c>
      <c r="C1480" t="s">
        <v>26</v>
      </c>
      <c r="D1480" s="5">
        <v>8.0426994999999994</v>
      </c>
    </row>
    <row r="1481" spans="1:4" x14ac:dyDescent="0.2">
      <c r="A1481" s="4">
        <v>91.016111100000003</v>
      </c>
      <c r="B1481" t="s">
        <v>33</v>
      </c>
      <c r="C1481" t="s">
        <v>26</v>
      </c>
      <c r="D1481" s="5">
        <v>8.0391573899999997</v>
      </c>
    </row>
    <row r="1482" spans="1:4" x14ac:dyDescent="0.2">
      <c r="A1482" s="4">
        <v>91.381</v>
      </c>
      <c r="B1482" t="s">
        <v>33</v>
      </c>
      <c r="C1482" t="s">
        <v>26</v>
      </c>
      <c r="D1482" s="5">
        <v>8.0430208899999993</v>
      </c>
    </row>
    <row r="1483" spans="1:4" x14ac:dyDescent="0.2">
      <c r="A1483" s="4">
        <v>91.745833300000001</v>
      </c>
      <c r="B1483" t="s">
        <v>33</v>
      </c>
      <c r="C1483" t="s">
        <v>26</v>
      </c>
      <c r="D1483" s="5">
        <v>8.0462290999999997</v>
      </c>
    </row>
    <row r="1484" spans="1:4" x14ac:dyDescent="0.2">
      <c r="A1484" s="4">
        <v>0</v>
      </c>
      <c r="B1484" t="s">
        <v>33</v>
      </c>
      <c r="C1484" t="s">
        <v>27</v>
      </c>
      <c r="D1484" s="5">
        <v>5.4249500199999998</v>
      </c>
    </row>
    <row r="1485" spans="1:4" x14ac:dyDescent="0.2">
      <c r="A1485" s="4">
        <v>0.36480555999999997</v>
      </c>
      <c r="B1485" t="s">
        <v>33</v>
      </c>
      <c r="C1485" t="s">
        <v>27</v>
      </c>
      <c r="D1485" s="5">
        <v>5.44241771</v>
      </c>
    </row>
    <row r="1486" spans="1:4" x14ac:dyDescent="0.2">
      <c r="A1486" s="4">
        <v>0.72961111000000001</v>
      </c>
      <c r="B1486" t="s">
        <v>33</v>
      </c>
      <c r="C1486" t="s">
        <v>27</v>
      </c>
      <c r="D1486" s="5">
        <v>5.4337220000000004</v>
      </c>
    </row>
    <row r="1487" spans="1:4" x14ac:dyDescent="0.2">
      <c r="A1487" s="4">
        <v>1.09441667</v>
      </c>
      <c r="B1487" t="s">
        <v>33</v>
      </c>
      <c r="C1487" t="s">
        <v>27</v>
      </c>
      <c r="D1487" s="5">
        <v>5.3981627000000003</v>
      </c>
    </row>
    <row r="1488" spans="1:4" x14ac:dyDescent="0.2">
      <c r="A1488" s="4">
        <v>1.4592499999999999</v>
      </c>
      <c r="B1488" t="s">
        <v>33</v>
      </c>
      <c r="C1488" t="s">
        <v>27</v>
      </c>
      <c r="D1488" s="5">
        <v>5.4026773800000001</v>
      </c>
    </row>
    <row r="1489" spans="1:4" x14ac:dyDescent="0.2">
      <c r="A1489" s="4">
        <v>1.82402778</v>
      </c>
      <c r="B1489" t="s">
        <v>33</v>
      </c>
      <c r="C1489" t="s">
        <v>27</v>
      </c>
      <c r="D1489" s="5">
        <v>5.4026773800000001</v>
      </c>
    </row>
    <row r="1490" spans="1:4" x14ac:dyDescent="0.2">
      <c r="A1490" s="4">
        <v>2.1888611099999999</v>
      </c>
      <c r="B1490" t="s">
        <v>33</v>
      </c>
      <c r="C1490" t="s">
        <v>27</v>
      </c>
      <c r="D1490" s="5">
        <v>5.3981627000000003</v>
      </c>
    </row>
    <row r="1491" spans="1:4" x14ac:dyDescent="0.2">
      <c r="A1491" s="4">
        <v>2.5536944400000001</v>
      </c>
      <c r="B1491" t="s">
        <v>33</v>
      </c>
      <c r="C1491" t="s">
        <v>27</v>
      </c>
      <c r="D1491" s="5">
        <v>5.4161004000000004</v>
      </c>
    </row>
    <row r="1492" spans="1:4" x14ac:dyDescent="0.2">
      <c r="A1492" s="4">
        <v>2.9184999999999999</v>
      </c>
      <c r="B1492" t="s">
        <v>33</v>
      </c>
      <c r="C1492" t="s">
        <v>27</v>
      </c>
      <c r="D1492" s="5">
        <v>5.3936275499999997</v>
      </c>
    </row>
    <row r="1493" spans="1:4" x14ac:dyDescent="0.2">
      <c r="A1493" s="4">
        <v>3.2833055600000001</v>
      </c>
      <c r="B1493" t="s">
        <v>33</v>
      </c>
      <c r="C1493" t="s">
        <v>27</v>
      </c>
      <c r="D1493" s="5">
        <v>5.4071717699999997</v>
      </c>
    </row>
    <row r="1494" spans="1:4" x14ac:dyDescent="0.2">
      <c r="A1494" s="4">
        <v>3.6481388899999998</v>
      </c>
      <c r="B1494" t="s">
        <v>33</v>
      </c>
      <c r="C1494" t="s">
        <v>27</v>
      </c>
      <c r="D1494" s="5">
        <v>5.4071717699999997</v>
      </c>
    </row>
    <row r="1495" spans="1:4" x14ac:dyDescent="0.2">
      <c r="A1495" s="4">
        <v>4.01297222</v>
      </c>
      <c r="B1495" t="s">
        <v>33</v>
      </c>
      <c r="C1495" t="s">
        <v>27</v>
      </c>
      <c r="D1495" s="5">
        <v>5.4071717699999997</v>
      </c>
    </row>
    <row r="1496" spans="1:4" x14ac:dyDescent="0.2">
      <c r="A1496" s="4">
        <v>4.3777777799999997</v>
      </c>
      <c r="B1496" t="s">
        <v>33</v>
      </c>
      <c r="C1496" t="s">
        <v>27</v>
      </c>
      <c r="D1496" s="5">
        <v>5.4026773800000001</v>
      </c>
    </row>
    <row r="1497" spans="1:4" x14ac:dyDescent="0.2">
      <c r="A1497" s="4">
        <v>4.7425833300000004</v>
      </c>
      <c r="B1497" t="s">
        <v>33</v>
      </c>
      <c r="C1497" t="s">
        <v>27</v>
      </c>
      <c r="D1497" s="5">
        <v>5.3890717300000004</v>
      </c>
    </row>
    <row r="1498" spans="1:4" x14ac:dyDescent="0.2">
      <c r="A1498" s="4">
        <v>5.1073888900000002</v>
      </c>
      <c r="B1498" t="s">
        <v>33</v>
      </c>
      <c r="C1498" t="s">
        <v>27</v>
      </c>
      <c r="D1498" s="5">
        <v>5.4116460499999999</v>
      </c>
    </row>
    <row r="1499" spans="1:4" x14ac:dyDescent="0.2">
      <c r="A1499" s="4">
        <v>5.4722222199999999</v>
      </c>
      <c r="B1499" t="s">
        <v>33</v>
      </c>
      <c r="C1499" t="s">
        <v>27</v>
      </c>
      <c r="D1499" s="5">
        <v>5.4071717699999997</v>
      </c>
    </row>
    <row r="1500" spans="1:4" x14ac:dyDescent="0.2">
      <c r="A1500" s="4">
        <v>5.8370277799999997</v>
      </c>
      <c r="B1500" t="s">
        <v>33</v>
      </c>
      <c r="C1500" t="s">
        <v>27</v>
      </c>
      <c r="D1500" s="5">
        <v>5.3890717300000004</v>
      </c>
    </row>
    <row r="1501" spans="1:4" x14ac:dyDescent="0.2">
      <c r="A1501" s="4">
        <v>6.2018611100000003</v>
      </c>
      <c r="B1501" t="s">
        <v>33</v>
      </c>
      <c r="C1501" t="s">
        <v>27</v>
      </c>
      <c r="D1501" s="5">
        <v>5.3981627000000003</v>
      </c>
    </row>
    <row r="1502" spans="1:4" x14ac:dyDescent="0.2">
      <c r="A1502" s="4">
        <v>6.56666667</v>
      </c>
      <c r="B1502" t="s">
        <v>33</v>
      </c>
      <c r="C1502" t="s">
        <v>27</v>
      </c>
      <c r="D1502" s="5">
        <v>5.4116460499999999</v>
      </c>
    </row>
    <row r="1503" spans="1:4" x14ac:dyDescent="0.2">
      <c r="A1503" s="4">
        <v>6.9314722199999999</v>
      </c>
      <c r="B1503" t="s">
        <v>33</v>
      </c>
      <c r="C1503" t="s">
        <v>27</v>
      </c>
      <c r="D1503" s="5">
        <v>5.3890717300000004</v>
      </c>
    </row>
    <row r="1504" spans="1:4" x14ac:dyDescent="0.2">
      <c r="A1504" s="4">
        <v>7.2963055600000004</v>
      </c>
      <c r="B1504" t="s">
        <v>33</v>
      </c>
      <c r="C1504" t="s">
        <v>27</v>
      </c>
      <c r="D1504" s="5">
        <v>5.3981627000000003</v>
      </c>
    </row>
    <row r="1505" spans="1:4" x14ac:dyDescent="0.2">
      <c r="A1505" s="4">
        <v>7.6611388900000001</v>
      </c>
      <c r="B1505" t="s">
        <v>33</v>
      </c>
      <c r="C1505" t="s">
        <v>27</v>
      </c>
      <c r="D1505" s="5">
        <v>5.4161004000000004</v>
      </c>
    </row>
    <row r="1506" spans="1:4" x14ac:dyDescent="0.2">
      <c r="A1506" s="4">
        <v>8.02594444</v>
      </c>
      <c r="B1506" t="s">
        <v>33</v>
      </c>
      <c r="C1506" t="s">
        <v>27</v>
      </c>
      <c r="D1506" s="5">
        <v>5.4026773800000001</v>
      </c>
    </row>
    <row r="1507" spans="1:4" x14ac:dyDescent="0.2">
      <c r="A1507" s="4">
        <v>8.3907500000000006</v>
      </c>
      <c r="B1507" t="s">
        <v>33</v>
      </c>
      <c r="C1507" t="s">
        <v>27</v>
      </c>
      <c r="D1507" s="5">
        <v>5.3890717300000004</v>
      </c>
    </row>
    <row r="1508" spans="1:4" x14ac:dyDescent="0.2">
      <c r="A1508" s="4">
        <v>8.7555833300000003</v>
      </c>
      <c r="B1508" t="s">
        <v>33</v>
      </c>
      <c r="C1508" t="s">
        <v>27</v>
      </c>
      <c r="D1508" s="5">
        <v>5.4116460499999999</v>
      </c>
    </row>
    <row r="1509" spans="1:4" x14ac:dyDescent="0.2">
      <c r="A1509" s="4">
        <v>9.1204166699999991</v>
      </c>
      <c r="B1509" t="s">
        <v>33</v>
      </c>
      <c r="C1509" t="s">
        <v>27</v>
      </c>
      <c r="D1509" s="5">
        <v>5.4026773800000001</v>
      </c>
    </row>
    <row r="1510" spans="1:4" x14ac:dyDescent="0.2">
      <c r="A1510" s="4">
        <v>9.4852222200000007</v>
      </c>
      <c r="B1510" t="s">
        <v>33</v>
      </c>
      <c r="C1510" t="s">
        <v>27</v>
      </c>
      <c r="D1510" s="5">
        <v>5.4026773800000001</v>
      </c>
    </row>
    <row r="1511" spans="1:4" x14ac:dyDescent="0.2">
      <c r="A1511" s="4">
        <v>9.8500277799999996</v>
      </c>
      <c r="B1511" t="s">
        <v>33</v>
      </c>
      <c r="C1511" t="s">
        <v>27</v>
      </c>
      <c r="D1511" s="5">
        <v>5.4161004000000004</v>
      </c>
    </row>
    <row r="1512" spans="1:4" x14ac:dyDescent="0.2">
      <c r="A1512" s="4">
        <v>10.2148611</v>
      </c>
      <c r="B1512" t="s">
        <v>33</v>
      </c>
      <c r="C1512" t="s">
        <v>27</v>
      </c>
      <c r="D1512" s="5">
        <v>5.4071717699999997</v>
      </c>
    </row>
    <row r="1513" spans="1:4" x14ac:dyDescent="0.2">
      <c r="A1513" s="4">
        <v>10.579666700000001</v>
      </c>
      <c r="B1513" t="s">
        <v>33</v>
      </c>
      <c r="C1513" t="s">
        <v>27</v>
      </c>
      <c r="D1513" s="5">
        <v>5.4293456300000003</v>
      </c>
    </row>
    <row r="1514" spans="1:4" x14ac:dyDescent="0.2">
      <c r="A1514" s="4">
        <v>10.9445</v>
      </c>
      <c r="B1514" t="s">
        <v>33</v>
      </c>
      <c r="C1514" t="s">
        <v>27</v>
      </c>
      <c r="D1514" s="5">
        <v>5.4337220000000004</v>
      </c>
    </row>
    <row r="1515" spans="1:4" x14ac:dyDescent="0.2">
      <c r="A1515" s="4">
        <v>11.3093056</v>
      </c>
      <c r="B1515" t="s">
        <v>33</v>
      </c>
      <c r="C1515" t="s">
        <v>27</v>
      </c>
      <c r="D1515" s="5">
        <v>5.4249500199999998</v>
      </c>
    </row>
    <row r="1516" spans="1:4" x14ac:dyDescent="0.2">
      <c r="A1516" s="4">
        <v>11.674138900000001</v>
      </c>
      <c r="B1516" t="s">
        <v>33</v>
      </c>
      <c r="C1516" t="s">
        <v>27</v>
      </c>
      <c r="D1516" s="5">
        <v>5.4205350000000001</v>
      </c>
    </row>
    <row r="1517" spans="1:4" x14ac:dyDescent="0.2">
      <c r="A1517" s="4">
        <v>12.0389444</v>
      </c>
      <c r="B1517" t="s">
        <v>33</v>
      </c>
      <c r="C1517" t="s">
        <v>27</v>
      </c>
      <c r="D1517" s="5">
        <v>5.4249500199999998</v>
      </c>
    </row>
    <row r="1518" spans="1:4" x14ac:dyDescent="0.2">
      <c r="A1518" s="4">
        <v>12.4037778</v>
      </c>
      <c r="B1518" t="s">
        <v>33</v>
      </c>
      <c r="C1518" t="s">
        <v>27</v>
      </c>
      <c r="D1518" s="5">
        <v>5.4293456300000003</v>
      </c>
    </row>
    <row r="1519" spans="1:4" x14ac:dyDescent="0.2">
      <c r="A1519" s="4">
        <v>12.7685833</v>
      </c>
      <c r="B1519" t="s">
        <v>33</v>
      </c>
      <c r="C1519" t="s">
        <v>27</v>
      </c>
      <c r="D1519" s="5">
        <v>5.4293456300000003</v>
      </c>
    </row>
    <row r="1520" spans="1:4" x14ac:dyDescent="0.2">
      <c r="A1520" s="4">
        <v>13.1334167</v>
      </c>
      <c r="B1520" t="s">
        <v>33</v>
      </c>
      <c r="C1520" t="s">
        <v>27</v>
      </c>
      <c r="D1520" s="5">
        <v>5.4510384500000004</v>
      </c>
    </row>
    <row r="1521" spans="1:4" x14ac:dyDescent="0.2">
      <c r="A1521" s="4">
        <v>13.498222200000001</v>
      </c>
      <c r="B1521" t="s">
        <v>33</v>
      </c>
      <c r="C1521" t="s">
        <v>27</v>
      </c>
      <c r="D1521" s="5">
        <v>5.4638318100000003</v>
      </c>
    </row>
    <row r="1522" spans="1:4" x14ac:dyDescent="0.2">
      <c r="A1522" s="4">
        <v>13.863055599999999</v>
      </c>
      <c r="B1522" t="s">
        <v>33</v>
      </c>
      <c r="C1522" t="s">
        <v>27</v>
      </c>
      <c r="D1522" s="5">
        <v>5.4595855100000001</v>
      </c>
    </row>
    <row r="1523" spans="1:4" x14ac:dyDescent="0.2">
      <c r="A1523" s="4">
        <v>14.2278611</v>
      </c>
      <c r="B1523" t="s">
        <v>33</v>
      </c>
      <c r="C1523" t="s">
        <v>27</v>
      </c>
      <c r="D1523" s="5">
        <v>5.4722706700000003</v>
      </c>
    </row>
    <row r="1524" spans="1:4" x14ac:dyDescent="0.2">
      <c r="A1524" s="4">
        <v>14.592694399999999</v>
      </c>
      <c r="B1524" t="s">
        <v>33</v>
      </c>
      <c r="C1524" t="s">
        <v>27</v>
      </c>
      <c r="D1524" s="5">
        <v>5.4722706700000003</v>
      </c>
    </row>
    <row r="1525" spans="1:4" x14ac:dyDescent="0.2">
      <c r="A1525" s="4">
        <v>14.9575</v>
      </c>
      <c r="B1525" t="s">
        <v>33</v>
      </c>
      <c r="C1525" t="s">
        <v>27</v>
      </c>
      <c r="D1525" s="5">
        <v>5.4722706700000003</v>
      </c>
    </row>
    <row r="1526" spans="1:4" x14ac:dyDescent="0.2">
      <c r="A1526" s="4">
        <v>15.3223333</v>
      </c>
      <c r="B1526" t="s">
        <v>33</v>
      </c>
      <c r="C1526" t="s">
        <v>27</v>
      </c>
      <c r="D1526" s="5">
        <v>5.4806389199999996</v>
      </c>
    </row>
    <row r="1527" spans="1:4" x14ac:dyDescent="0.2">
      <c r="A1527" s="4">
        <v>15.687138900000001</v>
      </c>
      <c r="B1527" t="s">
        <v>33</v>
      </c>
      <c r="C1527" t="s">
        <v>27</v>
      </c>
      <c r="D1527" s="5">
        <v>5.5012582099999996</v>
      </c>
    </row>
    <row r="1528" spans="1:4" x14ac:dyDescent="0.2">
      <c r="A1528" s="4">
        <v>16.051972200000002</v>
      </c>
      <c r="B1528" t="s">
        <v>33</v>
      </c>
      <c r="C1528" t="s">
        <v>27</v>
      </c>
      <c r="D1528" s="5">
        <v>5.5294290899999998</v>
      </c>
    </row>
    <row r="1529" spans="1:4" x14ac:dyDescent="0.2">
      <c r="A1529" s="4">
        <v>16.416777799999998</v>
      </c>
      <c r="B1529" t="s">
        <v>33</v>
      </c>
      <c r="C1529" t="s">
        <v>27</v>
      </c>
      <c r="D1529" s="5">
        <v>5.5529595799999996</v>
      </c>
    </row>
    <row r="1530" spans="1:4" x14ac:dyDescent="0.2">
      <c r="A1530" s="4">
        <v>16.781611099999999</v>
      </c>
      <c r="B1530" t="s">
        <v>33</v>
      </c>
      <c r="C1530" t="s">
        <v>27</v>
      </c>
      <c r="D1530" s="5">
        <v>5.5294290899999998</v>
      </c>
    </row>
    <row r="1531" spans="1:4" x14ac:dyDescent="0.2">
      <c r="A1531" s="4">
        <v>17.1464167</v>
      </c>
      <c r="B1531" t="s">
        <v>33</v>
      </c>
      <c r="C1531" t="s">
        <v>27</v>
      </c>
      <c r="D1531" s="5">
        <v>5.5451774399999998</v>
      </c>
    </row>
    <row r="1532" spans="1:4" x14ac:dyDescent="0.2">
      <c r="A1532" s="4">
        <v>17.511222199999999</v>
      </c>
      <c r="B1532" t="s">
        <v>33</v>
      </c>
      <c r="C1532" t="s">
        <v>27</v>
      </c>
      <c r="D1532" s="5">
        <v>5.5721540300000001</v>
      </c>
    </row>
    <row r="1533" spans="1:4" x14ac:dyDescent="0.2">
      <c r="A1533" s="4">
        <v>17.876055600000001</v>
      </c>
      <c r="B1533" t="s">
        <v>33</v>
      </c>
      <c r="C1533" t="s">
        <v>27</v>
      </c>
      <c r="D1533" s="5">
        <v>5.5909869800000003</v>
      </c>
    </row>
    <row r="1534" spans="1:4" x14ac:dyDescent="0.2">
      <c r="A1534" s="4">
        <v>18.2408611</v>
      </c>
      <c r="B1534" t="s">
        <v>33</v>
      </c>
      <c r="C1534" t="s">
        <v>27</v>
      </c>
      <c r="D1534" s="5">
        <v>5.6058020700000002</v>
      </c>
    </row>
    <row r="1535" spans="1:4" x14ac:dyDescent="0.2">
      <c r="A1535" s="4">
        <v>18.605694400000001</v>
      </c>
      <c r="B1535" t="s">
        <v>33</v>
      </c>
      <c r="C1535" t="s">
        <v>27</v>
      </c>
      <c r="D1535" s="5">
        <v>5.63835467</v>
      </c>
    </row>
    <row r="1536" spans="1:4" x14ac:dyDescent="0.2">
      <c r="A1536" s="4">
        <v>18.970527799999999</v>
      </c>
      <c r="B1536" t="s">
        <v>33</v>
      </c>
      <c r="C1536" t="s">
        <v>27</v>
      </c>
      <c r="D1536" s="5">
        <v>5.6594822200000001</v>
      </c>
    </row>
    <row r="1537" spans="1:4" x14ac:dyDescent="0.2">
      <c r="A1537" s="4">
        <v>19.335333299999999</v>
      </c>
      <c r="B1537" t="s">
        <v>33</v>
      </c>
      <c r="C1537" t="s">
        <v>27</v>
      </c>
      <c r="D1537" s="5">
        <v>5.7071102600000003</v>
      </c>
    </row>
    <row r="1538" spans="1:4" x14ac:dyDescent="0.2">
      <c r="A1538" s="4">
        <v>19.700138899999999</v>
      </c>
      <c r="B1538" t="s">
        <v>33</v>
      </c>
      <c r="C1538" t="s">
        <v>27</v>
      </c>
      <c r="D1538" s="5">
        <v>5.7333412800000003</v>
      </c>
    </row>
    <row r="1539" spans="1:4" x14ac:dyDescent="0.2">
      <c r="A1539" s="4">
        <v>20.0649722</v>
      </c>
      <c r="B1539" t="s">
        <v>33</v>
      </c>
      <c r="C1539" t="s">
        <v>27</v>
      </c>
      <c r="D1539" s="5">
        <v>5.7557422100000002</v>
      </c>
    </row>
    <row r="1540" spans="1:4" x14ac:dyDescent="0.2">
      <c r="A1540" s="4">
        <v>20.4297778</v>
      </c>
      <c r="B1540" t="s">
        <v>33</v>
      </c>
      <c r="C1540" t="s">
        <v>27</v>
      </c>
      <c r="D1540" s="5">
        <v>5.7807435199999997</v>
      </c>
    </row>
    <row r="1541" spans="1:4" x14ac:dyDescent="0.2">
      <c r="A1541" s="4">
        <v>20.794611100000001</v>
      </c>
      <c r="B1541" t="s">
        <v>33</v>
      </c>
      <c r="C1541" t="s">
        <v>27</v>
      </c>
      <c r="D1541" s="5">
        <v>5.8435444199999997</v>
      </c>
    </row>
    <row r="1542" spans="1:4" x14ac:dyDescent="0.2">
      <c r="A1542" s="4">
        <v>21.159416700000001</v>
      </c>
      <c r="B1542" t="s">
        <v>33</v>
      </c>
      <c r="C1542" t="s">
        <v>27</v>
      </c>
      <c r="D1542" s="5">
        <v>5.85793315</v>
      </c>
    </row>
    <row r="1543" spans="1:4" x14ac:dyDescent="0.2">
      <c r="A1543" s="4">
        <v>21.524333299999999</v>
      </c>
      <c r="B1543" t="s">
        <v>33</v>
      </c>
      <c r="C1543" t="s">
        <v>27</v>
      </c>
      <c r="D1543" s="5">
        <v>5.9053618500000002</v>
      </c>
    </row>
    <row r="1544" spans="1:4" x14ac:dyDescent="0.2">
      <c r="A1544" s="4">
        <v>21.889166700000001</v>
      </c>
      <c r="B1544" t="s">
        <v>33</v>
      </c>
      <c r="C1544" t="s">
        <v>27</v>
      </c>
      <c r="D1544" s="5">
        <v>5.9427993800000003</v>
      </c>
    </row>
    <row r="1545" spans="1:4" x14ac:dyDescent="0.2">
      <c r="A1545" s="4">
        <v>22.2539722</v>
      </c>
      <c r="B1545" t="s">
        <v>33</v>
      </c>
      <c r="C1545" t="s">
        <v>27</v>
      </c>
      <c r="D1545" s="5">
        <v>6.0185932099999997</v>
      </c>
    </row>
    <row r="1546" spans="1:4" x14ac:dyDescent="0.2">
      <c r="A1546" s="4">
        <v>22.6187778</v>
      </c>
      <c r="B1546" t="s">
        <v>33</v>
      </c>
      <c r="C1546" t="s">
        <v>27</v>
      </c>
      <c r="D1546" s="5">
        <v>6.0614569200000004</v>
      </c>
    </row>
    <row r="1547" spans="1:4" x14ac:dyDescent="0.2">
      <c r="A1547" s="4">
        <v>22.983611100000001</v>
      </c>
      <c r="B1547" t="s">
        <v>33</v>
      </c>
      <c r="C1547" t="s">
        <v>27</v>
      </c>
      <c r="D1547" s="5">
        <v>6.1246833900000004</v>
      </c>
    </row>
    <row r="1548" spans="1:4" x14ac:dyDescent="0.2">
      <c r="A1548" s="4">
        <v>23.349916700000001</v>
      </c>
      <c r="B1548" t="s">
        <v>33</v>
      </c>
      <c r="C1548" t="s">
        <v>27</v>
      </c>
      <c r="D1548" s="5">
        <v>6.1696107299999996</v>
      </c>
    </row>
    <row r="1549" spans="1:4" x14ac:dyDescent="0.2">
      <c r="A1549" s="4">
        <v>23.714722200000001</v>
      </c>
      <c r="B1549" t="s">
        <v>33</v>
      </c>
      <c r="C1549" t="s">
        <v>27</v>
      </c>
      <c r="D1549" s="5">
        <v>6.2324480199999996</v>
      </c>
    </row>
    <row r="1550" spans="1:4" x14ac:dyDescent="0.2">
      <c r="A1550" s="4">
        <v>24.079555599999999</v>
      </c>
      <c r="B1550" t="s">
        <v>33</v>
      </c>
      <c r="C1550" t="s">
        <v>27</v>
      </c>
      <c r="D1550" s="5">
        <v>6.3117348099999999</v>
      </c>
    </row>
    <row r="1551" spans="1:4" x14ac:dyDescent="0.2">
      <c r="A1551" s="4">
        <v>24.444888899999999</v>
      </c>
      <c r="B1551" t="s">
        <v>33</v>
      </c>
      <c r="C1551" t="s">
        <v>27</v>
      </c>
      <c r="D1551" s="5">
        <v>6.3750248200000001</v>
      </c>
    </row>
    <row r="1552" spans="1:4" x14ac:dyDescent="0.2">
      <c r="A1552" s="4">
        <v>24.809194399999999</v>
      </c>
      <c r="B1552" t="s">
        <v>33</v>
      </c>
      <c r="C1552" t="s">
        <v>27</v>
      </c>
      <c r="D1552" s="5">
        <v>6.44254017</v>
      </c>
    </row>
    <row r="1553" spans="1:4" x14ac:dyDescent="0.2">
      <c r="A1553" s="4">
        <v>25.174027800000001</v>
      </c>
      <c r="B1553" t="s">
        <v>33</v>
      </c>
      <c r="C1553" t="s">
        <v>27</v>
      </c>
      <c r="D1553" s="5">
        <v>6.53087763</v>
      </c>
    </row>
    <row r="1554" spans="1:4" x14ac:dyDescent="0.2">
      <c r="A1554" s="4">
        <v>25.5388333</v>
      </c>
      <c r="B1554" t="s">
        <v>33</v>
      </c>
      <c r="C1554" t="s">
        <v>27</v>
      </c>
      <c r="D1554" s="5">
        <v>6.6227363199999996</v>
      </c>
    </row>
    <row r="1555" spans="1:4" x14ac:dyDescent="0.2">
      <c r="A1555" s="4">
        <v>25.903666699999999</v>
      </c>
      <c r="B1555" t="s">
        <v>33</v>
      </c>
      <c r="C1555" t="s">
        <v>27</v>
      </c>
      <c r="D1555" s="5">
        <v>6.7044143500000004</v>
      </c>
    </row>
    <row r="1556" spans="1:4" x14ac:dyDescent="0.2">
      <c r="A1556" s="4">
        <v>26.268472200000001</v>
      </c>
      <c r="B1556" t="s">
        <v>33</v>
      </c>
      <c r="C1556" t="s">
        <v>27</v>
      </c>
      <c r="D1556" s="5">
        <v>6.78784498</v>
      </c>
    </row>
    <row r="1557" spans="1:4" x14ac:dyDescent="0.2">
      <c r="A1557" s="4">
        <v>26.6333056</v>
      </c>
      <c r="B1557" t="s">
        <v>33</v>
      </c>
      <c r="C1557" t="s">
        <v>27</v>
      </c>
      <c r="D1557" s="5">
        <v>6.8875525700000004</v>
      </c>
    </row>
    <row r="1558" spans="1:4" x14ac:dyDescent="0.2">
      <c r="A1558" s="4">
        <v>26.998111099999999</v>
      </c>
      <c r="B1558" t="s">
        <v>33</v>
      </c>
      <c r="C1558" t="s">
        <v>27</v>
      </c>
      <c r="D1558" s="5">
        <v>6.9837899700000001</v>
      </c>
    </row>
    <row r="1559" spans="1:4" x14ac:dyDescent="0.2">
      <c r="A1559" s="4">
        <v>27.3629444</v>
      </c>
      <c r="B1559" t="s">
        <v>33</v>
      </c>
      <c r="C1559" t="s">
        <v>27</v>
      </c>
      <c r="D1559" s="5">
        <v>7.0892431599999997</v>
      </c>
    </row>
    <row r="1560" spans="1:4" x14ac:dyDescent="0.2">
      <c r="A1560" s="4">
        <v>27.72775</v>
      </c>
      <c r="B1560" t="s">
        <v>33</v>
      </c>
      <c r="C1560" t="s">
        <v>27</v>
      </c>
      <c r="D1560" s="5">
        <v>7.1884127400000004</v>
      </c>
    </row>
    <row r="1561" spans="1:4" x14ac:dyDescent="0.2">
      <c r="A1561" s="4">
        <v>30.091833300000001</v>
      </c>
      <c r="B1561" t="s">
        <v>33</v>
      </c>
      <c r="C1561" t="s">
        <v>27</v>
      </c>
      <c r="D1561" s="5">
        <v>7.5422134600000001</v>
      </c>
    </row>
    <row r="1562" spans="1:4" x14ac:dyDescent="0.2">
      <c r="A1562" s="4">
        <v>30.4566667</v>
      </c>
      <c r="B1562" t="s">
        <v>33</v>
      </c>
      <c r="C1562" t="s">
        <v>27</v>
      </c>
      <c r="D1562" s="5">
        <v>7.6966670800000001</v>
      </c>
    </row>
    <row r="1563" spans="1:4" x14ac:dyDescent="0.2">
      <c r="A1563" s="4">
        <v>30.821472199999999</v>
      </c>
      <c r="B1563" t="s">
        <v>33</v>
      </c>
      <c r="C1563" t="s">
        <v>27</v>
      </c>
      <c r="D1563" s="5">
        <v>7.7284157799999997</v>
      </c>
    </row>
    <row r="1564" spans="1:4" x14ac:dyDescent="0.2">
      <c r="A1564" s="4">
        <v>31.186305600000001</v>
      </c>
      <c r="B1564" t="s">
        <v>33</v>
      </c>
      <c r="C1564" t="s">
        <v>27</v>
      </c>
      <c r="D1564" s="5">
        <v>7.7301748000000003</v>
      </c>
    </row>
    <row r="1565" spans="1:4" x14ac:dyDescent="0.2">
      <c r="A1565" s="4">
        <v>31.5511111</v>
      </c>
      <c r="B1565" t="s">
        <v>33</v>
      </c>
      <c r="C1565" t="s">
        <v>27</v>
      </c>
      <c r="D1565" s="5">
        <v>7.7371800799999999</v>
      </c>
    </row>
    <row r="1566" spans="1:4" x14ac:dyDescent="0.2">
      <c r="A1566" s="4">
        <v>31.915944400000001</v>
      </c>
      <c r="B1566" t="s">
        <v>33</v>
      </c>
      <c r="C1566" t="s">
        <v>27</v>
      </c>
      <c r="D1566" s="5">
        <v>7.7523351600000003</v>
      </c>
    </row>
    <row r="1567" spans="1:4" x14ac:dyDescent="0.2">
      <c r="A1567" s="4">
        <v>32.280777800000003</v>
      </c>
      <c r="B1567" t="s">
        <v>33</v>
      </c>
      <c r="C1567" t="s">
        <v>27</v>
      </c>
      <c r="D1567" s="5">
        <v>7.76387129</v>
      </c>
    </row>
    <row r="1568" spans="1:4" x14ac:dyDescent="0.2">
      <c r="A1568" s="4">
        <v>32.645583299999998</v>
      </c>
      <c r="B1568" t="s">
        <v>33</v>
      </c>
      <c r="C1568" t="s">
        <v>27</v>
      </c>
      <c r="D1568" s="5">
        <v>7.7608931999999999</v>
      </c>
    </row>
    <row r="1569" spans="1:4" x14ac:dyDescent="0.2">
      <c r="A1569" s="4">
        <v>33.0104167</v>
      </c>
      <c r="B1569" t="s">
        <v>33</v>
      </c>
      <c r="C1569" t="s">
        <v>27</v>
      </c>
      <c r="D1569" s="5">
        <v>7.7621706100000001</v>
      </c>
    </row>
    <row r="1570" spans="1:4" x14ac:dyDescent="0.2">
      <c r="A1570" s="4">
        <v>33.375222200000003</v>
      </c>
      <c r="B1570" t="s">
        <v>33</v>
      </c>
      <c r="C1570" t="s">
        <v>27</v>
      </c>
      <c r="D1570" s="5">
        <v>7.75961415</v>
      </c>
    </row>
    <row r="1571" spans="1:4" x14ac:dyDescent="0.2">
      <c r="A1571" s="4">
        <v>33.7400278</v>
      </c>
      <c r="B1571" t="s">
        <v>33</v>
      </c>
      <c r="C1571" t="s">
        <v>27</v>
      </c>
      <c r="D1571" s="5">
        <v>7.7634463900000004</v>
      </c>
    </row>
    <row r="1572" spans="1:4" x14ac:dyDescent="0.2">
      <c r="A1572" s="4">
        <v>34.104861100000001</v>
      </c>
      <c r="B1572" t="s">
        <v>33</v>
      </c>
      <c r="C1572" t="s">
        <v>27</v>
      </c>
      <c r="D1572" s="5">
        <v>7.7634463900000004</v>
      </c>
    </row>
    <row r="1573" spans="1:4" x14ac:dyDescent="0.2">
      <c r="A1573" s="4">
        <v>34.469666699999998</v>
      </c>
      <c r="B1573" t="s">
        <v>33</v>
      </c>
      <c r="C1573" t="s">
        <v>27</v>
      </c>
      <c r="D1573" s="5">
        <v>7.7642960099999998</v>
      </c>
    </row>
    <row r="1574" spans="1:4" x14ac:dyDescent="0.2">
      <c r="A1574" s="4">
        <v>34.834499999999998</v>
      </c>
      <c r="B1574" t="s">
        <v>33</v>
      </c>
      <c r="C1574" t="s">
        <v>27</v>
      </c>
      <c r="D1574" s="5">
        <v>7.7676872799999996</v>
      </c>
    </row>
    <row r="1575" spans="1:4" x14ac:dyDescent="0.2">
      <c r="A1575" s="4">
        <v>35.199305600000002</v>
      </c>
      <c r="B1575" t="s">
        <v>33</v>
      </c>
      <c r="C1575" t="s">
        <v>27</v>
      </c>
      <c r="D1575" s="5">
        <v>7.7608931999999999</v>
      </c>
    </row>
    <row r="1576" spans="1:4" x14ac:dyDescent="0.2">
      <c r="A1576" s="4">
        <v>35.564111099999998</v>
      </c>
      <c r="B1576" t="s">
        <v>33</v>
      </c>
      <c r="C1576" t="s">
        <v>27</v>
      </c>
      <c r="D1576" s="5">
        <v>7.76387129</v>
      </c>
    </row>
    <row r="1577" spans="1:4" x14ac:dyDescent="0.2">
      <c r="A1577" s="4">
        <v>35.928944399999999</v>
      </c>
      <c r="B1577" t="s">
        <v>33</v>
      </c>
      <c r="C1577" t="s">
        <v>27</v>
      </c>
      <c r="D1577" s="5">
        <v>7.7714887600000004</v>
      </c>
    </row>
    <row r="1578" spans="1:4" x14ac:dyDescent="0.2">
      <c r="A1578" s="4">
        <v>36.293750000000003</v>
      </c>
      <c r="B1578" t="s">
        <v>33</v>
      </c>
      <c r="C1578" t="s">
        <v>27</v>
      </c>
      <c r="D1578" s="5">
        <v>7.7651449000000001</v>
      </c>
    </row>
    <row r="1579" spans="1:4" x14ac:dyDescent="0.2">
      <c r="A1579" s="4">
        <v>36.658583299999997</v>
      </c>
      <c r="B1579" t="s">
        <v>33</v>
      </c>
      <c r="C1579" t="s">
        <v>27</v>
      </c>
      <c r="D1579" s="5">
        <v>7.7591874399999998</v>
      </c>
    </row>
    <row r="1580" spans="1:4" x14ac:dyDescent="0.2">
      <c r="A1580" s="4">
        <v>37.0233889</v>
      </c>
      <c r="B1580" t="s">
        <v>33</v>
      </c>
      <c r="C1580" t="s">
        <v>27</v>
      </c>
      <c r="D1580" s="5">
        <v>7.7681103800000004</v>
      </c>
    </row>
    <row r="1581" spans="1:4" x14ac:dyDescent="0.2">
      <c r="A1581" s="4">
        <v>37.388222200000001</v>
      </c>
      <c r="B1581" t="s">
        <v>33</v>
      </c>
      <c r="C1581" t="s">
        <v>27</v>
      </c>
      <c r="D1581" s="5">
        <v>7.7693786100000004</v>
      </c>
    </row>
    <row r="1582" spans="1:4" x14ac:dyDescent="0.2">
      <c r="A1582" s="4">
        <v>37.753055600000003</v>
      </c>
      <c r="B1582" t="s">
        <v>33</v>
      </c>
      <c r="C1582" t="s">
        <v>27</v>
      </c>
      <c r="D1582" s="5">
        <v>7.7723315800000004</v>
      </c>
    </row>
    <row r="1583" spans="1:4" x14ac:dyDescent="0.2">
      <c r="A1583" s="4">
        <v>38.117861099999999</v>
      </c>
      <c r="B1583" t="s">
        <v>33</v>
      </c>
      <c r="C1583" t="s">
        <v>27</v>
      </c>
      <c r="D1583" s="5">
        <v>7.7765350299999998</v>
      </c>
    </row>
    <row r="1584" spans="1:4" x14ac:dyDescent="0.2">
      <c r="A1584" s="4">
        <v>38.4826944</v>
      </c>
      <c r="B1584" t="s">
        <v>33</v>
      </c>
      <c r="C1584" t="s">
        <v>27</v>
      </c>
      <c r="D1584" s="5">
        <v>7.7740150799999999</v>
      </c>
    </row>
    <row r="1585" spans="1:4" x14ac:dyDescent="0.2">
      <c r="A1585" s="4">
        <v>38.847499999999997</v>
      </c>
      <c r="B1585" t="s">
        <v>33</v>
      </c>
      <c r="C1585" t="s">
        <v>27</v>
      </c>
      <c r="D1585" s="5">
        <v>7.7794669699999996</v>
      </c>
    </row>
    <row r="1586" spans="1:4" x14ac:dyDescent="0.2">
      <c r="A1586" s="4">
        <v>39.212305600000001</v>
      </c>
      <c r="B1586" t="s">
        <v>33</v>
      </c>
      <c r="C1586" t="s">
        <v>27</v>
      </c>
      <c r="D1586" s="5">
        <v>7.7782114699999996</v>
      </c>
    </row>
    <row r="1587" spans="1:4" x14ac:dyDescent="0.2">
      <c r="A1587" s="4">
        <v>39.577138900000001</v>
      </c>
      <c r="B1587" t="s">
        <v>33</v>
      </c>
      <c r="C1587" t="s">
        <v>27</v>
      </c>
      <c r="D1587" s="5">
        <v>7.7790486400000001</v>
      </c>
    </row>
    <row r="1588" spans="1:4" x14ac:dyDescent="0.2">
      <c r="A1588" s="4">
        <v>39.941944399999997</v>
      </c>
      <c r="B1588" t="s">
        <v>33</v>
      </c>
      <c r="C1588" t="s">
        <v>27</v>
      </c>
      <c r="D1588" s="5">
        <v>7.7815559600000004</v>
      </c>
    </row>
    <row r="1589" spans="1:4" x14ac:dyDescent="0.2">
      <c r="A1589" s="4">
        <v>40.306777799999999</v>
      </c>
      <c r="B1589" t="s">
        <v>33</v>
      </c>
      <c r="C1589" t="s">
        <v>27</v>
      </c>
      <c r="D1589" s="5">
        <v>7.7769544000000002</v>
      </c>
    </row>
    <row r="1590" spans="1:4" x14ac:dyDescent="0.2">
      <c r="A1590" s="4">
        <v>40.6716944</v>
      </c>
      <c r="B1590" t="s">
        <v>33</v>
      </c>
      <c r="C1590" t="s">
        <v>27</v>
      </c>
      <c r="D1590" s="5">
        <v>7.7798851200000003</v>
      </c>
    </row>
    <row r="1591" spans="1:4" x14ac:dyDescent="0.2">
      <c r="A1591" s="4">
        <v>41.036499999999997</v>
      </c>
      <c r="B1591" t="s">
        <v>33</v>
      </c>
      <c r="C1591" t="s">
        <v>27</v>
      </c>
      <c r="D1591" s="5">
        <v>7.7761154799999996</v>
      </c>
    </row>
    <row r="1592" spans="1:4" x14ac:dyDescent="0.2">
      <c r="A1592" s="4">
        <v>41.401333299999997</v>
      </c>
      <c r="B1592" t="s">
        <v>33</v>
      </c>
      <c r="C1592" t="s">
        <v>27</v>
      </c>
      <c r="D1592" s="5">
        <v>7.7819732300000002</v>
      </c>
    </row>
    <row r="1593" spans="1:4" x14ac:dyDescent="0.2">
      <c r="A1593" s="4">
        <v>41.766166699999999</v>
      </c>
      <c r="B1593" t="s">
        <v>33</v>
      </c>
      <c r="C1593" t="s">
        <v>27</v>
      </c>
      <c r="D1593" s="5">
        <v>7.7773735999999998</v>
      </c>
    </row>
    <row r="1594" spans="1:4" x14ac:dyDescent="0.2">
      <c r="A1594" s="4">
        <v>42.130972200000002</v>
      </c>
      <c r="B1594" t="s">
        <v>33</v>
      </c>
      <c r="C1594" t="s">
        <v>27</v>
      </c>
      <c r="D1594" s="5">
        <v>7.7815559600000004</v>
      </c>
    </row>
    <row r="1595" spans="1:4" x14ac:dyDescent="0.2">
      <c r="A1595" s="4">
        <v>42.495805599999997</v>
      </c>
      <c r="B1595" t="s">
        <v>33</v>
      </c>
      <c r="C1595" t="s">
        <v>27</v>
      </c>
      <c r="D1595" s="5">
        <v>7.7803030900000003</v>
      </c>
    </row>
    <row r="1596" spans="1:4" x14ac:dyDescent="0.2">
      <c r="A1596" s="4">
        <v>42.8606111</v>
      </c>
      <c r="B1596" t="s">
        <v>33</v>
      </c>
      <c r="C1596" t="s">
        <v>27</v>
      </c>
      <c r="D1596" s="5">
        <v>7.7807208899999996</v>
      </c>
    </row>
    <row r="1597" spans="1:4" x14ac:dyDescent="0.2">
      <c r="A1597" s="4">
        <v>43.225444400000001</v>
      </c>
      <c r="B1597" t="s">
        <v>33</v>
      </c>
      <c r="C1597" t="s">
        <v>27</v>
      </c>
      <c r="D1597" s="5">
        <v>7.7803030900000003</v>
      </c>
    </row>
    <row r="1598" spans="1:4" x14ac:dyDescent="0.2">
      <c r="A1598" s="4">
        <v>43.590277800000003</v>
      </c>
      <c r="B1598" t="s">
        <v>33</v>
      </c>
      <c r="C1598" t="s">
        <v>27</v>
      </c>
      <c r="D1598" s="5">
        <v>7.7790486400000001</v>
      </c>
    </row>
    <row r="1599" spans="1:4" x14ac:dyDescent="0.2">
      <c r="A1599" s="4">
        <v>43.955083299999998</v>
      </c>
      <c r="B1599" t="s">
        <v>33</v>
      </c>
      <c r="C1599" t="s">
        <v>27</v>
      </c>
      <c r="D1599" s="5">
        <v>7.7782114699999996</v>
      </c>
    </row>
    <row r="1600" spans="1:4" x14ac:dyDescent="0.2">
      <c r="A1600" s="4">
        <v>44.319888900000002</v>
      </c>
      <c r="B1600" t="s">
        <v>33</v>
      </c>
      <c r="C1600" t="s">
        <v>27</v>
      </c>
      <c r="D1600" s="5">
        <v>7.7794669699999996</v>
      </c>
    </row>
    <row r="1601" spans="1:4" x14ac:dyDescent="0.2">
      <c r="A1601" s="4">
        <v>44.684722200000003</v>
      </c>
      <c r="B1601" t="s">
        <v>33</v>
      </c>
      <c r="C1601" t="s">
        <v>27</v>
      </c>
      <c r="D1601" s="5">
        <v>7.7861364399999999</v>
      </c>
    </row>
    <row r="1602" spans="1:4" x14ac:dyDescent="0.2">
      <c r="A1602" s="4">
        <v>45.049194399999998</v>
      </c>
      <c r="B1602" t="s">
        <v>33</v>
      </c>
      <c r="C1602" t="s">
        <v>27</v>
      </c>
      <c r="D1602" s="5">
        <v>7.7857209000000003</v>
      </c>
    </row>
    <row r="1603" spans="1:4" x14ac:dyDescent="0.2">
      <c r="A1603" s="4">
        <v>45.4140278</v>
      </c>
      <c r="B1603" t="s">
        <v>33</v>
      </c>
      <c r="C1603" t="s">
        <v>27</v>
      </c>
      <c r="D1603" s="5">
        <v>7.7853051799999999</v>
      </c>
    </row>
    <row r="1604" spans="1:4" x14ac:dyDescent="0.2">
      <c r="A1604" s="4">
        <v>45.778833300000002</v>
      </c>
      <c r="B1604" t="s">
        <v>33</v>
      </c>
      <c r="C1604" t="s">
        <v>27</v>
      </c>
      <c r="D1604" s="5">
        <v>7.7811385099999999</v>
      </c>
    </row>
    <row r="1605" spans="1:4" x14ac:dyDescent="0.2">
      <c r="A1605" s="4">
        <v>46.143666699999997</v>
      </c>
      <c r="B1605" t="s">
        <v>33</v>
      </c>
      <c r="C1605" t="s">
        <v>27</v>
      </c>
      <c r="D1605" s="5">
        <v>7.7857209000000003</v>
      </c>
    </row>
    <row r="1606" spans="1:4" x14ac:dyDescent="0.2">
      <c r="A1606" s="4">
        <v>46.5084722</v>
      </c>
      <c r="B1606" t="s">
        <v>33</v>
      </c>
      <c r="C1606" t="s">
        <v>27</v>
      </c>
      <c r="D1606" s="5">
        <v>7.7811385099999999</v>
      </c>
    </row>
    <row r="1607" spans="1:4" x14ac:dyDescent="0.2">
      <c r="A1607" s="4">
        <v>46.873305600000002</v>
      </c>
      <c r="B1607" t="s">
        <v>33</v>
      </c>
      <c r="C1607" t="s">
        <v>27</v>
      </c>
      <c r="D1607" s="5">
        <v>7.7807208899999996</v>
      </c>
    </row>
    <row r="1608" spans="1:4" x14ac:dyDescent="0.2">
      <c r="A1608" s="4">
        <v>47.238111099999998</v>
      </c>
      <c r="B1608" t="s">
        <v>33</v>
      </c>
      <c r="C1608" t="s">
        <v>27</v>
      </c>
      <c r="D1608" s="5">
        <v>7.7865518099999997</v>
      </c>
    </row>
    <row r="1609" spans="1:4" x14ac:dyDescent="0.2">
      <c r="A1609" s="4">
        <v>47.602944399999998</v>
      </c>
      <c r="B1609" t="s">
        <v>33</v>
      </c>
      <c r="C1609" t="s">
        <v>27</v>
      </c>
      <c r="D1609" s="5">
        <v>7.7882115599999997</v>
      </c>
    </row>
    <row r="1610" spans="1:4" x14ac:dyDescent="0.2">
      <c r="A1610" s="4">
        <v>47.9677778</v>
      </c>
      <c r="B1610" t="s">
        <v>33</v>
      </c>
      <c r="C1610" t="s">
        <v>27</v>
      </c>
      <c r="D1610" s="5">
        <v>7.7777926300000004</v>
      </c>
    </row>
    <row r="1611" spans="1:4" x14ac:dyDescent="0.2">
      <c r="A1611" s="4">
        <v>48.332583300000003</v>
      </c>
      <c r="B1611" t="s">
        <v>33</v>
      </c>
      <c r="C1611" t="s">
        <v>27</v>
      </c>
      <c r="D1611" s="5">
        <v>7.7811385099999999</v>
      </c>
    </row>
    <row r="1612" spans="1:4" x14ac:dyDescent="0.2">
      <c r="A1612" s="4">
        <v>48.697416699999998</v>
      </c>
      <c r="B1612" t="s">
        <v>33</v>
      </c>
      <c r="C1612" t="s">
        <v>27</v>
      </c>
      <c r="D1612" s="5">
        <v>7.7798851200000003</v>
      </c>
    </row>
    <row r="1613" spans="1:4" x14ac:dyDescent="0.2">
      <c r="A1613" s="4">
        <v>49.062222200000001</v>
      </c>
      <c r="B1613" t="s">
        <v>33</v>
      </c>
      <c r="C1613" t="s">
        <v>27</v>
      </c>
      <c r="D1613" s="5">
        <v>7.7848892999999997</v>
      </c>
    </row>
    <row r="1614" spans="1:4" x14ac:dyDescent="0.2">
      <c r="A1614" s="4">
        <v>49.427055600000003</v>
      </c>
      <c r="B1614" t="s">
        <v>33</v>
      </c>
      <c r="C1614" t="s">
        <v>27</v>
      </c>
      <c r="D1614" s="5">
        <v>7.7853051799999999</v>
      </c>
    </row>
    <row r="1615" spans="1:4" x14ac:dyDescent="0.2">
      <c r="A1615" s="4">
        <v>49.791861099999998</v>
      </c>
      <c r="B1615" t="s">
        <v>33</v>
      </c>
      <c r="C1615" t="s">
        <v>27</v>
      </c>
      <c r="D1615" s="5">
        <v>7.7877968800000001</v>
      </c>
    </row>
    <row r="1616" spans="1:4" x14ac:dyDescent="0.2">
      <c r="A1616" s="4">
        <v>50.156694399999999</v>
      </c>
      <c r="B1616" t="s">
        <v>33</v>
      </c>
      <c r="C1616" t="s">
        <v>27</v>
      </c>
      <c r="D1616" s="5">
        <v>7.7823903400000001</v>
      </c>
    </row>
    <row r="1617" spans="1:4" x14ac:dyDescent="0.2">
      <c r="A1617" s="4">
        <v>50.521500000000003</v>
      </c>
      <c r="B1617" t="s">
        <v>33</v>
      </c>
      <c r="C1617" t="s">
        <v>27</v>
      </c>
      <c r="D1617" s="5">
        <v>7.7819732300000002</v>
      </c>
    </row>
    <row r="1618" spans="1:4" x14ac:dyDescent="0.2">
      <c r="A1618" s="4">
        <v>50.886333299999997</v>
      </c>
      <c r="B1618" t="s">
        <v>33</v>
      </c>
      <c r="C1618" t="s">
        <v>27</v>
      </c>
      <c r="D1618" s="5">
        <v>7.7807208899999996</v>
      </c>
    </row>
    <row r="1619" spans="1:4" x14ac:dyDescent="0.2">
      <c r="A1619" s="4">
        <v>51.251138900000001</v>
      </c>
      <c r="B1619" t="s">
        <v>33</v>
      </c>
      <c r="C1619" t="s">
        <v>27</v>
      </c>
      <c r="D1619" s="5">
        <v>7.7727527199999997</v>
      </c>
    </row>
    <row r="1620" spans="1:4" x14ac:dyDescent="0.2">
      <c r="A1620" s="4">
        <v>51.615972200000002</v>
      </c>
      <c r="B1620" t="s">
        <v>33</v>
      </c>
      <c r="C1620" t="s">
        <v>27</v>
      </c>
      <c r="D1620" s="5">
        <v>7.7832240199999996</v>
      </c>
    </row>
    <row r="1621" spans="1:4" x14ac:dyDescent="0.2">
      <c r="A1621" s="4">
        <v>51.980888899999997</v>
      </c>
      <c r="B1621" t="s">
        <v>33</v>
      </c>
      <c r="C1621" t="s">
        <v>27</v>
      </c>
      <c r="D1621" s="5">
        <v>7.7798851200000003</v>
      </c>
    </row>
    <row r="1622" spans="1:4" x14ac:dyDescent="0.2">
      <c r="A1622" s="4">
        <v>52.345694399999999</v>
      </c>
      <c r="B1622" t="s">
        <v>33</v>
      </c>
      <c r="C1622" t="s">
        <v>27</v>
      </c>
      <c r="D1622" s="5">
        <v>7.7819732300000002</v>
      </c>
    </row>
    <row r="1623" spans="1:4" x14ac:dyDescent="0.2">
      <c r="A1623" s="4">
        <v>52.710527800000001</v>
      </c>
      <c r="B1623" t="s">
        <v>33</v>
      </c>
      <c r="C1623" t="s">
        <v>27</v>
      </c>
      <c r="D1623" s="5">
        <v>7.7836406</v>
      </c>
    </row>
    <row r="1624" spans="1:4" x14ac:dyDescent="0.2">
      <c r="A1624" s="4">
        <v>53.075333299999997</v>
      </c>
      <c r="B1624" t="s">
        <v>33</v>
      </c>
      <c r="C1624" t="s">
        <v>27</v>
      </c>
      <c r="D1624" s="5">
        <v>7.7819732300000002</v>
      </c>
    </row>
    <row r="1625" spans="1:4" x14ac:dyDescent="0.2">
      <c r="A1625" s="4">
        <v>53.440166699999999</v>
      </c>
      <c r="B1625" t="s">
        <v>33</v>
      </c>
      <c r="C1625" t="s">
        <v>27</v>
      </c>
      <c r="D1625" s="5">
        <v>7.7752758499999999</v>
      </c>
    </row>
    <row r="1626" spans="1:4" x14ac:dyDescent="0.2">
      <c r="A1626" s="4">
        <v>53.805</v>
      </c>
      <c r="B1626" t="s">
        <v>33</v>
      </c>
      <c r="C1626" t="s">
        <v>27</v>
      </c>
      <c r="D1626" s="5">
        <v>7.7773735999999998</v>
      </c>
    </row>
    <row r="1627" spans="1:4" x14ac:dyDescent="0.2">
      <c r="A1627" s="4">
        <v>54.169805599999997</v>
      </c>
      <c r="B1627" t="s">
        <v>33</v>
      </c>
      <c r="C1627" t="s">
        <v>27</v>
      </c>
      <c r="D1627" s="5">
        <v>7.7848892999999997</v>
      </c>
    </row>
    <row r="1628" spans="1:4" x14ac:dyDescent="0.2">
      <c r="A1628" s="4">
        <v>54.534638899999997</v>
      </c>
      <c r="B1628" t="s">
        <v>33</v>
      </c>
      <c r="C1628" t="s">
        <v>27</v>
      </c>
      <c r="D1628" s="5">
        <v>7.7735944699999999</v>
      </c>
    </row>
    <row r="1629" spans="1:4" x14ac:dyDescent="0.2">
      <c r="A1629" s="4">
        <v>54.8994444</v>
      </c>
      <c r="B1629" t="s">
        <v>33</v>
      </c>
      <c r="C1629" t="s">
        <v>27</v>
      </c>
      <c r="D1629" s="5">
        <v>7.7769544000000002</v>
      </c>
    </row>
    <row r="1630" spans="1:4" x14ac:dyDescent="0.2">
      <c r="A1630" s="4">
        <v>55.264249999999997</v>
      </c>
      <c r="B1630" t="s">
        <v>33</v>
      </c>
      <c r="C1630" t="s">
        <v>27</v>
      </c>
      <c r="D1630" s="5">
        <v>7.7790486400000001</v>
      </c>
    </row>
    <row r="1631" spans="1:4" x14ac:dyDescent="0.2">
      <c r="A1631" s="4">
        <v>55.629083299999998</v>
      </c>
      <c r="B1631" t="s">
        <v>33</v>
      </c>
      <c r="C1631" t="s">
        <v>27</v>
      </c>
      <c r="D1631" s="5">
        <v>7.7786301499999997</v>
      </c>
    </row>
    <row r="1632" spans="1:4" x14ac:dyDescent="0.2">
      <c r="A1632" s="4">
        <v>55.993888900000002</v>
      </c>
      <c r="B1632" t="s">
        <v>33</v>
      </c>
      <c r="C1632" t="s">
        <v>27</v>
      </c>
      <c r="D1632" s="5">
        <v>7.7807208899999996</v>
      </c>
    </row>
    <row r="1633" spans="1:4" x14ac:dyDescent="0.2">
      <c r="A1633" s="4">
        <v>56.358722200000003</v>
      </c>
      <c r="B1633" t="s">
        <v>33</v>
      </c>
      <c r="C1633" t="s">
        <v>27</v>
      </c>
      <c r="D1633" s="5">
        <v>7.7803030900000003</v>
      </c>
    </row>
    <row r="1634" spans="1:4" x14ac:dyDescent="0.2">
      <c r="A1634" s="4">
        <v>56.723555599999997</v>
      </c>
      <c r="B1634" t="s">
        <v>33</v>
      </c>
      <c r="C1634" t="s">
        <v>27</v>
      </c>
      <c r="D1634" s="5">
        <v>7.7840569999999998</v>
      </c>
    </row>
    <row r="1635" spans="1:4" x14ac:dyDescent="0.2">
      <c r="A1635" s="4">
        <v>57.0883611</v>
      </c>
      <c r="B1635" t="s">
        <v>33</v>
      </c>
      <c r="C1635" t="s">
        <v>27</v>
      </c>
      <c r="D1635" s="5">
        <v>7.7836406</v>
      </c>
    </row>
    <row r="1636" spans="1:4" x14ac:dyDescent="0.2">
      <c r="A1636" s="4">
        <v>57.453194400000001</v>
      </c>
      <c r="B1636" t="s">
        <v>33</v>
      </c>
      <c r="C1636" t="s">
        <v>27</v>
      </c>
      <c r="D1636" s="5">
        <v>7.7828072600000002</v>
      </c>
    </row>
    <row r="1637" spans="1:4" x14ac:dyDescent="0.2">
      <c r="A1637" s="4">
        <v>57.817999999999998</v>
      </c>
      <c r="B1637" t="s">
        <v>33</v>
      </c>
      <c r="C1637" t="s">
        <v>27</v>
      </c>
      <c r="D1637" s="5">
        <v>7.7756957499999997</v>
      </c>
    </row>
    <row r="1638" spans="1:4" x14ac:dyDescent="0.2">
      <c r="A1638" s="4">
        <v>58.182833299999999</v>
      </c>
      <c r="B1638" t="s">
        <v>33</v>
      </c>
      <c r="C1638" t="s">
        <v>27</v>
      </c>
      <c r="D1638" s="5">
        <v>7.7853051799999999</v>
      </c>
    </row>
    <row r="1639" spans="1:4" x14ac:dyDescent="0.2">
      <c r="A1639" s="4">
        <v>58.547638900000003</v>
      </c>
      <c r="B1639" t="s">
        <v>33</v>
      </c>
      <c r="C1639" t="s">
        <v>27</v>
      </c>
      <c r="D1639" s="5">
        <v>7.7786301499999997</v>
      </c>
    </row>
    <row r="1640" spans="1:4" x14ac:dyDescent="0.2">
      <c r="A1640" s="4">
        <v>58.912472200000003</v>
      </c>
      <c r="B1640" t="s">
        <v>33</v>
      </c>
      <c r="C1640" t="s">
        <v>27</v>
      </c>
      <c r="D1640" s="5">
        <v>7.7798851200000003</v>
      </c>
    </row>
    <row r="1641" spans="1:4" x14ac:dyDescent="0.2">
      <c r="A1641" s="4">
        <v>59.2772778</v>
      </c>
      <c r="B1641" t="s">
        <v>33</v>
      </c>
      <c r="C1641" t="s">
        <v>27</v>
      </c>
      <c r="D1641" s="5">
        <v>7.7773735999999998</v>
      </c>
    </row>
    <row r="1642" spans="1:4" x14ac:dyDescent="0.2">
      <c r="A1642" s="4">
        <v>59.642083300000003</v>
      </c>
      <c r="B1642" t="s">
        <v>33</v>
      </c>
      <c r="C1642" t="s">
        <v>27</v>
      </c>
      <c r="D1642" s="5">
        <v>7.7786301499999997</v>
      </c>
    </row>
    <row r="1643" spans="1:4" x14ac:dyDescent="0.2">
      <c r="A1643" s="4">
        <v>60.0068889</v>
      </c>
      <c r="B1643" t="s">
        <v>33</v>
      </c>
      <c r="C1643" t="s">
        <v>27</v>
      </c>
      <c r="D1643" s="5">
        <v>7.7765350299999998</v>
      </c>
    </row>
    <row r="1644" spans="1:4" x14ac:dyDescent="0.2">
      <c r="A1644" s="4">
        <v>60.371722200000001</v>
      </c>
      <c r="B1644" t="s">
        <v>33</v>
      </c>
      <c r="C1644" t="s">
        <v>27</v>
      </c>
      <c r="D1644" s="5">
        <v>7.7773735999999998</v>
      </c>
    </row>
    <row r="1645" spans="1:4" x14ac:dyDescent="0.2">
      <c r="A1645" s="4">
        <v>60.736527799999998</v>
      </c>
      <c r="B1645" t="s">
        <v>33</v>
      </c>
      <c r="C1645" t="s">
        <v>27</v>
      </c>
      <c r="D1645" s="5">
        <v>7.7719102600000003</v>
      </c>
    </row>
    <row r="1646" spans="1:4" x14ac:dyDescent="0.2">
      <c r="A1646" s="4">
        <v>61.1013333</v>
      </c>
      <c r="B1646" t="s">
        <v>33</v>
      </c>
      <c r="C1646" t="s">
        <v>27</v>
      </c>
      <c r="D1646" s="5">
        <v>7.7828072600000002</v>
      </c>
    </row>
    <row r="1647" spans="1:4" x14ac:dyDescent="0.2">
      <c r="A1647" s="4">
        <v>61.466166700000002</v>
      </c>
      <c r="B1647" t="s">
        <v>33</v>
      </c>
      <c r="C1647" t="s">
        <v>27</v>
      </c>
      <c r="D1647" s="5">
        <v>7.76895604</v>
      </c>
    </row>
    <row r="1648" spans="1:4" x14ac:dyDescent="0.2">
      <c r="A1648" s="4">
        <v>61.830972199999998</v>
      </c>
      <c r="B1648" t="s">
        <v>33</v>
      </c>
      <c r="C1648" t="s">
        <v>27</v>
      </c>
      <c r="D1648" s="5">
        <v>7.7794669699999996</v>
      </c>
    </row>
    <row r="1649" spans="1:4" x14ac:dyDescent="0.2">
      <c r="A1649" s="4">
        <v>62.1958056</v>
      </c>
      <c r="B1649" t="s">
        <v>33</v>
      </c>
      <c r="C1649" t="s">
        <v>27</v>
      </c>
      <c r="D1649" s="5">
        <v>7.76895604</v>
      </c>
    </row>
    <row r="1650" spans="1:4" x14ac:dyDescent="0.2">
      <c r="A1650" s="4">
        <v>62.560638900000001</v>
      </c>
      <c r="B1650" t="s">
        <v>33</v>
      </c>
      <c r="C1650" t="s">
        <v>27</v>
      </c>
      <c r="D1650" s="5">
        <v>7.7735944699999999</v>
      </c>
    </row>
    <row r="1651" spans="1:4" x14ac:dyDescent="0.2">
      <c r="A1651" s="4">
        <v>62.925444400000003</v>
      </c>
      <c r="B1651" t="s">
        <v>33</v>
      </c>
      <c r="C1651" t="s">
        <v>27</v>
      </c>
      <c r="D1651" s="5">
        <v>7.7765350299999998</v>
      </c>
    </row>
    <row r="1652" spans="1:4" x14ac:dyDescent="0.2">
      <c r="A1652" s="4">
        <v>63.29025</v>
      </c>
      <c r="B1652" t="s">
        <v>33</v>
      </c>
      <c r="C1652" t="s">
        <v>27</v>
      </c>
      <c r="D1652" s="5">
        <v>7.7740150799999999</v>
      </c>
    </row>
    <row r="1653" spans="1:4" x14ac:dyDescent="0.2">
      <c r="A1653" s="4">
        <v>63.655083300000001</v>
      </c>
      <c r="B1653" t="s">
        <v>33</v>
      </c>
      <c r="C1653" t="s">
        <v>27</v>
      </c>
      <c r="D1653" s="5">
        <v>7.7811385099999999</v>
      </c>
    </row>
    <row r="1654" spans="1:4" x14ac:dyDescent="0.2">
      <c r="A1654" s="4">
        <v>64.019888899999998</v>
      </c>
      <c r="B1654" t="s">
        <v>33</v>
      </c>
      <c r="C1654" t="s">
        <v>27</v>
      </c>
      <c r="D1654" s="5">
        <v>7.7698010000000002</v>
      </c>
    </row>
    <row r="1655" spans="1:4" x14ac:dyDescent="0.2">
      <c r="A1655" s="4">
        <v>64.384694400000001</v>
      </c>
      <c r="B1655" t="s">
        <v>33</v>
      </c>
      <c r="C1655" t="s">
        <v>27</v>
      </c>
      <c r="D1655" s="5">
        <v>7.7752758499999999</v>
      </c>
    </row>
    <row r="1656" spans="1:4" x14ac:dyDescent="0.2">
      <c r="A1656" s="4">
        <v>64.749527799999996</v>
      </c>
      <c r="B1656" t="s">
        <v>33</v>
      </c>
      <c r="C1656" t="s">
        <v>27</v>
      </c>
      <c r="D1656" s="5">
        <v>7.7756957499999997</v>
      </c>
    </row>
    <row r="1657" spans="1:4" x14ac:dyDescent="0.2">
      <c r="A1657" s="4">
        <v>65.114333299999998</v>
      </c>
      <c r="B1657" t="s">
        <v>33</v>
      </c>
      <c r="C1657" t="s">
        <v>27</v>
      </c>
      <c r="D1657" s="5">
        <v>7.7676872799999996</v>
      </c>
    </row>
    <row r="1658" spans="1:4" x14ac:dyDescent="0.2">
      <c r="A1658" s="4">
        <v>65.479166699999993</v>
      </c>
      <c r="B1658" t="s">
        <v>33</v>
      </c>
      <c r="C1658" t="s">
        <v>27</v>
      </c>
      <c r="D1658" s="5">
        <v>7.7719102600000003</v>
      </c>
    </row>
    <row r="1659" spans="1:4" x14ac:dyDescent="0.2">
      <c r="A1659" s="4">
        <v>65.843999999999994</v>
      </c>
      <c r="B1659" t="s">
        <v>33</v>
      </c>
      <c r="C1659" t="s">
        <v>27</v>
      </c>
      <c r="D1659" s="5">
        <v>7.7710670899999998</v>
      </c>
    </row>
    <row r="1660" spans="1:4" x14ac:dyDescent="0.2">
      <c r="A1660" s="4">
        <v>66.208805600000005</v>
      </c>
      <c r="B1660" t="s">
        <v>33</v>
      </c>
      <c r="C1660" t="s">
        <v>27</v>
      </c>
      <c r="D1660" s="5">
        <v>7.7761154799999996</v>
      </c>
    </row>
    <row r="1661" spans="1:4" x14ac:dyDescent="0.2">
      <c r="A1661" s="4">
        <v>66.573611099999994</v>
      </c>
      <c r="B1661" t="s">
        <v>33</v>
      </c>
      <c r="C1661" t="s">
        <v>27</v>
      </c>
      <c r="D1661" s="5">
        <v>7.7681103800000004</v>
      </c>
    </row>
    <row r="1662" spans="1:4" x14ac:dyDescent="0.2">
      <c r="A1662" s="4">
        <v>66.938444399999995</v>
      </c>
      <c r="B1662" t="s">
        <v>33</v>
      </c>
      <c r="C1662" t="s">
        <v>27</v>
      </c>
      <c r="D1662" s="5">
        <v>7.7761154799999996</v>
      </c>
    </row>
    <row r="1663" spans="1:4" x14ac:dyDescent="0.2">
      <c r="A1663" s="4">
        <v>67.303250000000006</v>
      </c>
      <c r="B1663" t="s">
        <v>33</v>
      </c>
      <c r="C1663" t="s">
        <v>27</v>
      </c>
      <c r="D1663" s="5">
        <v>7.7819732300000002</v>
      </c>
    </row>
    <row r="1664" spans="1:4" x14ac:dyDescent="0.2">
      <c r="A1664" s="4">
        <v>67.668083300000006</v>
      </c>
      <c r="B1664" t="s">
        <v>33</v>
      </c>
      <c r="C1664" t="s">
        <v>27</v>
      </c>
      <c r="D1664" s="5">
        <v>7.77443551</v>
      </c>
    </row>
    <row r="1665" spans="1:4" x14ac:dyDescent="0.2">
      <c r="A1665" s="4">
        <v>68.032888900000003</v>
      </c>
      <c r="B1665" t="s">
        <v>33</v>
      </c>
      <c r="C1665" t="s">
        <v>27</v>
      </c>
      <c r="D1665" s="5">
        <v>7.7765350299999998</v>
      </c>
    </row>
    <row r="1666" spans="1:4" x14ac:dyDescent="0.2">
      <c r="A1666" s="4">
        <v>68.397722200000004</v>
      </c>
      <c r="B1666" t="s">
        <v>33</v>
      </c>
      <c r="C1666" t="s">
        <v>27</v>
      </c>
      <c r="D1666" s="5">
        <v>7.7727527199999997</v>
      </c>
    </row>
    <row r="1667" spans="1:4" x14ac:dyDescent="0.2">
      <c r="A1667" s="4">
        <v>68.762527800000001</v>
      </c>
      <c r="B1667" t="s">
        <v>33</v>
      </c>
      <c r="C1667" t="s">
        <v>27</v>
      </c>
      <c r="D1667" s="5">
        <v>7.7698010000000002</v>
      </c>
    </row>
    <row r="1668" spans="1:4" x14ac:dyDescent="0.2">
      <c r="A1668" s="4">
        <v>69.126861099999999</v>
      </c>
      <c r="B1668" t="s">
        <v>33</v>
      </c>
      <c r="C1668" t="s">
        <v>27</v>
      </c>
      <c r="D1668" s="5">
        <v>7.7731736800000002</v>
      </c>
    </row>
    <row r="1669" spans="1:4" x14ac:dyDescent="0.2">
      <c r="A1669" s="4">
        <v>69.491666699999996</v>
      </c>
      <c r="B1669" t="s">
        <v>33</v>
      </c>
      <c r="C1669" t="s">
        <v>27</v>
      </c>
      <c r="D1669" s="5">
        <v>7.7748557700000003</v>
      </c>
    </row>
    <row r="1670" spans="1:4" x14ac:dyDescent="0.2">
      <c r="A1670" s="4">
        <v>69.856499999999997</v>
      </c>
      <c r="B1670" t="s">
        <v>33</v>
      </c>
      <c r="C1670" t="s">
        <v>27</v>
      </c>
      <c r="D1670" s="5">
        <v>7.7693786100000004</v>
      </c>
    </row>
    <row r="1671" spans="1:4" x14ac:dyDescent="0.2">
      <c r="A1671" s="4">
        <v>70.221305599999994</v>
      </c>
      <c r="B1671" t="s">
        <v>33</v>
      </c>
      <c r="C1671" t="s">
        <v>27</v>
      </c>
      <c r="D1671" s="5">
        <v>7.7735944699999999</v>
      </c>
    </row>
    <row r="1672" spans="1:4" x14ac:dyDescent="0.2">
      <c r="A1672" s="4">
        <v>70.586138899999995</v>
      </c>
      <c r="B1672" t="s">
        <v>33</v>
      </c>
      <c r="C1672" t="s">
        <v>27</v>
      </c>
      <c r="D1672" s="5">
        <v>7.7710670899999998</v>
      </c>
    </row>
    <row r="1673" spans="1:4" x14ac:dyDescent="0.2">
      <c r="A1673" s="4">
        <v>70.950972199999995</v>
      </c>
      <c r="B1673" t="s">
        <v>33</v>
      </c>
      <c r="C1673" t="s">
        <v>27</v>
      </c>
      <c r="D1673" s="5">
        <v>7.7786301499999997</v>
      </c>
    </row>
    <row r="1674" spans="1:4" x14ac:dyDescent="0.2">
      <c r="A1674" s="4">
        <v>71.315777800000006</v>
      </c>
      <c r="B1674" t="s">
        <v>33</v>
      </c>
      <c r="C1674" t="s">
        <v>27</v>
      </c>
      <c r="D1674" s="5">
        <v>7.7693786100000004</v>
      </c>
    </row>
    <row r="1675" spans="1:4" x14ac:dyDescent="0.2">
      <c r="A1675" s="4">
        <v>71.680611099999993</v>
      </c>
      <c r="B1675" t="s">
        <v>33</v>
      </c>
      <c r="C1675" t="s">
        <v>27</v>
      </c>
      <c r="D1675" s="5">
        <v>7.7698010000000002</v>
      </c>
    </row>
    <row r="1676" spans="1:4" x14ac:dyDescent="0.2">
      <c r="A1676" s="4">
        <v>72.045416700000004</v>
      </c>
      <c r="B1676" t="s">
        <v>33</v>
      </c>
      <c r="C1676" t="s">
        <v>27</v>
      </c>
      <c r="D1676" s="5">
        <v>7.7714887600000004</v>
      </c>
    </row>
    <row r="1677" spans="1:4" x14ac:dyDescent="0.2">
      <c r="A1677" s="4">
        <v>72.410277800000003</v>
      </c>
      <c r="B1677" t="s">
        <v>33</v>
      </c>
      <c r="C1677" t="s">
        <v>27</v>
      </c>
      <c r="D1677" s="5">
        <v>7.7655690799999997</v>
      </c>
    </row>
    <row r="1678" spans="1:4" x14ac:dyDescent="0.2">
      <c r="A1678" s="4">
        <v>72.775083300000006</v>
      </c>
      <c r="B1678" t="s">
        <v>33</v>
      </c>
      <c r="C1678" t="s">
        <v>27</v>
      </c>
      <c r="D1678" s="5">
        <v>7.7714887600000004</v>
      </c>
    </row>
    <row r="1679" spans="1:4" x14ac:dyDescent="0.2">
      <c r="A1679" s="4">
        <v>73.139916700000001</v>
      </c>
      <c r="B1679" t="s">
        <v>33</v>
      </c>
      <c r="C1679" t="s">
        <v>27</v>
      </c>
      <c r="D1679" s="5">
        <v>7.7727527199999997</v>
      </c>
    </row>
    <row r="1680" spans="1:4" x14ac:dyDescent="0.2">
      <c r="A1680" s="4">
        <v>73.504722200000003</v>
      </c>
      <c r="B1680" t="s">
        <v>33</v>
      </c>
      <c r="C1680" t="s">
        <v>27</v>
      </c>
      <c r="D1680" s="5">
        <v>7.7748557700000003</v>
      </c>
    </row>
    <row r="1681" spans="1:4" x14ac:dyDescent="0.2">
      <c r="A1681" s="4">
        <v>73.8695278</v>
      </c>
      <c r="B1681" t="s">
        <v>33</v>
      </c>
      <c r="C1681" t="s">
        <v>27</v>
      </c>
      <c r="D1681" s="5">
        <v>7.7723315800000004</v>
      </c>
    </row>
    <row r="1682" spans="1:4" x14ac:dyDescent="0.2">
      <c r="A1682" s="4">
        <v>74.234361100000001</v>
      </c>
      <c r="B1682" t="s">
        <v>33</v>
      </c>
      <c r="C1682" t="s">
        <v>27</v>
      </c>
      <c r="D1682" s="5">
        <v>7.7723315800000004</v>
      </c>
    </row>
    <row r="1683" spans="1:4" x14ac:dyDescent="0.2">
      <c r="A1683" s="4">
        <v>74.599166699999998</v>
      </c>
      <c r="B1683" t="s">
        <v>33</v>
      </c>
      <c r="C1683" t="s">
        <v>27</v>
      </c>
      <c r="D1683" s="5">
        <v>7.7685332999999996</v>
      </c>
    </row>
    <row r="1684" spans="1:4" x14ac:dyDescent="0.2">
      <c r="A1684" s="4">
        <v>74.963972200000001</v>
      </c>
      <c r="B1684" t="s">
        <v>33</v>
      </c>
      <c r="C1684" t="s">
        <v>27</v>
      </c>
      <c r="D1684" s="5">
        <v>7.76895604</v>
      </c>
    </row>
    <row r="1685" spans="1:4" x14ac:dyDescent="0.2">
      <c r="A1685" s="4">
        <v>75.328805599999995</v>
      </c>
      <c r="B1685" t="s">
        <v>33</v>
      </c>
      <c r="C1685" t="s">
        <v>27</v>
      </c>
      <c r="D1685" s="5">
        <v>7.7702232000000002</v>
      </c>
    </row>
    <row r="1686" spans="1:4" x14ac:dyDescent="0.2">
      <c r="A1686" s="4">
        <v>75.693611099999998</v>
      </c>
      <c r="B1686" t="s">
        <v>33</v>
      </c>
      <c r="C1686" t="s">
        <v>27</v>
      </c>
      <c r="D1686" s="5">
        <v>7.7676872799999996</v>
      </c>
    </row>
    <row r="1687" spans="1:4" x14ac:dyDescent="0.2">
      <c r="A1687" s="4">
        <v>76.058444399999999</v>
      </c>
      <c r="B1687" t="s">
        <v>33</v>
      </c>
      <c r="C1687" t="s">
        <v>27</v>
      </c>
      <c r="D1687" s="5">
        <v>7.76895604</v>
      </c>
    </row>
    <row r="1688" spans="1:4" x14ac:dyDescent="0.2">
      <c r="A1688" s="4">
        <v>76.423277799999994</v>
      </c>
      <c r="B1688" t="s">
        <v>33</v>
      </c>
      <c r="C1688" t="s">
        <v>27</v>
      </c>
      <c r="D1688" s="5">
        <v>7.7790486400000001</v>
      </c>
    </row>
    <row r="1689" spans="1:4" x14ac:dyDescent="0.2">
      <c r="A1689" s="4">
        <v>76.788083299999997</v>
      </c>
      <c r="B1689" t="s">
        <v>33</v>
      </c>
      <c r="C1689" t="s">
        <v>27</v>
      </c>
      <c r="D1689" s="5">
        <v>7.7685332999999996</v>
      </c>
    </row>
    <row r="1690" spans="1:4" x14ac:dyDescent="0.2">
      <c r="A1690" s="4">
        <v>77.152888899999994</v>
      </c>
      <c r="B1690" t="s">
        <v>33</v>
      </c>
      <c r="C1690" t="s">
        <v>27</v>
      </c>
      <c r="D1690" s="5">
        <v>7.7681103800000004</v>
      </c>
    </row>
    <row r="1691" spans="1:4" x14ac:dyDescent="0.2">
      <c r="A1691" s="4">
        <v>77.517722199999994</v>
      </c>
      <c r="B1691" t="s">
        <v>33</v>
      </c>
      <c r="C1691" t="s">
        <v>27</v>
      </c>
      <c r="D1691" s="5">
        <v>7.77443551</v>
      </c>
    </row>
    <row r="1692" spans="1:4" x14ac:dyDescent="0.2">
      <c r="A1692" s="4">
        <v>77.882555600000003</v>
      </c>
      <c r="B1692" t="s">
        <v>33</v>
      </c>
      <c r="C1692" t="s">
        <v>27</v>
      </c>
      <c r="D1692" s="5">
        <v>7.7676872799999996</v>
      </c>
    </row>
    <row r="1693" spans="1:4" x14ac:dyDescent="0.2">
      <c r="A1693" s="4">
        <v>78.247361100000006</v>
      </c>
      <c r="B1693" t="s">
        <v>33</v>
      </c>
      <c r="C1693" t="s">
        <v>27</v>
      </c>
      <c r="D1693" s="5">
        <v>7.77443551</v>
      </c>
    </row>
    <row r="1694" spans="1:4" x14ac:dyDescent="0.2">
      <c r="A1694" s="4">
        <v>78.612166700000003</v>
      </c>
      <c r="B1694" t="s">
        <v>33</v>
      </c>
      <c r="C1694" t="s">
        <v>27</v>
      </c>
      <c r="D1694" s="5">
        <v>7.7621706100000001</v>
      </c>
    </row>
    <row r="1695" spans="1:4" x14ac:dyDescent="0.2">
      <c r="A1695" s="4">
        <v>78.977000000000004</v>
      </c>
      <c r="B1695" t="s">
        <v>33</v>
      </c>
      <c r="C1695" t="s">
        <v>27</v>
      </c>
      <c r="D1695" s="5">
        <v>7.7706452300000004</v>
      </c>
    </row>
    <row r="1696" spans="1:4" x14ac:dyDescent="0.2">
      <c r="A1696" s="4">
        <v>79.341805600000001</v>
      </c>
      <c r="B1696" t="s">
        <v>33</v>
      </c>
      <c r="C1696" t="s">
        <v>27</v>
      </c>
      <c r="D1696" s="5">
        <v>7.7672639999999999</v>
      </c>
    </row>
    <row r="1697" spans="1:4" x14ac:dyDescent="0.2">
      <c r="A1697" s="4">
        <v>79.706638900000002</v>
      </c>
      <c r="B1697" t="s">
        <v>33</v>
      </c>
      <c r="C1697" t="s">
        <v>27</v>
      </c>
      <c r="D1697" s="5">
        <v>7.76895604</v>
      </c>
    </row>
    <row r="1698" spans="1:4" x14ac:dyDescent="0.2">
      <c r="A1698" s="4">
        <v>80.071444400000004</v>
      </c>
      <c r="B1698" t="s">
        <v>33</v>
      </c>
      <c r="C1698" t="s">
        <v>27</v>
      </c>
      <c r="D1698" s="5">
        <v>7.7693786100000004</v>
      </c>
    </row>
    <row r="1699" spans="1:4" x14ac:dyDescent="0.2">
      <c r="A1699" s="4">
        <v>80.436250000000001</v>
      </c>
      <c r="B1699" t="s">
        <v>33</v>
      </c>
      <c r="C1699" t="s">
        <v>27</v>
      </c>
      <c r="D1699" s="5">
        <v>7.7672639999999999</v>
      </c>
    </row>
    <row r="1700" spans="1:4" x14ac:dyDescent="0.2">
      <c r="A1700" s="4">
        <v>80.801083300000002</v>
      </c>
      <c r="B1700" t="s">
        <v>33</v>
      </c>
      <c r="C1700" t="s">
        <v>27</v>
      </c>
      <c r="D1700" s="5">
        <v>7.7685332999999996</v>
      </c>
    </row>
    <row r="1701" spans="1:4" x14ac:dyDescent="0.2">
      <c r="A1701" s="4">
        <v>81.165888899999999</v>
      </c>
      <c r="B1701" t="s">
        <v>33</v>
      </c>
      <c r="C1701" t="s">
        <v>27</v>
      </c>
      <c r="D1701" s="5">
        <v>7.7723315800000004</v>
      </c>
    </row>
    <row r="1702" spans="1:4" x14ac:dyDescent="0.2">
      <c r="A1702" s="4">
        <v>81.5307222</v>
      </c>
      <c r="B1702" t="s">
        <v>33</v>
      </c>
      <c r="C1702" t="s">
        <v>27</v>
      </c>
      <c r="D1702" s="5">
        <v>7.7710670899999998</v>
      </c>
    </row>
    <row r="1703" spans="1:4" x14ac:dyDescent="0.2">
      <c r="A1703" s="4">
        <v>81.895555599999994</v>
      </c>
      <c r="B1703" t="s">
        <v>33</v>
      </c>
      <c r="C1703" t="s">
        <v>27</v>
      </c>
      <c r="D1703" s="5">
        <v>7.7668405399999996</v>
      </c>
    </row>
    <row r="1704" spans="1:4" x14ac:dyDescent="0.2">
      <c r="A1704" s="4">
        <v>82.260361099999997</v>
      </c>
      <c r="B1704" t="s">
        <v>33</v>
      </c>
      <c r="C1704" t="s">
        <v>27</v>
      </c>
      <c r="D1704" s="5">
        <v>7.7735944699999999</v>
      </c>
    </row>
    <row r="1705" spans="1:4" x14ac:dyDescent="0.2">
      <c r="A1705" s="4">
        <v>82.625194399999998</v>
      </c>
      <c r="B1705" t="s">
        <v>33</v>
      </c>
      <c r="C1705" t="s">
        <v>27</v>
      </c>
      <c r="D1705" s="5">
        <v>7.7731736800000002</v>
      </c>
    </row>
    <row r="1706" spans="1:4" x14ac:dyDescent="0.2">
      <c r="A1706" s="4">
        <v>82.99</v>
      </c>
      <c r="B1706" t="s">
        <v>33</v>
      </c>
      <c r="C1706" t="s">
        <v>27</v>
      </c>
      <c r="D1706" s="5">
        <v>7.7727527199999997</v>
      </c>
    </row>
    <row r="1707" spans="1:4" x14ac:dyDescent="0.2">
      <c r="A1707" s="4">
        <v>83.354805600000006</v>
      </c>
      <c r="B1707" t="s">
        <v>33</v>
      </c>
      <c r="C1707" t="s">
        <v>27</v>
      </c>
      <c r="D1707" s="5">
        <v>7.7773735999999998</v>
      </c>
    </row>
    <row r="1708" spans="1:4" x14ac:dyDescent="0.2">
      <c r="A1708" s="4">
        <v>83.719638900000007</v>
      </c>
      <c r="B1708" t="s">
        <v>33</v>
      </c>
      <c r="C1708" t="s">
        <v>27</v>
      </c>
      <c r="D1708" s="5">
        <v>7.7761154799999996</v>
      </c>
    </row>
    <row r="1709" spans="1:4" x14ac:dyDescent="0.2">
      <c r="A1709" s="4">
        <v>84.084472199999993</v>
      </c>
      <c r="B1709" t="s">
        <v>33</v>
      </c>
      <c r="C1709" t="s">
        <v>27</v>
      </c>
      <c r="D1709" s="5">
        <v>7.7710670899999998</v>
      </c>
    </row>
    <row r="1710" spans="1:4" x14ac:dyDescent="0.2">
      <c r="A1710" s="4">
        <v>84.449277800000004</v>
      </c>
      <c r="B1710" t="s">
        <v>33</v>
      </c>
      <c r="C1710" t="s">
        <v>27</v>
      </c>
      <c r="D1710" s="5">
        <v>7.7706452300000004</v>
      </c>
    </row>
    <row r="1711" spans="1:4" x14ac:dyDescent="0.2">
      <c r="A1711" s="4">
        <v>84.814111100000005</v>
      </c>
      <c r="B1711" t="s">
        <v>33</v>
      </c>
      <c r="C1711" t="s">
        <v>27</v>
      </c>
      <c r="D1711" s="5">
        <v>7.7731736800000002</v>
      </c>
    </row>
    <row r="1712" spans="1:4" x14ac:dyDescent="0.2">
      <c r="A1712" s="4">
        <v>85.178916700000002</v>
      </c>
      <c r="B1712" t="s">
        <v>33</v>
      </c>
      <c r="C1712" t="s">
        <v>27</v>
      </c>
      <c r="D1712" s="5">
        <v>7.7748557700000003</v>
      </c>
    </row>
    <row r="1713" spans="1:4" x14ac:dyDescent="0.2">
      <c r="A1713" s="4">
        <v>85.543750000000003</v>
      </c>
      <c r="B1713" t="s">
        <v>33</v>
      </c>
      <c r="C1713" t="s">
        <v>27</v>
      </c>
      <c r="D1713" s="5">
        <v>7.7706452300000004</v>
      </c>
    </row>
    <row r="1714" spans="1:4" x14ac:dyDescent="0.2">
      <c r="A1714" s="4">
        <v>85.9085556</v>
      </c>
      <c r="B1714" t="s">
        <v>33</v>
      </c>
      <c r="C1714" t="s">
        <v>27</v>
      </c>
      <c r="D1714" s="5">
        <v>7.7659930800000003</v>
      </c>
    </row>
    <row r="1715" spans="1:4" x14ac:dyDescent="0.2">
      <c r="A1715" s="4">
        <v>86.2733889</v>
      </c>
      <c r="B1715" t="s">
        <v>33</v>
      </c>
      <c r="C1715" t="s">
        <v>27</v>
      </c>
      <c r="D1715" s="5">
        <v>7.7685332999999996</v>
      </c>
    </row>
    <row r="1716" spans="1:4" x14ac:dyDescent="0.2">
      <c r="A1716" s="4">
        <v>86.638194400000003</v>
      </c>
      <c r="B1716" t="s">
        <v>33</v>
      </c>
      <c r="C1716" t="s">
        <v>27</v>
      </c>
      <c r="D1716" s="5">
        <v>7.7672639999999999</v>
      </c>
    </row>
    <row r="1717" spans="1:4" x14ac:dyDescent="0.2">
      <c r="A1717" s="4">
        <v>87.003</v>
      </c>
      <c r="B1717" t="s">
        <v>33</v>
      </c>
      <c r="C1717" t="s">
        <v>27</v>
      </c>
      <c r="D1717" s="5">
        <v>7.7702232000000002</v>
      </c>
    </row>
    <row r="1718" spans="1:4" x14ac:dyDescent="0.2">
      <c r="A1718" s="4">
        <v>87.367833300000001</v>
      </c>
      <c r="B1718" t="s">
        <v>33</v>
      </c>
      <c r="C1718" t="s">
        <v>27</v>
      </c>
      <c r="D1718" s="5">
        <v>7.7723315800000004</v>
      </c>
    </row>
    <row r="1719" spans="1:4" x14ac:dyDescent="0.2">
      <c r="A1719" s="4">
        <v>87.732638899999998</v>
      </c>
      <c r="B1719" t="s">
        <v>33</v>
      </c>
      <c r="C1719" t="s">
        <v>27</v>
      </c>
      <c r="D1719" s="5">
        <v>7.7735944699999999</v>
      </c>
    </row>
    <row r="1720" spans="1:4" x14ac:dyDescent="0.2">
      <c r="A1720" s="4">
        <v>88.097583299999997</v>
      </c>
      <c r="B1720" t="s">
        <v>33</v>
      </c>
      <c r="C1720" t="s">
        <v>27</v>
      </c>
      <c r="D1720" s="5">
        <v>7.7719102600000003</v>
      </c>
    </row>
    <row r="1721" spans="1:4" x14ac:dyDescent="0.2">
      <c r="A1721" s="4">
        <v>88.462388899999993</v>
      </c>
      <c r="B1721" t="s">
        <v>33</v>
      </c>
      <c r="C1721" t="s">
        <v>27</v>
      </c>
      <c r="D1721" s="5">
        <v>7.76259605</v>
      </c>
    </row>
    <row r="1722" spans="1:4" x14ac:dyDescent="0.2">
      <c r="A1722" s="4">
        <v>88.827222199999994</v>
      </c>
      <c r="B1722" t="s">
        <v>33</v>
      </c>
      <c r="C1722" t="s">
        <v>27</v>
      </c>
      <c r="D1722" s="5">
        <v>7.7723315800000004</v>
      </c>
    </row>
    <row r="1723" spans="1:4" x14ac:dyDescent="0.2">
      <c r="A1723" s="4">
        <v>89.192027800000005</v>
      </c>
      <c r="B1723" t="s">
        <v>33</v>
      </c>
      <c r="C1723" t="s">
        <v>27</v>
      </c>
      <c r="D1723" s="5">
        <v>7.7731736800000002</v>
      </c>
    </row>
    <row r="1724" spans="1:4" x14ac:dyDescent="0.2">
      <c r="A1724" s="4">
        <v>89.556833299999994</v>
      </c>
      <c r="B1724" t="s">
        <v>33</v>
      </c>
      <c r="C1724" t="s">
        <v>27</v>
      </c>
      <c r="D1724" s="5">
        <v>7.7702232000000002</v>
      </c>
    </row>
    <row r="1725" spans="1:4" x14ac:dyDescent="0.2">
      <c r="A1725" s="4">
        <v>89.921666700000003</v>
      </c>
      <c r="B1725" t="s">
        <v>33</v>
      </c>
      <c r="C1725" t="s">
        <v>27</v>
      </c>
      <c r="D1725" s="5">
        <v>7.7681103800000004</v>
      </c>
    </row>
    <row r="1726" spans="1:4" x14ac:dyDescent="0.2">
      <c r="A1726" s="4">
        <v>90.286472200000006</v>
      </c>
      <c r="B1726" t="s">
        <v>33</v>
      </c>
      <c r="C1726" t="s">
        <v>27</v>
      </c>
      <c r="D1726" s="5">
        <v>7.7681103800000004</v>
      </c>
    </row>
    <row r="1727" spans="1:4" x14ac:dyDescent="0.2">
      <c r="A1727" s="4">
        <v>90.651305600000001</v>
      </c>
      <c r="B1727" t="s">
        <v>33</v>
      </c>
      <c r="C1727" t="s">
        <v>27</v>
      </c>
      <c r="D1727" s="5">
        <v>7.7706452300000004</v>
      </c>
    </row>
    <row r="1728" spans="1:4" x14ac:dyDescent="0.2">
      <c r="A1728" s="4">
        <v>91.016111100000003</v>
      </c>
      <c r="B1728" t="s">
        <v>33</v>
      </c>
      <c r="C1728" t="s">
        <v>27</v>
      </c>
      <c r="D1728" s="5">
        <v>7.7664169000000003</v>
      </c>
    </row>
    <row r="1729" spans="1:4" x14ac:dyDescent="0.2">
      <c r="A1729" s="4">
        <v>91.381</v>
      </c>
      <c r="B1729" t="s">
        <v>33</v>
      </c>
      <c r="C1729" t="s">
        <v>27</v>
      </c>
      <c r="D1729" s="5">
        <v>7.7659930800000003</v>
      </c>
    </row>
    <row r="1730" spans="1:4" x14ac:dyDescent="0.2">
      <c r="A1730" s="4">
        <v>91.745833300000001</v>
      </c>
      <c r="B1730" t="s">
        <v>33</v>
      </c>
      <c r="C1730" t="s">
        <v>27</v>
      </c>
      <c r="D1730" s="5">
        <v>7.7761154799999996</v>
      </c>
    </row>
    <row r="1731" spans="1:4" x14ac:dyDescent="0.2">
      <c r="A1731" s="4">
        <v>0</v>
      </c>
      <c r="B1731" t="s">
        <v>33</v>
      </c>
      <c r="C1731" t="s">
        <v>4</v>
      </c>
      <c r="D1731" s="5">
        <v>5.4638318100000003</v>
      </c>
    </row>
    <row r="1732" spans="1:4" x14ac:dyDescent="0.2">
      <c r="A1732" s="4">
        <v>0.36480555999999997</v>
      </c>
      <c r="B1732" t="s">
        <v>33</v>
      </c>
      <c r="C1732" t="s">
        <v>4</v>
      </c>
      <c r="D1732" s="5">
        <v>5.4249500199999998</v>
      </c>
    </row>
    <row r="1733" spans="1:4" x14ac:dyDescent="0.2">
      <c r="A1733" s="4">
        <v>0.72961111000000001</v>
      </c>
      <c r="B1733" t="s">
        <v>33</v>
      </c>
      <c r="C1733" t="s">
        <v>4</v>
      </c>
      <c r="D1733" s="5">
        <v>5.4071717699999997</v>
      </c>
    </row>
    <row r="1734" spans="1:4" x14ac:dyDescent="0.2">
      <c r="A1734" s="4">
        <v>1.09441667</v>
      </c>
      <c r="B1734" t="s">
        <v>33</v>
      </c>
      <c r="C1734" t="s">
        <v>4</v>
      </c>
      <c r="D1734" s="5">
        <v>5.4026773800000001</v>
      </c>
    </row>
    <row r="1735" spans="1:4" x14ac:dyDescent="0.2">
      <c r="A1735" s="4">
        <v>1.4592499999999999</v>
      </c>
      <c r="B1735" t="s">
        <v>33</v>
      </c>
      <c r="C1735" t="s">
        <v>4</v>
      </c>
      <c r="D1735" s="5">
        <v>5.4205350000000001</v>
      </c>
    </row>
    <row r="1736" spans="1:4" x14ac:dyDescent="0.2">
      <c r="A1736" s="4">
        <v>1.82402778</v>
      </c>
      <c r="B1736" t="s">
        <v>33</v>
      </c>
      <c r="C1736" t="s">
        <v>4</v>
      </c>
      <c r="D1736" s="5">
        <v>5.4249500199999998</v>
      </c>
    </row>
    <row r="1737" spans="1:4" x14ac:dyDescent="0.2">
      <c r="A1737" s="4">
        <v>2.1888611099999999</v>
      </c>
      <c r="B1737" t="s">
        <v>33</v>
      </c>
      <c r="C1737" t="s">
        <v>4</v>
      </c>
      <c r="D1737" s="5">
        <v>5.4116460499999999</v>
      </c>
    </row>
    <row r="1738" spans="1:4" x14ac:dyDescent="0.2">
      <c r="A1738" s="4">
        <v>2.5536944400000001</v>
      </c>
      <c r="B1738" t="s">
        <v>33</v>
      </c>
      <c r="C1738" t="s">
        <v>4</v>
      </c>
      <c r="D1738" s="5">
        <v>5.4071717699999997</v>
      </c>
    </row>
    <row r="1739" spans="1:4" x14ac:dyDescent="0.2">
      <c r="A1739" s="4">
        <v>2.9184999999999999</v>
      </c>
      <c r="B1739" t="s">
        <v>33</v>
      </c>
      <c r="C1739" t="s">
        <v>4</v>
      </c>
      <c r="D1739" s="5">
        <v>5.3981627000000003</v>
      </c>
    </row>
    <row r="1740" spans="1:4" x14ac:dyDescent="0.2">
      <c r="A1740" s="4">
        <v>3.2833055600000001</v>
      </c>
      <c r="B1740" t="s">
        <v>33</v>
      </c>
      <c r="C1740" t="s">
        <v>4</v>
      </c>
      <c r="D1740" s="5">
        <v>5.4205350000000001</v>
      </c>
    </row>
    <row r="1741" spans="1:4" x14ac:dyDescent="0.2">
      <c r="A1741" s="4">
        <v>3.6481388899999998</v>
      </c>
      <c r="B1741" t="s">
        <v>33</v>
      </c>
      <c r="C1741" t="s">
        <v>4</v>
      </c>
      <c r="D1741" s="5">
        <v>5.4337220000000004</v>
      </c>
    </row>
    <row r="1742" spans="1:4" x14ac:dyDescent="0.2">
      <c r="A1742" s="4">
        <v>4.01297222</v>
      </c>
      <c r="B1742" t="s">
        <v>33</v>
      </c>
      <c r="C1742" t="s">
        <v>4</v>
      </c>
      <c r="D1742" s="5">
        <v>5.4071717699999997</v>
      </c>
    </row>
    <row r="1743" spans="1:4" x14ac:dyDescent="0.2">
      <c r="A1743" s="4">
        <v>4.3777777799999997</v>
      </c>
      <c r="B1743" t="s">
        <v>33</v>
      </c>
      <c r="C1743" t="s">
        <v>4</v>
      </c>
      <c r="D1743" s="5">
        <v>5.4205350000000001</v>
      </c>
    </row>
    <row r="1744" spans="1:4" x14ac:dyDescent="0.2">
      <c r="A1744" s="4">
        <v>4.7425833300000004</v>
      </c>
      <c r="B1744" t="s">
        <v>33</v>
      </c>
      <c r="C1744" t="s">
        <v>4</v>
      </c>
      <c r="D1744" s="5">
        <v>5.4161004000000004</v>
      </c>
    </row>
    <row r="1745" spans="1:4" x14ac:dyDescent="0.2">
      <c r="A1745" s="4">
        <v>5.1073888900000002</v>
      </c>
      <c r="B1745" t="s">
        <v>33</v>
      </c>
      <c r="C1745" t="s">
        <v>4</v>
      </c>
      <c r="D1745" s="5">
        <v>5.4293456300000003</v>
      </c>
    </row>
    <row r="1746" spans="1:4" x14ac:dyDescent="0.2">
      <c r="A1746" s="4">
        <v>5.4722222199999999</v>
      </c>
      <c r="B1746" t="s">
        <v>33</v>
      </c>
      <c r="C1746" t="s">
        <v>4</v>
      </c>
      <c r="D1746" s="5">
        <v>5.4337220000000004</v>
      </c>
    </row>
    <row r="1747" spans="1:4" x14ac:dyDescent="0.2">
      <c r="A1747" s="4">
        <v>5.8370277799999997</v>
      </c>
      <c r="B1747" t="s">
        <v>33</v>
      </c>
      <c r="C1747" t="s">
        <v>4</v>
      </c>
      <c r="D1747" s="5">
        <v>5.4161004000000004</v>
      </c>
    </row>
    <row r="1748" spans="1:4" x14ac:dyDescent="0.2">
      <c r="A1748" s="4">
        <v>6.2018611100000003</v>
      </c>
      <c r="B1748" t="s">
        <v>33</v>
      </c>
      <c r="C1748" t="s">
        <v>4</v>
      </c>
      <c r="D1748" s="5">
        <v>5.4467373700000001</v>
      </c>
    </row>
    <row r="1749" spans="1:4" x14ac:dyDescent="0.2">
      <c r="A1749" s="4">
        <v>6.56666667</v>
      </c>
      <c r="B1749" t="s">
        <v>33</v>
      </c>
      <c r="C1749" t="s">
        <v>4</v>
      </c>
      <c r="D1749" s="5">
        <v>5.43807931</v>
      </c>
    </row>
    <row r="1750" spans="1:4" x14ac:dyDescent="0.2">
      <c r="A1750" s="4">
        <v>6.9314722199999999</v>
      </c>
      <c r="B1750" t="s">
        <v>33</v>
      </c>
      <c r="C1750" t="s">
        <v>4</v>
      </c>
      <c r="D1750" s="5">
        <v>5.4205350000000001</v>
      </c>
    </row>
    <row r="1751" spans="1:4" x14ac:dyDescent="0.2">
      <c r="A1751" s="4">
        <v>7.2963055600000004</v>
      </c>
      <c r="B1751" t="s">
        <v>33</v>
      </c>
      <c r="C1751" t="s">
        <v>4</v>
      </c>
      <c r="D1751" s="5">
        <v>5.43807931</v>
      </c>
    </row>
    <row r="1752" spans="1:4" x14ac:dyDescent="0.2">
      <c r="A1752" s="4">
        <v>7.6611388900000001</v>
      </c>
      <c r="B1752" t="s">
        <v>33</v>
      </c>
      <c r="C1752" t="s">
        <v>4</v>
      </c>
      <c r="D1752" s="5">
        <v>5.44241771</v>
      </c>
    </row>
    <row r="1753" spans="1:4" x14ac:dyDescent="0.2">
      <c r="A1753" s="4">
        <v>8.02594444</v>
      </c>
      <c r="B1753" t="s">
        <v>33</v>
      </c>
      <c r="C1753" t="s">
        <v>4</v>
      </c>
      <c r="D1753" s="5">
        <v>5.43807931</v>
      </c>
    </row>
    <row r="1754" spans="1:4" x14ac:dyDescent="0.2">
      <c r="A1754" s="4">
        <v>8.3907500000000006</v>
      </c>
      <c r="B1754" t="s">
        <v>33</v>
      </c>
      <c r="C1754" t="s">
        <v>4</v>
      </c>
      <c r="D1754" s="5">
        <v>5.4293456300000003</v>
      </c>
    </row>
    <row r="1755" spans="1:4" x14ac:dyDescent="0.2">
      <c r="A1755" s="4">
        <v>8.7555833300000003</v>
      </c>
      <c r="B1755" t="s">
        <v>33</v>
      </c>
      <c r="C1755" t="s">
        <v>4</v>
      </c>
      <c r="D1755" s="5">
        <v>5.44241771</v>
      </c>
    </row>
    <row r="1756" spans="1:4" x14ac:dyDescent="0.2">
      <c r="A1756" s="4">
        <v>9.1204166699999991</v>
      </c>
      <c r="B1756" t="s">
        <v>33</v>
      </c>
      <c r="C1756" t="s">
        <v>4</v>
      </c>
      <c r="D1756" s="5">
        <v>5.4680601400000004</v>
      </c>
    </row>
    <row r="1757" spans="1:4" x14ac:dyDescent="0.2">
      <c r="A1757" s="4">
        <v>9.4852222200000007</v>
      </c>
      <c r="B1757" t="s">
        <v>33</v>
      </c>
      <c r="C1757" t="s">
        <v>4</v>
      </c>
      <c r="D1757" s="5">
        <v>5.4638318100000003</v>
      </c>
    </row>
    <row r="1758" spans="1:4" x14ac:dyDescent="0.2">
      <c r="A1758" s="4">
        <v>9.8500277799999996</v>
      </c>
      <c r="B1758" t="s">
        <v>33</v>
      </c>
      <c r="C1758" t="s">
        <v>4</v>
      </c>
      <c r="D1758" s="5">
        <v>5.4595855100000001</v>
      </c>
    </row>
    <row r="1759" spans="1:4" x14ac:dyDescent="0.2">
      <c r="A1759" s="4">
        <v>10.2148611</v>
      </c>
      <c r="B1759" t="s">
        <v>33</v>
      </c>
      <c r="C1759" t="s">
        <v>4</v>
      </c>
      <c r="D1759" s="5">
        <v>5.4467373700000001</v>
      </c>
    </row>
    <row r="1760" spans="1:4" x14ac:dyDescent="0.2">
      <c r="A1760" s="4">
        <v>10.579666700000001</v>
      </c>
      <c r="B1760" t="s">
        <v>33</v>
      </c>
      <c r="C1760" t="s">
        <v>4</v>
      </c>
      <c r="D1760" s="5">
        <v>5.4638318100000003</v>
      </c>
    </row>
    <row r="1761" spans="1:4" x14ac:dyDescent="0.2">
      <c r="A1761" s="4">
        <v>10.9445</v>
      </c>
      <c r="B1761" t="s">
        <v>33</v>
      </c>
      <c r="C1761" t="s">
        <v>4</v>
      </c>
      <c r="D1761" s="5">
        <v>5.4680601400000004</v>
      </c>
    </row>
    <row r="1762" spans="1:4" x14ac:dyDescent="0.2">
      <c r="A1762" s="4">
        <v>11.3093056</v>
      </c>
      <c r="B1762" t="s">
        <v>33</v>
      </c>
      <c r="C1762" t="s">
        <v>4</v>
      </c>
      <c r="D1762" s="5">
        <v>5.4764635500000001</v>
      </c>
    </row>
    <row r="1763" spans="1:4" x14ac:dyDescent="0.2">
      <c r="A1763" s="4">
        <v>11.674138900000001</v>
      </c>
      <c r="B1763" t="s">
        <v>33</v>
      </c>
      <c r="C1763" t="s">
        <v>4</v>
      </c>
      <c r="D1763" s="5">
        <v>5.4806389199999996</v>
      </c>
    </row>
    <row r="1764" spans="1:4" x14ac:dyDescent="0.2">
      <c r="A1764" s="4">
        <v>12.0389444</v>
      </c>
      <c r="B1764" t="s">
        <v>33</v>
      </c>
      <c r="C1764" t="s">
        <v>4</v>
      </c>
      <c r="D1764" s="5">
        <v>5.48893773</v>
      </c>
    </row>
    <row r="1765" spans="1:4" x14ac:dyDescent="0.2">
      <c r="A1765" s="4">
        <v>12.4037778</v>
      </c>
      <c r="B1765" t="s">
        <v>33</v>
      </c>
      <c r="C1765" t="s">
        <v>4</v>
      </c>
      <c r="D1765" s="5">
        <v>5.48893773</v>
      </c>
    </row>
    <row r="1766" spans="1:4" x14ac:dyDescent="0.2">
      <c r="A1766" s="4">
        <v>12.7685833</v>
      </c>
      <c r="B1766" t="s">
        <v>33</v>
      </c>
      <c r="C1766" t="s">
        <v>4</v>
      </c>
      <c r="D1766" s="5">
        <v>5.5012582099999996</v>
      </c>
    </row>
    <row r="1767" spans="1:4" x14ac:dyDescent="0.2">
      <c r="A1767" s="4">
        <v>13.1334167</v>
      </c>
      <c r="B1767" t="s">
        <v>33</v>
      </c>
      <c r="C1767" t="s">
        <v>4</v>
      </c>
      <c r="D1767" s="5">
        <v>5.5012582099999996</v>
      </c>
    </row>
    <row r="1768" spans="1:4" x14ac:dyDescent="0.2">
      <c r="A1768" s="4">
        <v>13.498222200000001</v>
      </c>
      <c r="B1768" t="s">
        <v>33</v>
      </c>
      <c r="C1768" t="s">
        <v>4</v>
      </c>
      <c r="D1768" s="5">
        <v>5.5093883400000001</v>
      </c>
    </row>
    <row r="1769" spans="1:4" x14ac:dyDescent="0.2">
      <c r="A1769" s="4">
        <v>13.863055599999999</v>
      </c>
      <c r="B1769" t="s">
        <v>33</v>
      </c>
      <c r="C1769" t="s">
        <v>4</v>
      </c>
      <c r="D1769" s="5">
        <v>5.5134287500000001</v>
      </c>
    </row>
    <row r="1770" spans="1:4" x14ac:dyDescent="0.2">
      <c r="A1770" s="4">
        <v>14.2278611</v>
      </c>
      <c r="B1770" t="s">
        <v>33</v>
      </c>
      <c r="C1770" t="s">
        <v>4</v>
      </c>
      <c r="D1770" s="5">
        <v>5.5174529000000003</v>
      </c>
    </row>
    <row r="1771" spans="1:4" x14ac:dyDescent="0.2">
      <c r="A1771" s="4">
        <v>14.592694399999999</v>
      </c>
      <c r="B1771" t="s">
        <v>33</v>
      </c>
      <c r="C1771" t="s">
        <v>4</v>
      </c>
      <c r="D1771" s="5">
        <v>5.5134287500000001</v>
      </c>
    </row>
    <row r="1772" spans="1:4" x14ac:dyDescent="0.2">
      <c r="A1772" s="4">
        <v>14.9575</v>
      </c>
      <c r="B1772" t="s">
        <v>33</v>
      </c>
      <c r="C1772" t="s">
        <v>4</v>
      </c>
      <c r="D1772" s="5">
        <v>5.5333894900000002</v>
      </c>
    </row>
    <row r="1773" spans="1:4" x14ac:dyDescent="0.2">
      <c r="A1773" s="4">
        <v>15.3223333</v>
      </c>
      <c r="B1773" t="s">
        <v>33</v>
      </c>
      <c r="C1773" t="s">
        <v>4</v>
      </c>
      <c r="D1773" s="5">
        <v>5.5373342699999997</v>
      </c>
    </row>
    <row r="1774" spans="1:4" x14ac:dyDescent="0.2">
      <c r="A1774" s="4">
        <v>15.687138900000001</v>
      </c>
      <c r="B1774" t="s">
        <v>33</v>
      </c>
      <c r="C1774" t="s">
        <v>4</v>
      </c>
      <c r="D1774" s="5">
        <v>5.5333894900000002</v>
      </c>
    </row>
    <row r="1775" spans="1:4" x14ac:dyDescent="0.2">
      <c r="A1775" s="4">
        <v>16.051972200000002</v>
      </c>
      <c r="B1775" t="s">
        <v>33</v>
      </c>
      <c r="C1775" t="s">
        <v>4</v>
      </c>
      <c r="D1775" s="5">
        <v>5.5451774399999998</v>
      </c>
    </row>
    <row r="1776" spans="1:4" x14ac:dyDescent="0.2">
      <c r="A1776" s="4">
        <v>16.416777799999998</v>
      </c>
      <c r="B1776" t="s">
        <v>33</v>
      </c>
      <c r="C1776" t="s">
        <v>4</v>
      </c>
      <c r="D1776" s="5">
        <v>5.5797298299999998</v>
      </c>
    </row>
    <row r="1777" spans="1:4" x14ac:dyDescent="0.2">
      <c r="A1777" s="4">
        <v>16.781611099999999</v>
      </c>
      <c r="B1777" t="s">
        <v>33</v>
      </c>
      <c r="C1777" t="s">
        <v>4</v>
      </c>
      <c r="D1777" s="5">
        <v>5.5759490999999999</v>
      </c>
    </row>
    <row r="1778" spans="1:4" x14ac:dyDescent="0.2">
      <c r="A1778" s="4">
        <v>17.1464167</v>
      </c>
      <c r="B1778" t="s">
        <v>33</v>
      </c>
      <c r="C1778" t="s">
        <v>4</v>
      </c>
      <c r="D1778" s="5">
        <v>5.5834963100000001</v>
      </c>
    </row>
    <row r="1779" spans="1:4" x14ac:dyDescent="0.2">
      <c r="A1779" s="4">
        <v>17.511222199999999</v>
      </c>
      <c r="B1779" t="s">
        <v>33</v>
      </c>
      <c r="C1779" t="s">
        <v>4</v>
      </c>
      <c r="D1779" s="5">
        <v>5.5834963100000001</v>
      </c>
    </row>
    <row r="1780" spans="1:4" x14ac:dyDescent="0.2">
      <c r="A1780" s="4">
        <v>17.876055600000001</v>
      </c>
      <c r="B1780" t="s">
        <v>33</v>
      </c>
      <c r="C1780" t="s">
        <v>4</v>
      </c>
      <c r="D1780" s="5">
        <v>5.5984219599999996</v>
      </c>
    </row>
    <row r="1781" spans="1:4" x14ac:dyDescent="0.2">
      <c r="A1781" s="4">
        <v>18.2408611</v>
      </c>
      <c r="B1781" t="s">
        <v>33</v>
      </c>
      <c r="C1781" t="s">
        <v>4</v>
      </c>
      <c r="D1781" s="5">
        <v>5.6058020700000002</v>
      </c>
    </row>
    <row r="1782" spans="1:4" x14ac:dyDescent="0.2">
      <c r="A1782" s="4">
        <v>18.605694400000001</v>
      </c>
      <c r="B1782" t="s">
        <v>33</v>
      </c>
      <c r="C1782" t="s">
        <v>4</v>
      </c>
      <c r="D1782" s="5">
        <v>5.6240175099999998</v>
      </c>
    </row>
    <row r="1783" spans="1:4" x14ac:dyDescent="0.2">
      <c r="A1783" s="4">
        <v>18.970527799999999</v>
      </c>
      <c r="B1783" t="s">
        <v>33</v>
      </c>
      <c r="C1783" t="s">
        <v>4</v>
      </c>
      <c r="D1783" s="5">
        <v>5.6347896000000004</v>
      </c>
    </row>
    <row r="1784" spans="1:4" x14ac:dyDescent="0.2">
      <c r="A1784" s="4">
        <v>19.335333299999999</v>
      </c>
      <c r="B1784" t="s">
        <v>33</v>
      </c>
      <c r="C1784" t="s">
        <v>4</v>
      </c>
      <c r="D1784" s="5">
        <v>5.6454468999999996</v>
      </c>
    </row>
    <row r="1785" spans="1:4" x14ac:dyDescent="0.2">
      <c r="A1785" s="4">
        <v>19.700138899999999</v>
      </c>
      <c r="B1785" t="s">
        <v>33</v>
      </c>
      <c r="C1785" t="s">
        <v>4</v>
      </c>
      <c r="D1785" s="5">
        <v>5.6767538000000002</v>
      </c>
    </row>
    <row r="1786" spans="1:4" x14ac:dyDescent="0.2">
      <c r="A1786" s="4">
        <v>20.0649722</v>
      </c>
      <c r="B1786" t="s">
        <v>33</v>
      </c>
      <c r="C1786" t="s">
        <v>4</v>
      </c>
      <c r="D1786" s="5">
        <v>5.6835797699999997</v>
      </c>
    </row>
    <row r="1787" spans="1:4" x14ac:dyDescent="0.2">
      <c r="A1787" s="4">
        <v>20.4297778</v>
      </c>
      <c r="B1787" t="s">
        <v>33</v>
      </c>
      <c r="C1787" t="s">
        <v>4</v>
      </c>
      <c r="D1787" s="5">
        <v>5.7137328099999998</v>
      </c>
    </row>
    <row r="1788" spans="1:4" x14ac:dyDescent="0.2">
      <c r="A1788" s="4">
        <v>20.794611100000001</v>
      </c>
      <c r="B1788" t="s">
        <v>33</v>
      </c>
      <c r="C1788" t="s">
        <v>4</v>
      </c>
      <c r="D1788" s="5">
        <v>5.7300997799999998</v>
      </c>
    </row>
    <row r="1789" spans="1:4" x14ac:dyDescent="0.2">
      <c r="A1789" s="4">
        <v>21.159416700000001</v>
      </c>
      <c r="B1789" t="s">
        <v>33</v>
      </c>
      <c r="C1789" t="s">
        <v>4</v>
      </c>
      <c r="D1789" s="5">
        <v>5.7397929100000002</v>
      </c>
    </row>
    <row r="1790" spans="1:4" x14ac:dyDescent="0.2">
      <c r="A1790" s="4">
        <v>21.524333299999999</v>
      </c>
      <c r="B1790" t="s">
        <v>33</v>
      </c>
      <c r="C1790" t="s">
        <v>4</v>
      </c>
      <c r="D1790" s="5">
        <v>5.7620513799999999</v>
      </c>
    </row>
    <row r="1791" spans="1:4" x14ac:dyDescent="0.2">
      <c r="A1791" s="4">
        <v>21.889166700000001</v>
      </c>
      <c r="B1791" t="s">
        <v>33</v>
      </c>
      <c r="C1791" t="s">
        <v>4</v>
      </c>
      <c r="D1791" s="5">
        <v>5.79301361</v>
      </c>
    </row>
    <row r="1792" spans="1:4" x14ac:dyDescent="0.2">
      <c r="A1792" s="4">
        <v>22.2539722</v>
      </c>
      <c r="B1792" t="s">
        <v>33</v>
      </c>
      <c r="C1792" t="s">
        <v>4</v>
      </c>
      <c r="D1792" s="5">
        <v>5.8111409900000002</v>
      </c>
    </row>
    <row r="1793" spans="1:4" x14ac:dyDescent="0.2">
      <c r="A1793" s="4">
        <v>22.6187778</v>
      </c>
      <c r="B1793" t="s">
        <v>33</v>
      </c>
      <c r="C1793" t="s">
        <v>4</v>
      </c>
      <c r="D1793" s="5">
        <v>5.8406416600000002</v>
      </c>
    </row>
    <row r="1794" spans="1:4" x14ac:dyDescent="0.2">
      <c r="A1794" s="4">
        <v>22.983611100000001</v>
      </c>
      <c r="B1794" t="s">
        <v>33</v>
      </c>
      <c r="C1794" t="s">
        <v>4</v>
      </c>
      <c r="D1794" s="5">
        <v>5.8805329899999998</v>
      </c>
    </row>
    <row r="1795" spans="1:4" x14ac:dyDescent="0.2">
      <c r="A1795" s="4">
        <v>23.349916700000001</v>
      </c>
      <c r="B1795" t="s">
        <v>33</v>
      </c>
      <c r="C1795" t="s">
        <v>4</v>
      </c>
      <c r="D1795" s="5">
        <v>5.8944028299999998</v>
      </c>
    </row>
    <row r="1796" spans="1:4" x14ac:dyDescent="0.2">
      <c r="A1796" s="4">
        <v>23.714722200000001</v>
      </c>
      <c r="B1796" t="s">
        <v>33</v>
      </c>
      <c r="C1796" t="s">
        <v>4</v>
      </c>
      <c r="D1796" s="5">
        <v>5.9215784200000003</v>
      </c>
    </row>
    <row r="1797" spans="1:4" x14ac:dyDescent="0.2">
      <c r="A1797" s="4">
        <v>24.079555599999999</v>
      </c>
      <c r="B1797" t="s">
        <v>33</v>
      </c>
      <c r="C1797" t="s">
        <v>4</v>
      </c>
      <c r="D1797" s="5">
        <v>5.9584246900000002</v>
      </c>
    </row>
    <row r="1798" spans="1:4" x14ac:dyDescent="0.2">
      <c r="A1798" s="4">
        <v>24.444888899999999</v>
      </c>
      <c r="B1798" t="s">
        <v>33</v>
      </c>
      <c r="C1798" t="s">
        <v>4</v>
      </c>
      <c r="D1798" s="5">
        <v>5.99645209</v>
      </c>
    </row>
    <row r="1799" spans="1:4" x14ac:dyDescent="0.2">
      <c r="A1799" s="4">
        <v>24.809194399999999</v>
      </c>
      <c r="B1799" t="s">
        <v>33</v>
      </c>
      <c r="C1799" t="s">
        <v>4</v>
      </c>
      <c r="D1799" s="5">
        <v>6.0330862200000004</v>
      </c>
    </row>
    <row r="1800" spans="1:4" x14ac:dyDescent="0.2">
      <c r="A1800" s="4">
        <v>25.174027800000001</v>
      </c>
      <c r="B1800" t="s">
        <v>33</v>
      </c>
      <c r="C1800" t="s">
        <v>4</v>
      </c>
      <c r="D1800" s="5">
        <v>6.0776422400000003</v>
      </c>
    </row>
    <row r="1801" spans="1:4" x14ac:dyDescent="0.2">
      <c r="A1801" s="4">
        <v>25.5388333</v>
      </c>
      <c r="B1801" t="s">
        <v>33</v>
      </c>
      <c r="C1801" t="s">
        <v>4</v>
      </c>
      <c r="D1801" s="5">
        <v>6.1268691799999999</v>
      </c>
    </row>
    <row r="1802" spans="1:4" x14ac:dyDescent="0.2">
      <c r="A1802" s="4">
        <v>25.903666699999999</v>
      </c>
      <c r="B1802" t="s">
        <v>33</v>
      </c>
      <c r="C1802" t="s">
        <v>4</v>
      </c>
      <c r="D1802" s="5">
        <v>6.1548580900000003</v>
      </c>
    </row>
    <row r="1803" spans="1:4" x14ac:dyDescent="0.2">
      <c r="A1803" s="4">
        <v>26.268472200000001</v>
      </c>
      <c r="B1803" t="s">
        <v>33</v>
      </c>
      <c r="C1803" t="s">
        <v>4</v>
      </c>
      <c r="D1803" s="5">
        <v>6.2085900299999999</v>
      </c>
    </row>
    <row r="1804" spans="1:4" x14ac:dyDescent="0.2">
      <c r="A1804" s="4">
        <v>26.6333056</v>
      </c>
      <c r="B1804" t="s">
        <v>33</v>
      </c>
      <c r="C1804" t="s">
        <v>4</v>
      </c>
      <c r="D1804" s="5">
        <v>6.2785214199999997</v>
      </c>
    </row>
    <row r="1805" spans="1:4" x14ac:dyDescent="0.2">
      <c r="A1805" s="4">
        <v>26.998111099999999</v>
      </c>
      <c r="B1805" t="s">
        <v>33</v>
      </c>
      <c r="C1805" t="s">
        <v>4</v>
      </c>
      <c r="D1805" s="5">
        <v>6.3279367799999999</v>
      </c>
    </row>
    <row r="1806" spans="1:4" x14ac:dyDescent="0.2">
      <c r="A1806" s="4">
        <v>27.3629444</v>
      </c>
      <c r="B1806" t="s">
        <v>33</v>
      </c>
      <c r="C1806" t="s">
        <v>4</v>
      </c>
      <c r="D1806" s="5">
        <v>6.3818160199999996</v>
      </c>
    </row>
    <row r="1807" spans="1:4" x14ac:dyDescent="0.2">
      <c r="A1807" s="4">
        <v>27.72775</v>
      </c>
      <c r="B1807" t="s">
        <v>33</v>
      </c>
      <c r="C1807" t="s">
        <v>4</v>
      </c>
      <c r="D1807" s="5">
        <v>6.4504704200000003</v>
      </c>
    </row>
    <row r="1808" spans="1:4" x14ac:dyDescent="0.2">
      <c r="A1808" s="4">
        <v>30.091833300000001</v>
      </c>
      <c r="B1808" t="s">
        <v>33</v>
      </c>
      <c r="C1808" t="s">
        <v>4</v>
      </c>
      <c r="D1808" s="5">
        <v>6.79122146</v>
      </c>
    </row>
    <row r="1809" spans="1:4" x14ac:dyDescent="0.2">
      <c r="A1809" s="4">
        <v>30.4566667</v>
      </c>
      <c r="B1809" t="s">
        <v>33</v>
      </c>
      <c r="C1809" t="s">
        <v>4</v>
      </c>
      <c r="D1809" s="5">
        <v>6.9707300800000001</v>
      </c>
    </row>
    <row r="1810" spans="1:4" x14ac:dyDescent="0.2">
      <c r="A1810" s="4">
        <v>30.821472199999999</v>
      </c>
      <c r="B1810" t="s">
        <v>33</v>
      </c>
      <c r="C1810" t="s">
        <v>4</v>
      </c>
      <c r="D1810" s="5">
        <v>7.0639039600000002</v>
      </c>
    </row>
    <row r="1811" spans="1:4" x14ac:dyDescent="0.2">
      <c r="A1811" s="4">
        <v>31.186305600000001</v>
      </c>
      <c r="B1811" t="s">
        <v>33</v>
      </c>
      <c r="C1811" t="s">
        <v>4</v>
      </c>
      <c r="D1811" s="5">
        <v>7.1348908499999997</v>
      </c>
    </row>
    <row r="1812" spans="1:4" x14ac:dyDescent="0.2">
      <c r="A1812" s="4">
        <v>31.5511111</v>
      </c>
      <c r="B1812" t="s">
        <v>33</v>
      </c>
      <c r="C1812" t="s">
        <v>4</v>
      </c>
      <c r="D1812" s="5">
        <v>7.2063772899999998</v>
      </c>
    </row>
    <row r="1813" spans="1:4" x14ac:dyDescent="0.2">
      <c r="A1813" s="4">
        <v>31.915944400000001</v>
      </c>
      <c r="B1813" t="s">
        <v>33</v>
      </c>
      <c r="C1813" t="s">
        <v>4</v>
      </c>
      <c r="D1813" s="5">
        <v>7.2800082499999998</v>
      </c>
    </row>
    <row r="1814" spans="1:4" x14ac:dyDescent="0.2">
      <c r="A1814" s="4">
        <v>32.280777800000003</v>
      </c>
      <c r="B1814" t="s">
        <v>33</v>
      </c>
      <c r="C1814" t="s">
        <v>4</v>
      </c>
      <c r="D1814" s="5">
        <v>7.3626452699999998</v>
      </c>
    </row>
    <row r="1815" spans="1:4" x14ac:dyDescent="0.2">
      <c r="A1815" s="4">
        <v>32.645583299999998</v>
      </c>
      <c r="B1815" t="s">
        <v>33</v>
      </c>
      <c r="C1815" t="s">
        <v>4</v>
      </c>
      <c r="D1815" s="5">
        <v>7.4667994799999997</v>
      </c>
    </row>
    <row r="1816" spans="1:4" x14ac:dyDescent="0.2">
      <c r="A1816" s="4">
        <v>33.0104167</v>
      </c>
      <c r="B1816" t="s">
        <v>33</v>
      </c>
      <c r="C1816" t="s">
        <v>4</v>
      </c>
      <c r="D1816" s="5">
        <v>7.5776338299999999</v>
      </c>
    </row>
    <row r="1817" spans="1:4" x14ac:dyDescent="0.2">
      <c r="A1817" s="4">
        <v>33.375222200000003</v>
      </c>
      <c r="B1817" t="s">
        <v>33</v>
      </c>
      <c r="C1817" t="s">
        <v>4</v>
      </c>
      <c r="D1817" s="5">
        <v>7.6783263599999998</v>
      </c>
    </row>
    <row r="1818" spans="1:4" x14ac:dyDescent="0.2">
      <c r="A1818" s="4">
        <v>33.7400278</v>
      </c>
      <c r="B1818" t="s">
        <v>33</v>
      </c>
      <c r="C1818" t="s">
        <v>4</v>
      </c>
      <c r="D1818" s="5">
        <v>7.7380522999999997</v>
      </c>
    </row>
    <row r="1819" spans="1:4" x14ac:dyDescent="0.2">
      <c r="A1819" s="4">
        <v>34.104861100000001</v>
      </c>
      <c r="B1819" t="s">
        <v>33</v>
      </c>
      <c r="C1819" t="s">
        <v>4</v>
      </c>
      <c r="D1819" s="5">
        <v>7.7570511399999997</v>
      </c>
    </row>
    <row r="1820" spans="1:4" x14ac:dyDescent="0.2">
      <c r="A1820" s="4">
        <v>34.469666699999998</v>
      </c>
      <c r="B1820" t="s">
        <v>33</v>
      </c>
      <c r="C1820" t="s">
        <v>4</v>
      </c>
      <c r="D1820" s="5">
        <v>7.7664169000000003</v>
      </c>
    </row>
    <row r="1821" spans="1:4" x14ac:dyDescent="0.2">
      <c r="A1821" s="4">
        <v>34.834499999999998</v>
      </c>
      <c r="B1821" t="s">
        <v>33</v>
      </c>
      <c r="C1821" t="s">
        <v>4</v>
      </c>
      <c r="D1821" s="5">
        <v>7.7681103800000004</v>
      </c>
    </row>
    <row r="1822" spans="1:4" x14ac:dyDescent="0.2">
      <c r="A1822" s="4">
        <v>35.199305600000002</v>
      </c>
      <c r="B1822" t="s">
        <v>33</v>
      </c>
      <c r="C1822" t="s">
        <v>4</v>
      </c>
      <c r="D1822" s="5">
        <v>7.7651449000000001</v>
      </c>
    </row>
    <row r="1823" spans="1:4" x14ac:dyDescent="0.2">
      <c r="A1823" s="4">
        <v>35.564111099999998</v>
      </c>
      <c r="B1823" t="s">
        <v>33</v>
      </c>
      <c r="C1823" t="s">
        <v>4</v>
      </c>
      <c r="D1823" s="5">
        <v>7.7693786100000004</v>
      </c>
    </row>
    <row r="1824" spans="1:4" x14ac:dyDescent="0.2">
      <c r="A1824" s="4">
        <v>35.928944399999999</v>
      </c>
      <c r="B1824" t="s">
        <v>33</v>
      </c>
      <c r="C1824" t="s">
        <v>4</v>
      </c>
      <c r="D1824" s="5">
        <v>7.7798851200000003</v>
      </c>
    </row>
    <row r="1825" spans="1:4" x14ac:dyDescent="0.2">
      <c r="A1825" s="4">
        <v>36.293750000000003</v>
      </c>
      <c r="B1825" t="s">
        <v>33</v>
      </c>
      <c r="C1825" t="s">
        <v>4</v>
      </c>
      <c r="D1825" s="5">
        <v>7.7836406</v>
      </c>
    </row>
    <row r="1826" spans="1:4" x14ac:dyDescent="0.2">
      <c r="A1826" s="4">
        <v>36.658583299999997</v>
      </c>
      <c r="B1826" t="s">
        <v>33</v>
      </c>
      <c r="C1826" t="s">
        <v>4</v>
      </c>
      <c r="D1826" s="5">
        <v>7.7756957499999997</v>
      </c>
    </row>
    <row r="1827" spans="1:4" x14ac:dyDescent="0.2">
      <c r="A1827" s="4">
        <v>37.0233889</v>
      </c>
      <c r="B1827" t="s">
        <v>33</v>
      </c>
      <c r="C1827" t="s">
        <v>4</v>
      </c>
      <c r="D1827" s="5">
        <v>7.7769544000000002</v>
      </c>
    </row>
    <row r="1828" spans="1:4" x14ac:dyDescent="0.2">
      <c r="A1828" s="4">
        <v>37.388222200000001</v>
      </c>
      <c r="B1828" t="s">
        <v>33</v>
      </c>
      <c r="C1828" t="s">
        <v>4</v>
      </c>
      <c r="D1828" s="5">
        <v>7.7811385099999999</v>
      </c>
    </row>
    <row r="1829" spans="1:4" x14ac:dyDescent="0.2">
      <c r="A1829" s="4">
        <v>37.753055600000003</v>
      </c>
      <c r="B1829" t="s">
        <v>33</v>
      </c>
      <c r="C1829" t="s">
        <v>4</v>
      </c>
      <c r="D1829" s="5">
        <v>7.7803030900000003</v>
      </c>
    </row>
    <row r="1830" spans="1:4" x14ac:dyDescent="0.2">
      <c r="A1830" s="4">
        <v>38.117861099999999</v>
      </c>
      <c r="B1830" t="s">
        <v>33</v>
      </c>
      <c r="C1830" t="s">
        <v>4</v>
      </c>
      <c r="D1830" s="5">
        <v>7.7811385099999999</v>
      </c>
    </row>
    <row r="1831" spans="1:4" x14ac:dyDescent="0.2">
      <c r="A1831" s="4">
        <v>38.4826944</v>
      </c>
      <c r="B1831" t="s">
        <v>33</v>
      </c>
      <c r="C1831" t="s">
        <v>4</v>
      </c>
      <c r="D1831" s="5">
        <v>7.7811385099999999</v>
      </c>
    </row>
    <row r="1832" spans="1:4" x14ac:dyDescent="0.2">
      <c r="A1832" s="4">
        <v>38.847499999999997</v>
      </c>
      <c r="B1832" t="s">
        <v>33</v>
      </c>
      <c r="C1832" t="s">
        <v>4</v>
      </c>
      <c r="D1832" s="5">
        <v>7.7935867999999999</v>
      </c>
    </row>
    <row r="1833" spans="1:4" x14ac:dyDescent="0.2">
      <c r="A1833" s="4">
        <v>39.212305600000001</v>
      </c>
      <c r="B1833" t="s">
        <v>33</v>
      </c>
      <c r="C1833" t="s">
        <v>4</v>
      </c>
      <c r="D1833" s="5">
        <v>7.7877968800000001</v>
      </c>
    </row>
    <row r="1834" spans="1:4" x14ac:dyDescent="0.2">
      <c r="A1834" s="4">
        <v>39.577138900000001</v>
      </c>
      <c r="B1834" t="s">
        <v>33</v>
      </c>
      <c r="C1834" t="s">
        <v>4</v>
      </c>
      <c r="D1834" s="5">
        <v>7.7894545700000002</v>
      </c>
    </row>
    <row r="1835" spans="1:4" x14ac:dyDescent="0.2">
      <c r="A1835" s="4">
        <v>39.941944399999997</v>
      </c>
      <c r="B1835" t="s">
        <v>33</v>
      </c>
      <c r="C1835" t="s">
        <v>4</v>
      </c>
      <c r="D1835" s="5">
        <v>7.7832240199999996</v>
      </c>
    </row>
    <row r="1836" spans="1:4" x14ac:dyDescent="0.2">
      <c r="A1836" s="4">
        <v>40.306777799999999</v>
      </c>
      <c r="B1836" t="s">
        <v>33</v>
      </c>
      <c r="C1836" t="s">
        <v>4</v>
      </c>
      <c r="D1836" s="5">
        <v>7.7931743500000001</v>
      </c>
    </row>
    <row r="1837" spans="1:4" x14ac:dyDescent="0.2">
      <c r="A1837" s="4">
        <v>40.6716944</v>
      </c>
      <c r="B1837" t="s">
        <v>33</v>
      </c>
      <c r="C1837" t="s">
        <v>4</v>
      </c>
      <c r="D1837" s="5">
        <v>7.7944112099999998</v>
      </c>
    </row>
    <row r="1838" spans="1:4" x14ac:dyDescent="0.2">
      <c r="A1838" s="4">
        <v>41.036499999999997</v>
      </c>
      <c r="B1838" t="s">
        <v>33</v>
      </c>
      <c r="C1838" t="s">
        <v>4</v>
      </c>
      <c r="D1838" s="5">
        <v>7.7968803400000004</v>
      </c>
    </row>
    <row r="1839" spans="1:4" x14ac:dyDescent="0.2">
      <c r="A1839" s="4">
        <v>41.401333299999997</v>
      </c>
      <c r="B1839" t="s">
        <v>33</v>
      </c>
      <c r="C1839" t="s">
        <v>4</v>
      </c>
      <c r="D1839" s="5">
        <v>7.7931743500000001</v>
      </c>
    </row>
    <row r="1840" spans="1:4" x14ac:dyDescent="0.2">
      <c r="A1840" s="4">
        <v>41.766166699999999</v>
      </c>
      <c r="B1840" t="s">
        <v>33</v>
      </c>
      <c r="C1840" t="s">
        <v>4</v>
      </c>
      <c r="D1840" s="5">
        <v>7.79852305</v>
      </c>
    </row>
    <row r="1841" spans="1:4" x14ac:dyDescent="0.2">
      <c r="A1841" s="4">
        <v>42.130972200000002</v>
      </c>
      <c r="B1841" t="s">
        <v>33</v>
      </c>
      <c r="C1841" t="s">
        <v>4</v>
      </c>
      <c r="D1841" s="5">
        <v>7.7861364399999999</v>
      </c>
    </row>
    <row r="1842" spans="1:4" x14ac:dyDescent="0.2">
      <c r="A1842" s="4">
        <v>42.495805599999997</v>
      </c>
      <c r="B1842" t="s">
        <v>33</v>
      </c>
      <c r="C1842" t="s">
        <v>4</v>
      </c>
      <c r="D1842" s="5">
        <v>7.7906960300000003</v>
      </c>
    </row>
    <row r="1843" spans="1:4" x14ac:dyDescent="0.2">
      <c r="A1843" s="4">
        <v>42.8606111</v>
      </c>
      <c r="B1843" t="s">
        <v>33</v>
      </c>
      <c r="C1843" t="s">
        <v>4</v>
      </c>
      <c r="D1843" s="5">
        <v>7.7964692400000004</v>
      </c>
    </row>
    <row r="1844" spans="1:4" x14ac:dyDescent="0.2">
      <c r="A1844" s="4">
        <v>43.225444400000001</v>
      </c>
      <c r="B1844" t="s">
        <v>33</v>
      </c>
      <c r="C1844" t="s">
        <v>4</v>
      </c>
      <c r="D1844" s="5">
        <v>7.7935867999999999</v>
      </c>
    </row>
    <row r="1845" spans="1:4" x14ac:dyDescent="0.2">
      <c r="A1845" s="4">
        <v>43.590277800000003</v>
      </c>
      <c r="B1845" t="s">
        <v>33</v>
      </c>
      <c r="C1845" t="s">
        <v>4</v>
      </c>
      <c r="D1845" s="5">
        <v>7.7923489200000002</v>
      </c>
    </row>
    <row r="1846" spans="1:4" x14ac:dyDescent="0.2">
      <c r="A1846" s="4">
        <v>43.955083299999998</v>
      </c>
      <c r="B1846" t="s">
        <v>33</v>
      </c>
      <c r="C1846" t="s">
        <v>4</v>
      </c>
      <c r="D1846" s="5">
        <v>7.79152282</v>
      </c>
    </row>
    <row r="1847" spans="1:4" x14ac:dyDescent="0.2">
      <c r="A1847" s="4">
        <v>44.319888900000002</v>
      </c>
      <c r="B1847" t="s">
        <v>33</v>
      </c>
      <c r="C1847" t="s">
        <v>4</v>
      </c>
      <c r="D1847" s="5">
        <v>7.7894545700000002</v>
      </c>
    </row>
    <row r="1848" spans="1:4" x14ac:dyDescent="0.2">
      <c r="A1848" s="4">
        <v>44.684722200000003</v>
      </c>
      <c r="B1848" t="s">
        <v>33</v>
      </c>
      <c r="C1848" t="s">
        <v>4</v>
      </c>
      <c r="D1848" s="5">
        <v>7.7848892999999997</v>
      </c>
    </row>
    <row r="1849" spans="1:4" x14ac:dyDescent="0.2">
      <c r="A1849" s="4">
        <v>45.049194399999998</v>
      </c>
      <c r="B1849" t="s">
        <v>33</v>
      </c>
      <c r="C1849" t="s">
        <v>4</v>
      </c>
      <c r="D1849" s="5">
        <v>7.7877968800000001</v>
      </c>
    </row>
    <row r="1850" spans="1:4" x14ac:dyDescent="0.2">
      <c r="A1850" s="4">
        <v>45.4140278</v>
      </c>
      <c r="B1850" t="s">
        <v>33</v>
      </c>
      <c r="C1850" t="s">
        <v>4</v>
      </c>
      <c r="D1850" s="5">
        <v>7.7865518099999997</v>
      </c>
    </row>
    <row r="1851" spans="1:4" x14ac:dyDescent="0.2">
      <c r="A1851" s="4">
        <v>45.778833300000002</v>
      </c>
      <c r="B1851" t="s">
        <v>33</v>
      </c>
      <c r="C1851" t="s">
        <v>4</v>
      </c>
      <c r="D1851" s="5">
        <v>7.7931743500000001</v>
      </c>
    </row>
    <row r="1852" spans="1:4" x14ac:dyDescent="0.2">
      <c r="A1852" s="4">
        <v>46.143666699999997</v>
      </c>
      <c r="B1852" t="s">
        <v>33</v>
      </c>
      <c r="C1852" t="s">
        <v>4</v>
      </c>
      <c r="D1852" s="5">
        <v>7.7832240199999996</v>
      </c>
    </row>
    <row r="1853" spans="1:4" x14ac:dyDescent="0.2">
      <c r="A1853" s="4">
        <v>46.5084722</v>
      </c>
      <c r="B1853" t="s">
        <v>33</v>
      </c>
      <c r="C1853" t="s">
        <v>4</v>
      </c>
      <c r="D1853" s="5">
        <v>7.7906960300000003</v>
      </c>
    </row>
    <row r="1854" spans="1:4" x14ac:dyDescent="0.2">
      <c r="A1854" s="4">
        <v>46.873305600000002</v>
      </c>
      <c r="B1854" t="s">
        <v>33</v>
      </c>
      <c r="C1854" t="s">
        <v>4</v>
      </c>
      <c r="D1854" s="5">
        <v>7.7811385099999999</v>
      </c>
    </row>
    <row r="1855" spans="1:4" x14ac:dyDescent="0.2">
      <c r="A1855" s="4">
        <v>47.238111099999998</v>
      </c>
      <c r="B1855" t="s">
        <v>33</v>
      </c>
      <c r="C1855" t="s">
        <v>4</v>
      </c>
      <c r="D1855" s="5">
        <v>7.79193596</v>
      </c>
    </row>
    <row r="1856" spans="1:4" x14ac:dyDescent="0.2">
      <c r="A1856" s="4">
        <v>47.602944399999998</v>
      </c>
      <c r="B1856" t="s">
        <v>33</v>
      </c>
      <c r="C1856" t="s">
        <v>4</v>
      </c>
      <c r="D1856" s="5">
        <v>7.7828072600000002</v>
      </c>
    </row>
    <row r="1857" spans="1:4" x14ac:dyDescent="0.2">
      <c r="A1857" s="4">
        <v>47.9677778</v>
      </c>
      <c r="B1857" t="s">
        <v>33</v>
      </c>
      <c r="C1857" t="s">
        <v>4</v>
      </c>
      <c r="D1857" s="5">
        <v>7.7906960300000003</v>
      </c>
    </row>
    <row r="1858" spans="1:4" x14ac:dyDescent="0.2">
      <c r="A1858" s="4">
        <v>48.332583300000003</v>
      </c>
      <c r="B1858" t="s">
        <v>33</v>
      </c>
      <c r="C1858" t="s">
        <v>4</v>
      </c>
      <c r="D1858" s="5">
        <v>7.7844732399999996</v>
      </c>
    </row>
    <row r="1859" spans="1:4" x14ac:dyDescent="0.2">
      <c r="A1859" s="4">
        <v>48.697416699999998</v>
      </c>
      <c r="B1859" t="s">
        <v>33</v>
      </c>
      <c r="C1859" t="s">
        <v>4</v>
      </c>
      <c r="D1859" s="5">
        <v>7.7935867999999999</v>
      </c>
    </row>
    <row r="1860" spans="1:4" x14ac:dyDescent="0.2">
      <c r="A1860" s="4">
        <v>49.062222200000001</v>
      </c>
      <c r="B1860" t="s">
        <v>33</v>
      </c>
      <c r="C1860" t="s">
        <v>4</v>
      </c>
      <c r="D1860" s="5">
        <v>7.7857209000000003</v>
      </c>
    </row>
    <row r="1861" spans="1:4" x14ac:dyDescent="0.2">
      <c r="A1861" s="4">
        <v>49.427055600000003</v>
      </c>
      <c r="B1861" t="s">
        <v>33</v>
      </c>
      <c r="C1861" t="s">
        <v>4</v>
      </c>
      <c r="D1861" s="5">
        <v>7.7844732399999996</v>
      </c>
    </row>
    <row r="1862" spans="1:4" x14ac:dyDescent="0.2">
      <c r="A1862" s="4">
        <v>49.791861099999998</v>
      </c>
      <c r="B1862" t="s">
        <v>33</v>
      </c>
      <c r="C1862" t="s">
        <v>4</v>
      </c>
      <c r="D1862" s="5">
        <v>7.7927617199999997</v>
      </c>
    </row>
    <row r="1863" spans="1:4" x14ac:dyDescent="0.2">
      <c r="A1863" s="4">
        <v>50.156694399999999</v>
      </c>
      <c r="B1863" t="s">
        <v>33</v>
      </c>
      <c r="C1863" t="s">
        <v>4</v>
      </c>
      <c r="D1863" s="5">
        <v>7.7861364399999999</v>
      </c>
    </row>
    <row r="1864" spans="1:4" x14ac:dyDescent="0.2">
      <c r="A1864" s="4">
        <v>50.521500000000003</v>
      </c>
      <c r="B1864" t="s">
        <v>33</v>
      </c>
      <c r="C1864" t="s">
        <v>4</v>
      </c>
      <c r="D1864" s="5">
        <v>7.7931743500000001</v>
      </c>
    </row>
    <row r="1865" spans="1:4" x14ac:dyDescent="0.2">
      <c r="A1865" s="4">
        <v>50.886333299999997</v>
      </c>
      <c r="B1865" t="s">
        <v>33</v>
      </c>
      <c r="C1865" t="s">
        <v>4</v>
      </c>
      <c r="D1865" s="5">
        <v>7.7869669999999998</v>
      </c>
    </row>
    <row r="1866" spans="1:4" x14ac:dyDescent="0.2">
      <c r="A1866" s="4">
        <v>51.251138900000001</v>
      </c>
      <c r="B1866" t="s">
        <v>33</v>
      </c>
      <c r="C1866" t="s">
        <v>4</v>
      </c>
      <c r="D1866" s="5">
        <v>7.7844732399999996</v>
      </c>
    </row>
    <row r="1867" spans="1:4" x14ac:dyDescent="0.2">
      <c r="A1867" s="4">
        <v>51.615972200000002</v>
      </c>
      <c r="B1867" t="s">
        <v>33</v>
      </c>
      <c r="C1867" t="s">
        <v>4</v>
      </c>
      <c r="D1867" s="5">
        <v>7.7803030900000003</v>
      </c>
    </row>
    <row r="1868" spans="1:4" x14ac:dyDescent="0.2">
      <c r="A1868" s="4">
        <v>51.980888899999997</v>
      </c>
      <c r="B1868" t="s">
        <v>33</v>
      </c>
      <c r="C1868" t="s">
        <v>4</v>
      </c>
      <c r="D1868" s="5">
        <v>7.7873820299999998</v>
      </c>
    </row>
    <row r="1869" spans="1:4" x14ac:dyDescent="0.2">
      <c r="A1869" s="4">
        <v>52.345694399999999</v>
      </c>
      <c r="B1869" t="s">
        <v>33</v>
      </c>
      <c r="C1869" t="s">
        <v>4</v>
      </c>
      <c r="D1869" s="5">
        <v>7.7823903400000001</v>
      </c>
    </row>
    <row r="1870" spans="1:4" x14ac:dyDescent="0.2">
      <c r="A1870" s="4">
        <v>52.710527800000001</v>
      </c>
      <c r="B1870" t="s">
        <v>33</v>
      </c>
      <c r="C1870" t="s">
        <v>4</v>
      </c>
      <c r="D1870" s="5">
        <v>7.7877968800000001</v>
      </c>
    </row>
    <row r="1871" spans="1:4" x14ac:dyDescent="0.2">
      <c r="A1871" s="4">
        <v>53.075333299999997</v>
      </c>
      <c r="B1871" t="s">
        <v>33</v>
      </c>
      <c r="C1871" t="s">
        <v>4</v>
      </c>
      <c r="D1871" s="5">
        <v>7.7844732399999996</v>
      </c>
    </row>
    <row r="1872" spans="1:4" x14ac:dyDescent="0.2">
      <c r="A1872" s="4">
        <v>53.440166699999999</v>
      </c>
      <c r="B1872" t="s">
        <v>33</v>
      </c>
      <c r="C1872" t="s">
        <v>4</v>
      </c>
      <c r="D1872" s="5">
        <v>7.7873820299999998</v>
      </c>
    </row>
    <row r="1873" spans="1:4" x14ac:dyDescent="0.2">
      <c r="A1873" s="4">
        <v>53.805</v>
      </c>
      <c r="B1873" t="s">
        <v>33</v>
      </c>
      <c r="C1873" t="s">
        <v>4</v>
      </c>
      <c r="D1873" s="5">
        <v>7.7869669999999998</v>
      </c>
    </row>
    <row r="1874" spans="1:4" x14ac:dyDescent="0.2">
      <c r="A1874" s="4">
        <v>54.169805599999997</v>
      </c>
      <c r="B1874" t="s">
        <v>33</v>
      </c>
      <c r="C1874" t="s">
        <v>4</v>
      </c>
      <c r="D1874" s="5">
        <v>7.7803030900000003</v>
      </c>
    </row>
    <row r="1875" spans="1:4" x14ac:dyDescent="0.2">
      <c r="A1875" s="4">
        <v>54.534638899999997</v>
      </c>
      <c r="B1875" t="s">
        <v>33</v>
      </c>
      <c r="C1875" t="s">
        <v>4</v>
      </c>
      <c r="D1875" s="5">
        <v>7.7836406</v>
      </c>
    </row>
    <row r="1876" spans="1:4" x14ac:dyDescent="0.2">
      <c r="A1876" s="4">
        <v>54.8994444</v>
      </c>
      <c r="B1876" t="s">
        <v>33</v>
      </c>
      <c r="C1876" t="s">
        <v>4</v>
      </c>
      <c r="D1876" s="5">
        <v>7.7848892999999997</v>
      </c>
    </row>
    <row r="1877" spans="1:4" x14ac:dyDescent="0.2">
      <c r="A1877" s="4">
        <v>55.264249999999997</v>
      </c>
      <c r="B1877" t="s">
        <v>33</v>
      </c>
      <c r="C1877" t="s">
        <v>4</v>
      </c>
      <c r="D1877" s="5">
        <v>7.7819732300000002</v>
      </c>
    </row>
    <row r="1878" spans="1:4" x14ac:dyDescent="0.2">
      <c r="A1878" s="4">
        <v>55.629083299999998</v>
      </c>
      <c r="B1878" t="s">
        <v>33</v>
      </c>
      <c r="C1878" t="s">
        <v>4</v>
      </c>
      <c r="D1878" s="5">
        <v>7.7823903400000001</v>
      </c>
    </row>
    <row r="1879" spans="1:4" x14ac:dyDescent="0.2">
      <c r="A1879" s="4">
        <v>55.993888900000002</v>
      </c>
      <c r="B1879" t="s">
        <v>33</v>
      </c>
      <c r="C1879" t="s">
        <v>4</v>
      </c>
      <c r="D1879" s="5">
        <v>7.7906960300000003</v>
      </c>
    </row>
    <row r="1880" spans="1:4" x14ac:dyDescent="0.2">
      <c r="A1880" s="4">
        <v>56.358722200000003</v>
      </c>
      <c r="B1880" t="s">
        <v>33</v>
      </c>
      <c r="C1880" t="s">
        <v>4</v>
      </c>
      <c r="D1880" s="5">
        <v>7.7857209000000003</v>
      </c>
    </row>
    <row r="1881" spans="1:4" x14ac:dyDescent="0.2">
      <c r="A1881" s="4">
        <v>56.723555599999997</v>
      </c>
      <c r="B1881" t="s">
        <v>33</v>
      </c>
      <c r="C1881" t="s">
        <v>4</v>
      </c>
      <c r="D1881" s="5">
        <v>7.7911095100000001</v>
      </c>
    </row>
    <row r="1882" spans="1:4" x14ac:dyDescent="0.2">
      <c r="A1882" s="4">
        <v>57.0883611</v>
      </c>
      <c r="B1882" t="s">
        <v>33</v>
      </c>
      <c r="C1882" t="s">
        <v>4</v>
      </c>
      <c r="D1882" s="5">
        <v>7.7898685600000004</v>
      </c>
    </row>
    <row r="1883" spans="1:4" x14ac:dyDescent="0.2">
      <c r="A1883" s="4">
        <v>57.453194400000001</v>
      </c>
      <c r="B1883" t="s">
        <v>33</v>
      </c>
      <c r="C1883" t="s">
        <v>4</v>
      </c>
      <c r="D1883" s="5">
        <v>7.7865518099999997</v>
      </c>
    </row>
    <row r="1884" spans="1:4" x14ac:dyDescent="0.2">
      <c r="A1884" s="4">
        <v>57.817999999999998</v>
      </c>
      <c r="B1884" t="s">
        <v>33</v>
      </c>
      <c r="C1884" t="s">
        <v>4</v>
      </c>
      <c r="D1884" s="5">
        <v>7.79152282</v>
      </c>
    </row>
    <row r="1885" spans="1:4" x14ac:dyDescent="0.2">
      <c r="A1885" s="4">
        <v>58.182833299999999</v>
      </c>
      <c r="B1885" t="s">
        <v>33</v>
      </c>
      <c r="C1885" t="s">
        <v>4</v>
      </c>
      <c r="D1885" s="5">
        <v>7.7823903400000001</v>
      </c>
    </row>
    <row r="1886" spans="1:4" x14ac:dyDescent="0.2">
      <c r="A1886" s="4">
        <v>58.547638900000003</v>
      </c>
      <c r="B1886" t="s">
        <v>33</v>
      </c>
      <c r="C1886" t="s">
        <v>4</v>
      </c>
      <c r="D1886" s="5">
        <v>7.7873820299999998</v>
      </c>
    </row>
    <row r="1887" spans="1:4" x14ac:dyDescent="0.2">
      <c r="A1887" s="4">
        <v>58.912472200000003</v>
      </c>
      <c r="B1887" t="s">
        <v>33</v>
      </c>
      <c r="C1887" t="s">
        <v>4</v>
      </c>
      <c r="D1887" s="5">
        <v>7.7931743500000001</v>
      </c>
    </row>
    <row r="1888" spans="1:4" x14ac:dyDescent="0.2">
      <c r="A1888" s="4">
        <v>59.2772778</v>
      </c>
      <c r="B1888" t="s">
        <v>33</v>
      </c>
      <c r="C1888" t="s">
        <v>4</v>
      </c>
      <c r="D1888" s="5">
        <v>7.7853051799999999</v>
      </c>
    </row>
    <row r="1889" spans="1:4" x14ac:dyDescent="0.2">
      <c r="A1889" s="4">
        <v>59.642083300000003</v>
      </c>
      <c r="B1889" t="s">
        <v>33</v>
      </c>
      <c r="C1889" t="s">
        <v>4</v>
      </c>
      <c r="D1889" s="5">
        <v>7.7861364399999999</v>
      </c>
    </row>
    <row r="1890" spans="1:4" x14ac:dyDescent="0.2">
      <c r="A1890" s="4">
        <v>60.0068889</v>
      </c>
      <c r="B1890" t="s">
        <v>33</v>
      </c>
      <c r="C1890" t="s">
        <v>4</v>
      </c>
      <c r="D1890" s="5">
        <v>7.7844732399999996</v>
      </c>
    </row>
    <row r="1891" spans="1:4" x14ac:dyDescent="0.2">
      <c r="A1891" s="4">
        <v>60.371722200000001</v>
      </c>
      <c r="B1891" t="s">
        <v>33</v>
      </c>
      <c r="C1891" t="s">
        <v>4</v>
      </c>
      <c r="D1891" s="5">
        <v>7.7803030900000003</v>
      </c>
    </row>
    <row r="1892" spans="1:4" x14ac:dyDescent="0.2">
      <c r="A1892" s="4">
        <v>60.736527799999998</v>
      </c>
      <c r="B1892" t="s">
        <v>33</v>
      </c>
      <c r="C1892" t="s">
        <v>4</v>
      </c>
      <c r="D1892" s="5">
        <v>7.7877968800000001</v>
      </c>
    </row>
    <row r="1893" spans="1:4" x14ac:dyDescent="0.2">
      <c r="A1893" s="4">
        <v>61.1013333</v>
      </c>
      <c r="B1893" t="s">
        <v>33</v>
      </c>
      <c r="C1893" t="s">
        <v>4</v>
      </c>
      <c r="D1893" s="5">
        <v>7.7848892999999997</v>
      </c>
    </row>
    <row r="1894" spans="1:4" x14ac:dyDescent="0.2">
      <c r="A1894" s="4">
        <v>61.466166700000002</v>
      </c>
      <c r="B1894" t="s">
        <v>33</v>
      </c>
      <c r="C1894" t="s">
        <v>4</v>
      </c>
      <c r="D1894" s="5">
        <v>7.7777926300000004</v>
      </c>
    </row>
    <row r="1895" spans="1:4" x14ac:dyDescent="0.2">
      <c r="A1895" s="4">
        <v>61.830972199999998</v>
      </c>
      <c r="B1895" t="s">
        <v>33</v>
      </c>
      <c r="C1895" t="s">
        <v>4</v>
      </c>
      <c r="D1895" s="5">
        <v>7.7865518099999997</v>
      </c>
    </row>
    <row r="1896" spans="1:4" x14ac:dyDescent="0.2">
      <c r="A1896" s="4">
        <v>62.1958056</v>
      </c>
      <c r="B1896" t="s">
        <v>33</v>
      </c>
      <c r="C1896" t="s">
        <v>4</v>
      </c>
      <c r="D1896" s="5">
        <v>7.7861364399999999</v>
      </c>
    </row>
    <row r="1897" spans="1:4" x14ac:dyDescent="0.2">
      <c r="A1897" s="4">
        <v>62.560638900000001</v>
      </c>
      <c r="B1897" t="s">
        <v>33</v>
      </c>
      <c r="C1897" t="s">
        <v>4</v>
      </c>
      <c r="D1897" s="5">
        <v>7.7832240199999996</v>
      </c>
    </row>
    <row r="1898" spans="1:4" x14ac:dyDescent="0.2">
      <c r="A1898" s="4">
        <v>62.925444400000003</v>
      </c>
      <c r="B1898" t="s">
        <v>33</v>
      </c>
      <c r="C1898" t="s">
        <v>4</v>
      </c>
      <c r="D1898" s="5">
        <v>7.7923489200000002</v>
      </c>
    </row>
    <row r="1899" spans="1:4" x14ac:dyDescent="0.2">
      <c r="A1899" s="4">
        <v>63.29025</v>
      </c>
      <c r="B1899" t="s">
        <v>33</v>
      </c>
      <c r="C1899" t="s">
        <v>4</v>
      </c>
      <c r="D1899" s="5">
        <v>7.7840569999999998</v>
      </c>
    </row>
    <row r="1900" spans="1:4" x14ac:dyDescent="0.2">
      <c r="A1900" s="4">
        <v>63.655083300000001</v>
      </c>
      <c r="B1900" t="s">
        <v>33</v>
      </c>
      <c r="C1900" t="s">
        <v>4</v>
      </c>
      <c r="D1900" s="5">
        <v>7.7844732399999996</v>
      </c>
    </row>
    <row r="1901" spans="1:4" x14ac:dyDescent="0.2">
      <c r="A1901" s="4">
        <v>64.019888899999998</v>
      </c>
      <c r="B1901" t="s">
        <v>33</v>
      </c>
      <c r="C1901" t="s">
        <v>4</v>
      </c>
      <c r="D1901" s="5">
        <v>7.7865518099999997</v>
      </c>
    </row>
    <row r="1902" spans="1:4" x14ac:dyDescent="0.2">
      <c r="A1902" s="4">
        <v>64.384694400000001</v>
      </c>
      <c r="B1902" t="s">
        <v>33</v>
      </c>
      <c r="C1902" t="s">
        <v>4</v>
      </c>
      <c r="D1902" s="5">
        <v>7.7811385099999999</v>
      </c>
    </row>
    <row r="1903" spans="1:4" x14ac:dyDescent="0.2">
      <c r="A1903" s="4">
        <v>64.749527799999996</v>
      </c>
      <c r="B1903" t="s">
        <v>33</v>
      </c>
      <c r="C1903" t="s">
        <v>4</v>
      </c>
      <c r="D1903" s="5">
        <v>7.7807208899999996</v>
      </c>
    </row>
    <row r="1904" spans="1:4" x14ac:dyDescent="0.2">
      <c r="A1904" s="4">
        <v>65.114333299999998</v>
      </c>
      <c r="B1904" t="s">
        <v>33</v>
      </c>
      <c r="C1904" t="s">
        <v>4</v>
      </c>
      <c r="D1904" s="5">
        <v>7.7836406</v>
      </c>
    </row>
    <row r="1905" spans="1:4" x14ac:dyDescent="0.2">
      <c r="A1905" s="4">
        <v>65.479166699999993</v>
      </c>
      <c r="B1905" t="s">
        <v>33</v>
      </c>
      <c r="C1905" t="s">
        <v>4</v>
      </c>
      <c r="D1905" s="5">
        <v>7.7807208899999996</v>
      </c>
    </row>
    <row r="1906" spans="1:4" x14ac:dyDescent="0.2">
      <c r="A1906" s="4">
        <v>65.843999999999994</v>
      </c>
      <c r="B1906" t="s">
        <v>33</v>
      </c>
      <c r="C1906" t="s">
        <v>4</v>
      </c>
      <c r="D1906" s="5">
        <v>7.7836406</v>
      </c>
    </row>
    <row r="1907" spans="1:4" x14ac:dyDescent="0.2">
      <c r="A1907" s="4">
        <v>66.208805600000005</v>
      </c>
      <c r="B1907" t="s">
        <v>33</v>
      </c>
      <c r="C1907" t="s">
        <v>4</v>
      </c>
      <c r="D1907" s="5">
        <v>7.7844732399999996</v>
      </c>
    </row>
    <row r="1908" spans="1:4" x14ac:dyDescent="0.2">
      <c r="A1908" s="4">
        <v>66.573611099999994</v>
      </c>
      <c r="B1908" t="s">
        <v>33</v>
      </c>
      <c r="C1908" t="s">
        <v>4</v>
      </c>
      <c r="D1908" s="5">
        <v>7.7769544000000002</v>
      </c>
    </row>
    <row r="1909" spans="1:4" x14ac:dyDescent="0.2">
      <c r="A1909" s="4">
        <v>66.938444399999995</v>
      </c>
      <c r="B1909" t="s">
        <v>33</v>
      </c>
      <c r="C1909" t="s">
        <v>4</v>
      </c>
      <c r="D1909" s="5">
        <v>7.7840569999999998</v>
      </c>
    </row>
    <row r="1910" spans="1:4" x14ac:dyDescent="0.2">
      <c r="A1910" s="4">
        <v>67.303250000000006</v>
      </c>
      <c r="B1910" t="s">
        <v>33</v>
      </c>
      <c r="C1910" t="s">
        <v>4</v>
      </c>
      <c r="D1910" s="5">
        <v>7.7865518099999997</v>
      </c>
    </row>
    <row r="1911" spans="1:4" x14ac:dyDescent="0.2">
      <c r="A1911" s="4">
        <v>67.668083300000006</v>
      </c>
      <c r="B1911" t="s">
        <v>33</v>
      </c>
      <c r="C1911" t="s">
        <v>4</v>
      </c>
      <c r="D1911" s="5">
        <v>7.7861364399999999</v>
      </c>
    </row>
    <row r="1912" spans="1:4" x14ac:dyDescent="0.2">
      <c r="A1912" s="4">
        <v>68.032888900000003</v>
      </c>
      <c r="B1912" t="s">
        <v>33</v>
      </c>
      <c r="C1912" t="s">
        <v>4</v>
      </c>
      <c r="D1912" s="5">
        <v>7.7828072600000002</v>
      </c>
    </row>
    <row r="1913" spans="1:4" x14ac:dyDescent="0.2">
      <c r="A1913" s="4">
        <v>68.397722200000004</v>
      </c>
      <c r="B1913" t="s">
        <v>33</v>
      </c>
      <c r="C1913" t="s">
        <v>4</v>
      </c>
      <c r="D1913" s="5">
        <v>7.7777926300000004</v>
      </c>
    </row>
    <row r="1914" spans="1:4" x14ac:dyDescent="0.2">
      <c r="A1914" s="4">
        <v>68.762527800000001</v>
      </c>
      <c r="B1914" t="s">
        <v>33</v>
      </c>
      <c r="C1914" t="s">
        <v>4</v>
      </c>
      <c r="D1914" s="5">
        <v>7.7815559600000004</v>
      </c>
    </row>
    <row r="1915" spans="1:4" x14ac:dyDescent="0.2">
      <c r="A1915" s="4">
        <v>69.126861099999999</v>
      </c>
      <c r="B1915" t="s">
        <v>33</v>
      </c>
      <c r="C1915" t="s">
        <v>4</v>
      </c>
      <c r="D1915" s="5">
        <v>7.7853051799999999</v>
      </c>
    </row>
    <row r="1916" spans="1:4" x14ac:dyDescent="0.2">
      <c r="A1916" s="4">
        <v>69.491666699999996</v>
      </c>
      <c r="B1916" t="s">
        <v>33</v>
      </c>
      <c r="C1916" t="s">
        <v>4</v>
      </c>
      <c r="D1916" s="5">
        <v>7.7786301499999997</v>
      </c>
    </row>
    <row r="1917" spans="1:4" x14ac:dyDescent="0.2">
      <c r="A1917" s="4">
        <v>69.856499999999997</v>
      </c>
      <c r="B1917" t="s">
        <v>33</v>
      </c>
      <c r="C1917" t="s">
        <v>4</v>
      </c>
      <c r="D1917" s="5">
        <v>7.7869669999999998</v>
      </c>
    </row>
    <row r="1918" spans="1:4" x14ac:dyDescent="0.2">
      <c r="A1918" s="4">
        <v>70.221305599999994</v>
      </c>
      <c r="B1918" t="s">
        <v>33</v>
      </c>
      <c r="C1918" t="s">
        <v>4</v>
      </c>
      <c r="D1918" s="5">
        <v>7.7828072600000002</v>
      </c>
    </row>
    <row r="1919" spans="1:4" x14ac:dyDescent="0.2">
      <c r="A1919" s="4">
        <v>70.586138899999995</v>
      </c>
      <c r="B1919" t="s">
        <v>33</v>
      </c>
      <c r="C1919" t="s">
        <v>4</v>
      </c>
      <c r="D1919" s="5">
        <v>7.7873820299999998</v>
      </c>
    </row>
    <row r="1920" spans="1:4" x14ac:dyDescent="0.2">
      <c r="A1920" s="4">
        <v>70.950972199999995</v>
      </c>
      <c r="B1920" t="s">
        <v>33</v>
      </c>
      <c r="C1920" t="s">
        <v>4</v>
      </c>
      <c r="D1920" s="5">
        <v>7.7815559600000004</v>
      </c>
    </row>
    <row r="1921" spans="1:4" x14ac:dyDescent="0.2">
      <c r="A1921" s="4">
        <v>71.315777800000006</v>
      </c>
      <c r="B1921" t="s">
        <v>33</v>
      </c>
      <c r="C1921" t="s">
        <v>4</v>
      </c>
      <c r="D1921" s="5">
        <v>7.7782114699999996</v>
      </c>
    </row>
    <row r="1922" spans="1:4" x14ac:dyDescent="0.2">
      <c r="A1922" s="4">
        <v>71.680611099999993</v>
      </c>
      <c r="B1922" t="s">
        <v>33</v>
      </c>
      <c r="C1922" t="s">
        <v>4</v>
      </c>
      <c r="D1922" s="5">
        <v>7.7844732399999996</v>
      </c>
    </row>
    <row r="1923" spans="1:4" x14ac:dyDescent="0.2">
      <c r="A1923" s="4">
        <v>72.045416700000004</v>
      </c>
      <c r="B1923" t="s">
        <v>33</v>
      </c>
      <c r="C1923" t="s">
        <v>4</v>
      </c>
      <c r="D1923" s="5">
        <v>7.79193596</v>
      </c>
    </row>
    <row r="1924" spans="1:4" x14ac:dyDescent="0.2">
      <c r="A1924" s="4">
        <v>72.410277800000003</v>
      </c>
      <c r="B1924" t="s">
        <v>33</v>
      </c>
      <c r="C1924" t="s">
        <v>4</v>
      </c>
      <c r="D1924" s="5">
        <v>7.7853051799999999</v>
      </c>
    </row>
    <row r="1925" spans="1:4" x14ac:dyDescent="0.2">
      <c r="A1925" s="4">
        <v>72.775083300000006</v>
      </c>
      <c r="B1925" t="s">
        <v>33</v>
      </c>
      <c r="C1925" t="s">
        <v>4</v>
      </c>
      <c r="D1925" s="5">
        <v>7.7794669699999996</v>
      </c>
    </row>
    <row r="1926" spans="1:4" x14ac:dyDescent="0.2">
      <c r="A1926" s="4">
        <v>73.139916700000001</v>
      </c>
      <c r="B1926" t="s">
        <v>33</v>
      </c>
      <c r="C1926" t="s">
        <v>4</v>
      </c>
      <c r="D1926" s="5">
        <v>7.7890404000000002</v>
      </c>
    </row>
    <row r="1927" spans="1:4" x14ac:dyDescent="0.2">
      <c r="A1927" s="4">
        <v>73.504722200000003</v>
      </c>
      <c r="B1927" t="s">
        <v>33</v>
      </c>
      <c r="C1927" t="s">
        <v>4</v>
      </c>
      <c r="D1927" s="5">
        <v>7.7853051799999999</v>
      </c>
    </row>
    <row r="1928" spans="1:4" x14ac:dyDescent="0.2">
      <c r="A1928" s="4">
        <v>73.8695278</v>
      </c>
      <c r="B1928" t="s">
        <v>33</v>
      </c>
      <c r="C1928" t="s">
        <v>4</v>
      </c>
      <c r="D1928" s="5">
        <v>7.7861364399999999</v>
      </c>
    </row>
    <row r="1929" spans="1:4" x14ac:dyDescent="0.2">
      <c r="A1929" s="4">
        <v>74.234361100000001</v>
      </c>
      <c r="B1929" t="s">
        <v>33</v>
      </c>
      <c r="C1929" t="s">
        <v>4</v>
      </c>
      <c r="D1929" s="5">
        <v>7.7823903400000001</v>
      </c>
    </row>
    <row r="1930" spans="1:4" x14ac:dyDescent="0.2">
      <c r="A1930" s="4">
        <v>74.599166699999998</v>
      </c>
      <c r="B1930" t="s">
        <v>33</v>
      </c>
      <c r="C1930" t="s">
        <v>4</v>
      </c>
      <c r="D1930" s="5">
        <v>7.7786301499999997</v>
      </c>
    </row>
    <row r="1931" spans="1:4" x14ac:dyDescent="0.2">
      <c r="A1931" s="4">
        <v>74.963972200000001</v>
      </c>
      <c r="B1931" t="s">
        <v>33</v>
      </c>
      <c r="C1931" t="s">
        <v>4</v>
      </c>
      <c r="D1931" s="5">
        <v>7.7877968800000001</v>
      </c>
    </row>
    <row r="1932" spans="1:4" x14ac:dyDescent="0.2">
      <c r="A1932" s="4">
        <v>75.328805599999995</v>
      </c>
      <c r="B1932" t="s">
        <v>33</v>
      </c>
      <c r="C1932" t="s">
        <v>4</v>
      </c>
      <c r="D1932" s="5">
        <v>7.7865518099999997</v>
      </c>
    </row>
    <row r="1933" spans="1:4" x14ac:dyDescent="0.2">
      <c r="A1933" s="4">
        <v>75.693611099999998</v>
      </c>
      <c r="B1933" t="s">
        <v>33</v>
      </c>
      <c r="C1933" t="s">
        <v>4</v>
      </c>
      <c r="D1933" s="5">
        <v>7.7794669699999996</v>
      </c>
    </row>
    <row r="1934" spans="1:4" x14ac:dyDescent="0.2">
      <c r="A1934" s="4">
        <v>76.058444399999999</v>
      </c>
      <c r="B1934" t="s">
        <v>33</v>
      </c>
      <c r="C1934" t="s">
        <v>4</v>
      </c>
      <c r="D1934" s="5">
        <v>7.79152282</v>
      </c>
    </row>
    <row r="1935" spans="1:4" x14ac:dyDescent="0.2">
      <c r="A1935" s="4">
        <v>76.423277799999994</v>
      </c>
      <c r="B1935" t="s">
        <v>33</v>
      </c>
      <c r="C1935" t="s">
        <v>4</v>
      </c>
      <c r="D1935" s="5">
        <v>7.7832240199999996</v>
      </c>
    </row>
    <row r="1936" spans="1:4" x14ac:dyDescent="0.2">
      <c r="A1936" s="4">
        <v>76.788083299999997</v>
      </c>
      <c r="B1936" t="s">
        <v>33</v>
      </c>
      <c r="C1936" t="s">
        <v>4</v>
      </c>
      <c r="D1936" s="5">
        <v>7.7848892999999997</v>
      </c>
    </row>
    <row r="1937" spans="1:4" x14ac:dyDescent="0.2">
      <c r="A1937" s="4">
        <v>77.152888899999994</v>
      </c>
      <c r="B1937" t="s">
        <v>33</v>
      </c>
      <c r="C1937" t="s">
        <v>4</v>
      </c>
      <c r="D1937" s="5">
        <v>7.7807208899999996</v>
      </c>
    </row>
    <row r="1938" spans="1:4" x14ac:dyDescent="0.2">
      <c r="A1938" s="4">
        <v>77.517722199999994</v>
      </c>
      <c r="B1938" t="s">
        <v>33</v>
      </c>
      <c r="C1938" t="s">
        <v>4</v>
      </c>
      <c r="D1938" s="5">
        <v>7.7836406</v>
      </c>
    </row>
    <row r="1939" spans="1:4" x14ac:dyDescent="0.2">
      <c r="A1939" s="4">
        <v>77.882555600000003</v>
      </c>
      <c r="B1939" t="s">
        <v>33</v>
      </c>
      <c r="C1939" t="s">
        <v>4</v>
      </c>
      <c r="D1939" s="5">
        <v>7.7823903400000001</v>
      </c>
    </row>
    <row r="1940" spans="1:4" x14ac:dyDescent="0.2">
      <c r="A1940" s="4">
        <v>78.247361100000006</v>
      </c>
      <c r="B1940" t="s">
        <v>33</v>
      </c>
      <c r="C1940" t="s">
        <v>4</v>
      </c>
      <c r="D1940" s="5">
        <v>7.7869669999999998</v>
      </c>
    </row>
    <row r="1941" spans="1:4" x14ac:dyDescent="0.2">
      <c r="A1941" s="4">
        <v>78.612166700000003</v>
      </c>
      <c r="B1941" t="s">
        <v>33</v>
      </c>
      <c r="C1941" t="s">
        <v>4</v>
      </c>
      <c r="D1941" s="5">
        <v>7.7882115599999997</v>
      </c>
    </row>
    <row r="1942" spans="1:4" x14ac:dyDescent="0.2">
      <c r="A1942" s="4">
        <v>78.977000000000004</v>
      </c>
      <c r="B1942" t="s">
        <v>33</v>
      </c>
      <c r="C1942" t="s">
        <v>4</v>
      </c>
      <c r="D1942" s="5">
        <v>7.7828072600000002</v>
      </c>
    </row>
    <row r="1943" spans="1:4" x14ac:dyDescent="0.2">
      <c r="A1943" s="4">
        <v>79.341805600000001</v>
      </c>
      <c r="B1943" t="s">
        <v>33</v>
      </c>
      <c r="C1943" t="s">
        <v>4</v>
      </c>
      <c r="D1943" s="5">
        <v>7.7857209000000003</v>
      </c>
    </row>
    <row r="1944" spans="1:4" x14ac:dyDescent="0.2">
      <c r="A1944" s="4">
        <v>79.706638900000002</v>
      </c>
      <c r="B1944" t="s">
        <v>33</v>
      </c>
      <c r="C1944" t="s">
        <v>4</v>
      </c>
      <c r="D1944" s="5">
        <v>7.7836406</v>
      </c>
    </row>
    <row r="1945" spans="1:4" x14ac:dyDescent="0.2">
      <c r="A1945" s="4">
        <v>80.071444400000004</v>
      </c>
      <c r="B1945" t="s">
        <v>33</v>
      </c>
      <c r="C1945" t="s">
        <v>4</v>
      </c>
      <c r="D1945" s="5">
        <v>7.7886260700000003</v>
      </c>
    </row>
    <row r="1946" spans="1:4" x14ac:dyDescent="0.2">
      <c r="A1946" s="4">
        <v>80.436250000000001</v>
      </c>
      <c r="B1946" t="s">
        <v>33</v>
      </c>
      <c r="C1946" t="s">
        <v>4</v>
      </c>
      <c r="D1946" s="5">
        <v>7.7815559600000004</v>
      </c>
    </row>
    <row r="1947" spans="1:4" x14ac:dyDescent="0.2">
      <c r="A1947" s="4">
        <v>80.801083300000002</v>
      </c>
      <c r="B1947" t="s">
        <v>33</v>
      </c>
      <c r="C1947" t="s">
        <v>4</v>
      </c>
      <c r="D1947" s="5">
        <v>7.7798851200000003</v>
      </c>
    </row>
    <row r="1948" spans="1:4" x14ac:dyDescent="0.2">
      <c r="A1948" s="4">
        <v>81.165888899999999</v>
      </c>
      <c r="B1948" t="s">
        <v>33</v>
      </c>
      <c r="C1948" t="s">
        <v>4</v>
      </c>
      <c r="D1948" s="5">
        <v>7.7911095100000001</v>
      </c>
    </row>
    <row r="1949" spans="1:4" x14ac:dyDescent="0.2">
      <c r="A1949" s="4">
        <v>81.5307222</v>
      </c>
      <c r="B1949" t="s">
        <v>33</v>
      </c>
      <c r="C1949" t="s">
        <v>4</v>
      </c>
      <c r="D1949" s="5">
        <v>7.7911095100000001</v>
      </c>
    </row>
    <row r="1950" spans="1:4" x14ac:dyDescent="0.2">
      <c r="A1950" s="4">
        <v>81.895555599999994</v>
      </c>
      <c r="B1950" t="s">
        <v>33</v>
      </c>
      <c r="C1950" t="s">
        <v>4</v>
      </c>
      <c r="D1950" s="5">
        <v>7.7931743500000001</v>
      </c>
    </row>
    <row r="1951" spans="1:4" x14ac:dyDescent="0.2">
      <c r="A1951" s="4">
        <v>82.260361099999997</v>
      </c>
      <c r="B1951" t="s">
        <v>33</v>
      </c>
      <c r="C1951" t="s">
        <v>4</v>
      </c>
      <c r="D1951" s="5">
        <v>7.7836406</v>
      </c>
    </row>
    <row r="1952" spans="1:4" x14ac:dyDescent="0.2">
      <c r="A1952" s="4">
        <v>82.625194399999998</v>
      </c>
      <c r="B1952" t="s">
        <v>33</v>
      </c>
      <c r="C1952" t="s">
        <v>4</v>
      </c>
      <c r="D1952" s="5">
        <v>7.7848892999999997</v>
      </c>
    </row>
    <row r="1953" spans="1:4" x14ac:dyDescent="0.2">
      <c r="A1953" s="4">
        <v>82.99</v>
      </c>
      <c r="B1953" t="s">
        <v>33</v>
      </c>
      <c r="C1953" t="s">
        <v>4</v>
      </c>
      <c r="D1953" s="5">
        <v>7.7886260700000003</v>
      </c>
    </row>
    <row r="1954" spans="1:4" x14ac:dyDescent="0.2">
      <c r="A1954" s="4">
        <v>83.354805600000006</v>
      </c>
      <c r="B1954" t="s">
        <v>33</v>
      </c>
      <c r="C1954" t="s">
        <v>4</v>
      </c>
      <c r="D1954" s="5">
        <v>7.7873820299999998</v>
      </c>
    </row>
    <row r="1955" spans="1:4" x14ac:dyDescent="0.2">
      <c r="A1955" s="4">
        <v>83.719638900000007</v>
      </c>
      <c r="B1955" t="s">
        <v>33</v>
      </c>
      <c r="C1955" t="s">
        <v>4</v>
      </c>
      <c r="D1955" s="5">
        <v>7.7894545700000002</v>
      </c>
    </row>
    <row r="1956" spans="1:4" x14ac:dyDescent="0.2">
      <c r="A1956" s="4">
        <v>84.084472199999993</v>
      </c>
      <c r="B1956" t="s">
        <v>33</v>
      </c>
      <c r="C1956" t="s">
        <v>4</v>
      </c>
      <c r="D1956" s="5">
        <v>7.7823903400000001</v>
      </c>
    </row>
    <row r="1957" spans="1:4" x14ac:dyDescent="0.2">
      <c r="A1957" s="4">
        <v>84.449277800000004</v>
      </c>
      <c r="B1957" t="s">
        <v>33</v>
      </c>
      <c r="C1957" t="s">
        <v>4</v>
      </c>
      <c r="D1957" s="5">
        <v>7.7832240199999996</v>
      </c>
    </row>
    <row r="1958" spans="1:4" x14ac:dyDescent="0.2">
      <c r="A1958" s="4">
        <v>84.814111100000005</v>
      </c>
      <c r="B1958" t="s">
        <v>33</v>
      </c>
      <c r="C1958" t="s">
        <v>4</v>
      </c>
      <c r="D1958" s="5">
        <v>7.7819732300000002</v>
      </c>
    </row>
    <row r="1959" spans="1:4" x14ac:dyDescent="0.2">
      <c r="A1959" s="4">
        <v>85.178916700000002</v>
      </c>
      <c r="B1959" t="s">
        <v>33</v>
      </c>
      <c r="C1959" t="s">
        <v>4</v>
      </c>
      <c r="D1959" s="5">
        <v>7.7857209000000003</v>
      </c>
    </row>
    <row r="1960" spans="1:4" x14ac:dyDescent="0.2">
      <c r="A1960" s="4">
        <v>85.543750000000003</v>
      </c>
      <c r="B1960" t="s">
        <v>33</v>
      </c>
      <c r="C1960" t="s">
        <v>4</v>
      </c>
      <c r="D1960" s="5">
        <v>7.7869669999999998</v>
      </c>
    </row>
    <row r="1961" spans="1:4" x14ac:dyDescent="0.2">
      <c r="A1961" s="4">
        <v>85.9085556</v>
      </c>
      <c r="B1961" t="s">
        <v>33</v>
      </c>
      <c r="C1961" t="s">
        <v>4</v>
      </c>
      <c r="D1961" s="5">
        <v>7.7819732300000002</v>
      </c>
    </row>
    <row r="1962" spans="1:4" x14ac:dyDescent="0.2">
      <c r="A1962" s="4">
        <v>86.2733889</v>
      </c>
      <c r="B1962" t="s">
        <v>33</v>
      </c>
      <c r="C1962" t="s">
        <v>4</v>
      </c>
      <c r="D1962" s="5">
        <v>7.7865518099999997</v>
      </c>
    </row>
    <row r="1963" spans="1:4" x14ac:dyDescent="0.2">
      <c r="A1963" s="4">
        <v>86.638194400000003</v>
      </c>
      <c r="B1963" t="s">
        <v>33</v>
      </c>
      <c r="C1963" t="s">
        <v>4</v>
      </c>
      <c r="D1963" s="5">
        <v>7.7777926300000004</v>
      </c>
    </row>
    <row r="1964" spans="1:4" x14ac:dyDescent="0.2">
      <c r="A1964" s="4">
        <v>87.003</v>
      </c>
      <c r="B1964" t="s">
        <v>33</v>
      </c>
      <c r="C1964" t="s">
        <v>4</v>
      </c>
      <c r="D1964" s="5">
        <v>7.7873820299999998</v>
      </c>
    </row>
    <row r="1965" spans="1:4" x14ac:dyDescent="0.2">
      <c r="A1965" s="4">
        <v>87.367833300000001</v>
      </c>
      <c r="B1965" t="s">
        <v>33</v>
      </c>
      <c r="C1965" t="s">
        <v>4</v>
      </c>
      <c r="D1965" s="5">
        <v>7.7828072600000002</v>
      </c>
    </row>
    <row r="1966" spans="1:4" x14ac:dyDescent="0.2">
      <c r="A1966" s="4">
        <v>87.732638899999998</v>
      </c>
      <c r="B1966" t="s">
        <v>33</v>
      </c>
      <c r="C1966" t="s">
        <v>4</v>
      </c>
      <c r="D1966" s="5">
        <v>7.7886260700000003</v>
      </c>
    </row>
    <row r="1967" spans="1:4" x14ac:dyDescent="0.2">
      <c r="A1967" s="4">
        <v>88.097583299999997</v>
      </c>
      <c r="B1967" t="s">
        <v>33</v>
      </c>
      <c r="C1967" t="s">
        <v>4</v>
      </c>
      <c r="D1967" s="5">
        <v>7.7823903400000001</v>
      </c>
    </row>
    <row r="1968" spans="1:4" x14ac:dyDescent="0.2">
      <c r="A1968" s="4">
        <v>88.462388899999993</v>
      </c>
      <c r="B1968" t="s">
        <v>33</v>
      </c>
      <c r="C1968" t="s">
        <v>4</v>
      </c>
      <c r="D1968" s="5">
        <v>7.7828072600000002</v>
      </c>
    </row>
    <row r="1969" spans="1:4" x14ac:dyDescent="0.2">
      <c r="A1969" s="4">
        <v>88.827222199999994</v>
      </c>
      <c r="B1969" t="s">
        <v>33</v>
      </c>
      <c r="C1969" t="s">
        <v>4</v>
      </c>
      <c r="D1969" s="5">
        <v>7.7844732399999996</v>
      </c>
    </row>
    <row r="1970" spans="1:4" x14ac:dyDescent="0.2">
      <c r="A1970" s="4">
        <v>89.192027800000005</v>
      </c>
      <c r="B1970" t="s">
        <v>33</v>
      </c>
      <c r="C1970" t="s">
        <v>4</v>
      </c>
      <c r="D1970" s="5">
        <v>7.7815559600000004</v>
      </c>
    </row>
    <row r="1971" spans="1:4" x14ac:dyDescent="0.2">
      <c r="A1971" s="4">
        <v>89.556833299999994</v>
      </c>
      <c r="B1971" t="s">
        <v>33</v>
      </c>
      <c r="C1971" t="s">
        <v>4</v>
      </c>
      <c r="D1971" s="5">
        <v>7.7857209000000003</v>
      </c>
    </row>
    <row r="1972" spans="1:4" x14ac:dyDescent="0.2">
      <c r="A1972" s="4">
        <v>89.921666700000003</v>
      </c>
      <c r="B1972" t="s">
        <v>33</v>
      </c>
      <c r="C1972" t="s">
        <v>4</v>
      </c>
      <c r="D1972" s="5">
        <v>7.7828072600000002</v>
      </c>
    </row>
    <row r="1973" spans="1:4" x14ac:dyDescent="0.2">
      <c r="A1973" s="4">
        <v>90.286472200000006</v>
      </c>
      <c r="B1973" t="s">
        <v>33</v>
      </c>
      <c r="C1973" t="s">
        <v>4</v>
      </c>
      <c r="D1973" s="5">
        <v>7.7882115599999997</v>
      </c>
    </row>
    <row r="1974" spans="1:4" x14ac:dyDescent="0.2">
      <c r="A1974" s="4">
        <v>90.651305600000001</v>
      </c>
      <c r="B1974" t="s">
        <v>33</v>
      </c>
      <c r="C1974" t="s">
        <v>4</v>
      </c>
      <c r="D1974" s="5">
        <v>7.7890404000000002</v>
      </c>
    </row>
    <row r="1975" spans="1:4" x14ac:dyDescent="0.2">
      <c r="A1975" s="4">
        <v>91.016111100000003</v>
      </c>
      <c r="B1975" t="s">
        <v>33</v>
      </c>
      <c r="C1975" t="s">
        <v>4</v>
      </c>
      <c r="D1975" s="5">
        <v>7.7828072600000002</v>
      </c>
    </row>
    <row r="1976" spans="1:4" x14ac:dyDescent="0.2">
      <c r="A1976" s="4">
        <v>91.381</v>
      </c>
      <c r="B1976" t="s">
        <v>33</v>
      </c>
      <c r="C1976" t="s">
        <v>4</v>
      </c>
      <c r="D1976" s="5">
        <v>7.7819732300000002</v>
      </c>
    </row>
    <row r="1977" spans="1:4" x14ac:dyDescent="0.2">
      <c r="A1977" s="4">
        <v>91.745833300000001</v>
      </c>
      <c r="B1977" t="s">
        <v>33</v>
      </c>
      <c r="C1977" t="s">
        <v>4</v>
      </c>
      <c r="D1977" s="5">
        <v>7.7902823799999998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599A-806D-3D4B-893D-386E218EC451}">
  <dimension ref="A1:L217"/>
  <sheetViews>
    <sheetView workbookViewId="0">
      <selection activeCell="F70" sqref="F70"/>
    </sheetView>
  </sheetViews>
  <sheetFormatPr baseColWidth="10" defaultRowHeight="16" x14ac:dyDescent="0.2"/>
  <cols>
    <col min="5" max="5" width="16.6640625" bestFit="1" customWidth="1"/>
    <col min="6" max="6" width="11.5" bestFit="1" customWidth="1"/>
  </cols>
  <sheetData>
    <row r="1" spans="1:12" x14ac:dyDescent="0.2">
      <c r="A1" s="7" t="s">
        <v>34</v>
      </c>
      <c r="B1" s="7" t="s">
        <v>35</v>
      </c>
      <c r="C1" s="7" t="s">
        <v>36</v>
      </c>
      <c r="D1" s="7" t="s">
        <v>37</v>
      </c>
      <c r="E1" s="7" t="s">
        <v>31</v>
      </c>
      <c r="F1" s="7" t="s">
        <v>0</v>
      </c>
      <c r="G1" s="7" t="s">
        <v>6</v>
      </c>
      <c r="H1" s="7" t="s">
        <v>13</v>
      </c>
      <c r="I1" s="7" t="s">
        <v>14</v>
      </c>
      <c r="J1" s="7" t="s">
        <v>32</v>
      </c>
      <c r="K1" s="7" t="s">
        <v>15</v>
      </c>
      <c r="L1" s="7" t="s">
        <v>7</v>
      </c>
    </row>
    <row r="2" spans="1:12" x14ac:dyDescent="0.2">
      <c r="A2">
        <v>1</v>
      </c>
      <c r="B2" t="s">
        <v>53</v>
      </c>
      <c r="C2" t="s">
        <v>72</v>
      </c>
      <c r="D2" t="s">
        <v>17</v>
      </c>
      <c r="E2" t="s">
        <v>73</v>
      </c>
      <c r="F2" t="s">
        <v>20</v>
      </c>
      <c r="G2">
        <v>1</v>
      </c>
      <c r="H2">
        <v>0.96858376371123145</v>
      </c>
      <c r="I2">
        <v>0.79172442868729642</v>
      </c>
      <c r="J2">
        <v>0.76685142696006603</v>
      </c>
      <c r="K2">
        <v>0.75035695218786491</v>
      </c>
      <c r="L2">
        <v>2.1509348737327277E-2</v>
      </c>
    </row>
    <row r="3" spans="1:12" x14ac:dyDescent="0.2">
      <c r="A3">
        <v>2</v>
      </c>
      <c r="B3" t="s">
        <v>53</v>
      </c>
      <c r="C3" t="s">
        <v>77</v>
      </c>
      <c r="D3" t="s">
        <v>17</v>
      </c>
      <c r="E3" t="s">
        <v>78</v>
      </c>
      <c r="F3" t="s">
        <v>20</v>
      </c>
      <c r="G3">
        <v>1</v>
      </c>
      <c r="H3">
        <v>0.96858376371123145</v>
      </c>
      <c r="I3">
        <v>0.83310580119132027</v>
      </c>
      <c r="J3">
        <v>0.80693275248754992</v>
      </c>
      <c r="K3">
        <v>0.83067468267859468</v>
      </c>
      <c r="L3">
        <v>-2.9422439624435828E-2</v>
      </c>
    </row>
    <row r="4" spans="1:12" x14ac:dyDescent="0.2">
      <c r="A4">
        <v>3</v>
      </c>
      <c r="B4" t="s">
        <v>53</v>
      </c>
      <c r="C4" t="s">
        <v>79</v>
      </c>
      <c r="D4" t="s">
        <v>17</v>
      </c>
      <c r="E4" t="s">
        <v>80</v>
      </c>
      <c r="F4" t="s">
        <v>20</v>
      </c>
      <c r="G4">
        <v>1</v>
      </c>
      <c r="H4">
        <v>0.96858376371123145</v>
      </c>
      <c r="I4">
        <v>0.61998661959119661</v>
      </c>
      <c r="J4">
        <v>0.6005089734542447</v>
      </c>
      <c r="K4">
        <v>0.5209960238750645</v>
      </c>
      <c r="L4">
        <v>0.13240926130013714</v>
      </c>
    </row>
    <row r="5" spans="1:12" x14ac:dyDescent="0.2">
      <c r="A5">
        <v>4</v>
      </c>
      <c r="B5" t="s">
        <v>53</v>
      </c>
      <c r="C5" t="s">
        <v>68</v>
      </c>
      <c r="D5" t="s">
        <v>17</v>
      </c>
      <c r="E5" t="s">
        <v>69</v>
      </c>
      <c r="F5" t="s">
        <v>20</v>
      </c>
      <c r="G5">
        <v>1</v>
      </c>
      <c r="H5">
        <v>0.96858376371123145</v>
      </c>
      <c r="I5">
        <v>0.95308068200145213</v>
      </c>
      <c r="J5">
        <v>0.92313847409343386</v>
      </c>
      <c r="K5">
        <v>0.93722186695545306</v>
      </c>
      <c r="L5">
        <v>-1.5255991660243358E-2</v>
      </c>
    </row>
    <row r="6" spans="1:12" x14ac:dyDescent="0.2">
      <c r="A6">
        <v>5</v>
      </c>
      <c r="B6" t="s">
        <v>53</v>
      </c>
      <c r="C6" t="s">
        <v>45</v>
      </c>
      <c r="D6" t="s">
        <v>17</v>
      </c>
      <c r="E6" t="s">
        <v>76</v>
      </c>
      <c r="F6" t="s">
        <v>20</v>
      </c>
      <c r="G6">
        <v>1</v>
      </c>
      <c r="H6">
        <v>0.96858376371123145</v>
      </c>
      <c r="I6">
        <v>0.95367529421718933</v>
      </c>
      <c r="J6">
        <v>0.92371440583130127</v>
      </c>
      <c r="K6">
        <v>0.88162681327001247</v>
      </c>
      <c r="L6">
        <v>4.5563425551874842E-2</v>
      </c>
    </row>
    <row r="7" spans="1:12" x14ac:dyDescent="0.2">
      <c r="A7">
        <v>6</v>
      </c>
      <c r="B7" t="s">
        <v>53</v>
      </c>
      <c r="C7" t="s">
        <v>47</v>
      </c>
      <c r="D7" t="s">
        <v>17</v>
      </c>
      <c r="E7" t="s">
        <v>3</v>
      </c>
      <c r="F7" t="s">
        <v>20</v>
      </c>
      <c r="G7">
        <v>1</v>
      </c>
      <c r="H7">
        <v>0.96858376371123145</v>
      </c>
      <c r="I7">
        <v>0.93571700126267432</v>
      </c>
      <c r="J7">
        <v>0.90632029485158816</v>
      </c>
      <c r="K7">
        <v>0.90081491369950961</v>
      </c>
      <c r="L7">
        <v>6.0744321663679232E-3</v>
      </c>
    </row>
    <row r="8" spans="1:12" x14ac:dyDescent="0.2">
      <c r="A8">
        <v>7</v>
      </c>
      <c r="B8" t="s">
        <v>53</v>
      </c>
      <c r="C8" t="s">
        <v>50</v>
      </c>
      <c r="D8" t="s">
        <v>17</v>
      </c>
      <c r="E8" t="s">
        <v>66</v>
      </c>
      <c r="F8" t="s">
        <v>20</v>
      </c>
      <c r="G8">
        <v>1</v>
      </c>
      <c r="H8">
        <v>0.79172442868729642</v>
      </c>
      <c r="I8">
        <v>0.83310580119132027</v>
      </c>
      <c r="J8">
        <v>0.65959021448427035</v>
      </c>
      <c r="K8">
        <v>0.6526797872385911</v>
      </c>
      <c r="L8">
        <v>1.0476849252656777E-2</v>
      </c>
    </row>
    <row r="9" spans="1:12" x14ac:dyDescent="0.2">
      <c r="A9">
        <v>8</v>
      </c>
      <c r="B9" t="s">
        <v>53</v>
      </c>
      <c r="C9" t="s">
        <v>48</v>
      </c>
      <c r="D9" t="s">
        <v>17</v>
      </c>
      <c r="E9" t="s">
        <v>67</v>
      </c>
      <c r="F9" t="s">
        <v>20</v>
      </c>
      <c r="G9">
        <v>1</v>
      </c>
      <c r="H9">
        <v>0.79172442868729642</v>
      </c>
      <c r="I9">
        <v>0.61998661959119661</v>
      </c>
      <c r="J9">
        <v>0.49085855218960833</v>
      </c>
      <c r="K9">
        <v>0.5358401896266316</v>
      </c>
      <c r="L9">
        <v>-9.163869558016341E-2</v>
      </c>
    </row>
    <row r="10" spans="1:12" x14ac:dyDescent="0.2">
      <c r="A10">
        <v>9</v>
      </c>
      <c r="B10" t="s">
        <v>53</v>
      </c>
      <c r="C10" t="s">
        <v>51</v>
      </c>
      <c r="D10" t="s">
        <v>17</v>
      </c>
      <c r="E10" t="s">
        <v>54</v>
      </c>
      <c r="F10" t="s">
        <v>20</v>
      </c>
      <c r="G10">
        <v>1</v>
      </c>
      <c r="H10">
        <v>0.79172442868729642</v>
      </c>
      <c r="I10">
        <v>0.95308068200145213</v>
      </c>
      <c r="J10">
        <v>0.7545772584504985</v>
      </c>
      <c r="K10">
        <v>0.75759894141130102</v>
      </c>
      <c r="L10">
        <v>-4.0044712810553725E-3</v>
      </c>
    </row>
    <row r="11" spans="1:12" x14ac:dyDescent="0.2">
      <c r="A11">
        <v>10</v>
      </c>
      <c r="B11" t="s">
        <v>53</v>
      </c>
      <c r="C11" t="s">
        <v>59</v>
      </c>
      <c r="D11" t="s">
        <v>17</v>
      </c>
      <c r="E11" t="s">
        <v>62</v>
      </c>
      <c r="F11" t="s">
        <v>20</v>
      </c>
      <c r="G11">
        <v>1</v>
      </c>
      <c r="H11">
        <v>0.79172442868729642</v>
      </c>
      <c r="I11">
        <v>0.95367529421718933</v>
      </c>
      <c r="J11">
        <v>0.75504802746729349</v>
      </c>
      <c r="K11">
        <v>0.75424954577175241</v>
      </c>
      <c r="L11">
        <v>1.0575243779120721E-3</v>
      </c>
    </row>
    <row r="12" spans="1:12" x14ac:dyDescent="0.2">
      <c r="A12">
        <v>11</v>
      </c>
      <c r="B12" t="s">
        <v>53</v>
      </c>
      <c r="C12" t="s">
        <v>60</v>
      </c>
      <c r="D12" t="s">
        <v>17</v>
      </c>
      <c r="E12" t="s">
        <v>61</v>
      </c>
      <c r="F12" t="s">
        <v>20</v>
      </c>
      <c r="G12">
        <v>1</v>
      </c>
      <c r="H12">
        <v>0.79172442868729642</v>
      </c>
      <c r="I12">
        <v>0.39472925867635617</v>
      </c>
      <c r="J12">
        <v>0.31251679681169814</v>
      </c>
      <c r="K12">
        <v>0.33290903149425177</v>
      </c>
      <c r="L12">
        <v>-6.5251643721539354E-2</v>
      </c>
    </row>
    <row r="13" spans="1:12" x14ac:dyDescent="0.2">
      <c r="A13">
        <v>12</v>
      </c>
      <c r="B13" t="s">
        <v>53</v>
      </c>
      <c r="C13" t="s">
        <v>64</v>
      </c>
      <c r="D13" t="s">
        <v>17</v>
      </c>
      <c r="E13" t="s">
        <v>65</v>
      </c>
      <c r="F13" t="s">
        <v>20</v>
      </c>
      <c r="G13">
        <v>1</v>
      </c>
      <c r="H13">
        <v>0.79172442868729642</v>
      </c>
      <c r="I13">
        <v>0.93571700126267432</v>
      </c>
      <c r="J13">
        <v>0.74083000823768108</v>
      </c>
      <c r="K13">
        <v>0.74079713937335767</v>
      </c>
      <c r="L13">
        <v>4.4367620044981366E-5</v>
      </c>
    </row>
    <row r="14" spans="1:12" x14ac:dyDescent="0.2">
      <c r="A14">
        <v>13</v>
      </c>
      <c r="B14" t="s">
        <v>53</v>
      </c>
      <c r="C14" t="s">
        <v>81</v>
      </c>
      <c r="D14" t="s">
        <v>17</v>
      </c>
      <c r="E14" t="s">
        <v>2</v>
      </c>
      <c r="F14" t="s">
        <v>20</v>
      </c>
      <c r="G14">
        <v>1</v>
      </c>
      <c r="H14">
        <v>0.83310580119132027</v>
      </c>
      <c r="I14">
        <v>0.61998661959119661</v>
      </c>
      <c r="J14">
        <v>0.5165144494424222</v>
      </c>
      <c r="K14">
        <v>0.33922547340802023</v>
      </c>
      <c r="L14">
        <v>0.343241077235662</v>
      </c>
    </row>
    <row r="15" spans="1:12" x14ac:dyDescent="0.2">
      <c r="A15">
        <v>14</v>
      </c>
      <c r="B15" t="s">
        <v>53</v>
      </c>
      <c r="C15" t="s">
        <v>70</v>
      </c>
      <c r="D15" t="s">
        <v>17</v>
      </c>
      <c r="E15" t="s">
        <v>85</v>
      </c>
      <c r="F15" t="s">
        <v>20</v>
      </c>
      <c r="G15">
        <v>1</v>
      </c>
      <c r="H15">
        <v>0.83310580119132027</v>
      </c>
      <c r="I15">
        <v>0.95308068200145213</v>
      </c>
      <c r="J15">
        <v>0.79401704517878968</v>
      </c>
      <c r="K15">
        <v>0.84709691410282761</v>
      </c>
      <c r="L15">
        <v>-6.6849785210953347E-2</v>
      </c>
    </row>
    <row r="16" spans="1:12" x14ac:dyDescent="0.2">
      <c r="A16">
        <v>15</v>
      </c>
      <c r="B16" t="s">
        <v>53</v>
      </c>
      <c r="C16" t="s">
        <v>74</v>
      </c>
      <c r="D16" t="s">
        <v>17</v>
      </c>
      <c r="E16" t="s">
        <v>4</v>
      </c>
      <c r="F16" t="s">
        <v>20</v>
      </c>
      <c r="G16">
        <v>1</v>
      </c>
      <c r="H16">
        <v>0.83310580119132027</v>
      </c>
      <c r="I16">
        <v>0.83528920667444972</v>
      </c>
      <c r="J16">
        <v>0.69588428375297973</v>
      </c>
      <c r="K16">
        <v>0.7756533987940506</v>
      </c>
      <c r="L16">
        <v>-0.1146298557151878</v>
      </c>
    </row>
    <row r="17" spans="1:12" x14ac:dyDescent="0.2">
      <c r="A17">
        <v>16</v>
      </c>
      <c r="B17" t="s">
        <v>53</v>
      </c>
      <c r="C17" t="s">
        <v>87</v>
      </c>
      <c r="D17" t="s">
        <v>17</v>
      </c>
      <c r="E17" t="s">
        <v>88</v>
      </c>
      <c r="F17" t="s">
        <v>20</v>
      </c>
      <c r="G17">
        <v>1</v>
      </c>
      <c r="H17">
        <v>0.83310580119132027</v>
      </c>
      <c r="I17">
        <v>0.95367529421718933</v>
      </c>
      <c r="J17">
        <v>0.79451242006517964</v>
      </c>
      <c r="K17">
        <v>0.83932636069580258</v>
      </c>
      <c r="L17">
        <v>-5.6404329874348E-2</v>
      </c>
    </row>
    <row r="18" spans="1:12" x14ac:dyDescent="0.2">
      <c r="A18">
        <v>17</v>
      </c>
      <c r="B18" t="s">
        <v>53</v>
      </c>
      <c r="C18" t="s">
        <v>110</v>
      </c>
      <c r="D18" t="s">
        <v>17</v>
      </c>
      <c r="E18" t="s">
        <v>73</v>
      </c>
      <c r="F18" t="s">
        <v>1</v>
      </c>
      <c r="G18">
        <v>1</v>
      </c>
      <c r="H18">
        <v>0.82078588675626718</v>
      </c>
      <c r="I18">
        <v>0.87482688557375132</v>
      </c>
      <c r="J18">
        <v>0.71804556103387496</v>
      </c>
      <c r="K18">
        <v>0.80105557374380343</v>
      </c>
      <c r="L18">
        <v>-0.11560549527025395</v>
      </c>
    </row>
    <row r="19" spans="1:12" x14ac:dyDescent="0.2">
      <c r="A19">
        <v>18</v>
      </c>
      <c r="B19" t="s">
        <v>53</v>
      </c>
      <c r="C19" t="s">
        <v>112</v>
      </c>
      <c r="D19" t="s">
        <v>17</v>
      </c>
      <c r="E19" t="s">
        <v>78</v>
      </c>
      <c r="F19" t="s">
        <v>1</v>
      </c>
      <c r="G19">
        <v>1</v>
      </c>
      <c r="H19">
        <v>0.82078588675626718</v>
      </c>
      <c r="I19">
        <v>0.5687140803216153</v>
      </c>
      <c r="J19">
        <v>0.46679249072755197</v>
      </c>
      <c r="K19">
        <v>0.49824449876406618</v>
      </c>
      <c r="L19">
        <v>-6.7378993152808639E-2</v>
      </c>
    </row>
    <row r="20" spans="1:12" x14ac:dyDescent="0.2">
      <c r="A20">
        <v>19</v>
      </c>
      <c r="B20" t="s">
        <v>53</v>
      </c>
      <c r="C20" t="s">
        <v>113</v>
      </c>
      <c r="D20" t="s">
        <v>17</v>
      </c>
      <c r="E20" t="s">
        <v>80</v>
      </c>
      <c r="F20" t="s">
        <v>1</v>
      </c>
      <c r="G20">
        <v>1</v>
      </c>
      <c r="H20">
        <v>0.82078588675626718</v>
      </c>
      <c r="I20">
        <v>0.58535473811339467</v>
      </c>
      <c r="J20">
        <v>0.48045090778938521</v>
      </c>
      <c r="K20">
        <v>0.23245468065452818</v>
      </c>
      <c r="L20">
        <v>0.51617391728099493</v>
      </c>
    </row>
    <row r="21" spans="1:12" x14ac:dyDescent="0.2">
      <c r="A21">
        <v>20</v>
      </c>
      <c r="B21" t="s">
        <v>53</v>
      </c>
      <c r="C21" t="s">
        <v>108</v>
      </c>
      <c r="D21" t="s">
        <v>17</v>
      </c>
      <c r="E21" t="s">
        <v>69</v>
      </c>
      <c r="F21" t="s">
        <v>1</v>
      </c>
      <c r="G21">
        <v>1</v>
      </c>
      <c r="H21">
        <v>0.82078588675626718</v>
      </c>
      <c r="I21">
        <v>0.64437006174410183</v>
      </c>
      <c r="J21">
        <v>0.52888985252782328</v>
      </c>
      <c r="K21">
        <v>0.47706569658257347</v>
      </c>
      <c r="L21">
        <v>9.7986670943972204E-2</v>
      </c>
    </row>
    <row r="22" spans="1:12" x14ac:dyDescent="0.2">
      <c r="A22">
        <v>21</v>
      </c>
      <c r="B22" t="s">
        <v>53</v>
      </c>
      <c r="C22" t="s">
        <v>98</v>
      </c>
      <c r="D22" t="s">
        <v>17</v>
      </c>
      <c r="E22" t="s">
        <v>76</v>
      </c>
      <c r="F22" t="s">
        <v>1</v>
      </c>
      <c r="G22">
        <v>1</v>
      </c>
      <c r="H22">
        <v>0.82078588675626718</v>
      </c>
      <c r="I22">
        <v>0.54468823118328746</v>
      </c>
      <c r="J22">
        <v>0.44707241283747728</v>
      </c>
      <c r="K22">
        <v>0.40266089105432668</v>
      </c>
      <c r="L22">
        <v>9.933854227613767E-2</v>
      </c>
    </row>
    <row r="23" spans="1:12" x14ac:dyDescent="0.2">
      <c r="A23">
        <v>22</v>
      </c>
      <c r="B23" t="s">
        <v>53</v>
      </c>
      <c r="C23" t="s">
        <v>99</v>
      </c>
      <c r="D23" t="s">
        <v>17</v>
      </c>
      <c r="E23" t="s">
        <v>3</v>
      </c>
      <c r="F23" t="s">
        <v>1</v>
      </c>
      <c r="G23">
        <v>1</v>
      </c>
      <c r="H23">
        <v>0.82078588675626718</v>
      </c>
      <c r="I23">
        <v>0.74568463610346702</v>
      </c>
      <c r="J23">
        <v>0.61204742528470857</v>
      </c>
      <c r="K23">
        <v>0.9244446045212158</v>
      </c>
      <c r="L23">
        <v>-0.51041335414684275</v>
      </c>
    </row>
    <row r="24" spans="1:12" x14ac:dyDescent="0.2">
      <c r="A24">
        <v>23</v>
      </c>
      <c r="B24" t="s">
        <v>53</v>
      </c>
      <c r="C24" t="s">
        <v>101</v>
      </c>
      <c r="D24" t="s">
        <v>17</v>
      </c>
      <c r="E24" t="s">
        <v>66</v>
      </c>
      <c r="F24" t="s">
        <v>1</v>
      </c>
      <c r="G24">
        <v>1</v>
      </c>
      <c r="H24">
        <v>0.87482688557375132</v>
      </c>
      <c r="I24">
        <v>0.5687140803216153</v>
      </c>
      <c r="J24">
        <v>0.49752636766969899</v>
      </c>
      <c r="K24">
        <v>0.42345491663755608</v>
      </c>
      <c r="L24">
        <v>0.14887944809654377</v>
      </c>
    </row>
    <row r="25" spans="1:12" x14ac:dyDescent="0.2">
      <c r="A25">
        <v>24</v>
      </c>
      <c r="B25" t="s">
        <v>53</v>
      </c>
      <c r="C25" t="s">
        <v>100</v>
      </c>
      <c r="D25" t="s">
        <v>17</v>
      </c>
      <c r="E25" t="s">
        <v>67</v>
      </c>
      <c r="F25" t="s">
        <v>1</v>
      </c>
      <c r="G25">
        <v>1</v>
      </c>
      <c r="H25">
        <v>0.87482688557375132</v>
      </c>
      <c r="I25">
        <v>0.58535473811339467</v>
      </c>
      <c r="J25">
        <v>0.51208406249957994</v>
      </c>
      <c r="K25">
        <v>0.60594542863650147</v>
      </c>
      <c r="L25">
        <v>-0.18329288687245276</v>
      </c>
    </row>
    <row r="26" spans="1:12" x14ac:dyDescent="0.2">
      <c r="A26">
        <v>25</v>
      </c>
      <c r="B26" t="s">
        <v>53</v>
      </c>
      <c r="C26" t="s">
        <v>102</v>
      </c>
      <c r="D26" t="s">
        <v>17</v>
      </c>
      <c r="E26" t="s">
        <v>54</v>
      </c>
      <c r="F26" t="s">
        <v>1</v>
      </c>
      <c r="G26">
        <v>1</v>
      </c>
      <c r="H26">
        <v>0.87482688557375132</v>
      </c>
      <c r="I26">
        <v>0.64437006174410183</v>
      </c>
      <c r="J26">
        <v>0.56371225427255844</v>
      </c>
      <c r="K26">
        <v>0.6371793628825756</v>
      </c>
      <c r="L26">
        <v>-0.13032732223432442</v>
      </c>
    </row>
    <row r="27" spans="1:12" x14ac:dyDescent="0.2">
      <c r="A27">
        <v>26</v>
      </c>
      <c r="B27" t="s">
        <v>53</v>
      </c>
      <c r="C27" t="s">
        <v>106</v>
      </c>
      <c r="D27" t="s">
        <v>17</v>
      </c>
      <c r="E27" t="s">
        <v>62</v>
      </c>
      <c r="F27" t="s">
        <v>1</v>
      </c>
      <c r="G27">
        <v>1</v>
      </c>
      <c r="H27">
        <v>0.87482688557375132</v>
      </c>
      <c r="I27">
        <v>0.54468823118328746</v>
      </c>
      <c r="J27">
        <v>0.47650790889475081</v>
      </c>
      <c r="K27">
        <v>0.45397327529843479</v>
      </c>
      <c r="L27">
        <v>4.7291205824022083E-2</v>
      </c>
    </row>
    <row r="28" spans="1:12" x14ac:dyDescent="0.2">
      <c r="A28">
        <v>27</v>
      </c>
      <c r="B28" t="s">
        <v>53</v>
      </c>
      <c r="C28" t="s">
        <v>105</v>
      </c>
      <c r="D28" t="s">
        <v>17</v>
      </c>
      <c r="E28" t="s">
        <v>61</v>
      </c>
      <c r="F28" t="s">
        <v>1</v>
      </c>
      <c r="G28">
        <v>1</v>
      </c>
      <c r="H28">
        <v>0.87482688557375132</v>
      </c>
      <c r="I28">
        <v>0.25318339285223235</v>
      </c>
      <c r="J28">
        <v>0.221491639047914</v>
      </c>
      <c r="K28">
        <v>0.16684232894923304</v>
      </c>
      <c r="L28">
        <v>0.24673306104732465</v>
      </c>
    </row>
    <row r="29" spans="1:12" x14ac:dyDescent="0.2">
      <c r="A29">
        <v>28</v>
      </c>
      <c r="B29" t="s">
        <v>53</v>
      </c>
      <c r="C29" t="s">
        <v>107</v>
      </c>
      <c r="D29" t="s">
        <v>17</v>
      </c>
      <c r="E29" t="s">
        <v>65</v>
      </c>
      <c r="F29" t="s">
        <v>1</v>
      </c>
      <c r="G29">
        <v>1</v>
      </c>
      <c r="H29">
        <v>0.87482688557375132</v>
      </c>
      <c r="I29">
        <v>0.74568463610346702</v>
      </c>
      <c r="J29">
        <v>0.6523449678225921</v>
      </c>
      <c r="K29">
        <v>0.87803947219530998</v>
      </c>
      <c r="L29">
        <v>-0.34597416321926228</v>
      </c>
    </row>
    <row r="30" spans="1:12" x14ac:dyDescent="0.2">
      <c r="A30">
        <v>29</v>
      </c>
      <c r="B30" t="s">
        <v>53</v>
      </c>
      <c r="C30" t="s">
        <v>114</v>
      </c>
      <c r="D30" t="s">
        <v>17</v>
      </c>
      <c r="E30" t="s">
        <v>2</v>
      </c>
      <c r="F30" t="s">
        <v>1</v>
      </c>
      <c r="G30">
        <v>1</v>
      </c>
      <c r="H30">
        <v>0.5687140803216153</v>
      </c>
      <c r="I30">
        <v>0.58535473811339467</v>
      </c>
      <c r="J30">
        <v>0.33289948154805921</v>
      </c>
      <c r="K30">
        <v>0.27255092244317836</v>
      </c>
      <c r="L30">
        <v>0.18128162538507467</v>
      </c>
    </row>
    <row r="31" spans="1:12" x14ac:dyDescent="0.2">
      <c r="A31">
        <v>30</v>
      </c>
      <c r="B31" t="s">
        <v>53</v>
      </c>
      <c r="C31" t="s">
        <v>109</v>
      </c>
      <c r="D31" t="s">
        <v>17</v>
      </c>
      <c r="E31" t="s">
        <v>85</v>
      </c>
      <c r="F31" t="s">
        <v>1</v>
      </c>
      <c r="G31">
        <v>1</v>
      </c>
      <c r="H31">
        <v>0.5687140803216153</v>
      </c>
      <c r="I31">
        <v>0.64437006174410183</v>
      </c>
      <c r="J31">
        <v>0.36646232705157933</v>
      </c>
      <c r="K31">
        <v>0.68230288588951593</v>
      </c>
      <c r="L31">
        <v>-0.86186365015763888</v>
      </c>
    </row>
    <row r="32" spans="1:12" x14ac:dyDescent="0.2">
      <c r="A32">
        <v>31</v>
      </c>
      <c r="B32" t="s">
        <v>53</v>
      </c>
      <c r="C32" t="s">
        <v>111</v>
      </c>
      <c r="D32" t="s">
        <v>17</v>
      </c>
      <c r="E32" t="s">
        <v>4</v>
      </c>
      <c r="F32" t="s">
        <v>1</v>
      </c>
      <c r="G32">
        <v>1</v>
      </c>
      <c r="H32">
        <v>0.5687140803216153</v>
      </c>
      <c r="I32">
        <v>0.89475359176140445</v>
      </c>
      <c r="J32">
        <v>0.50885896605304914</v>
      </c>
      <c r="K32">
        <v>0.75747568392790365</v>
      </c>
      <c r="L32">
        <v>-0.48857686404396761</v>
      </c>
    </row>
    <row r="33" spans="1:12" x14ac:dyDescent="0.2">
      <c r="A33">
        <v>32</v>
      </c>
      <c r="B33" t="s">
        <v>53</v>
      </c>
      <c r="C33" t="s">
        <v>115</v>
      </c>
      <c r="D33" t="s">
        <v>17</v>
      </c>
      <c r="E33" t="s">
        <v>88</v>
      </c>
      <c r="F33" t="s">
        <v>1</v>
      </c>
      <c r="G33">
        <v>1</v>
      </c>
      <c r="H33">
        <v>0.5687140803216153</v>
      </c>
      <c r="I33">
        <v>0.54468823118328746</v>
      </c>
      <c r="J33">
        <v>0.30977186645941068</v>
      </c>
      <c r="K33">
        <v>0.32277261223019921</v>
      </c>
      <c r="L33">
        <v>-4.1968775019444862E-2</v>
      </c>
    </row>
    <row r="34" spans="1:12" x14ac:dyDescent="0.2">
      <c r="A34">
        <v>33</v>
      </c>
      <c r="B34" t="s">
        <v>38</v>
      </c>
      <c r="C34" t="s">
        <v>89</v>
      </c>
      <c r="D34" t="s">
        <v>17</v>
      </c>
      <c r="E34" t="s">
        <v>90</v>
      </c>
      <c r="F34" t="s">
        <v>20</v>
      </c>
      <c r="G34">
        <v>1</v>
      </c>
      <c r="H34">
        <v>0.84806323448734411</v>
      </c>
      <c r="I34">
        <v>1.0373876552945807</v>
      </c>
      <c r="J34">
        <v>0.8797703303663641</v>
      </c>
      <c r="K34">
        <v>0.8630661864889867</v>
      </c>
      <c r="L34">
        <v>1.8986937045741548E-2</v>
      </c>
    </row>
    <row r="35" spans="1:12" x14ac:dyDescent="0.2">
      <c r="A35">
        <v>34</v>
      </c>
      <c r="B35" t="s">
        <v>38</v>
      </c>
      <c r="C35" t="s">
        <v>91</v>
      </c>
      <c r="D35" t="s">
        <v>17</v>
      </c>
      <c r="E35" t="s">
        <v>21</v>
      </c>
      <c r="F35" t="s">
        <v>20</v>
      </c>
      <c r="G35">
        <v>1</v>
      </c>
      <c r="H35">
        <v>0.58179689194486128</v>
      </c>
      <c r="I35">
        <v>1.0012009736400649</v>
      </c>
      <c r="J35">
        <v>0.58249561467595878</v>
      </c>
      <c r="K35">
        <v>0.58239294747125803</v>
      </c>
      <c r="L35">
        <v>1.7625403885292878E-4</v>
      </c>
    </row>
    <row r="36" spans="1:12" x14ac:dyDescent="0.2">
      <c r="A36">
        <v>35</v>
      </c>
      <c r="B36" t="s">
        <v>38</v>
      </c>
      <c r="C36" t="s">
        <v>72</v>
      </c>
      <c r="D36" t="s">
        <v>17</v>
      </c>
      <c r="E36" t="s">
        <v>92</v>
      </c>
      <c r="F36" t="s">
        <v>20</v>
      </c>
      <c r="G36">
        <v>1</v>
      </c>
      <c r="H36">
        <v>0.58179689194486128</v>
      </c>
      <c r="I36">
        <v>0.8329127306915044</v>
      </c>
      <c r="J36">
        <v>0.48458603797762451</v>
      </c>
      <c r="K36">
        <v>0.44907057664763023</v>
      </c>
      <c r="L36">
        <v>7.3290310794373703E-2</v>
      </c>
    </row>
    <row r="37" spans="1:12" x14ac:dyDescent="0.2">
      <c r="A37">
        <v>36</v>
      </c>
      <c r="B37" t="s">
        <v>38</v>
      </c>
      <c r="C37" t="s">
        <v>77</v>
      </c>
      <c r="D37" t="s">
        <v>17</v>
      </c>
      <c r="E37" t="s">
        <v>94</v>
      </c>
      <c r="F37" t="s">
        <v>20</v>
      </c>
      <c r="G37">
        <v>1</v>
      </c>
      <c r="H37">
        <v>0.58179689194486128</v>
      </c>
      <c r="I37">
        <v>1.0261155224415324</v>
      </c>
      <c r="J37">
        <v>0.59699082173286111</v>
      </c>
      <c r="K37">
        <v>0.58090549402993608</v>
      </c>
      <c r="L37">
        <v>2.6944011729082878E-2</v>
      </c>
    </row>
    <row r="38" spans="1:12" x14ac:dyDescent="0.2">
      <c r="A38">
        <v>37</v>
      </c>
      <c r="B38" t="s">
        <v>38</v>
      </c>
      <c r="C38" t="s">
        <v>79</v>
      </c>
      <c r="D38" t="s">
        <v>17</v>
      </c>
      <c r="E38" t="s">
        <v>93</v>
      </c>
      <c r="F38" t="s">
        <v>20</v>
      </c>
      <c r="G38">
        <v>1</v>
      </c>
      <c r="H38">
        <v>0.58179689194486128</v>
      </c>
      <c r="I38">
        <v>0.54999552938394625</v>
      </c>
      <c r="J38">
        <v>0.31998568957914858</v>
      </c>
      <c r="K38">
        <v>0.45947984618652687</v>
      </c>
      <c r="L38">
        <v>-0.43593873460667487</v>
      </c>
    </row>
    <row r="39" spans="1:12" x14ac:dyDescent="0.2">
      <c r="A39">
        <v>38</v>
      </c>
      <c r="B39" t="s">
        <v>38</v>
      </c>
      <c r="C39" t="s">
        <v>68</v>
      </c>
      <c r="D39" t="s">
        <v>17</v>
      </c>
      <c r="E39" t="s">
        <v>95</v>
      </c>
      <c r="F39" t="s">
        <v>20</v>
      </c>
      <c r="G39">
        <v>1</v>
      </c>
      <c r="H39">
        <v>0.58179689194486128</v>
      </c>
      <c r="I39">
        <v>1.0373876552945807</v>
      </c>
      <c r="J39">
        <v>0.60354891359235419</v>
      </c>
      <c r="K39">
        <v>0.52099488734050814</v>
      </c>
      <c r="L39">
        <v>0.1367810038137261</v>
      </c>
    </row>
    <row r="40" spans="1:12" x14ac:dyDescent="0.2">
      <c r="A40">
        <v>39</v>
      </c>
      <c r="B40" t="s">
        <v>38</v>
      </c>
      <c r="C40" t="s">
        <v>39</v>
      </c>
      <c r="D40" t="s">
        <v>17</v>
      </c>
      <c r="E40" t="s">
        <v>40</v>
      </c>
      <c r="F40" t="s">
        <v>20</v>
      </c>
      <c r="G40">
        <v>1</v>
      </c>
      <c r="H40">
        <v>1.0012009736400649</v>
      </c>
      <c r="I40">
        <v>0.8329127306915044</v>
      </c>
      <c r="J40">
        <v>0.83391303692553931</v>
      </c>
      <c r="K40">
        <v>0.68753542468863782</v>
      </c>
      <c r="L40">
        <v>0.17553102752364291</v>
      </c>
    </row>
    <row r="41" spans="1:12" x14ac:dyDescent="0.2">
      <c r="A41">
        <v>40</v>
      </c>
      <c r="B41" t="s">
        <v>38</v>
      </c>
      <c r="C41" t="s">
        <v>45</v>
      </c>
      <c r="D41" t="s">
        <v>17</v>
      </c>
      <c r="E41" t="s">
        <v>46</v>
      </c>
      <c r="F41" t="s">
        <v>20</v>
      </c>
      <c r="G41">
        <v>1</v>
      </c>
      <c r="H41">
        <v>1.0012009736400649</v>
      </c>
      <c r="I41">
        <v>1.0261155224415324</v>
      </c>
      <c r="J41">
        <v>1.0273478601356461</v>
      </c>
      <c r="K41">
        <v>1.0125888849361044</v>
      </c>
      <c r="L41">
        <v>1.4366093289563E-2</v>
      </c>
    </row>
    <row r="42" spans="1:12" x14ac:dyDescent="0.2">
      <c r="A42">
        <v>41</v>
      </c>
      <c r="B42" t="s">
        <v>38</v>
      </c>
      <c r="C42" t="s">
        <v>43</v>
      </c>
      <c r="D42" t="s">
        <v>17</v>
      </c>
      <c r="E42" t="s">
        <v>44</v>
      </c>
      <c r="F42" t="s">
        <v>20</v>
      </c>
      <c r="G42">
        <v>1</v>
      </c>
      <c r="H42">
        <v>1.0012009736400649</v>
      </c>
      <c r="I42">
        <v>0.54999552938394625</v>
      </c>
      <c r="J42">
        <v>0.5506560595168899</v>
      </c>
      <c r="K42">
        <v>0.54381916259051122</v>
      </c>
      <c r="L42">
        <v>1.2415911544452865E-2</v>
      </c>
    </row>
    <row r="43" spans="1:12" x14ac:dyDescent="0.2">
      <c r="A43">
        <v>42</v>
      </c>
      <c r="B43" t="s">
        <v>38</v>
      </c>
      <c r="C43" t="s">
        <v>47</v>
      </c>
      <c r="D43" t="s">
        <v>17</v>
      </c>
      <c r="E43" t="s">
        <v>10</v>
      </c>
      <c r="F43" t="s">
        <v>20</v>
      </c>
      <c r="G43">
        <v>1</v>
      </c>
      <c r="H43">
        <v>1.0012009736400649</v>
      </c>
      <c r="I43">
        <v>1.0373876552945807</v>
      </c>
      <c r="J43">
        <v>1.0386335305231182</v>
      </c>
      <c r="K43">
        <v>1.0122069231967015</v>
      </c>
      <c r="L43">
        <v>2.5443630067581918E-2</v>
      </c>
    </row>
    <row r="44" spans="1:12" x14ac:dyDescent="0.2">
      <c r="A44">
        <v>43</v>
      </c>
      <c r="B44" t="s">
        <v>38</v>
      </c>
      <c r="C44" t="s">
        <v>50</v>
      </c>
      <c r="D44" t="s">
        <v>17</v>
      </c>
      <c r="E44" t="s">
        <v>11</v>
      </c>
      <c r="F44" t="s">
        <v>20</v>
      </c>
      <c r="G44">
        <v>1</v>
      </c>
      <c r="H44">
        <v>0.8329127306915044</v>
      </c>
      <c r="I44">
        <v>1.0261155224415324</v>
      </c>
      <c r="J44">
        <v>0.8546646818017164</v>
      </c>
      <c r="K44">
        <v>0.78140123246257276</v>
      </c>
      <c r="L44">
        <v>8.5721863672542489E-2</v>
      </c>
    </row>
    <row r="45" spans="1:12" x14ac:dyDescent="0.2">
      <c r="A45">
        <v>44</v>
      </c>
      <c r="B45" t="s">
        <v>38</v>
      </c>
      <c r="C45" t="s">
        <v>48</v>
      </c>
      <c r="D45" t="s">
        <v>17</v>
      </c>
      <c r="E45" t="s">
        <v>49</v>
      </c>
      <c r="F45" t="s">
        <v>20</v>
      </c>
      <c r="G45">
        <v>1</v>
      </c>
      <c r="H45">
        <v>0.8329127306915044</v>
      </c>
      <c r="I45">
        <v>0.54999552938394625</v>
      </c>
      <c r="J45">
        <v>0.4580982782473022</v>
      </c>
      <c r="K45">
        <v>0.509410230227336</v>
      </c>
      <c r="L45">
        <v>-0.11201079422597891</v>
      </c>
    </row>
    <row r="46" spans="1:12" x14ac:dyDescent="0.2">
      <c r="A46">
        <v>45</v>
      </c>
      <c r="B46" t="s">
        <v>38</v>
      </c>
      <c r="C46" t="s">
        <v>51</v>
      </c>
      <c r="D46" t="s">
        <v>17</v>
      </c>
      <c r="E46" t="s">
        <v>52</v>
      </c>
      <c r="F46" t="s">
        <v>20</v>
      </c>
      <c r="G46">
        <v>1</v>
      </c>
      <c r="H46">
        <v>0.8329127306915044</v>
      </c>
      <c r="I46">
        <v>1.0373876552945807</v>
      </c>
      <c r="J46">
        <v>0.86405338475706628</v>
      </c>
      <c r="K46">
        <v>0.81192878415238834</v>
      </c>
      <c r="L46">
        <v>6.0325671450651257E-2</v>
      </c>
    </row>
    <row r="47" spans="1:12" x14ac:dyDescent="0.2">
      <c r="A47">
        <v>46</v>
      </c>
      <c r="B47" t="s">
        <v>38</v>
      </c>
      <c r="C47" t="s">
        <v>59</v>
      </c>
      <c r="D47" t="s">
        <v>17</v>
      </c>
      <c r="E47" t="s">
        <v>84</v>
      </c>
      <c r="F47" t="s">
        <v>20</v>
      </c>
      <c r="G47">
        <v>1</v>
      </c>
      <c r="H47">
        <v>1.0261155224415324</v>
      </c>
      <c r="I47">
        <v>1.0373876552945807</v>
      </c>
      <c r="J47">
        <v>1.0644795758869949</v>
      </c>
      <c r="K47">
        <v>0.93242013594761386</v>
      </c>
      <c r="L47">
        <v>0.12406009747001524</v>
      </c>
    </row>
    <row r="48" spans="1:12" x14ac:dyDescent="0.2">
      <c r="A48">
        <v>47</v>
      </c>
      <c r="B48" t="s">
        <v>38</v>
      </c>
      <c r="C48" t="s">
        <v>60</v>
      </c>
      <c r="D48" t="s">
        <v>17</v>
      </c>
      <c r="E48" t="s">
        <v>82</v>
      </c>
      <c r="F48" t="s">
        <v>20</v>
      </c>
      <c r="G48">
        <v>1</v>
      </c>
      <c r="H48">
        <v>0.54999552938394625</v>
      </c>
      <c r="I48">
        <v>1.0373876552945807</v>
      </c>
      <c r="J48">
        <v>0.57055857265011367</v>
      </c>
      <c r="K48">
        <v>0.57396343641894887</v>
      </c>
      <c r="L48">
        <v>-5.9675972495170596E-3</v>
      </c>
    </row>
    <row r="49" spans="1:12" x14ac:dyDescent="0.2">
      <c r="A49">
        <v>48</v>
      </c>
      <c r="B49" t="s">
        <v>38</v>
      </c>
      <c r="C49" t="s">
        <v>116</v>
      </c>
      <c r="D49" t="s">
        <v>17</v>
      </c>
      <c r="E49" t="s">
        <v>90</v>
      </c>
      <c r="F49" t="s">
        <v>1</v>
      </c>
      <c r="G49">
        <v>1</v>
      </c>
      <c r="H49">
        <v>0.45551867870523716</v>
      </c>
      <c r="I49">
        <v>0.96484589126151066</v>
      </c>
      <c r="J49">
        <v>0.43950532554162025</v>
      </c>
      <c r="K49">
        <v>0.71788063589929807</v>
      </c>
      <c r="L49">
        <v>-0.63338324743761554</v>
      </c>
    </row>
    <row r="50" spans="1:12" x14ac:dyDescent="0.2">
      <c r="A50">
        <v>49</v>
      </c>
      <c r="B50" t="s">
        <v>38</v>
      </c>
      <c r="C50" t="s">
        <v>117</v>
      </c>
      <c r="D50" t="s">
        <v>17</v>
      </c>
      <c r="E50" t="s">
        <v>21</v>
      </c>
      <c r="F50" t="s">
        <v>1</v>
      </c>
      <c r="G50">
        <v>1</v>
      </c>
      <c r="H50">
        <v>0.55295577400571538</v>
      </c>
      <c r="I50">
        <v>0.73107010775945003</v>
      </c>
      <c r="J50">
        <v>0.40424943728856844</v>
      </c>
      <c r="K50">
        <v>0.605809696210447</v>
      </c>
      <c r="L50">
        <v>-0.49860368458100607</v>
      </c>
    </row>
    <row r="51" spans="1:12" x14ac:dyDescent="0.2">
      <c r="A51">
        <v>50</v>
      </c>
      <c r="B51" t="s">
        <v>38</v>
      </c>
      <c r="C51" t="s">
        <v>110</v>
      </c>
      <c r="D51" t="s">
        <v>17</v>
      </c>
      <c r="E51" t="s">
        <v>92</v>
      </c>
      <c r="F51" t="s">
        <v>1</v>
      </c>
      <c r="G51">
        <v>1</v>
      </c>
      <c r="H51">
        <v>0.55295577400571538</v>
      </c>
      <c r="I51">
        <v>0.72925345411502529</v>
      </c>
      <c r="J51">
        <v>0.40324490816651526</v>
      </c>
      <c r="K51">
        <v>0.34895355640169806</v>
      </c>
      <c r="L51">
        <v>0.1346361743578377</v>
      </c>
    </row>
    <row r="52" spans="1:12" x14ac:dyDescent="0.2">
      <c r="A52">
        <v>51</v>
      </c>
      <c r="B52" t="s">
        <v>38</v>
      </c>
      <c r="C52" t="s">
        <v>112</v>
      </c>
      <c r="D52" t="s">
        <v>17</v>
      </c>
      <c r="E52" t="s">
        <v>94</v>
      </c>
      <c r="F52" t="s">
        <v>1</v>
      </c>
      <c r="G52">
        <v>1</v>
      </c>
      <c r="H52">
        <v>0.55295577400571538</v>
      </c>
      <c r="I52">
        <v>0.5120780354750436</v>
      </c>
      <c r="J52">
        <v>0.2831565064574289</v>
      </c>
      <c r="K52">
        <v>0.26663254193558195</v>
      </c>
      <c r="L52">
        <v>5.8356294646301016E-2</v>
      </c>
    </row>
    <row r="53" spans="1:12" x14ac:dyDescent="0.2">
      <c r="A53">
        <v>52</v>
      </c>
      <c r="B53" t="s">
        <v>38</v>
      </c>
      <c r="C53" t="s">
        <v>113</v>
      </c>
      <c r="D53" t="s">
        <v>17</v>
      </c>
      <c r="E53" t="s">
        <v>93</v>
      </c>
      <c r="F53" t="s">
        <v>1</v>
      </c>
      <c r="G53">
        <v>1</v>
      </c>
      <c r="H53">
        <v>0.55295577400571538</v>
      </c>
      <c r="I53">
        <v>0.55267873610047158</v>
      </c>
      <c r="J53">
        <v>0.30560689829693677</v>
      </c>
      <c r="K53">
        <v>0.27275404061509334</v>
      </c>
      <c r="L53">
        <v>0.10750037994863131</v>
      </c>
    </row>
    <row r="54" spans="1:12" x14ac:dyDescent="0.2">
      <c r="A54">
        <v>53</v>
      </c>
      <c r="B54" t="s">
        <v>38</v>
      </c>
      <c r="C54" t="s">
        <v>108</v>
      </c>
      <c r="D54" t="s">
        <v>17</v>
      </c>
      <c r="E54" t="s">
        <v>95</v>
      </c>
      <c r="F54" t="s">
        <v>1</v>
      </c>
      <c r="G54">
        <v>1</v>
      </c>
      <c r="H54">
        <v>0.55295577400571538</v>
      </c>
      <c r="I54">
        <v>0.96484589126151066</v>
      </c>
      <c r="J54">
        <v>0.53351710659874296</v>
      </c>
      <c r="K54">
        <v>0.35895597066057944</v>
      </c>
      <c r="L54">
        <v>0.32718938864213509</v>
      </c>
    </row>
    <row r="55" spans="1:12" x14ac:dyDescent="0.2">
      <c r="A55">
        <v>54</v>
      </c>
      <c r="B55" t="s">
        <v>38</v>
      </c>
      <c r="C55" t="s">
        <v>96</v>
      </c>
      <c r="D55" t="s">
        <v>17</v>
      </c>
      <c r="E55" t="s">
        <v>40</v>
      </c>
      <c r="F55" t="s">
        <v>1</v>
      </c>
      <c r="G55">
        <v>1</v>
      </c>
      <c r="H55">
        <v>0.73107010775945003</v>
      </c>
      <c r="I55">
        <v>0.72925345411502529</v>
      </c>
      <c r="J55">
        <v>0.53313540128382264</v>
      </c>
      <c r="K55">
        <v>0.39969234284510013</v>
      </c>
      <c r="L55">
        <v>0.25029862604768593</v>
      </c>
    </row>
    <row r="56" spans="1:12" x14ac:dyDescent="0.2">
      <c r="A56">
        <v>55</v>
      </c>
      <c r="B56" t="s">
        <v>38</v>
      </c>
      <c r="C56" t="s">
        <v>98</v>
      </c>
      <c r="D56" t="s">
        <v>17</v>
      </c>
      <c r="E56" t="s">
        <v>46</v>
      </c>
      <c r="F56" t="s">
        <v>1</v>
      </c>
      <c r="G56">
        <v>1</v>
      </c>
      <c r="H56">
        <v>0.73107010775945003</v>
      </c>
      <c r="I56">
        <v>0.5120780354750436</v>
      </c>
      <c r="J56">
        <v>0.37436494457598762</v>
      </c>
      <c r="K56">
        <v>0.67327038923048743</v>
      </c>
      <c r="L56">
        <v>-0.79843331750264546</v>
      </c>
    </row>
    <row r="57" spans="1:12" x14ac:dyDescent="0.2">
      <c r="A57">
        <v>56</v>
      </c>
      <c r="B57" t="s">
        <v>38</v>
      </c>
      <c r="C57" t="s">
        <v>97</v>
      </c>
      <c r="D57" t="s">
        <v>17</v>
      </c>
      <c r="E57" t="s">
        <v>44</v>
      </c>
      <c r="F57" t="s">
        <v>1</v>
      </c>
      <c r="G57">
        <v>1</v>
      </c>
      <c r="H57">
        <v>0.73107010775945003</v>
      </c>
      <c r="I57">
        <v>0.55267873610047158</v>
      </c>
      <c r="J57">
        <v>0.40404690315732839</v>
      </c>
      <c r="K57">
        <v>0.39119587136780781</v>
      </c>
      <c r="L57">
        <v>3.1805792072898575E-2</v>
      </c>
    </row>
    <row r="58" spans="1:12" x14ac:dyDescent="0.2">
      <c r="A58">
        <v>57</v>
      </c>
      <c r="B58" t="s">
        <v>38</v>
      </c>
      <c r="C58" t="s">
        <v>99</v>
      </c>
      <c r="D58" t="s">
        <v>17</v>
      </c>
      <c r="E58" t="s">
        <v>10</v>
      </c>
      <c r="F58" t="s">
        <v>1</v>
      </c>
      <c r="G58">
        <v>1</v>
      </c>
      <c r="H58">
        <v>0.73107010775945003</v>
      </c>
      <c r="I58">
        <v>0.96484589126151066</v>
      </c>
      <c r="J58">
        <v>0.70536998969581521</v>
      </c>
      <c r="K58">
        <v>0.87801500928651843</v>
      </c>
      <c r="L58">
        <v>-0.244758101581774</v>
      </c>
    </row>
    <row r="59" spans="1:12" x14ac:dyDescent="0.2">
      <c r="A59">
        <v>58</v>
      </c>
      <c r="B59" t="s">
        <v>38</v>
      </c>
      <c r="C59" t="s">
        <v>101</v>
      </c>
      <c r="D59" t="s">
        <v>17</v>
      </c>
      <c r="E59" t="s">
        <v>11</v>
      </c>
      <c r="F59" t="s">
        <v>1</v>
      </c>
      <c r="G59">
        <v>1</v>
      </c>
      <c r="H59">
        <v>0.72925345411502529</v>
      </c>
      <c r="I59">
        <v>0.5120780354750436</v>
      </c>
      <c r="J59">
        <v>0.37343467614661202</v>
      </c>
      <c r="K59">
        <v>0.67695970318504006</v>
      </c>
      <c r="L59">
        <v>-0.81279282944592657</v>
      </c>
    </row>
    <row r="60" spans="1:12" x14ac:dyDescent="0.2">
      <c r="A60">
        <v>59</v>
      </c>
      <c r="B60" t="s">
        <v>38</v>
      </c>
      <c r="C60" t="s">
        <v>100</v>
      </c>
      <c r="D60" t="s">
        <v>17</v>
      </c>
      <c r="E60" t="s">
        <v>49</v>
      </c>
      <c r="F60" t="s">
        <v>1</v>
      </c>
      <c r="G60">
        <v>1</v>
      </c>
      <c r="H60">
        <v>0.72925345411502529</v>
      </c>
      <c r="I60">
        <v>0.55267873610047158</v>
      </c>
      <c r="J60">
        <v>0.4030428773171954</v>
      </c>
      <c r="K60">
        <v>0.36323410792467065</v>
      </c>
      <c r="L60">
        <v>9.8770556764349399E-2</v>
      </c>
    </row>
    <row r="61" spans="1:12" x14ac:dyDescent="0.2">
      <c r="A61">
        <v>60</v>
      </c>
      <c r="B61" t="s">
        <v>38</v>
      </c>
      <c r="C61" t="s">
        <v>102</v>
      </c>
      <c r="D61" t="s">
        <v>17</v>
      </c>
      <c r="E61" t="s">
        <v>52</v>
      </c>
      <c r="F61" t="s">
        <v>1</v>
      </c>
      <c r="G61">
        <v>1</v>
      </c>
      <c r="H61">
        <v>0.72925345411502529</v>
      </c>
      <c r="I61">
        <v>0.96484589126151066</v>
      </c>
      <c r="J61">
        <v>0.70361719889114671</v>
      </c>
      <c r="K61">
        <v>0.72172688283259701</v>
      </c>
      <c r="L61">
        <v>-2.5737977937420994E-2</v>
      </c>
    </row>
    <row r="62" spans="1:12" x14ac:dyDescent="0.2">
      <c r="A62">
        <v>61</v>
      </c>
      <c r="B62" t="s">
        <v>38</v>
      </c>
      <c r="C62" t="s">
        <v>104</v>
      </c>
      <c r="D62" t="s">
        <v>17</v>
      </c>
      <c r="E62" t="s">
        <v>84</v>
      </c>
      <c r="F62" t="s">
        <v>1</v>
      </c>
      <c r="G62">
        <v>1</v>
      </c>
      <c r="H62">
        <v>0.5120780354750436</v>
      </c>
      <c r="I62">
        <v>0.96484589126151066</v>
      </c>
      <c r="J62">
        <v>0.49407638853336194</v>
      </c>
      <c r="K62">
        <v>0.72406868643716238</v>
      </c>
      <c r="L62">
        <v>-0.46549947182564155</v>
      </c>
    </row>
    <row r="63" spans="1:12" x14ac:dyDescent="0.2">
      <c r="A63">
        <v>62</v>
      </c>
      <c r="B63" t="s">
        <v>38</v>
      </c>
      <c r="C63" t="s">
        <v>105</v>
      </c>
      <c r="D63" t="s">
        <v>17</v>
      </c>
      <c r="E63" t="s">
        <v>82</v>
      </c>
      <c r="F63" t="s">
        <v>1</v>
      </c>
      <c r="G63">
        <v>1</v>
      </c>
      <c r="H63">
        <v>0.55267873610047158</v>
      </c>
      <c r="I63">
        <v>0.96484589126151066</v>
      </c>
      <c r="J63">
        <v>0.53324980771414476</v>
      </c>
      <c r="K63">
        <v>0.47828220519907938</v>
      </c>
      <c r="L63">
        <v>0.10308039819215735</v>
      </c>
    </row>
    <row r="64" spans="1:12" x14ac:dyDescent="0.2">
      <c r="A64">
        <v>63</v>
      </c>
      <c r="B64" t="s">
        <v>55</v>
      </c>
      <c r="C64" t="s">
        <v>72</v>
      </c>
      <c r="D64" t="s">
        <v>17</v>
      </c>
      <c r="E64" t="s">
        <v>73</v>
      </c>
      <c r="F64" t="s">
        <v>20</v>
      </c>
      <c r="G64">
        <v>2</v>
      </c>
      <c r="H64">
        <v>0.90704476051953908</v>
      </c>
      <c r="I64">
        <v>0.75232911589560847</v>
      </c>
      <c r="J64">
        <v>0.68239618275940872</v>
      </c>
      <c r="K64">
        <v>0.75303299492669296</v>
      </c>
      <c r="L64">
        <v>-0.10351290636130146</v>
      </c>
    </row>
    <row r="65" spans="1:12" x14ac:dyDescent="0.2">
      <c r="A65">
        <v>64</v>
      </c>
      <c r="B65" t="s">
        <v>55</v>
      </c>
      <c r="C65" t="s">
        <v>77</v>
      </c>
      <c r="D65" t="s">
        <v>17</v>
      </c>
      <c r="E65" t="s">
        <v>78</v>
      </c>
      <c r="F65" t="s">
        <v>20</v>
      </c>
      <c r="G65">
        <v>2</v>
      </c>
      <c r="H65">
        <v>0.90704476051953908</v>
      </c>
      <c r="I65">
        <v>0.85288272631146789</v>
      </c>
      <c r="J65">
        <v>0.77360280823843697</v>
      </c>
      <c r="K65">
        <v>0.84184132745451778</v>
      </c>
      <c r="L65">
        <v>-8.8208727384878616E-2</v>
      </c>
    </row>
    <row r="66" spans="1:12" x14ac:dyDescent="0.2">
      <c r="A66">
        <v>65</v>
      </c>
      <c r="B66" t="s">
        <v>55</v>
      </c>
      <c r="C66" t="s">
        <v>79</v>
      </c>
      <c r="D66" t="s">
        <v>17</v>
      </c>
      <c r="E66" t="s">
        <v>80</v>
      </c>
      <c r="F66" t="s">
        <v>20</v>
      </c>
      <c r="G66">
        <v>2</v>
      </c>
      <c r="H66">
        <v>0.90704476051953908</v>
      </c>
      <c r="I66">
        <v>0.55270685944092135</v>
      </c>
      <c r="J66">
        <v>0.50132986095909704</v>
      </c>
      <c r="K66">
        <v>0.36745809290002607</v>
      </c>
      <c r="L66">
        <v>0.26703330179247675</v>
      </c>
    </row>
    <row r="67" spans="1:12" x14ac:dyDescent="0.2">
      <c r="A67">
        <v>66</v>
      </c>
      <c r="B67" t="s">
        <v>55</v>
      </c>
      <c r="C67" t="s">
        <v>68</v>
      </c>
      <c r="D67" t="s">
        <v>17</v>
      </c>
      <c r="E67" t="s">
        <v>69</v>
      </c>
      <c r="F67" t="s">
        <v>20</v>
      </c>
      <c r="G67">
        <v>2</v>
      </c>
      <c r="H67">
        <v>0.90704476051953908</v>
      </c>
      <c r="I67">
        <v>0.88823282720571062</v>
      </c>
      <c r="J67">
        <v>0.8056669320383969</v>
      </c>
      <c r="K67">
        <v>0.91087326740887098</v>
      </c>
      <c r="L67">
        <v>-0.13058291359221394</v>
      </c>
    </row>
    <row r="68" spans="1:12" x14ac:dyDescent="0.2">
      <c r="A68">
        <v>67</v>
      </c>
      <c r="B68" t="s">
        <v>55</v>
      </c>
      <c r="C68" t="s">
        <v>39</v>
      </c>
      <c r="D68" t="s">
        <v>17</v>
      </c>
      <c r="E68" t="s">
        <v>71</v>
      </c>
      <c r="F68" t="s">
        <v>20</v>
      </c>
      <c r="G68">
        <v>2</v>
      </c>
      <c r="H68">
        <v>0.97826358920125656</v>
      </c>
      <c r="I68">
        <v>0.77548826759809186</v>
      </c>
      <c r="J68">
        <v>0.75863193604397383</v>
      </c>
      <c r="K68">
        <v>0.92936406932183413</v>
      </c>
      <c r="L68">
        <v>-0.22505265750895553</v>
      </c>
    </row>
    <row r="69" spans="1:12" x14ac:dyDescent="0.2">
      <c r="A69">
        <v>68</v>
      </c>
      <c r="B69" t="s">
        <v>55</v>
      </c>
      <c r="C69" t="s">
        <v>45</v>
      </c>
      <c r="D69" t="s">
        <v>17</v>
      </c>
      <c r="E69" t="s">
        <v>76</v>
      </c>
      <c r="F69" t="s">
        <v>20</v>
      </c>
      <c r="G69">
        <v>2</v>
      </c>
      <c r="H69">
        <v>0.90704476051953908</v>
      </c>
      <c r="I69">
        <v>0.94279599362782507</v>
      </c>
      <c r="J69">
        <v>0.85515816625893148</v>
      </c>
      <c r="K69">
        <v>0.92696580415011132</v>
      </c>
      <c r="L69">
        <v>-8.3970007800214769E-2</v>
      </c>
    </row>
    <row r="70" spans="1:12" x14ac:dyDescent="0.2">
      <c r="A70">
        <v>69</v>
      </c>
      <c r="B70" t="s">
        <v>55</v>
      </c>
      <c r="C70" t="s">
        <v>47</v>
      </c>
      <c r="D70" t="s">
        <v>17</v>
      </c>
      <c r="E70" t="s">
        <v>3</v>
      </c>
      <c r="F70" t="s">
        <v>20</v>
      </c>
      <c r="G70">
        <v>2</v>
      </c>
      <c r="H70">
        <v>0.90704476051953908</v>
      </c>
      <c r="I70">
        <v>0.97040505892151974</v>
      </c>
      <c r="J70">
        <v>0.8802008242764191</v>
      </c>
      <c r="K70">
        <v>0.88595681037640628</v>
      </c>
      <c r="L70">
        <v>-6.5394009426416539E-3</v>
      </c>
    </row>
    <row r="71" spans="1:12" x14ac:dyDescent="0.2">
      <c r="A71">
        <v>70</v>
      </c>
      <c r="B71" t="s">
        <v>55</v>
      </c>
      <c r="C71" t="s">
        <v>50</v>
      </c>
      <c r="D71" t="s">
        <v>17</v>
      </c>
      <c r="E71" t="s">
        <v>66</v>
      </c>
      <c r="F71" t="s">
        <v>20</v>
      </c>
      <c r="G71">
        <v>2</v>
      </c>
      <c r="H71">
        <v>0.75232911589560847</v>
      </c>
      <c r="I71">
        <v>0.85288272631146789</v>
      </c>
      <c r="J71">
        <v>0.64164850744854285</v>
      </c>
      <c r="K71">
        <v>0.69567003867707944</v>
      </c>
      <c r="L71">
        <v>-8.419178195138069E-2</v>
      </c>
    </row>
    <row r="72" spans="1:12" x14ac:dyDescent="0.2">
      <c r="A72">
        <v>71</v>
      </c>
      <c r="B72" t="s">
        <v>55</v>
      </c>
      <c r="C72" t="s">
        <v>48</v>
      </c>
      <c r="D72" t="s">
        <v>17</v>
      </c>
      <c r="E72" t="s">
        <v>67</v>
      </c>
      <c r="F72" t="s">
        <v>20</v>
      </c>
      <c r="G72">
        <v>2</v>
      </c>
      <c r="H72">
        <v>0.75232911589560847</v>
      </c>
      <c r="I72">
        <v>0.55270685944092135</v>
      </c>
      <c r="J72">
        <v>0.41581746291262672</v>
      </c>
      <c r="K72">
        <v>0.48805489052346723</v>
      </c>
      <c r="L72">
        <v>-0.17372389101902469</v>
      </c>
    </row>
    <row r="73" spans="1:12" x14ac:dyDescent="0.2">
      <c r="A73">
        <v>72</v>
      </c>
      <c r="B73" t="s">
        <v>55</v>
      </c>
      <c r="C73" t="s">
        <v>51</v>
      </c>
      <c r="D73" t="s">
        <v>17</v>
      </c>
      <c r="E73" t="s">
        <v>54</v>
      </c>
      <c r="F73" t="s">
        <v>20</v>
      </c>
      <c r="G73">
        <v>2</v>
      </c>
      <c r="H73">
        <v>0.75232911589560847</v>
      </c>
      <c r="I73">
        <v>0.88823282720571062</v>
      </c>
      <c r="J73">
        <v>0.66824341760112904</v>
      </c>
      <c r="K73">
        <v>0.71602509925713098</v>
      </c>
      <c r="L73">
        <v>-7.1503407886200188E-2</v>
      </c>
    </row>
    <row r="74" spans="1:12" x14ac:dyDescent="0.2">
      <c r="A74">
        <v>73</v>
      </c>
      <c r="B74" t="s">
        <v>55</v>
      </c>
      <c r="C74" t="s">
        <v>59</v>
      </c>
      <c r="D74" t="s">
        <v>17</v>
      </c>
      <c r="E74" t="s">
        <v>58</v>
      </c>
      <c r="F74" t="s">
        <v>20</v>
      </c>
      <c r="G74">
        <v>2</v>
      </c>
      <c r="H74">
        <v>0.82853112694464437</v>
      </c>
      <c r="I74">
        <v>0.77548826759809186</v>
      </c>
      <c r="J74">
        <v>0.64251616828539704</v>
      </c>
      <c r="K74">
        <v>0.66074127786002645</v>
      </c>
      <c r="L74">
        <v>-2.8365215498412279E-2</v>
      </c>
    </row>
    <row r="75" spans="1:12" x14ac:dyDescent="0.2">
      <c r="A75">
        <v>74</v>
      </c>
      <c r="B75" t="s">
        <v>55</v>
      </c>
      <c r="C75" t="s">
        <v>63</v>
      </c>
      <c r="D75" t="s">
        <v>17</v>
      </c>
      <c r="E75" t="s">
        <v>62</v>
      </c>
      <c r="F75" t="s">
        <v>20</v>
      </c>
      <c r="G75">
        <v>2</v>
      </c>
      <c r="H75">
        <v>0.75232911589560847</v>
      </c>
      <c r="I75">
        <v>0.94279599362782507</v>
      </c>
      <c r="J75">
        <v>0.7092928763559434</v>
      </c>
      <c r="K75">
        <v>0.73741011643941146</v>
      </c>
      <c r="L75">
        <v>-3.9641227228902863E-2</v>
      </c>
    </row>
    <row r="76" spans="1:12" x14ac:dyDescent="0.2">
      <c r="A76">
        <v>75</v>
      </c>
      <c r="B76" t="s">
        <v>55</v>
      </c>
      <c r="C76" t="s">
        <v>60</v>
      </c>
      <c r="D76" t="s">
        <v>17</v>
      </c>
      <c r="E76" t="s">
        <v>61</v>
      </c>
      <c r="F76" t="s">
        <v>20</v>
      </c>
      <c r="G76">
        <v>2</v>
      </c>
      <c r="H76">
        <v>0.75232911589560847</v>
      </c>
      <c r="I76">
        <v>0.42747146937666569</v>
      </c>
      <c r="J76">
        <v>0.32159923262674356</v>
      </c>
      <c r="K76">
        <v>0.39191039284445772</v>
      </c>
      <c r="L76">
        <v>-0.2186297512075196</v>
      </c>
    </row>
    <row r="77" spans="1:12" x14ac:dyDescent="0.2">
      <c r="A77">
        <v>76</v>
      </c>
      <c r="B77" t="s">
        <v>55</v>
      </c>
      <c r="C77" t="s">
        <v>64</v>
      </c>
      <c r="D77" t="s">
        <v>17</v>
      </c>
      <c r="E77" t="s">
        <v>65</v>
      </c>
      <c r="F77" t="s">
        <v>20</v>
      </c>
      <c r="G77">
        <v>2</v>
      </c>
      <c r="H77">
        <v>0.75232911589560847</v>
      </c>
      <c r="I77">
        <v>0.97040505892151974</v>
      </c>
      <c r="J77">
        <v>0.73006398003905282</v>
      </c>
      <c r="K77">
        <v>0.71244384216917689</v>
      </c>
      <c r="L77">
        <v>2.4135059873702285E-2</v>
      </c>
    </row>
    <row r="78" spans="1:12" x14ac:dyDescent="0.2">
      <c r="A78">
        <v>77</v>
      </c>
      <c r="B78" t="s">
        <v>55</v>
      </c>
      <c r="C78" t="s">
        <v>81</v>
      </c>
      <c r="D78" t="s">
        <v>17</v>
      </c>
      <c r="E78" t="s">
        <v>2</v>
      </c>
      <c r="F78" t="s">
        <v>20</v>
      </c>
      <c r="G78">
        <v>2</v>
      </c>
      <c r="H78">
        <v>0.85288272631146789</v>
      </c>
      <c r="I78">
        <v>0.55270685944092135</v>
      </c>
      <c r="J78">
        <v>0.4713941331310223</v>
      </c>
      <c r="K78">
        <v>0.25954476974121904</v>
      </c>
      <c r="L78">
        <v>0.44941026733338763</v>
      </c>
    </row>
    <row r="79" spans="1:12" x14ac:dyDescent="0.2">
      <c r="A79">
        <v>78</v>
      </c>
      <c r="B79" t="s">
        <v>55</v>
      </c>
      <c r="C79" t="s">
        <v>70</v>
      </c>
      <c r="D79" t="s">
        <v>17</v>
      </c>
      <c r="E79" t="s">
        <v>85</v>
      </c>
      <c r="F79" t="s">
        <v>20</v>
      </c>
      <c r="G79">
        <v>2</v>
      </c>
      <c r="H79">
        <v>0.85288272631146789</v>
      </c>
      <c r="I79">
        <v>0.88823282720571062</v>
      </c>
      <c r="J79">
        <v>0.75755843526654942</v>
      </c>
      <c r="K79">
        <v>0.82514068695637532</v>
      </c>
      <c r="L79">
        <v>-8.9210612071195364E-2</v>
      </c>
    </row>
    <row r="80" spans="1:12" x14ac:dyDescent="0.2">
      <c r="A80">
        <v>79</v>
      </c>
      <c r="B80" t="s">
        <v>55</v>
      </c>
      <c r="C80" t="s">
        <v>74</v>
      </c>
      <c r="D80" t="s">
        <v>17</v>
      </c>
      <c r="E80" t="s">
        <v>4</v>
      </c>
      <c r="F80" t="s">
        <v>20</v>
      </c>
      <c r="G80">
        <v>2</v>
      </c>
      <c r="H80">
        <v>0.85288272631146789</v>
      </c>
      <c r="I80">
        <v>0.79803748732374824</v>
      </c>
      <c r="J80">
        <v>0.68063238788743186</v>
      </c>
      <c r="K80">
        <v>0.71460708770078574</v>
      </c>
      <c r="L80">
        <v>-4.9916372505877396E-2</v>
      </c>
    </row>
    <row r="81" spans="1:12" x14ac:dyDescent="0.2">
      <c r="A81">
        <v>80</v>
      </c>
      <c r="B81" t="s">
        <v>55</v>
      </c>
      <c r="C81" t="s">
        <v>87</v>
      </c>
      <c r="D81" t="s">
        <v>17</v>
      </c>
      <c r="E81" t="s">
        <v>88</v>
      </c>
      <c r="F81" t="s">
        <v>20</v>
      </c>
      <c r="G81">
        <v>2</v>
      </c>
      <c r="H81">
        <v>0.85288272631146789</v>
      </c>
      <c r="I81">
        <v>0.94279599362782507</v>
      </c>
      <c r="J81">
        <v>0.80409441740082876</v>
      </c>
      <c r="K81">
        <v>0.84314159040897485</v>
      </c>
      <c r="L81">
        <v>-4.8560432908318116E-2</v>
      </c>
    </row>
    <row r="82" spans="1:12" x14ac:dyDescent="0.2">
      <c r="A82">
        <v>81</v>
      </c>
      <c r="B82" t="s">
        <v>55</v>
      </c>
      <c r="C82" t="s">
        <v>57</v>
      </c>
      <c r="D82" t="s">
        <v>17</v>
      </c>
      <c r="E82" t="s">
        <v>86</v>
      </c>
      <c r="F82" t="s">
        <v>20</v>
      </c>
      <c r="G82">
        <v>2</v>
      </c>
      <c r="H82" s="2">
        <v>0.69636910731780555</v>
      </c>
      <c r="I82" s="2">
        <v>0.63084612667402595</v>
      </c>
      <c r="J82">
        <v>0.43930175408688671</v>
      </c>
      <c r="K82" s="2">
        <v>0.60642747913712347</v>
      </c>
      <c r="L82">
        <v>-0.38043491403219398</v>
      </c>
    </row>
    <row r="83" spans="1:12" x14ac:dyDescent="0.2">
      <c r="A83">
        <v>82</v>
      </c>
      <c r="B83" t="s">
        <v>55</v>
      </c>
      <c r="C83" t="s">
        <v>110</v>
      </c>
      <c r="D83" t="s">
        <v>17</v>
      </c>
      <c r="E83" t="s">
        <v>73</v>
      </c>
      <c r="F83" t="s">
        <v>1</v>
      </c>
      <c r="G83">
        <v>2</v>
      </c>
      <c r="H83">
        <v>0.903523835833554</v>
      </c>
      <c r="I83">
        <v>0.84461388212575406</v>
      </c>
      <c r="J83">
        <v>0.7631287745765305</v>
      </c>
      <c r="K83">
        <v>0.82091893968629426</v>
      </c>
      <c r="L83">
        <v>-7.5727933521878052E-2</v>
      </c>
    </row>
    <row r="84" spans="1:12" x14ac:dyDescent="0.2">
      <c r="A84">
        <v>83</v>
      </c>
      <c r="B84" t="s">
        <v>55</v>
      </c>
      <c r="C84" t="s">
        <v>112</v>
      </c>
      <c r="D84" t="s">
        <v>17</v>
      </c>
      <c r="E84" t="s">
        <v>78</v>
      </c>
      <c r="F84" t="s">
        <v>1</v>
      </c>
      <c r="G84">
        <v>2</v>
      </c>
      <c r="H84">
        <v>0.903523835833554</v>
      </c>
      <c r="I84">
        <v>0.39683229292651023</v>
      </c>
      <c r="J84">
        <v>0.35854743548758505</v>
      </c>
      <c r="K84">
        <v>0.42402891744762006</v>
      </c>
      <c r="L84">
        <v>-0.18262989908430777</v>
      </c>
    </row>
    <row r="85" spans="1:12" x14ac:dyDescent="0.2">
      <c r="A85">
        <v>84</v>
      </c>
      <c r="B85" t="s">
        <v>55</v>
      </c>
      <c r="C85" t="s">
        <v>113</v>
      </c>
      <c r="D85" t="s">
        <v>17</v>
      </c>
      <c r="E85" t="s">
        <v>80</v>
      </c>
      <c r="F85" t="s">
        <v>1</v>
      </c>
      <c r="G85">
        <v>2</v>
      </c>
      <c r="H85">
        <v>0.903523835833554</v>
      </c>
      <c r="I85">
        <v>0.46854710817095918</v>
      </c>
      <c r="J85">
        <v>0.42334348044334419</v>
      </c>
      <c r="K85">
        <v>0</v>
      </c>
      <c r="L85">
        <v>1</v>
      </c>
    </row>
    <row r="86" spans="1:12" x14ac:dyDescent="0.2">
      <c r="A86">
        <v>85</v>
      </c>
      <c r="B86" t="s">
        <v>55</v>
      </c>
      <c r="C86" t="s">
        <v>108</v>
      </c>
      <c r="D86" t="s">
        <v>17</v>
      </c>
      <c r="E86" t="s">
        <v>69</v>
      </c>
      <c r="F86" t="s">
        <v>1</v>
      </c>
      <c r="G86">
        <v>2</v>
      </c>
      <c r="H86">
        <v>0.903523835833554</v>
      </c>
      <c r="I86">
        <v>0.55019232385525352</v>
      </c>
      <c r="J86">
        <v>0.49711187889587566</v>
      </c>
      <c r="K86">
        <v>0.53909711268999005</v>
      </c>
      <c r="L86">
        <v>-8.4458319296989812E-2</v>
      </c>
    </row>
    <row r="87" spans="1:12" x14ac:dyDescent="0.2">
      <c r="A87">
        <v>86</v>
      </c>
      <c r="B87" t="s">
        <v>55</v>
      </c>
      <c r="C87" t="s">
        <v>96</v>
      </c>
      <c r="D87" t="s">
        <v>17</v>
      </c>
      <c r="E87" t="s">
        <v>71</v>
      </c>
      <c r="F87" t="s">
        <v>1</v>
      </c>
      <c r="G87">
        <v>2</v>
      </c>
      <c r="H87">
        <v>0.94293603313391627</v>
      </c>
      <c r="I87">
        <v>1.0332090439767465</v>
      </c>
      <c r="J87">
        <v>0.9742500373255194</v>
      </c>
      <c r="K87">
        <v>0.81140957202024855</v>
      </c>
      <c r="L87">
        <v>0.16714442808983143</v>
      </c>
    </row>
    <row r="88" spans="1:12" x14ac:dyDescent="0.2">
      <c r="A88">
        <v>87</v>
      </c>
      <c r="B88" t="s">
        <v>55</v>
      </c>
      <c r="C88" t="s">
        <v>98</v>
      </c>
      <c r="D88" t="s">
        <v>17</v>
      </c>
      <c r="E88" t="s">
        <v>76</v>
      </c>
      <c r="F88" t="s">
        <v>1</v>
      </c>
      <c r="G88">
        <v>2</v>
      </c>
      <c r="H88">
        <v>0.903523835833554</v>
      </c>
      <c r="I88">
        <v>0.58916705286963078</v>
      </c>
      <c r="J88">
        <v>0.53232647555551915</v>
      </c>
      <c r="K88">
        <v>0.54668955952724274</v>
      </c>
      <c r="L88">
        <v>-2.698172011214495E-2</v>
      </c>
    </row>
    <row r="89" spans="1:12" x14ac:dyDescent="0.2">
      <c r="A89">
        <v>88</v>
      </c>
      <c r="B89" t="s">
        <v>55</v>
      </c>
      <c r="C89" t="s">
        <v>99</v>
      </c>
      <c r="D89" t="s">
        <v>17</v>
      </c>
      <c r="E89" t="s">
        <v>3</v>
      </c>
      <c r="F89" t="s">
        <v>1</v>
      </c>
      <c r="G89">
        <v>2</v>
      </c>
      <c r="H89">
        <v>0.903523835833554</v>
      </c>
      <c r="I89">
        <v>0.70588073179752042</v>
      </c>
      <c r="J89">
        <v>0.63778006643469176</v>
      </c>
      <c r="K89">
        <v>0.84591956165040894</v>
      </c>
      <c r="L89">
        <v>-0.32634995380030513</v>
      </c>
    </row>
    <row r="90" spans="1:12" x14ac:dyDescent="0.2">
      <c r="A90">
        <v>89</v>
      </c>
      <c r="B90" t="s">
        <v>55</v>
      </c>
      <c r="C90" t="s">
        <v>101</v>
      </c>
      <c r="D90" t="s">
        <v>17</v>
      </c>
      <c r="E90" t="s">
        <v>66</v>
      </c>
      <c r="F90" t="s">
        <v>1</v>
      </c>
      <c r="G90">
        <v>2</v>
      </c>
      <c r="H90">
        <v>0.84461388212575406</v>
      </c>
      <c r="I90">
        <v>0.39683229292651023</v>
      </c>
      <c r="J90">
        <v>0.33517006348152423</v>
      </c>
      <c r="K90">
        <v>0.37578925334579932</v>
      </c>
      <c r="L90">
        <v>-0.121189790765768</v>
      </c>
    </row>
    <row r="91" spans="1:12" x14ac:dyDescent="0.2">
      <c r="A91">
        <v>90</v>
      </c>
      <c r="B91" t="s">
        <v>55</v>
      </c>
      <c r="C91" t="s">
        <v>100</v>
      </c>
      <c r="D91" t="s">
        <v>17</v>
      </c>
      <c r="E91" t="s">
        <v>67</v>
      </c>
      <c r="F91" t="s">
        <v>1</v>
      </c>
      <c r="G91">
        <v>2</v>
      </c>
      <c r="H91">
        <v>0.84461388212575406</v>
      </c>
      <c r="I91">
        <v>0.46854710817095918</v>
      </c>
      <c r="J91">
        <v>0.39574139199106945</v>
      </c>
      <c r="K91">
        <v>0.46811638310639042</v>
      </c>
      <c r="L91">
        <v>-0.18288456193875782</v>
      </c>
    </row>
    <row r="92" spans="1:12" x14ac:dyDescent="0.2">
      <c r="A92">
        <v>91</v>
      </c>
      <c r="B92" t="s">
        <v>55</v>
      </c>
      <c r="C92" t="s">
        <v>102</v>
      </c>
      <c r="D92" t="s">
        <v>17</v>
      </c>
      <c r="E92" t="s">
        <v>54</v>
      </c>
      <c r="F92" t="s">
        <v>1</v>
      </c>
      <c r="G92">
        <v>2</v>
      </c>
      <c r="H92">
        <v>0.84461388212575406</v>
      </c>
      <c r="I92">
        <v>0.55019232385525352</v>
      </c>
      <c r="J92">
        <v>0.46470007456717577</v>
      </c>
      <c r="K92">
        <v>0.67866977919335825</v>
      </c>
      <c r="L92">
        <v>-0.4604468910952404</v>
      </c>
    </row>
    <row r="93" spans="1:12" x14ac:dyDescent="0.2">
      <c r="A93">
        <v>92</v>
      </c>
      <c r="B93" t="s">
        <v>55</v>
      </c>
      <c r="C93" t="s">
        <v>104</v>
      </c>
      <c r="D93" t="s">
        <v>17</v>
      </c>
      <c r="E93" t="s">
        <v>58</v>
      </c>
      <c r="F93" t="s">
        <v>1</v>
      </c>
      <c r="G93">
        <v>2</v>
      </c>
      <c r="H93">
        <v>0.62379393433232855</v>
      </c>
      <c r="I93">
        <v>1.0332090439767465</v>
      </c>
      <c r="J93">
        <v>0.6445095345299986</v>
      </c>
      <c r="K93">
        <v>0.76127439959016563</v>
      </c>
      <c r="L93">
        <v>-0.18116856121502767</v>
      </c>
    </row>
    <row r="94" spans="1:12" x14ac:dyDescent="0.2">
      <c r="A94">
        <v>93</v>
      </c>
      <c r="B94" t="s">
        <v>55</v>
      </c>
      <c r="C94" t="s">
        <v>106</v>
      </c>
      <c r="D94" t="s">
        <v>17</v>
      </c>
      <c r="E94" t="s">
        <v>62</v>
      </c>
      <c r="F94" t="s">
        <v>1</v>
      </c>
      <c r="G94">
        <v>2</v>
      </c>
      <c r="H94">
        <v>0.84461388212575406</v>
      </c>
      <c r="I94">
        <v>0.58916705286963078</v>
      </c>
      <c r="J94">
        <v>0.49761867174480823</v>
      </c>
      <c r="K94">
        <v>0.41638323659997095</v>
      </c>
      <c r="L94">
        <v>0.16324836618368876</v>
      </c>
    </row>
    <row r="95" spans="1:12" x14ac:dyDescent="0.2">
      <c r="A95">
        <v>94</v>
      </c>
      <c r="B95" t="s">
        <v>55</v>
      </c>
      <c r="C95" t="s">
        <v>105</v>
      </c>
      <c r="D95" t="s">
        <v>17</v>
      </c>
      <c r="E95" t="s">
        <v>61</v>
      </c>
      <c r="F95" t="s">
        <v>1</v>
      </c>
      <c r="G95">
        <v>2</v>
      </c>
      <c r="H95">
        <v>0.84461388212575406</v>
      </c>
      <c r="I95">
        <v>0.35967948112077702</v>
      </c>
      <c r="J95">
        <v>0.30379028287039633</v>
      </c>
      <c r="K95">
        <v>0.19053322026445249</v>
      </c>
      <c r="L95">
        <v>0.37281331560648306</v>
      </c>
    </row>
    <row r="96" spans="1:12" x14ac:dyDescent="0.2">
      <c r="A96">
        <v>95</v>
      </c>
      <c r="B96" t="s">
        <v>55</v>
      </c>
      <c r="C96" t="s">
        <v>107</v>
      </c>
      <c r="D96" t="s">
        <v>17</v>
      </c>
      <c r="E96" t="s">
        <v>65</v>
      </c>
      <c r="F96" t="s">
        <v>1</v>
      </c>
      <c r="G96">
        <v>2</v>
      </c>
      <c r="H96">
        <v>0.84461388212575406</v>
      </c>
      <c r="I96">
        <v>0.70588073179752042</v>
      </c>
      <c r="J96">
        <v>0.5961966652012719</v>
      </c>
      <c r="K96">
        <v>0.85853299492736768</v>
      </c>
      <c r="L96">
        <v>-0.44001643256010636</v>
      </c>
    </row>
    <row r="97" spans="1:12" x14ac:dyDescent="0.2">
      <c r="A97">
        <v>96</v>
      </c>
      <c r="B97" t="s">
        <v>55</v>
      </c>
      <c r="C97" t="s">
        <v>114</v>
      </c>
      <c r="D97" t="s">
        <v>17</v>
      </c>
      <c r="E97" t="s">
        <v>2</v>
      </c>
      <c r="F97" t="s">
        <v>1</v>
      </c>
      <c r="G97">
        <v>2</v>
      </c>
      <c r="H97">
        <v>0.39683229292651023</v>
      </c>
      <c r="I97">
        <v>0.46854710817095918</v>
      </c>
      <c r="J97">
        <v>0.18593462327956736</v>
      </c>
      <c r="K97">
        <v>0.27648642939235651</v>
      </c>
      <c r="L97">
        <v>-0.48700884491339397</v>
      </c>
    </row>
    <row r="98" spans="1:12" x14ac:dyDescent="0.2">
      <c r="A98">
        <v>97</v>
      </c>
      <c r="B98" t="s">
        <v>55</v>
      </c>
      <c r="C98" t="s">
        <v>109</v>
      </c>
      <c r="D98" t="s">
        <v>17</v>
      </c>
      <c r="E98" t="s">
        <v>85</v>
      </c>
      <c r="F98" t="s">
        <v>1</v>
      </c>
      <c r="G98">
        <v>2</v>
      </c>
      <c r="H98">
        <v>0.39683229292651023</v>
      </c>
      <c r="I98">
        <v>0.55019232385525352</v>
      </c>
      <c r="J98">
        <v>0.21833408142604535</v>
      </c>
      <c r="K98">
        <v>0.54351085669230237</v>
      </c>
      <c r="L98">
        <v>-1</v>
      </c>
    </row>
    <row r="99" spans="1:12" x14ac:dyDescent="0.2">
      <c r="A99">
        <v>98</v>
      </c>
      <c r="B99" t="s">
        <v>55</v>
      </c>
      <c r="C99" t="s">
        <v>111</v>
      </c>
      <c r="D99" t="s">
        <v>17</v>
      </c>
      <c r="E99" t="s">
        <v>4</v>
      </c>
      <c r="F99" t="s">
        <v>1</v>
      </c>
      <c r="G99">
        <v>2</v>
      </c>
      <c r="H99">
        <v>0.39683229292651023</v>
      </c>
      <c r="I99">
        <v>0.71213757851151527</v>
      </c>
      <c r="J99">
        <v>0.2825991881598573</v>
      </c>
      <c r="K99">
        <v>0.64235211503688472</v>
      </c>
      <c r="L99">
        <v>-1</v>
      </c>
    </row>
    <row r="100" spans="1:12" x14ac:dyDescent="0.2">
      <c r="A100">
        <v>99</v>
      </c>
      <c r="B100" t="s">
        <v>55</v>
      </c>
      <c r="C100" t="s">
        <v>115</v>
      </c>
      <c r="D100" t="s">
        <v>17</v>
      </c>
      <c r="E100" t="s">
        <v>88</v>
      </c>
      <c r="F100" t="s">
        <v>1</v>
      </c>
      <c r="G100">
        <v>2</v>
      </c>
      <c r="H100">
        <v>0.39683229292651023</v>
      </c>
      <c r="I100">
        <v>0.58916705286963078</v>
      </c>
      <c r="J100">
        <v>0.23380051250701006</v>
      </c>
      <c r="K100">
        <v>0.25454137820867795</v>
      </c>
      <c r="L100">
        <v>-8.8711805971965152E-2</v>
      </c>
    </row>
    <row r="101" spans="1:12" x14ac:dyDescent="0.2">
      <c r="A101">
        <v>100</v>
      </c>
      <c r="B101" t="s">
        <v>55</v>
      </c>
      <c r="C101" t="s">
        <v>103</v>
      </c>
      <c r="D101" t="s">
        <v>17</v>
      </c>
      <c r="E101" t="s">
        <v>86</v>
      </c>
      <c r="F101" t="s">
        <v>1</v>
      </c>
      <c r="G101">
        <v>2</v>
      </c>
      <c r="H101" s="2">
        <v>0.5167912835611802</v>
      </c>
      <c r="I101" s="2">
        <v>0.54595524312438659</v>
      </c>
      <c r="J101">
        <v>0.28214491086120796</v>
      </c>
      <c r="K101">
        <v>0.22293102517070942</v>
      </c>
      <c r="L101">
        <v>0.20987047226815617</v>
      </c>
    </row>
    <row r="102" spans="1:12" x14ac:dyDescent="0.2">
      <c r="A102">
        <v>101</v>
      </c>
      <c r="B102" t="s">
        <v>41</v>
      </c>
      <c r="C102" t="s">
        <v>81</v>
      </c>
      <c r="D102" t="s">
        <v>17</v>
      </c>
      <c r="E102" t="s">
        <v>2</v>
      </c>
      <c r="F102" t="s">
        <v>20</v>
      </c>
      <c r="G102">
        <v>3</v>
      </c>
      <c r="H102">
        <v>0.69636910731780555</v>
      </c>
      <c r="I102">
        <v>0.55254857789817591</v>
      </c>
      <c r="J102">
        <v>0.3847777599406757</v>
      </c>
      <c r="K102">
        <v>0.23821762849265893</v>
      </c>
      <c r="L102">
        <v>0.38089553686942074</v>
      </c>
    </row>
    <row r="103" spans="1:12" x14ac:dyDescent="0.2">
      <c r="A103">
        <v>102</v>
      </c>
      <c r="B103" t="s">
        <v>41</v>
      </c>
      <c r="C103" t="s">
        <v>114</v>
      </c>
      <c r="D103" t="s">
        <v>17</v>
      </c>
      <c r="E103" t="s">
        <v>2</v>
      </c>
      <c r="F103" t="s">
        <v>1</v>
      </c>
      <c r="G103">
        <v>3</v>
      </c>
      <c r="H103">
        <v>0.5167912835611802</v>
      </c>
      <c r="I103">
        <v>0.46600448190788768</v>
      </c>
      <c r="J103">
        <v>0.24082705435044005</v>
      </c>
      <c r="K103">
        <v>0.36967642042964</v>
      </c>
      <c r="L103">
        <v>-0.53502861805428426</v>
      </c>
    </row>
    <row r="104" spans="1:12" x14ac:dyDescent="0.2">
      <c r="A104">
        <v>103</v>
      </c>
      <c r="B104" t="s">
        <v>41</v>
      </c>
      <c r="C104" t="s">
        <v>89</v>
      </c>
      <c r="D104" t="s">
        <v>17</v>
      </c>
      <c r="E104" t="s">
        <v>90</v>
      </c>
      <c r="F104" t="s">
        <v>20</v>
      </c>
      <c r="G104">
        <v>2</v>
      </c>
      <c r="H104" s="2">
        <v>0.69636910731780555</v>
      </c>
      <c r="I104" s="2">
        <v>1.0375750066344784</v>
      </c>
      <c r="J104">
        <v>0.7225351811453179</v>
      </c>
      <c r="K104" s="2">
        <v>0.84787690197765431</v>
      </c>
      <c r="L104">
        <v>-0.17347490351079167</v>
      </c>
    </row>
    <row r="105" spans="1:12" x14ac:dyDescent="0.2">
      <c r="A105">
        <v>104</v>
      </c>
      <c r="B105" t="s">
        <v>41</v>
      </c>
      <c r="C105" t="s">
        <v>91</v>
      </c>
      <c r="D105" t="s">
        <v>17</v>
      </c>
      <c r="E105" t="s">
        <v>21</v>
      </c>
      <c r="F105" t="s">
        <v>20</v>
      </c>
      <c r="G105">
        <v>2</v>
      </c>
      <c r="H105" s="2">
        <v>0.55254857789817591</v>
      </c>
      <c r="I105" s="2">
        <v>0.95381889196883807</v>
      </c>
      <c r="J105">
        <v>0.5270312723297953</v>
      </c>
      <c r="K105" s="2">
        <v>0.50090736880613163</v>
      </c>
      <c r="L105">
        <v>4.9568033047034006E-2</v>
      </c>
    </row>
    <row r="106" spans="1:12" x14ac:dyDescent="0.2">
      <c r="A106">
        <v>105</v>
      </c>
      <c r="B106" t="s">
        <v>41</v>
      </c>
      <c r="C106" t="s">
        <v>72</v>
      </c>
      <c r="D106" t="s">
        <v>17</v>
      </c>
      <c r="E106" t="s">
        <v>92</v>
      </c>
      <c r="F106" t="s">
        <v>20</v>
      </c>
      <c r="G106">
        <v>2</v>
      </c>
      <c r="H106" s="2">
        <v>0.55254857789817591</v>
      </c>
      <c r="I106" s="2">
        <v>0.84673508813229525</v>
      </c>
      <c r="J106">
        <v>0.4678622688039864</v>
      </c>
      <c r="K106" s="2">
        <v>0.41032430502895917</v>
      </c>
      <c r="L106">
        <v>0.12298055990305364</v>
      </c>
    </row>
    <row r="107" spans="1:12" x14ac:dyDescent="0.2">
      <c r="A107">
        <v>106</v>
      </c>
      <c r="B107" t="s">
        <v>41</v>
      </c>
      <c r="C107" t="s">
        <v>77</v>
      </c>
      <c r="D107" t="s">
        <v>17</v>
      </c>
      <c r="E107" t="s">
        <v>93</v>
      </c>
      <c r="F107" t="s">
        <v>20</v>
      </c>
      <c r="G107">
        <v>2</v>
      </c>
      <c r="H107" s="2">
        <v>0.55254857789817591</v>
      </c>
      <c r="I107" s="2">
        <v>0.63084612667402595</v>
      </c>
      <c r="J107">
        <v>0.34857313016630559</v>
      </c>
      <c r="K107" s="2">
        <v>0.45409906744026696</v>
      </c>
      <c r="L107">
        <v>-0.30273686679066325</v>
      </c>
    </row>
    <row r="108" spans="1:12" x14ac:dyDescent="0.2">
      <c r="A108">
        <v>107</v>
      </c>
      <c r="B108" t="s">
        <v>41</v>
      </c>
      <c r="C108" t="s">
        <v>79</v>
      </c>
      <c r="D108" t="s">
        <v>17</v>
      </c>
      <c r="E108" t="s">
        <v>94</v>
      </c>
      <c r="F108" t="s">
        <v>20</v>
      </c>
      <c r="G108">
        <v>2</v>
      </c>
      <c r="H108" s="2">
        <v>0.55254857789817591</v>
      </c>
      <c r="I108" s="2">
        <v>0.78846098055031932</v>
      </c>
      <c r="J108">
        <v>0.4356629935312803</v>
      </c>
      <c r="K108" s="2">
        <v>0.53627111884298373</v>
      </c>
      <c r="L108">
        <v>-0.23093107931022799</v>
      </c>
    </row>
    <row r="109" spans="1:12" x14ac:dyDescent="0.2">
      <c r="A109">
        <v>108</v>
      </c>
      <c r="B109" t="s">
        <v>41</v>
      </c>
      <c r="C109" t="s">
        <v>68</v>
      </c>
      <c r="D109" t="s">
        <v>17</v>
      </c>
      <c r="E109" t="s">
        <v>95</v>
      </c>
      <c r="F109" t="s">
        <v>20</v>
      </c>
      <c r="G109">
        <v>2</v>
      </c>
      <c r="H109" s="2">
        <v>0.55254857789817591</v>
      </c>
      <c r="I109" s="2">
        <v>1.0375750066344784</v>
      </c>
      <c r="J109">
        <v>0.57331059437857146</v>
      </c>
      <c r="K109" s="2">
        <v>0.37719160215289682</v>
      </c>
      <c r="L109">
        <v>0.34208157698228808</v>
      </c>
    </row>
    <row r="110" spans="1:12" x14ac:dyDescent="0.2">
      <c r="A110">
        <v>109</v>
      </c>
      <c r="B110" t="s">
        <v>41</v>
      </c>
      <c r="C110" t="s">
        <v>39</v>
      </c>
      <c r="D110" t="s">
        <v>17</v>
      </c>
      <c r="E110" t="s">
        <v>40</v>
      </c>
      <c r="F110" t="s">
        <v>20</v>
      </c>
      <c r="G110">
        <v>2</v>
      </c>
      <c r="H110" s="2">
        <v>0.95381889196883807</v>
      </c>
      <c r="I110" s="2">
        <v>0.84673508813229525</v>
      </c>
      <c r="J110">
        <v>0.80763192355348234</v>
      </c>
      <c r="K110" s="2">
        <v>0.66968194104698886</v>
      </c>
      <c r="L110">
        <v>0.17080798626623167</v>
      </c>
    </row>
    <row r="111" spans="1:12" x14ac:dyDescent="0.2">
      <c r="A111">
        <v>110</v>
      </c>
      <c r="B111" t="s">
        <v>41</v>
      </c>
      <c r="C111" t="s">
        <v>45</v>
      </c>
      <c r="D111" t="s">
        <v>17</v>
      </c>
      <c r="E111" t="s">
        <v>44</v>
      </c>
      <c r="F111" t="s">
        <v>20</v>
      </c>
      <c r="G111">
        <v>2</v>
      </c>
      <c r="H111" s="2">
        <v>0.95381889196883807</v>
      </c>
      <c r="I111" s="2">
        <v>0.63084612667402595</v>
      </c>
      <c r="J111">
        <v>0.60171295354705268</v>
      </c>
      <c r="K111" s="2">
        <v>0.5733686075740787</v>
      </c>
      <c r="L111">
        <v>4.7106092374920937E-2</v>
      </c>
    </row>
    <row r="112" spans="1:12" x14ac:dyDescent="0.2">
      <c r="A112">
        <v>111</v>
      </c>
      <c r="B112" t="s">
        <v>41</v>
      </c>
      <c r="C112" t="s">
        <v>43</v>
      </c>
      <c r="D112" t="s">
        <v>17</v>
      </c>
      <c r="E112" t="s">
        <v>46</v>
      </c>
      <c r="F112" t="s">
        <v>20</v>
      </c>
      <c r="G112">
        <v>2</v>
      </c>
      <c r="H112" s="2">
        <v>0.95381889196883807</v>
      </c>
      <c r="I112" s="2">
        <v>0.78846098055031932</v>
      </c>
      <c r="J112">
        <v>0.75204897882916921</v>
      </c>
      <c r="K112" s="2">
        <v>0.9172264284019046</v>
      </c>
      <c r="L112">
        <v>-0.21963655855220046</v>
      </c>
    </row>
    <row r="113" spans="1:12" x14ac:dyDescent="0.2">
      <c r="A113">
        <v>112</v>
      </c>
      <c r="B113" t="s">
        <v>41</v>
      </c>
      <c r="C113" t="s">
        <v>47</v>
      </c>
      <c r="D113" t="s">
        <v>17</v>
      </c>
      <c r="E113" t="s">
        <v>10</v>
      </c>
      <c r="F113" t="s">
        <v>20</v>
      </c>
      <c r="G113">
        <v>2</v>
      </c>
      <c r="H113" s="2">
        <v>0.95381889196883807</v>
      </c>
      <c r="I113" s="2">
        <v>1.0375750066344784</v>
      </c>
      <c r="J113">
        <v>0.98965864316265806</v>
      </c>
      <c r="K113" s="2">
        <v>0.8395377241431965</v>
      </c>
      <c r="L113">
        <v>0.15168959525247941</v>
      </c>
    </row>
    <row r="114" spans="1:12" x14ac:dyDescent="0.2">
      <c r="A114">
        <v>113</v>
      </c>
      <c r="B114" t="s">
        <v>41</v>
      </c>
      <c r="C114" t="s">
        <v>50</v>
      </c>
      <c r="D114" t="s">
        <v>17</v>
      </c>
      <c r="E114" t="s">
        <v>49</v>
      </c>
      <c r="F114" t="s">
        <v>20</v>
      </c>
      <c r="G114">
        <v>2</v>
      </c>
      <c r="H114" s="2">
        <v>0.84673508813229525</v>
      </c>
      <c r="I114" s="2">
        <v>0.63084612667402595</v>
      </c>
      <c r="J114">
        <v>0.53415955066724852</v>
      </c>
      <c r="K114" s="2">
        <v>0.61410082608464078</v>
      </c>
      <c r="L114">
        <v>-0.1496580475206952</v>
      </c>
    </row>
    <row r="115" spans="1:12" x14ac:dyDescent="0.2">
      <c r="A115">
        <v>114</v>
      </c>
      <c r="B115" t="s">
        <v>41</v>
      </c>
      <c r="C115" t="s">
        <v>48</v>
      </c>
      <c r="D115" t="s">
        <v>17</v>
      </c>
      <c r="E115" t="s">
        <v>11</v>
      </c>
      <c r="F115" t="s">
        <v>20</v>
      </c>
      <c r="G115">
        <v>2</v>
      </c>
      <c r="H115" s="2">
        <v>0.84673508813229525</v>
      </c>
      <c r="I115" s="2">
        <v>0.78846098055031932</v>
      </c>
      <c r="J115">
        <v>0.66761757785515052</v>
      </c>
      <c r="K115" s="2">
        <v>0.75611888947615624</v>
      </c>
      <c r="L115">
        <v>-0.1325628841369533</v>
      </c>
    </row>
    <row r="116" spans="1:12" x14ac:dyDescent="0.2">
      <c r="A116">
        <v>115</v>
      </c>
      <c r="B116" t="s">
        <v>41</v>
      </c>
      <c r="C116" t="s">
        <v>51</v>
      </c>
      <c r="D116" t="s">
        <v>17</v>
      </c>
      <c r="E116" t="s">
        <v>52</v>
      </c>
      <c r="F116" t="s">
        <v>20</v>
      </c>
      <c r="G116">
        <v>2</v>
      </c>
      <c r="H116" s="2">
        <v>0.84673508813229525</v>
      </c>
      <c r="I116" s="2">
        <v>1.0375750066344784</v>
      </c>
      <c r="J116">
        <v>0.87855116468651195</v>
      </c>
      <c r="K116" s="2">
        <v>0.75604184943490305</v>
      </c>
      <c r="L116">
        <v>0.13944471326871799</v>
      </c>
    </row>
    <row r="117" spans="1:12" x14ac:dyDescent="0.2">
      <c r="A117">
        <v>116</v>
      </c>
      <c r="B117" t="s">
        <v>41</v>
      </c>
      <c r="C117" t="s">
        <v>59</v>
      </c>
      <c r="D117" t="s">
        <v>17</v>
      </c>
      <c r="E117" t="s">
        <v>83</v>
      </c>
      <c r="F117" t="s">
        <v>20</v>
      </c>
      <c r="G117">
        <v>2</v>
      </c>
      <c r="H117" s="2">
        <v>0.78846098055031932</v>
      </c>
      <c r="I117" s="2">
        <v>0.63084612667402595</v>
      </c>
      <c r="J117">
        <v>0.49739755561377347</v>
      </c>
      <c r="K117" s="2">
        <v>0.59180783539119397</v>
      </c>
      <c r="L117">
        <v>-0.18980849164190419</v>
      </c>
    </row>
    <row r="118" spans="1:12" x14ac:dyDescent="0.2">
      <c r="A118">
        <v>117</v>
      </c>
      <c r="B118" t="s">
        <v>41</v>
      </c>
      <c r="C118" t="s">
        <v>63</v>
      </c>
      <c r="D118" t="s">
        <v>17</v>
      </c>
      <c r="E118" t="s">
        <v>84</v>
      </c>
      <c r="F118" t="s">
        <v>20</v>
      </c>
      <c r="G118">
        <v>2</v>
      </c>
      <c r="H118" s="2">
        <v>0.78846098055031932</v>
      </c>
      <c r="I118" s="2">
        <v>1.0375750066344784</v>
      </c>
      <c r="J118">
        <v>0.81808740712552497</v>
      </c>
      <c r="K118" s="2">
        <v>0.85454358650493234</v>
      </c>
      <c r="L118">
        <v>-4.4562694721706722E-2</v>
      </c>
    </row>
    <row r="119" spans="1:12" x14ac:dyDescent="0.2">
      <c r="A119">
        <v>118</v>
      </c>
      <c r="B119" t="s">
        <v>41</v>
      </c>
      <c r="C119" t="s">
        <v>60</v>
      </c>
      <c r="D119" t="s">
        <v>17</v>
      </c>
      <c r="E119" t="s">
        <v>82</v>
      </c>
      <c r="F119" t="s">
        <v>20</v>
      </c>
      <c r="G119">
        <v>2</v>
      </c>
      <c r="H119" s="2">
        <v>0.63084612667402595</v>
      </c>
      <c r="I119" s="2">
        <v>1.0375750066344784</v>
      </c>
      <c r="J119">
        <v>0.65455017406913751</v>
      </c>
      <c r="K119" s="2">
        <v>0.34805033366460991</v>
      </c>
      <c r="L119">
        <v>0.46826026872640208</v>
      </c>
    </row>
    <row r="120" spans="1:12" x14ac:dyDescent="0.2">
      <c r="A120">
        <v>119</v>
      </c>
      <c r="B120" t="s">
        <v>41</v>
      </c>
      <c r="C120" t="s">
        <v>116</v>
      </c>
      <c r="D120" t="s">
        <v>17</v>
      </c>
      <c r="E120" t="s">
        <v>90</v>
      </c>
      <c r="F120" t="s">
        <v>1</v>
      </c>
      <c r="G120">
        <v>2</v>
      </c>
      <c r="H120" s="2">
        <v>0.5167912835611802</v>
      </c>
      <c r="I120" s="2">
        <v>0.73515642131685677</v>
      </c>
      <c r="J120">
        <v>0.37992243059058217</v>
      </c>
      <c r="K120">
        <v>0.61803706238977274</v>
      </c>
      <c r="L120">
        <v>-0.62674538965505644</v>
      </c>
    </row>
    <row r="121" spans="1:12" x14ac:dyDescent="0.2">
      <c r="A121">
        <v>120</v>
      </c>
      <c r="B121" t="s">
        <v>41</v>
      </c>
      <c r="C121" t="s">
        <v>117</v>
      </c>
      <c r="D121" t="s">
        <v>17</v>
      </c>
      <c r="E121" t="s">
        <v>21</v>
      </c>
      <c r="F121" t="s">
        <v>1</v>
      </c>
      <c r="G121">
        <v>2</v>
      </c>
      <c r="H121" s="2">
        <v>0.46600448190788768</v>
      </c>
      <c r="I121" s="2">
        <v>0.78494205950864271</v>
      </c>
      <c r="J121">
        <v>0.36578651776903537</v>
      </c>
      <c r="K121">
        <v>0.46364635144367744</v>
      </c>
      <c r="L121">
        <v>-0.26753264245904396</v>
      </c>
    </row>
    <row r="122" spans="1:12" x14ac:dyDescent="0.2">
      <c r="A122">
        <v>121</v>
      </c>
      <c r="B122" t="s">
        <v>41</v>
      </c>
      <c r="C122" t="s">
        <v>110</v>
      </c>
      <c r="D122" t="s">
        <v>17</v>
      </c>
      <c r="E122" t="s">
        <v>92</v>
      </c>
      <c r="F122" t="s">
        <v>1</v>
      </c>
      <c r="G122">
        <v>2</v>
      </c>
      <c r="H122" s="2">
        <v>0.46600448190788768</v>
      </c>
      <c r="I122" s="2">
        <v>0.82013774417659635</v>
      </c>
      <c r="J122">
        <v>0.38218786456811848</v>
      </c>
      <c r="K122">
        <v>0.26443871573200028</v>
      </c>
      <c r="L122">
        <v>0.30809232775922274</v>
      </c>
    </row>
    <row r="123" spans="1:12" x14ac:dyDescent="0.2">
      <c r="A123">
        <v>122</v>
      </c>
      <c r="B123" t="s">
        <v>41</v>
      </c>
      <c r="C123" t="s">
        <v>112</v>
      </c>
      <c r="D123" t="s">
        <v>17</v>
      </c>
      <c r="E123" t="s">
        <v>93</v>
      </c>
      <c r="F123" t="s">
        <v>1</v>
      </c>
      <c r="G123">
        <v>2</v>
      </c>
      <c r="H123" s="2">
        <v>0.46600448190788768</v>
      </c>
      <c r="I123" s="2">
        <v>0.54595524312438659</v>
      </c>
      <c r="J123">
        <v>0.25441759021707461</v>
      </c>
      <c r="K123">
        <v>0.38838760321108384</v>
      </c>
      <c r="L123">
        <v>-0.52657527681047178</v>
      </c>
    </row>
    <row r="124" spans="1:12" x14ac:dyDescent="0.2">
      <c r="A124">
        <v>123</v>
      </c>
      <c r="B124" t="s">
        <v>41</v>
      </c>
      <c r="C124" t="s">
        <v>113</v>
      </c>
      <c r="D124" t="s">
        <v>17</v>
      </c>
      <c r="E124" t="s">
        <v>94</v>
      </c>
      <c r="F124" t="s">
        <v>1</v>
      </c>
      <c r="G124">
        <v>2</v>
      </c>
      <c r="H124" s="2">
        <v>0.46600448190788768</v>
      </c>
      <c r="I124" s="2">
        <v>0.74248181921000245</v>
      </c>
      <c r="J124">
        <v>0.34599985548698314</v>
      </c>
      <c r="K124">
        <v>0.50327845481165379</v>
      </c>
      <c r="L124">
        <v>-0.45456261564995831</v>
      </c>
    </row>
    <row r="125" spans="1:12" x14ac:dyDescent="0.2">
      <c r="A125">
        <v>124</v>
      </c>
      <c r="B125" t="s">
        <v>41</v>
      </c>
      <c r="C125" t="s">
        <v>108</v>
      </c>
      <c r="D125" t="s">
        <v>17</v>
      </c>
      <c r="E125" t="s">
        <v>95</v>
      </c>
      <c r="F125" t="s">
        <v>1</v>
      </c>
      <c r="G125">
        <v>2</v>
      </c>
      <c r="H125" s="2">
        <v>0.46600448190788768</v>
      </c>
      <c r="I125" s="2">
        <v>0.73515642131685677</v>
      </c>
      <c r="J125">
        <v>0.34258618723701861</v>
      </c>
      <c r="K125">
        <v>0.32291476784589884</v>
      </c>
      <c r="L125">
        <v>5.7420351794598416E-2</v>
      </c>
    </row>
    <row r="126" spans="1:12" x14ac:dyDescent="0.2">
      <c r="A126">
        <v>125</v>
      </c>
      <c r="B126" t="s">
        <v>41</v>
      </c>
      <c r="C126" t="s">
        <v>96</v>
      </c>
      <c r="D126" t="s">
        <v>17</v>
      </c>
      <c r="E126" t="s">
        <v>40</v>
      </c>
      <c r="F126" t="s">
        <v>1</v>
      </c>
      <c r="G126">
        <v>2</v>
      </c>
      <c r="H126" s="2">
        <v>0.78494205950864271</v>
      </c>
      <c r="I126" s="2">
        <v>0.82013774417659635</v>
      </c>
      <c r="J126">
        <v>0.64376060999474993</v>
      </c>
      <c r="K126">
        <v>0.56673936009010617</v>
      </c>
      <c r="L126">
        <v>0.11964268814967087</v>
      </c>
    </row>
    <row r="127" spans="1:12" x14ac:dyDescent="0.2">
      <c r="A127">
        <v>126</v>
      </c>
      <c r="B127" t="s">
        <v>41</v>
      </c>
      <c r="C127" t="s">
        <v>98</v>
      </c>
      <c r="D127" t="s">
        <v>17</v>
      </c>
      <c r="E127" t="s">
        <v>44</v>
      </c>
      <c r="F127" t="s">
        <v>1</v>
      </c>
      <c r="G127">
        <v>2</v>
      </c>
      <c r="H127" s="2">
        <v>0.78494205950864271</v>
      </c>
      <c r="I127" s="2">
        <v>0.54595524312438659</v>
      </c>
      <c r="J127">
        <v>0.42854323293759777</v>
      </c>
      <c r="K127">
        <v>0.55888589817564183</v>
      </c>
      <c r="L127">
        <v>-0.30415289571734733</v>
      </c>
    </row>
    <row r="128" spans="1:12" x14ac:dyDescent="0.2">
      <c r="A128">
        <v>127</v>
      </c>
      <c r="B128" t="s">
        <v>41</v>
      </c>
      <c r="C128" t="s">
        <v>97</v>
      </c>
      <c r="D128" t="s">
        <v>17</v>
      </c>
      <c r="E128" t="s">
        <v>46</v>
      </c>
      <c r="F128" t="s">
        <v>1</v>
      </c>
      <c r="G128">
        <v>2</v>
      </c>
      <c r="H128" s="2">
        <v>0.78494205950864271</v>
      </c>
      <c r="I128" s="2">
        <v>0.74248181921000245</v>
      </c>
      <c r="J128">
        <v>0.58280520831842308</v>
      </c>
      <c r="K128">
        <v>0.68361497677728833</v>
      </c>
      <c r="L128">
        <v>-0.17297334859057495</v>
      </c>
    </row>
    <row r="129" spans="1:12" x14ac:dyDescent="0.2">
      <c r="A129">
        <v>128</v>
      </c>
      <c r="B129" t="s">
        <v>41</v>
      </c>
      <c r="C129" t="s">
        <v>99</v>
      </c>
      <c r="D129" t="s">
        <v>17</v>
      </c>
      <c r="E129" t="s">
        <v>10</v>
      </c>
      <c r="F129" t="s">
        <v>1</v>
      </c>
      <c r="G129">
        <v>2</v>
      </c>
      <c r="H129" s="2">
        <v>0.78494205950864271</v>
      </c>
      <c r="I129" s="2">
        <v>0.73515642131685677</v>
      </c>
      <c r="J129">
        <v>0.57705519540945704</v>
      </c>
      <c r="K129">
        <v>0.66922032011661392</v>
      </c>
      <c r="L129">
        <v>-0.15971630693275349</v>
      </c>
    </row>
    <row r="130" spans="1:12" x14ac:dyDescent="0.2">
      <c r="A130">
        <v>129</v>
      </c>
      <c r="B130" t="s">
        <v>41</v>
      </c>
      <c r="C130" t="s">
        <v>101</v>
      </c>
      <c r="D130" t="s">
        <v>17</v>
      </c>
      <c r="E130" t="s">
        <v>49</v>
      </c>
      <c r="F130" t="s">
        <v>1</v>
      </c>
      <c r="G130">
        <v>2</v>
      </c>
      <c r="H130" s="2">
        <v>0.82013774417659635</v>
      </c>
      <c r="I130" s="2">
        <v>0.54595524312438659</v>
      </c>
      <c r="J130">
        <v>0.44775850151741964</v>
      </c>
      <c r="K130">
        <v>0.51190721008135975</v>
      </c>
      <c r="L130">
        <v>-0.14326631062625278</v>
      </c>
    </row>
    <row r="131" spans="1:12" x14ac:dyDescent="0.2">
      <c r="A131">
        <v>130</v>
      </c>
      <c r="B131" t="s">
        <v>41</v>
      </c>
      <c r="C131" t="s">
        <v>100</v>
      </c>
      <c r="D131" t="s">
        <v>17</v>
      </c>
      <c r="E131" t="s">
        <v>11</v>
      </c>
      <c r="F131" t="s">
        <v>1</v>
      </c>
      <c r="G131">
        <v>2</v>
      </c>
      <c r="H131" s="2">
        <v>0.82013774417659635</v>
      </c>
      <c r="I131" s="2">
        <v>0.74248181921000245</v>
      </c>
      <c r="J131">
        <v>0.6089373642990269</v>
      </c>
      <c r="K131">
        <v>0.76795970065478436</v>
      </c>
      <c r="L131">
        <v>-0.26114727996501691</v>
      </c>
    </row>
    <row r="132" spans="1:12" x14ac:dyDescent="0.2">
      <c r="A132">
        <v>131</v>
      </c>
      <c r="B132" t="s">
        <v>41</v>
      </c>
      <c r="C132" t="s">
        <v>102</v>
      </c>
      <c r="D132" t="s">
        <v>17</v>
      </c>
      <c r="E132" t="s">
        <v>52</v>
      </c>
      <c r="F132" t="s">
        <v>1</v>
      </c>
      <c r="G132">
        <v>2</v>
      </c>
      <c r="H132" s="2">
        <v>0.82013774417659635</v>
      </c>
      <c r="I132" s="2">
        <v>0.73515642131685677</v>
      </c>
      <c r="J132">
        <v>0.60292952899574637</v>
      </c>
      <c r="K132">
        <v>0.41944270349274798</v>
      </c>
      <c r="L132">
        <v>0.30432549191713726</v>
      </c>
    </row>
    <row r="133" spans="1:12" x14ac:dyDescent="0.2">
      <c r="A133">
        <v>132</v>
      </c>
      <c r="B133" t="s">
        <v>41</v>
      </c>
      <c r="C133" t="s">
        <v>104</v>
      </c>
      <c r="D133" t="s">
        <v>17</v>
      </c>
      <c r="E133" t="s">
        <v>83</v>
      </c>
      <c r="F133" t="s">
        <v>1</v>
      </c>
      <c r="G133">
        <v>2</v>
      </c>
      <c r="H133" s="2">
        <v>0.74248181921000245</v>
      </c>
      <c r="I133" s="2">
        <v>0.54595524312438659</v>
      </c>
      <c r="J133">
        <v>0.40536184212223375</v>
      </c>
      <c r="K133">
        <v>0.30043936509833619</v>
      </c>
      <c r="L133">
        <v>0.25883659022907984</v>
      </c>
    </row>
    <row r="134" spans="1:12" x14ac:dyDescent="0.2">
      <c r="A134">
        <v>133</v>
      </c>
      <c r="B134" t="s">
        <v>41</v>
      </c>
      <c r="C134" t="s">
        <v>106</v>
      </c>
      <c r="D134" t="s">
        <v>17</v>
      </c>
      <c r="E134" t="s">
        <v>84</v>
      </c>
      <c r="F134" t="s">
        <v>1</v>
      </c>
      <c r="G134">
        <v>2</v>
      </c>
      <c r="H134" s="2">
        <v>0.74248181921000245</v>
      </c>
      <c r="I134" s="2">
        <v>0.73515642131685677</v>
      </c>
      <c r="J134">
        <v>0.54584027710325489</v>
      </c>
      <c r="K134">
        <v>0.70175932596181911</v>
      </c>
      <c r="L134">
        <v>-0.28564958541721813</v>
      </c>
    </row>
    <row r="135" spans="1:12" x14ac:dyDescent="0.2">
      <c r="A135">
        <v>134</v>
      </c>
      <c r="B135" t="s">
        <v>41</v>
      </c>
      <c r="C135" t="s">
        <v>105</v>
      </c>
      <c r="D135" t="s">
        <v>17</v>
      </c>
      <c r="E135" t="s">
        <v>82</v>
      </c>
      <c r="F135" t="s">
        <v>1</v>
      </c>
      <c r="G135">
        <v>2</v>
      </c>
      <c r="H135" s="2">
        <v>0.54595524312438659</v>
      </c>
      <c r="I135" s="2">
        <v>0.73515642131685677</v>
      </c>
      <c r="J135">
        <v>0.40136250273449853</v>
      </c>
      <c r="K135">
        <v>0.45422391231225034</v>
      </c>
      <c r="L135">
        <v>-0.131704903217428</v>
      </c>
    </row>
    <row r="136" spans="1:12" x14ac:dyDescent="0.2">
      <c r="A136">
        <v>135</v>
      </c>
      <c r="B136" t="s">
        <v>41</v>
      </c>
      <c r="C136" t="s">
        <v>74</v>
      </c>
      <c r="D136" t="s">
        <v>17</v>
      </c>
      <c r="E136" t="s">
        <v>75</v>
      </c>
      <c r="F136" t="s">
        <v>20</v>
      </c>
      <c r="G136">
        <v>1</v>
      </c>
      <c r="H136" s="2">
        <v>0.98569328277517954</v>
      </c>
      <c r="I136" s="2">
        <v>0.63084612667402595</v>
      </c>
      <c r="J136">
        <v>0.62182078952732744</v>
      </c>
      <c r="K136" s="2">
        <v>0.44913374603875539</v>
      </c>
      <c r="L136">
        <v>0.2777119169975627</v>
      </c>
    </row>
    <row r="137" spans="1:12" x14ac:dyDescent="0.2">
      <c r="A137">
        <v>136</v>
      </c>
      <c r="B137" t="s">
        <v>41</v>
      </c>
      <c r="C137" t="s">
        <v>64</v>
      </c>
      <c r="D137" t="s">
        <v>17</v>
      </c>
      <c r="E137" t="s">
        <v>83</v>
      </c>
      <c r="F137" t="s">
        <v>20</v>
      </c>
      <c r="G137">
        <v>1</v>
      </c>
      <c r="H137" s="2">
        <v>0.78846098055031932</v>
      </c>
      <c r="I137" s="2">
        <v>0.63084612667402595</v>
      </c>
      <c r="J137">
        <v>0.49739755561377347</v>
      </c>
      <c r="K137" s="2">
        <v>0.59396453228146617</v>
      </c>
      <c r="L137">
        <v>-0.19414445362227803</v>
      </c>
    </row>
    <row r="138" spans="1:12" x14ac:dyDescent="0.2">
      <c r="A138">
        <v>137</v>
      </c>
      <c r="B138" t="s">
        <v>41</v>
      </c>
      <c r="C138" t="s">
        <v>81</v>
      </c>
      <c r="D138" t="s">
        <v>17</v>
      </c>
      <c r="E138" t="s">
        <v>86</v>
      </c>
      <c r="F138" t="s">
        <v>20</v>
      </c>
      <c r="G138">
        <v>1</v>
      </c>
      <c r="H138">
        <v>0.85288272631146789</v>
      </c>
      <c r="I138">
        <v>0.42747146937666569</v>
      </c>
      <c r="J138">
        <v>0.36458303222233979</v>
      </c>
      <c r="K138">
        <v>0.4363544346558948</v>
      </c>
      <c r="L138">
        <v>-0.19685886640436259</v>
      </c>
    </row>
    <row r="139" spans="1:12" x14ac:dyDescent="0.2">
      <c r="A139">
        <v>138</v>
      </c>
      <c r="B139" t="s">
        <v>41</v>
      </c>
      <c r="C139" t="s">
        <v>111</v>
      </c>
      <c r="D139" t="s">
        <v>17</v>
      </c>
      <c r="E139" t="s">
        <v>75</v>
      </c>
      <c r="F139" t="s">
        <v>1</v>
      </c>
      <c r="G139">
        <v>1</v>
      </c>
      <c r="H139" s="2">
        <v>0.82694777209874326</v>
      </c>
      <c r="I139" s="2">
        <v>0.54595524312438659</v>
      </c>
      <c r="J139">
        <v>0.4514764719673392</v>
      </c>
      <c r="K139">
        <v>0.32041771415925469</v>
      </c>
      <c r="L139">
        <v>0.29028923088059744</v>
      </c>
    </row>
    <row r="140" spans="1:12" x14ac:dyDescent="0.2">
      <c r="A140">
        <v>139</v>
      </c>
      <c r="B140" t="s">
        <v>41</v>
      </c>
      <c r="C140" t="s">
        <v>107</v>
      </c>
      <c r="D140" t="s">
        <v>17</v>
      </c>
      <c r="E140" t="s">
        <v>83</v>
      </c>
      <c r="F140" t="s">
        <v>1</v>
      </c>
      <c r="G140">
        <v>1</v>
      </c>
      <c r="H140" s="2">
        <v>0.74248181921000245</v>
      </c>
      <c r="I140" s="2">
        <v>0.54595524312438659</v>
      </c>
      <c r="J140">
        <v>0.40536184212223375</v>
      </c>
      <c r="K140">
        <v>0.23153220598637486</v>
      </c>
      <c r="L140">
        <v>0.42882584908779325</v>
      </c>
    </row>
    <row r="141" spans="1:12" x14ac:dyDescent="0.2">
      <c r="A141">
        <v>140</v>
      </c>
      <c r="B141" t="s">
        <v>41</v>
      </c>
      <c r="C141" t="s">
        <v>114</v>
      </c>
      <c r="D141" t="s">
        <v>17</v>
      </c>
      <c r="E141" t="s">
        <v>86</v>
      </c>
      <c r="F141" t="s">
        <v>1</v>
      </c>
      <c r="G141">
        <v>1</v>
      </c>
      <c r="H141">
        <v>0.39683229292651023</v>
      </c>
      <c r="I141">
        <v>0.35967948112077702</v>
      </c>
      <c r="J141">
        <v>0.14273243321177539</v>
      </c>
      <c r="K141">
        <v>0.14013711191146239</v>
      </c>
      <c r="L141">
        <v>1.8183122377394563E-2</v>
      </c>
    </row>
    <row r="142" spans="1:12" x14ac:dyDescent="0.2">
      <c r="A142">
        <v>141</v>
      </c>
      <c r="B142" t="s">
        <v>56</v>
      </c>
      <c r="C142" t="s">
        <v>72</v>
      </c>
      <c r="D142" t="s">
        <v>17</v>
      </c>
      <c r="E142" t="s">
        <v>73</v>
      </c>
      <c r="F142" t="s">
        <v>20</v>
      </c>
      <c r="G142">
        <v>3</v>
      </c>
      <c r="H142">
        <v>0.8875565423569165</v>
      </c>
      <c r="I142">
        <v>0.76390909928005168</v>
      </c>
      <c r="J142">
        <v>0.6780125188319891</v>
      </c>
      <c r="K142">
        <v>0.72502557352001185</v>
      </c>
      <c r="L142">
        <v>-6.9339508316176884E-2</v>
      </c>
    </row>
    <row r="143" spans="1:12" x14ac:dyDescent="0.2">
      <c r="A143">
        <v>142</v>
      </c>
      <c r="B143" t="s">
        <v>56</v>
      </c>
      <c r="C143" t="s">
        <v>77</v>
      </c>
      <c r="D143" t="s">
        <v>17</v>
      </c>
      <c r="E143" t="s">
        <v>78</v>
      </c>
      <c r="F143" t="s">
        <v>20</v>
      </c>
      <c r="G143">
        <v>3</v>
      </c>
      <c r="H143">
        <v>0.8875565423569165</v>
      </c>
      <c r="I143">
        <v>0.87970952495886157</v>
      </c>
      <c r="J143">
        <v>0.78079194425093268</v>
      </c>
      <c r="K143">
        <v>0.79670204261123601</v>
      </c>
      <c r="L143">
        <v>-2.0376873093339836E-2</v>
      </c>
    </row>
    <row r="144" spans="1:12" x14ac:dyDescent="0.2">
      <c r="A144">
        <v>143</v>
      </c>
      <c r="B144" t="s">
        <v>56</v>
      </c>
      <c r="C144" t="s">
        <v>68</v>
      </c>
      <c r="D144" t="s">
        <v>17</v>
      </c>
      <c r="E144" t="s">
        <v>69</v>
      </c>
      <c r="F144" t="s">
        <v>20</v>
      </c>
      <c r="G144">
        <v>3</v>
      </c>
      <c r="H144">
        <v>0.8875565423569165</v>
      </c>
      <c r="I144">
        <v>0.93435633407064045</v>
      </c>
      <c r="J144">
        <v>0.82929407719702164</v>
      </c>
      <c r="K144">
        <v>0.85633657749094794</v>
      </c>
      <c r="L144">
        <v>-3.2609059967398761E-2</v>
      </c>
    </row>
    <row r="145" spans="1:12" x14ac:dyDescent="0.2">
      <c r="A145">
        <v>144</v>
      </c>
      <c r="B145" t="s">
        <v>56</v>
      </c>
      <c r="C145" t="s">
        <v>39</v>
      </c>
      <c r="D145" t="s">
        <v>17</v>
      </c>
      <c r="E145" t="s">
        <v>71</v>
      </c>
      <c r="F145" t="s">
        <v>20</v>
      </c>
      <c r="G145">
        <v>3</v>
      </c>
      <c r="H145">
        <v>0.90704476051953908</v>
      </c>
      <c r="I145">
        <v>0.79803748732374824</v>
      </c>
      <c r="J145">
        <v>0.72385572157518396</v>
      </c>
      <c r="K145">
        <v>0.86055194507623811</v>
      </c>
      <c r="L145">
        <v>-0.18884457140656319</v>
      </c>
    </row>
    <row r="146" spans="1:12" x14ac:dyDescent="0.2">
      <c r="A146">
        <v>145</v>
      </c>
      <c r="B146" t="s">
        <v>56</v>
      </c>
      <c r="C146" t="s">
        <v>45</v>
      </c>
      <c r="D146" t="s">
        <v>17</v>
      </c>
      <c r="E146" t="s">
        <v>76</v>
      </c>
      <c r="F146" t="s">
        <v>20</v>
      </c>
      <c r="G146">
        <v>3</v>
      </c>
      <c r="H146">
        <v>0.8875565423569165</v>
      </c>
      <c r="I146">
        <v>0.9647005583128303</v>
      </c>
      <c r="J146">
        <v>0.85622629194592259</v>
      </c>
      <c r="K146">
        <v>0.87239422502396358</v>
      </c>
      <c r="L146">
        <v>-1.8882780440316257E-2</v>
      </c>
    </row>
    <row r="147" spans="1:12" x14ac:dyDescent="0.2">
      <c r="A147">
        <v>146</v>
      </c>
      <c r="B147" t="s">
        <v>56</v>
      </c>
      <c r="C147" t="s">
        <v>43</v>
      </c>
      <c r="D147" t="s">
        <v>17</v>
      </c>
      <c r="E147" t="s">
        <v>75</v>
      </c>
      <c r="F147" t="s">
        <v>20</v>
      </c>
      <c r="G147">
        <v>3</v>
      </c>
      <c r="H147">
        <v>0.978263589201257</v>
      </c>
      <c r="I147">
        <v>0.58892799035671706</v>
      </c>
      <c r="J147">
        <v>0.57612680962744534</v>
      </c>
      <c r="K147">
        <v>0.73896487986209114</v>
      </c>
      <c r="L147">
        <v>-0.2826427576594564</v>
      </c>
    </row>
    <row r="148" spans="1:12" x14ac:dyDescent="0.2">
      <c r="A148">
        <v>147</v>
      </c>
      <c r="B148" t="s">
        <v>56</v>
      </c>
      <c r="C148" t="s">
        <v>47</v>
      </c>
      <c r="D148" t="s">
        <v>17</v>
      </c>
      <c r="E148" t="s">
        <v>3</v>
      </c>
      <c r="F148" t="s">
        <v>20</v>
      </c>
      <c r="G148">
        <v>3</v>
      </c>
      <c r="H148">
        <v>0.8875565423569165</v>
      </c>
      <c r="I148">
        <v>0.95480714186110327</v>
      </c>
      <c r="J148">
        <v>0.84744532544793072</v>
      </c>
      <c r="K148">
        <v>0.90440764081029201</v>
      </c>
      <c r="L148">
        <v>-6.7216507840494558E-2</v>
      </c>
    </row>
    <row r="149" spans="1:12" x14ac:dyDescent="0.2">
      <c r="A149">
        <v>148</v>
      </c>
      <c r="B149" t="s">
        <v>56</v>
      </c>
      <c r="C149" t="s">
        <v>50</v>
      </c>
      <c r="D149" t="s">
        <v>17</v>
      </c>
      <c r="E149" t="s">
        <v>66</v>
      </c>
      <c r="F149" t="s">
        <v>20</v>
      </c>
      <c r="G149">
        <v>3</v>
      </c>
      <c r="H149">
        <v>0.76390909928005168</v>
      </c>
      <c r="I149">
        <v>0.87970952495886157</v>
      </c>
      <c r="J149">
        <v>0.6720181108394061</v>
      </c>
      <c r="K149">
        <v>0.72829581087147732</v>
      </c>
      <c r="L149">
        <v>-8.3744320464482311E-2</v>
      </c>
    </row>
    <row r="150" spans="1:12" x14ac:dyDescent="0.2">
      <c r="A150">
        <v>149</v>
      </c>
      <c r="B150" t="s">
        <v>56</v>
      </c>
      <c r="C150" t="s">
        <v>48</v>
      </c>
      <c r="D150" t="s">
        <v>17</v>
      </c>
      <c r="E150" t="s">
        <v>67</v>
      </c>
      <c r="F150" t="s">
        <v>20</v>
      </c>
      <c r="G150">
        <v>3</v>
      </c>
      <c r="H150">
        <v>0.76390909928005168</v>
      </c>
      <c r="I150">
        <v>0.60110336502942308</v>
      </c>
      <c r="J150">
        <v>0.4591883301538347</v>
      </c>
      <c r="K150">
        <v>0.61875988276947325</v>
      </c>
      <c r="L150">
        <v>-0.34750785709684689</v>
      </c>
    </row>
    <row r="151" spans="1:12" x14ac:dyDescent="0.2">
      <c r="A151">
        <v>150</v>
      </c>
      <c r="B151" t="s">
        <v>56</v>
      </c>
      <c r="C151" t="s">
        <v>51</v>
      </c>
      <c r="D151" t="s">
        <v>17</v>
      </c>
      <c r="E151" t="s">
        <v>54</v>
      </c>
      <c r="F151" t="s">
        <v>20</v>
      </c>
      <c r="G151">
        <v>3</v>
      </c>
      <c r="H151">
        <v>0.76390909928005168</v>
      </c>
      <c r="I151">
        <v>0.93435633407064045</v>
      </c>
      <c r="J151">
        <v>0.71376330556651402</v>
      </c>
      <c r="K151">
        <v>0.72663458425198657</v>
      </c>
      <c r="L151">
        <v>-1.803297897929429E-2</v>
      </c>
    </row>
    <row r="152" spans="1:12" x14ac:dyDescent="0.2">
      <c r="A152">
        <v>151</v>
      </c>
      <c r="B152" t="s">
        <v>56</v>
      </c>
      <c r="C152" t="s">
        <v>59</v>
      </c>
      <c r="D152" t="s">
        <v>17</v>
      </c>
      <c r="E152" t="s">
        <v>58</v>
      </c>
      <c r="F152" t="s">
        <v>20</v>
      </c>
      <c r="G152">
        <v>3</v>
      </c>
      <c r="H152">
        <v>0.75232911589560847</v>
      </c>
      <c r="I152">
        <v>0.79803748732374824</v>
      </c>
      <c r="J152">
        <v>0.60038683728982833</v>
      </c>
      <c r="K152">
        <v>0.64327902973075357</v>
      </c>
      <c r="L152">
        <v>-7.144092737699316E-2</v>
      </c>
    </row>
    <row r="153" spans="1:12" x14ac:dyDescent="0.2">
      <c r="A153">
        <v>152</v>
      </c>
      <c r="B153" t="s">
        <v>56</v>
      </c>
      <c r="C153" t="s">
        <v>63</v>
      </c>
      <c r="D153" t="s">
        <v>17</v>
      </c>
      <c r="E153" t="s">
        <v>62</v>
      </c>
      <c r="F153" t="s">
        <v>20</v>
      </c>
      <c r="G153">
        <v>3</v>
      </c>
      <c r="H153">
        <v>0.76390909928005168</v>
      </c>
      <c r="I153">
        <v>0.9647005583128303</v>
      </c>
      <c r="J153">
        <v>0.73694353457571715</v>
      </c>
      <c r="K153">
        <v>0.74530702620239753</v>
      </c>
      <c r="L153">
        <v>-1.1348890700961933E-2</v>
      </c>
    </row>
    <row r="154" spans="1:12" x14ac:dyDescent="0.2">
      <c r="A154">
        <v>153</v>
      </c>
      <c r="B154" t="s">
        <v>56</v>
      </c>
      <c r="C154" t="s">
        <v>60</v>
      </c>
      <c r="D154" t="s">
        <v>17</v>
      </c>
      <c r="E154" t="s">
        <v>61</v>
      </c>
      <c r="F154" t="s">
        <v>20</v>
      </c>
      <c r="G154">
        <v>3</v>
      </c>
      <c r="H154">
        <v>0.76390909928005168</v>
      </c>
      <c r="I154">
        <v>0.59283035307746945</v>
      </c>
      <c r="J154">
        <v>0.4528685010452847</v>
      </c>
      <c r="K154">
        <v>0.52206933319748783</v>
      </c>
      <c r="L154">
        <v>-0.15280557599496938</v>
      </c>
    </row>
    <row r="155" spans="1:12" x14ac:dyDescent="0.2">
      <c r="A155">
        <v>154</v>
      </c>
      <c r="B155" t="s">
        <v>56</v>
      </c>
      <c r="C155" t="s">
        <v>64</v>
      </c>
      <c r="D155" t="s">
        <v>17</v>
      </c>
      <c r="E155" t="s">
        <v>65</v>
      </c>
      <c r="F155" t="s">
        <v>20</v>
      </c>
      <c r="G155">
        <v>3</v>
      </c>
      <c r="H155">
        <v>0.76390909928005168</v>
      </c>
      <c r="I155">
        <v>0.95480714186110327</v>
      </c>
      <c r="J155">
        <v>0.72938586372527592</v>
      </c>
      <c r="K155">
        <v>0.74296768324074758</v>
      </c>
      <c r="L155">
        <v>-1.8620897649570117E-2</v>
      </c>
    </row>
    <row r="156" spans="1:12" x14ac:dyDescent="0.2">
      <c r="A156">
        <v>155</v>
      </c>
      <c r="B156" t="s">
        <v>56</v>
      </c>
      <c r="C156" t="s">
        <v>70</v>
      </c>
      <c r="D156" t="s">
        <v>17</v>
      </c>
      <c r="E156" t="s">
        <v>85</v>
      </c>
      <c r="F156" t="s">
        <v>20</v>
      </c>
      <c r="G156">
        <v>3</v>
      </c>
      <c r="H156">
        <v>0.87970952495886157</v>
      </c>
      <c r="I156">
        <v>0.93435633407064045</v>
      </c>
      <c r="J156">
        <v>0.82196216678758649</v>
      </c>
      <c r="K156">
        <v>0.86506690841475675</v>
      </c>
      <c r="L156">
        <v>-5.2441272079021974E-2</v>
      </c>
    </row>
    <row r="157" spans="1:12" x14ac:dyDescent="0.2">
      <c r="A157">
        <v>156</v>
      </c>
      <c r="B157" t="s">
        <v>56</v>
      </c>
      <c r="C157" t="s">
        <v>74</v>
      </c>
      <c r="D157" t="s">
        <v>17</v>
      </c>
      <c r="E157" t="s">
        <v>4</v>
      </c>
      <c r="F157" t="s">
        <v>20</v>
      </c>
      <c r="G157">
        <v>3</v>
      </c>
      <c r="H157">
        <v>0.87970952495886157</v>
      </c>
      <c r="I157">
        <v>0.82057702027156121</v>
      </c>
      <c r="J157">
        <v>0.72186942069525328</v>
      </c>
      <c r="K157">
        <v>0.77497966402470342</v>
      </c>
      <c r="L157">
        <v>-7.3573200092473964E-2</v>
      </c>
    </row>
    <row r="158" spans="1:12" x14ac:dyDescent="0.2">
      <c r="A158">
        <v>157</v>
      </c>
      <c r="B158" t="s">
        <v>56</v>
      </c>
      <c r="C158" t="s">
        <v>87</v>
      </c>
      <c r="D158" t="s">
        <v>17</v>
      </c>
      <c r="E158" t="s">
        <v>88</v>
      </c>
      <c r="F158" t="s">
        <v>20</v>
      </c>
      <c r="G158">
        <v>3</v>
      </c>
      <c r="H158">
        <v>0.87970952495886157</v>
      </c>
      <c r="I158">
        <v>0.9647005583128303</v>
      </c>
      <c r="J158">
        <v>0.84865626988092846</v>
      </c>
      <c r="K158">
        <v>0.87951284702930921</v>
      </c>
      <c r="L158">
        <v>-3.6359334448457098E-2</v>
      </c>
    </row>
    <row r="159" spans="1:12" x14ac:dyDescent="0.2">
      <c r="A159">
        <v>158</v>
      </c>
      <c r="B159" t="s">
        <v>56</v>
      </c>
      <c r="C159" t="s">
        <v>57</v>
      </c>
      <c r="D159" t="s">
        <v>17</v>
      </c>
      <c r="E159" t="s">
        <v>86</v>
      </c>
      <c r="F159" t="s">
        <v>20</v>
      </c>
      <c r="G159">
        <v>3</v>
      </c>
      <c r="H159">
        <v>0.87970952495886157</v>
      </c>
      <c r="I159">
        <v>0.59283035307746945</v>
      </c>
      <c r="J159">
        <v>0.52151850828697488</v>
      </c>
      <c r="K159">
        <v>0.62808973805575596</v>
      </c>
      <c r="L159">
        <v>-0.20434793411040048</v>
      </c>
    </row>
    <row r="160" spans="1:12" x14ac:dyDescent="0.2">
      <c r="A160">
        <v>159</v>
      </c>
      <c r="B160" t="s">
        <v>56</v>
      </c>
      <c r="C160" t="s">
        <v>110</v>
      </c>
      <c r="D160" t="s">
        <v>17</v>
      </c>
      <c r="E160" t="s">
        <v>73</v>
      </c>
      <c r="F160" t="s">
        <v>1</v>
      </c>
      <c r="G160">
        <v>3</v>
      </c>
      <c r="H160">
        <v>0.68225239268639071</v>
      </c>
      <c r="I160">
        <v>0.57480427272127899</v>
      </c>
      <c r="J160">
        <v>0.39216159039045323</v>
      </c>
      <c r="K160">
        <v>0.68125772754525182</v>
      </c>
      <c r="L160">
        <v>-0.73718626259895015</v>
      </c>
    </row>
    <row r="161" spans="1:12" x14ac:dyDescent="0.2">
      <c r="A161">
        <v>160</v>
      </c>
      <c r="B161" t="s">
        <v>56</v>
      </c>
      <c r="C161" t="s">
        <v>112</v>
      </c>
      <c r="D161" t="s">
        <v>17</v>
      </c>
      <c r="E161" t="s">
        <v>78</v>
      </c>
      <c r="F161" t="s">
        <v>1</v>
      </c>
      <c r="G161">
        <v>3</v>
      </c>
      <c r="H161">
        <v>0.68225239268639071</v>
      </c>
      <c r="I161">
        <v>0.64195435492625053</v>
      </c>
      <c r="J161">
        <v>0.43797489464388289</v>
      </c>
      <c r="K161">
        <v>0.62087479300182646</v>
      </c>
      <c r="L161">
        <v>-0.41760361288895192</v>
      </c>
    </row>
    <row r="162" spans="1:12" x14ac:dyDescent="0.2">
      <c r="A162">
        <v>161</v>
      </c>
      <c r="B162" t="s">
        <v>56</v>
      </c>
      <c r="C162" t="s">
        <v>108</v>
      </c>
      <c r="D162" t="s">
        <v>17</v>
      </c>
      <c r="E162" t="s">
        <v>69</v>
      </c>
      <c r="F162" t="s">
        <v>1</v>
      </c>
      <c r="G162">
        <v>3</v>
      </c>
      <c r="H162">
        <v>0.68225239268639071</v>
      </c>
      <c r="I162">
        <v>0.35907552586263775</v>
      </c>
      <c r="J162">
        <v>0.24498013667490856</v>
      </c>
      <c r="K162">
        <v>0.38978658017946954</v>
      </c>
      <c r="L162">
        <v>-0.59109463105868365</v>
      </c>
    </row>
    <row r="163" spans="1:12" x14ac:dyDescent="0.2">
      <c r="A163">
        <v>162</v>
      </c>
      <c r="B163" t="s">
        <v>56</v>
      </c>
      <c r="C163" t="s">
        <v>96</v>
      </c>
      <c r="D163" t="s">
        <v>17</v>
      </c>
      <c r="E163" t="s">
        <v>71</v>
      </c>
      <c r="F163" t="s">
        <v>1</v>
      </c>
      <c r="G163">
        <v>3</v>
      </c>
      <c r="H163">
        <v>0.903523835833554</v>
      </c>
      <c r="I163">
        <v>0.71213757851151527</v>
      </c>
      <c r="J163">
        <v>0.64343327657794303</v>
      </c>
      <c r="K163">
        <v>0.92281736404705683</v>
      </c>
      <c r="L163">
        <v>-0.43420832841440754</v>
      </c>
    </row>
    <row r="164" spans="1:12" x14ac:dyDescent="0.2">
      <c r="A164">
        <v>163</v>
      </c>
      <c r="B164" t="s">
        <v>56</v>
      </c>
      <c r="C164" t="s">
        <v>98</v>
      </c>
      <c r="D164" t="s">
        <v>17</v>
      </c>
      <c r="E164" t="s">
        <v>76</v>
      </c>
      <c r="F164" t="s">
        <v>1</v>
      </c>
      <c r="G164">
        <v>3</v>
      </c>
      <c r="H164">
        <v>0.68225239268639071</v>
      </c>
      <c r="I164">
        <v>0.53020805393034165</v>
      </c>
      <c r="J164">
        <v>0.36173571341557048</v>
      </c>
      <c r="K164">
        <v>0.51700109367894875</v>
      </c>
      <c r="L164">
        <v>-0.42922325472742517</v>
      </c>
    </row>
    <row r="165" spans="1:12" x14ac:dyDescent="0.2">
      <c r="A165">
        <v>164</v>
      </c>
      <c r="B165" t="s">
        <v>56</v>
      </c>
      <c r="C165" t="s">
        <v>97</v>
      </c>
      <c r="D165" t="s">
        <v>17</v>
      </c>
      <c r="E165" t="s">
        <v>75</v>
      </c>
      <c r="F165" t="s">
        <v>1</v>
      </c>
      <c r="G165">
        <v>3</v>
      </c>
      <c r="H165">
        <v>0.94293603313391627</v>
      </c>
      <c r="I165">
        <v>0.73656318901720663</v>
      </c>
      <c r="J165">
        <v>0.69453197160435176</v>
      </c>
      <c r="K165">
        <v>0.86657386102162903</v>
      </c>
      <c r="L165">
        <v>-0.24770909972634483</v>
      </c>
    </row>
    <row r="166" spans="1:12" x14ac:dyDescent="0.2">
      <c r="A166">
        <v>165</v>
      </c>
      <c r="B166" t="s">
        <v>56</v>
      </c>
      <c r="C166" t="s">
        <v>99</v>
      </c>
      <c r="D166" t="s">
        <v>17</v>
      </c>
      <c r="E166" t="s">
        <v>3</v>
      </c>
      <c r="F166" t="s">
        <v>1</v>
      </c>
      <c r="G166">
        <v>3</v>
      </c>
      <c r="H166">
        <v>0.68225239268639071</v>
      </c>
      <c r="I166">
        <v>1.0326535357829041</v>
      </c>
      <c r="J166">
        <v>0.70453034560394767</v>
      </c>
      <c r="K166">
        <v>0.86299859242300925</v>
      </c>
      <c r="L166">
        <v>-0.22492749646321783</v>
      </c>
    </row>
    <row r="167" spans="1:12" x14ac:dyDescent="0.2">
      <c r="A167">
        <v>166</v>
      </c>
      <c r="B167" t="s">
        <v>56</v>
      </c>
      <c r="C167" t="s">
        <v>101</v>
      </c>
      <c r="D167" t="s">
        <v>17</v>
      </c>
      <c r="E167" t="s">
        <v>66</v>
      </c>
      <c r="F167" t="s">
        <v>1</v>
      </c>
      <c r="G167">
        <v>3</v>
      </c>
      <c r="H167">
        <v>0.57480427272127899</v>
      </c>
      <c r="I167">
        <v>0.64195435492625053</v>
      </c>
      <c r="J167">
        <v>0.36899810610364125</v>
      </c>
      <c r="K167">
        <v>0.29444817118502187</v>
      </c>
      <c r="L167">
        <v>0.20203338089133821</v>
      </c>
    </row>
    <row r="168" spans="1:12" x14ac:dyDescent="0.2">
      <c r="A168">
        <v>167</v>
      </c>
      <c r="B168" t="s">
        <v>56</v>
      </c>
      <c r="C168" t="s">
        <v>100</v>
      </c>
      <c r="D168" t="s">
        <v>17</v>
      </c>
      <c r="E168" t="s">
        <v>67</v>
      </c>
      <c r="F168" t="s">
        <v>1</v>
      </c>
      <c r="G168">
        <v>3</v>
      </c>
      <c r="H168">
        <v>0.57480427272127899</v>
      </c>
      <c r="I168">
        <v>0.71419430883785373</v>
      </c>
      <c r="J168">
        <v>0.41052194027321903</v>
      </c>
      <c r="K168">
        <v>0.65152439005682428</v>
      </c>
      <c r="L168">
        <v>-0.58706350657703776</v>
      </c>
    </row>
    <row r="169" spans="1:12" x14ac:dyDescent="0.2">
      <c r="A169">
        <v>168</v>
      </c>
      <c r="B169" t="s">
        <v>56</v>
      </c>
      <c r="C169" t="s">
        <v>102</v>
      </c>
      <c r="D169" t="s">
        <v>17</v>
      </c>
      <c r="E169" t="s">
        <v>54</v>
      </c>
      <c r="F169" t="s">
        <v>1</v>
      </c>
      <c r="G169">
        <v>3</v>
      </c>
      <c r="H169">
        <v>0.57480427272127899</v>
      </c>
      <c r="I169">
        <v>0.35907552586263775</v>
      </c>
      <c r="J169">
        <v>0.2063981464954843</v>
      </c>
      <c r="K169">
        <v>0.3964786672826579</v>
      </c>
      <c r="L169">
        <v>-0.92094102594730565</v>
      </c>
    </row>
    <row r="170" spans="1:12" x14ac:dyDescent="0.2">
      <c r="A170">
        <v>169</v>
      </c>
      <c r="B170" t="s">
        <v>56</v>
      </c>
      <c r="C170" t="s">
        <v>104</v>
      </c>
      <c r="D170" t="s">
        <v>17</v>
      </c>
      <c r="E170" t="s">
        <v>58</v>
      </c>
      <c r="F170" t="s">
        <v>1</v>
      </c>
      <c r="G170">
        <v>3</v>
      </c>
      <c r="H170">
        <v>0.84461388212575406</v>
      </c>
      <c r="I170">
        <v>0.71213757851151527</v>
      </c>
      <c r="J170">
        <v>0.6014812847942449</v>
      </c>
      <c r="K170">
        <v>0.76771087552672779</v>
      </c>
      <c r="L170">
        <v>-0.27636702077828873</v>
      </c>
    </row>
    <row r="171" spans="1:12" x14ac:dyDescent="0.2">
      <c r="A171">
        <v>170</v>
      </c>
      <c r="B171" t="s">
        <v>56</v>
      </c>
      <c r="C171" t="s">
        <v>106</v>
      </c>
      <c r="D171" t="s">
        <v>17</v>
      </c>
      <c r="E171" t="s">
        <v>62</v>
      </c>
      <c r="F171" t="s">
        <v>1</v>
      </c>
      <c r="G171">
        <v>3</v>
      </c>
      <c r="H171">
        <v>0.57480427272127899</v>
      </c>
      <c r="I171">
        <v>0.53020805393034165</v>
      </c>
      <c r="J171">
        <v>0.3047658548303947</v>
      </c>
      <c r="K171">
        <v>0.47770558417812969</v>
      </c>
      <c r="L171">
        <v>-0.56745113209607323</v>
      </c>
    </row>
    <row r="172" spans="1:12" x14ac:dyDescent="0.2">
      <c r="A172">
        <v>171</v>
      </c>
      <c r="B172" t="s">
        <v>56</v>
      </c>
      <c r="C172" t="s">
        <v>105</v>
      </c>
      <c r="D172" t="s">
        <v>17</v>
      </c>
      <c r="E172" t="s">
        <v>61</v>
      </c>
      <c r="F172" t="s">
        <v>1</v>
      </c>
      <c r="G172">
        <v>3</v>
      </c>
      <c r="H172">
        <v>0.57480427272127899</v>
      </c>
      <c r="I172">
        <v>0.38649533187864787</v>
      </c>
      <c r="J172">
        <v>0.22215916815067555</v>
      </c>
      <c r="K172">
        <v>0.35062531324387908</v>
      </c>
      <c r="L172">
        <v>-0.57826173082388221</v>
      </c>
    </row>
    <row r="173" spans="1:12" x14ac:dyDescent="0.2">
      <c r="A173">
        <v>172</v>
      </c>
      <c r="B173" t="s">
        <v>56</v>
      </c>
      <c r="C173" t="s">
        <v>107</v>
      </c>
      <c r="D173" t="s">
        <v>17</v>
      </c>
      <c r="E173" t="s">
        <v>65</v>
      </c>
      <c r="F173" t="s">
        <v>1</v>
      </c>
      <c r="G173">
        <v>3</v>
      </c>
      <c r="H173">
        <v>0.57480427272127899</v>
      </c>
      <c r="I173">
        <v>1.0326535357829041</v>
      </c>
      <c r="J173">
        <v>0.59357366460874939</v>
      </c>
      <c r="K173">
        <v>0.65038881945550153</v>
      </c>
      <c r="L173">
        <v>-9.5717108480885049E-2</v>
      </c>
    </row>
    <row r="174" spans="1:12" x14ac:dyDescent="0.2">
      <c r="A174">
        <v>173</v>
      </c>
      <c r="B174" t="s">
        <v>56</v>
      </c>
      <c r="C174" t="s">
        <v>109</v>
      </c>
      <c r="D174" t="s">
        <v>17</v>
      </c>
      <c r="E174" t="s">
        <v>85</v>
      </c>
      <c r="F174" t="s">
        <v>1</v>
      </c>
      <c r="G174">
        <v>3</v>
      </c>
      <c r="H174">
        <v>0.64195435492625053</v>
      </c>
      <c r="I174">
        <v>0.35907552586263775</v>
      </c>
      <c r="J174">
        <v>0.2305100975749538</v>
      </c>
      <c r="K174">
        <v>0.36107136008165264</v>
      </c>
      <c r="L174">
        <v>-0.56640148904646093</v>
      </c>
    </row>
    <row r="175" spans="1:12" x14ac:dyDescent="0.2">
      <c r="A175">
        <v>174</v>
      </c>
      <c r="B175" t="s">
        <v>56</v>
      </c>
      <c r="C175" t="s">
        <v>111</v>
      </c>
      <c r="D175" t="s">
        <v>17</v>
      </c>
      <c r="E175" t="s">
        <v>4</v>
      </c>
      <c r="F175" t="s">
        <v>1</v>
      </c>
      <c r="G175">
        <v>3</v>
      </c>
      <c r="H175">
        <v>0.64195435492625053</v>
      </c>
      <c r="I175">
        <v>0.72555291201809891</v>
      </c>
      <c r="J175">
        <v>0.46577185159944129</v>
      </c>
      <c r="K175">
        <v>0.68834017441683315</v>
      </c>
      <c r="L175">
        <v>-0.47784837587995377</v>
      </c>
    </row>
    <row r="176" spans="1:12" x14ac:dyDescent="0.2">
      <c r="A176">
        <v>175</v>
      </c>
      <c r="B176" t="s">
        <v>56</v>
      </c>
      <c r="C176" t="s">
        <v>115</v>
      </c>
      <c r="D176" t="s">
        <v>17</v>
      </c>
      <c r="E176" t="s">
        <v>88</v>
      </c>
      <c r="F176" t="s">
        <v>1</v>
      </c>
      <c r="G176">
        <v>3</v>
      </c>
      <c r="H176">
        <v>0.64195435492625053</v>
      </c>
      <c r="I176">
        <v>0.53020805393034165</v>
      </c>
      <c r="J176">
        <v>0.34036936923755512</v>
      </c>
      <c r="K176">
        <v>0.2458994422485497</v>
      </c>
      <c r="L176">
        <v>0.27755120033457448</v>
      </c>
    </row>
    <row r="177" spans="1:12" x14ac:dyDescent="0.2">
      <c r="A177">
        <v>176</v>
      </c>
      <c r="B177" t="s">
        <v>56</v>
      </c>
      <c r="C177" t="s">
        <v>103</v>
      </c>
      <c r="D177" t="s">
        <v>17</v>
      </c>
      <c r="E177" t="s">
        <v>86</v>
      </c>
      <c r="F177" t="s">
        <v>1</v>
      </c>
      <c r="G177">
        <v>3</v>
      </c>
      <c r="H177">
        <v>0.64195435492625053</v>
      </c>
      <c r="I177">
        <v>0.38649533187864787</v>
      </c>
      <c r="J177">
        <v>0.24811236145816451</v>
      </c>
      <c r="K177">
        <v>0.12146732369689006</v>
      </c>
      <c r="L177">
        <v>0.51043421221327867</v>
      </c>
    </row>
    <row r="178" spans="1:12" x14ac:dyDescent="0.2">
      <c r="A178">
        <v>177</v>
      </c>
      <c r="B178" t="s">
        <v>42</v>
      </c>
      <c r="C178" t="s">
        <v>89</v>
      </c>
      <c r="D178" t="s">
        <v>17</v>
      </c>
      <c r="E178" t="s">
        <v>90</v>
      </c>
      <c r="F178" t="s">
        <v>20</v>
      </c>
      <c r="G178">
        <v>3</v>
      </c>
      <c r="H178">
        <v>0.86107108884365968</v>
      </c>
      <c r="I178">
        <v>0.98045468791277601</v>
      </c>
      <c r="J178">
        <v>0.84424118568292461</v>
      </c>
      <c r="K178">
        <v>0.85452057613263899</v>
      </c>
      <c r="L178">
        <v>-1.2175893126321667E-2</v>
      </c>
    </row>
    <row r="179" spans="1:12" x14ac:dyDescent="0.2">
      <c r="A179">
        <v>178</v>
      </c>
      <c r="B179" t="s">
        <v>42</v>
      </c>
      <c r="C179" t="s">
        <v>91</v>
      </c>
      <c r="D179" t="s">
        <v>17</v>
      </c>
      <c r="E179" t="s">
        <v>21</v>
      </c>
      <c r="F179" t="s">
        <v>20</v>
      </c>
      <c r="G179">
        <v>3</v>
      </c>
      <c r="H179">
        <v>0.57542055473045572</v>
      </c>
      <c r="I179">
        <v>0.98001186509114924</v>
      </c>
      <c r="J179">
        <v>0.56391897105317768</v>
      </c>
      <c r="K179">
        <v>0.48322588985498705</v>
      </c>
      <c r="L179">
        <v>0.14309339699547236</v>
      </c>
    </row>
    <row r="180" spans="1:12" x14ac:dyDescent="0.2">
      <c r="A180">
        <v>179</v>
      </c>
      <c r="B180" t="s">
        <v>42</v>
      </c>
      <c r="C180" t="s">
        <v>72</v>
      </c>
      <c r="D180" t="s">
        <v>17</v>
      </c>
      <c r="E180" t="s">
        <v>92</v>
      </c>
      <c r="F180" t="s">
        <v>20</v>
      </c>
      <c r="G180">
        <v>3</v>
      </c>
      <c r="H180">
        <v>0.57542055473045572</v>
      </c>
      <c r="I180">
        <v>0.77548826759809186</v>
      </c>
      <c r="J180">
        <v>0.44623188912825412</v>
      </c>
      <c r="K180">
        <v>0.38049099135213871</v>
      </c>
      <c r="L180">
        <v>0.14732451753850437</v>
      </c>
    </row>
    <row r="181" spans="1:12" x14ac:dyDescent="0.2">
      <c r="A181">
        <v>180</v>
      </c>
      <c r="B181" t="s">
        <v>42</v>
      </c>
      <c r="C181" t="s">
        <v>77</v>
      </c>
      <c r="D181" t="s">
        <v>17</v>
      </c>
      <c r="E181" t="s">
        <v>94</v>
      </c>
      <c r="F181" t="s">
        <v>20</v>
      </c>
      <c r="G181">
        <v>3</v>
      </c>
      <c r="H181">
        <v>0.57542055473045572</v>
      </c>
      <c r="I181">
        <v>0.99132991799450587</v>
      </c>
      <c r="J181">
        <v>0.57043161133329578</v>
      </c>
      <c r="K181">
        <v>0.53984886537864085</v>
      </c>
      <c r="L181">
        <v>5.3613343557823677E-2</v>
      </c>
    </row>
    <row r="182" spans="1:12" x14ac:dyDescent="0.2">
      <c r="A182">
        <v>181</v>
      </c>
      <c r="B182" t="s">
        <v>42</v>
      </c>
      <c r="C182" t="s">
        <v>79</v>
      </c>
      <c r="D182" t="s">
        <v>17</v>
      </c>
      <c r="E182" t="s">
        <v>93</v>
      </c>
      <c r="F182" t="s">
        <v>20</v>
      </c>
      <c r="G182">
        <v>3</v>
      </c>
      <c r="H182">
        <v>0.57542055473045572</v>
      </c>
      <c r="I182">
        <v>0.58892799035671706</v>
      </c>
      <c r="J182">
        <v>0.33888127090735459</v>
      </c>
      <c r="K182">
        <v>0.42623350866775672</v>
      </c>
      <c r="L182">
        <v>-0.25776649599582918</v>
      </c>
    </row>
    <row r="183" spans="1:12" x14ac:dyDescent="0.2">
      <c r="A183">
        <v>182</v>
      </c>
      <c r="B183" t="s">
        <v>42</v>
      </c>
      <c r="C183" t="s">
        <v>68</v>
      </c>
      <c r="D183" t="s">
        <v>17</v>
      </c>
      <c r="E183" t="s">
        <v>95</v>
      </c>
      <c r="F183" t="s">
        <v>20</v>
      </c>
      <c r="G183">
        <v>3</v>
      </c>
      <c r="H183">
        <v>0.57542055473045572</v>
      </c>
      <c r="I183">
        <v>0.98045468791277601</v>
      </c>
      <c r="J183">
        <v>0.5641737804068454</v>
      </c>
      <c r="K183">
        <v>0.48795158875995281</v>
      </c>
      <c r="L183">
        <v>0.13510410142053411</v>
      </c>
    </row>
    <row r="184" spans="1:12" x14ac:dyDescent="0.2">
      <c r="A184">
        <v>183</v>
      </c>
      <c r="B184" t="s">
        <v>42</v>
      </c>
      <c r="C184" t="s">
        <v>39</v>
      </c>
      <c r="D184" t="s">
        <v>17</v>
      </c>
      <c r="E184" t="s">
        <v>40</v>
      </c>
      <c r="F184" t="s">
        <v>20</v>
      </c>
      <c r="G184">
        <v>3</v>
      </c>
      <c r="H184">
        <v>0.98001186509114924</v>
      </c>
      <c r="I184">
        <v>0.77548826759809186</v>
      </c>
      <c r="J184">
        <v>0.75998770348511024</v>
      </c>
      <c r="K184">
        <v>0.67701837889172534</v>
      </c>
      <c r="L184">
        <v>0.10917193029954129</v>
      </c>
    </row>
    <row r="185" spans="1:12" x14ac:dyDescent="0.2">
      <c r="A185">
        <v>184</v>
      </c>
      <c r="B185" t="s">
        <v>42</v>
      </c>
      <c r="C185" t="s">
        <v>45</v>
      </c>
      <c r="D185" t="s">
        <v>17</v>
      </c>
      <c r="E185" t="s">
        <v>46</v>
      </c>
      <c r="F185" t="s">
        <v>20</v>
      </c>
      <c r="G185">
        <v>3</v>
      </c>
      <c r="H185">
        <v>0.98001186509114924</v>
      </c>
      <c r="I185">
        <v>0.99132991799450587</v>
      </c>
      <c r="J185">
        <v>0.97151508185445168</v>
      </c>
      <c r="K185">
        <v>0.95972407277218619</v>
      </c>
      <c r="L185">
        <v>1.2136722633022356E-2</v>
      </c>
    </row>
    <row r="186" spans="1:12" x14ac:dyDescent="0.2">
      <c r="A186">
        <v>185</v>
      </c>
      <c r="B186" t="s">
        <v>42</v>
      </c>
      <c r="C186" t="s">
        <v>43</v>
      </c>
      <c r="D186" t="s">
        <v>17</v>
      </c>
      <c r="E186" t="s">
        <v>44</v>
      </c>
      <c r="F186" t="s">
        <v>20</v>
      </c>
      <c r="G186">
        <v>3</v>
      </c>
      <c r="H186">
        <v>0.98001186509114924</v>
      </c>
      <c r="I186">
        <v>0.58892799035671706</v>
      </c>
      <c r="J186">
        <v>0.57715641823386865</v>
      </c>
      <c r="K186">
        <v>0.55888960558579692</v>
      </c>
      <c r="L186">
        <v>3.1649674284086125E-2</v>
      </c>
    </row>
    <row r="187" spans="1:12" x14ac:dyDescent="0.2">
      <c r="A187">
        <v>186</v>
      </c>
      <c r="B187" t="s">
        <v>42</v>
      </c>
      <c r="C187" t="s">
        <v>47</v>
      </c>
      <c r="D187" t="s">
        <v>17</v>
      </c>
      <c r="E187" t="s">
        <v>10</v>
      </c>
      <c r="F187" t="s">
        <v>20</v>
      </c>
      <c r="G187">
        <v>3</v>
      </c>
      <c r="H187">
        <v>0.98001186509114924</v>
      </c>
      <c r="I187">
        <v>0.98045468791277601</v>
      </c>
      <c r="J187">
        <v>0.96085722733876022</v>
      </c>
      <c r="K187">
        <v>0.94355879312163349</v>
      </c>
      <c r="L187">
        <v>1.8003126505107707E-2</v>
      </c>
    </row>
    <row r="188" spans="1:12" x14ac:dyDescent="0.2">
      <c r="A188">
        <v>187</v>
      </c>
      <c r="B188" t="s">
        <v>42</v>
      </c>
      <c r="C188" t="s">
        <v>50</v>
      </c>
      <c r="D188" t="s">
        <v>17</v>
      </c>
      <c r="E188" t="s">
        <v>11</v>
      </c>
      <c r="F188" t="s">
        <v>20</v>
      </c>
      <c r="G188">
        <v>3</v>
      </c>
      <c r="H188">
        <v>0.77548826759809186</v>
      </c>
      <c r="I188">
        <v>0.99132991799450587</v>
      </c>
      <c r="J188">
        <v>0.76876472072371782</v>
      </c>
      <c r="K188">
        <v>0.74332064967149403</v>
      </c>
      <c r="L188">
        <v>3.3097344826477804E-2</v>
      </c>
    </row>
    <row r="189" spans="1:12" x14ac:dyDescent="0.2">
      <c r="A189">
        <v>188</v>
      </c>
      <c r="B189" t="s">
        <v>42</v>
      </c>
      <c r="C189" t="s">
        <v>48</v>
      </c>
      <c r="D189" t="s">
        <v>17</v>
      </c>
      <c r="E189" t="s">
        <v>49</v>
      </c>
      <c r="F189" t="s">
        <v>20</v>
      </c>
      <c r="G189">
        <v>3</v>
      </c>
      <c r="H189">
        <v>0.77548826759809186</v>
      </c>
      <c r="I189">
        <v>0.58892799035671706</v>
      </c>
      <c r="J189">
        <v>0.45670674698175628</v>
      </c>
      <c r="K189">
        <v>0.58864494826728764</v>
      </c>
      <c r="L189">
        <v>-0.2888904141606688</v>
      </c>
    </row>
    <row r="190" spans="1:12" x14ac:dyDescent="0.2">
      <c r="A190">
        <v>189</v>
      </c>
      <c r="B190" t="s">
        <v>42</v>
      </c>
      <c r="C190" t="s">
        <v>51</v>
      </c>
      <c r="D190" t="s">
        <v>17</v>
      </c>
      <c r="E190" t="s">
        <v>52</v>
      </c>
      <c r="F190" t="s">
        <v>20</v>
      </c>
      <c r="G190">
        <v>3</v>
      </c>
      <c r="H190">
        <v>0.77548826759809186</v>
      </c>
      <c r="I190">
        <v>0.98045468791277601</v>
      </c>
      <c r="J190">
        <v>0.76033110738790644</v>
      </c>
      <c r="K190">
        <v>0.79826902609791861</v>
      </c>
      <c r="L190">
        <v>-4.9896575769925684E-2</v>
      </c>
    </row>
    <row r="191" spans="1:12" x14ac:dyDescent="0.2">
      <c r="A191">
        <v>190</v>
      </c>
      <c r="B191" t="s">
        <v>42</v>
      </c>
      <c r="C191" t="s">
        <v>59</v>
      </c>
      <c r="D191" t="s">
        <v>17</v>
      </c>
      <c r="E191" t="s">
        <v>83</v>
      </c>
      <c r="F191" t="s">
        <v>20</v>
      </c>
      <c r="G191">
        <v>3</v>
      </c>
      <c r="H191">
        <v>0.99132991799450587</v>
      </c>
      <c r="I191">
        <v>0.58892799035671706</v>
      </c>
      <c r="J191">
        <v>0.58382193638499347</v>
      </c>
      <c r="K191">
        <v>0.4315802545031851</v>
      </c>
      <c r="L191">
        <v>0.26076732029715077</v>
      </c>
    </row>
    <row r="192" spans="1:12" x14ac:dyDescent="0.2">
      <c r="A192">
        <v>191</v>
      </c>
      <c r="B192" t="s">
        <v>42</v>
      </c>
      <c r="C192" t="s">
        <v>63</v>
      </c>
      <c r="D192" t="s">
        <v>17</v>
      </c>
      <c r="E192" t="s">
        <v>84</v>
      </c>
      <c r="F192" t="s">
        <v>20</v>
      </c>
      <c r="G192">
        <v>3</v>
      </c>
      <c r="H192">
        <v>0.99132991799450587</v>
      </c>
      <c r="I192">
        <v>0.98045468791277601</v>
      </c>
      <c r="J192">
        <v>0.97195406536590112</v>
      </c>
      <c r="K192">
        <v>0.93655894769837489</v>
      </c>
      <c r="L192">
        <v>3.6416451073952152E-2</v>
      </c>
    </row>
    <row r="193" spans="1:12" x14ac:dyDescent="0.2">
      <c r="A193">
        <v>192</v>
      </c>
      <c r="B193" t="s">
        <v>42</v>
      </c>
      <c r="C193" t="s">
        <v>60</v>
      </c>
      <c r="D193" t="s">
        <v>17</v>
      </c>
      <c r="E193" t="s">
        <v>82</v>
      </c>
      <c r="F193" t="s">
        <v>20</v>
      </c>
      <c r="G193">
        <v>3</v>
      </c>
      <c r="H193">
        <v>0.58892799035671706</v>
      </c>
      <c r="I193">
        <v>0.98045468791277601</v>
      </c>
      <c r="J193">
        <v>0.57741720898829341</v>
      </c>
      <c r="K193">
        <v>0.38049180166766983</v>
      </c>
      <c r="L193">
        <v>0.34104526892376713</v>
      </c>
    </row>
    <row r="194" spans="1:12" x14ac:dyDescent="0.2">
      <c r="A194">
        <v>193</v>
      </c>
      <c r="B194" t="s">
        <v>42</v>
      </c>
      <c r="C194" t="s">
        <v>81</v>
      </c>
      <c r="D194" t="s">
        <v>17</v>
      </c>
      <c r="E194" t="s">
        <v>80</v>
      </c>
      <c r="F194" t="s">
        <v>20</v>
      </c>
      <c r="G194">
        <v>3</v>
      </c>
      <c r="H194">
        <v>0.97826358920125656</v>
      </c>
      <c r="I194">
        <v>0.57542055473045572</v>
      </c>
      <c r="J194">
        <v>0.56291297717079369</v>
      </c>
      <c r="K194">
        <v>0.40433666696730003</v>
      </c>
      <c r="L194">
        <v>0.28170661653689316</v>
      </c>
    </row>
    <row r="195" spans="1:12" x14ac:dyDescent="0.2">
      <c r="A195">
        <v>194</v>
      </c>
      <c r="B195" t="s">
        <v>42</v>
      </c>
      <c r="C195" t="s">
        <v>70</v>
      </c>
      <c r="D195" t="s">
        <v>17</v>
      </c>
      <c r="E195" t="s">
        <v>71</v>
      </c>
      <c r="F195" t="s">
        <v>20</v>
      </c>
      <c r="G195">
        <v>1</v>
      </c>
      <c r="H195">
        <v>0.8875565423569165</v>
      </c>
      <c r="I195">
        <v>0.82057702027156121</v>
      </c>
      <c r="J195">
        <v>0.72830850284976822</v>
      </c>
      <c r="K195">
        <v>0.84614412425477281</v>
      </c>
      <c r="L195">
        <v>-0.16179355444009</v>
      </c>
    </row>
    <row r="196" spans="1:12" x14ac:dyDescent="0.2">
      <c r="A196">
        <v>195</v>
      </c>
      <c r="B196" t="s">
        <v>42</v>
      </c>
      <c r="C196" t="s">
        <v>74</v>
      </c>
      <c r="D196" t="s">
        <v>17</v>
      </c>
      <c r="E196" t="s">
        <v>75</v>
      </c>
      <c r="F196" t="s">
        <v>20</v>
      </c>
      <c r="G196">
        <v>2</v>
      </c>
      <c r="H196">
        <v>0.8875565423569165</v>
      </c>
      <c r="I196">
        <v>0.59283035307746945</v>
      </c>
      <c r="J196">
        <v>0.52617045838166876</v>
      </c>
      <c r="K196">
        <v>0.34142071260674201</v>
      </c>
      <c r="L196">
        <v>0.35112147181952708</v>
      </c>
    </row>
    <row r="197" spans="1:12" x14ac:dyDescent="0.2">
      <c r="A197">
        <v>196</v>
      </c>
      <c r="B197" t="s">
        <v>42</v>
      </c>
      <c r="C197" t="s">
        <v>57</v>
      </c>
      <c r="D197" t="s">
        <v>17</v>
      </c>
      <c r="E197" t="s">
        <v>58</v>
      </c>
      <c r="F197" t="s">
        <v>20</v>
      </c>
      <c r="G197">
        <v>1</v>
      </c>
      <c r="H197">
        <v>0.76390909928005168</v>
      </c>
      <c r="I197">
        <v>0.82057702027156121</v>
      </c>
      <c r="J197">
        <v>0.62684625244555703</v>
      </c>
      <c r="K197">
        <v>0.69423192477899598</v>
      </c>
      <c r="L197">
        <v>-0.10749952172569069</v>
      </c>
    </row>
    <row r="198" spans="1:12" x14ac:dyDescent="0.2">
      <c r="A198">
        <v>197</v>
      </c>
      <c r="B198" t="s">
        <v>42</v>
      </c>
      <c r="C198" t="s">
        <v>116</v>
      </c>
      <c r="D198" t="s">
        <v>17</v>
      </c>
      <c r="E198" t="s">
        <v>90</v>
      </c>
      <c r="F198" t="s">
        <v>1</v>
      </c>
      <c r="G198">
        <v>3</v>
      </c>
      <c r="H198">
        <v>0.56448680201237456</v>
      </c>
      <c r="I198">
        <v>1.0973844494401197</v>
      </c>
      <c r="J198">
        <v>0.61945903844256356</v>
      </c>
      <c r="K198">
        <v>1.0014780516724804</v>
      </c>
      <c r="L198">
        <v>-0.61669777906604517</v>
      </c>
    </row>
    <row r="199" spans="1:12" x14ac:dyDescent="0.2">
      <c r="A199">
        <v>198</v>
      </c>
      <c r="B199" t="s">
        <v>42</v>
      </c>
      <c r="C199" t="s">
        <v>117</v>
      </c>
      <c r="D199" t="s">
        <v>17</v>
      </c>
      <c r="E199" t="s">
        <v>21</v>
      </c>
      <c r="F199" t="s">
        <v>1</v>
      </c>
      <c r="G199">
        <v>3</v>
      </c>
      <c r="H199">
        <v>0.61391392059179939</v>
      </c>
      <c r="I199">
        <v>0.64258925704049696</v>
      </c>
      <c r="J199">
        <v>0.39449449011990301</v>
      </c>
      <c r="K199">
        <v>0.61699385041455135</v>
      </c>
      <c r="L199">
        <v>-0.56401132554987443</v>
      </c>
    </row>
    <row r="200" spans="1:12" x14ac:dyDescent="0.2">
      <c r="A200">
        <v>199</v>
      </c>
      <c r="B200" t="s">
        <v>42</v>
      </c>
      <c r="C200" t="s">
        <v>110</v>
      </c>
      <c r="D200" t="s">
        <v>17</v>
      </c>
      <c r="E200" t="s">
        <v>92</v>
      </c>
      <c r="F200" t="s">
        <v>1</v>
      </c>
      <c r="G200">
        <v>3</v>
      </c>
      <c r="H200">
        <v>0.61391392059179939</v>
      </c>
      <c r="I200">
        <v>1.0332090439767465</v>
      </c>
      <c r="J200">
        <v>0.63430141497866932</v>
      </c>
      <c r="K200">
        <v>0.46378276900059828</v>
      </c>
      <c r="L200">
        <v>0.26882904870045948</v>
      </c>
    </row>
    <row r="201" spans="1:12" x14ac:dyDescent="0.2">
      <c r="A201">
        <v>200</v>
      </c>
      <c r="B201" t="s">
        <v>42</v>
      </c>
      <c r="C201" t="s">
        <v>112</v>
      </c>
      <c r="D201" t="s">
        <v>17</v>
      </c>
      <c r="E201" t="s">
        <v>94</v>
      </c>
      <c r="F201" t="s">
        <v>1</v>
      </c>
      <c r="G201">
        <v>3</v>
      </c>
      <c r="H201">
        <v>0.61391392059179939</v>
      </c>
      <c r="I201">
        <v>0.5691580115835021</v>
      </c>
      <c r="J201">
        <v>0.34941402632746055</v>
      </c>
      <c r="K201">
        <v>0.62576538049254493</v>
      </c>
      <c r="L201">
        <v>-0.79089942973867922</v>
      </c>
    </row>
    <row r="202" spans="1:12" x14ac:dyDescent="0.2">
      <c r="A202">
        <v>201</v>
      </c>
      <c r="B202" t="s">
        <v>42</v>
      </c>
      <c r="C202" t="s">
        <v>113</v>
      </c>
      <c r="D202" t="s">
        <v>17</v>
      </c>
      <c r="E202" t="s">
        <v>93</v>
      </c>
      <c r="F202" t="s">
        <v>1</v>
      </c>
      <c r="G202">
        <v>3</v>
      </c>
      <c r="H202">
        <v>0.61391392059179939</v>
      </c>
      <c r="I202">
        <v>0.73656318901720663</v>
      </c>
      <c r="J202">
        <v>0.4521863951331519</v>
      </c>
      <c r="K202">
        <v>0.50130892290638751</v>
      </c>
      <c r="L202">
        <v>-0.10863336071570856</v>
      </c>
    </row>
    <row r="203" spans="1:12" x14ac:dyDescent="0.2">
      <c r="A203">
        <v>202</v>
      </c>
      <c r="B203" t="s">
        <v>42</v>
      </c>
      <c r="C203" t="s">
        <v>108</v>
      </c>
      <c r="D203" t="s">
        <v>17</v>
      </c>
      <c r="E203" t="s">
        <v>95</v>
      </c>
      <c r="F203" t="s">
        <v>1</v>
      </c>
      <c r="G203">
        <v>3</v>
      </c>
      <c r="H203">
        <v>0.61391392059179939</v>
      </c>
      <c r="I203">
        <v>1.0973844494401197</v>
      </c>
      <c r="J203">
        <v>0.67369958975225719</v>
      </c>
      <c r="K203">
        <v>0.52315812581113674</v>
      </c>
      <c r="L203">
        <v>0.22345488438916786</v>
      </c>
    </row>
    <row r="204" spans="1:12" x14ac:dyDescent="0.2">
      <c r="A204">
        <v>203</v>
      </c>
      <c r="B204" t="s">
        <v>42</v>
      </c>
      <c r="C204" t="s">
        <v>96</v>
      </c>
      <c r="D204" t="s">
        <v>17</v>
      </c>
      <c r="E204" t="s">
        <v>40</v>
      </c>
      <c r="F204" t="s">
        <v>1</v>
      </c>
      <c r="G204">
        <v>3</v>
      </c>
      <c r="H204">
        <v>0.64258925704049696</v>
      </c>
      <c r="I204">
        <v>1.0332090439767465</v>
      </c>
      <c r="J204">
        <v>0.66392903193653974</v>
      </c>
      <c r="K204">
        <v>0.72230833978520481</v>
      </c>
      <c r="L204">
        <v>-8.793004227934581E-2</v>
      </c>
    </row>
    <row r="205" spans="1:12" x14ac:dyDescent="0.2">
      <c r="A205">
        <v>204</v>
      </c>
      <c r="B205" t="s">
        <v>42</v>
      </c>
      <c r="C205" t="s">
        <v>98</v>
      </c>
      <c r="D205" t="s">
        <v>17</v>
      </c>
      <c r="E205" t="s">
        <v>46</v>
      </c>
      <c r="F205" t="s">
        <v>1</v>
      </c>
      <c r="G205">
        <v>3</v>
      </c>
      <c r="H205">
        <v>0.64258925704049696</v>
      </c>
      <c r="I205">
        <v>0.5691580115835021</v>
      </c>
      <c r="J205">
        <v>0.36573482380208916</v>
      </c>
      <c r="K205">
        <v>0.50112805081119194</v>
      </c>
      <c r="L205">
        <v>-0.37019506537985125</v>
      </c>
    </row>
    <row r="206" spans="1:12" x14ac:dyDescent="0.2">
      <c r="A206">
        <v>205</v>
      </c>
      <c r="B206" t="s">
        <v>42</v>
      </c>
      <c r="C206" t="s">
        <v>97</v>
      </c>
      <c r="D206" t="s">
        <v>17</v>
      </c>
      <c r="E206" t="s">
        <v>44</v>
      </c>
      <c r="F206" t="s">
        <v>1</v>
      </c>
      <c r="G206">
        <v>3</v>
      </c>
      <c r="H206">
        <v>0.64258925704049696</v>
      </c>
      <c r="I206">
        <v>0.73656318901720663</v>
      </c>
      <c r="J206">
        <v>0.47330759239394593</v>
      </c>
      <c r="K206">
        <v>0.69015241783350678</v>
      </c>
      <c r="L206">
        <v>-0.45814778576185483</v>
      </c>
    </row>
    <row r="207" spans="1:12" x14ac:dyDescent="0.2">
      <c r="A207">
        <v>206</v>
      </c>
      <c r="B207" t="s">
        <v>42</v>
      </c>
      <c r="C207" t="s">
        <v>99</v>
      </c>
      <c r="D207" t="s">
        <v>17</v>
      </c>
      <c r="E207" t="s">
        <v>10</v>
      </c>
      <c r="F207" t="s">
        <v>1</v>
      </c>
      <c r="G207">
        <v>3</v>
      </c>
      <c r="H207">
        <v>0.64258925704049696</v>
      </c>
      <c r="I207">
        <v>1.0973844494401197</v>
      </c>
      <c r="J207">
        <v>0.70516745805352132</v>
      </c>
      <c r="K207">
        <v>0.9722173376157156</v>
      </c>
      <c r="L207">
        <v>-0.37870420211864841</v>
      </c>
    </row>
    <row r="208" spans="1:12" x14ac:dyDescent="0.2">
      <c r="A208">
        <v>207</v>
      </c>
      <c r="B208" t="s">
        <v>42</v>
      </c>
      <c r="C208" t="s">
        <v>101</v>
      </c>
      <c r="D208" t="s">
        <v>17</v>
      </c>
      <c r="E208" t="s">
        <v>11</v>
      </c>
      <c r="F208" t="s">
        <v>1</v>
      </c>
      <c r="G208">
        <v>3</v>
      </c>
      <c r="H208">
        <v>1.0332090439767465</v>
      </c>
      <c r="I208">
        <v>0.5691580115835021</v>
      </c>
      <c r="J208">
        <v>0.58805920501989617</v>
      </c>
      <c r="K208">
        <v>0.96268275948356652</v>
      </c>
      <c r="L208">
        <v>-0.63705074466268319</v>
      </c>
    </row>
    <row r="209" spans="1:12" x14ac:dyDescent="0.2">
      <c r="A209">
        <v>208</v>
      </c>
      <c r="B209" t="s">
        <v>42</v>
      </c>
      <c r="C209" t="s">
        <v>100</v>
      </c>
      <c r="D209" t="s">
        <v>17</v>
      </c>
      <c r="E209" t="s">
        <v>49</v>
      </c>
      <c r="F209" t="s">
        <v>1</v>
      </c>
      <c r="G209">
        <v>3</v>
      </c>
      <c r="H209">
        <v>1.0332090439767465</v>
      </c>
      <c r="I209">
        <v>0.73656318901720663</v>
      </c>
      <c r="J209">
        <v>0.76102374835293174</v>
      </c>
      <c r="K209">
        <v>0.65241363041130229</v>
      </c>
      <c r="L209">
        <v>0.14271580640773973</v>
      </c>
    </row>
    <row r="210" spans="1:12" x14ac:dyDescent="0.2">
      <c r="A210">
        <v>209</v>
      </c>
      <c r="B210" t="s">
        <v>42</v>
      </c>
      <c r="C210" t="s">
        <v>102</v>
      </c>
      <c r="D210" t="s">
        <v>17</v>
      </c>
      <c r="E210" t="s">
        <v>52</v>
      </c>
      <c r="F210" t="s">
        <v>1</v>
      </c>
      <c r="G210">
        <v>3</v>
      </c>
      <c r="H210">
        <v>1.0332090439767465</v>
      </c>
      <c r="I210">
        <v>1.0973844494401197</v>
      </c>
      <c r="J210">
        <v>1.1338275378809743</v>
      </c>
      <c r="K210">
        <v>0.85554273506610679</v>
      </c>
      <c r="L210">
        <v>0.24543838768897588</v>
      </c>
    </row>
    <row r="211" spans="1:12" x14ac:dyDescent="0.2">
      <c r="A211">
        <v>210</v>
      </c>
      <c r="B211" t="s">
        <v>42</v>
      </c>
      <c r="C211" t="s">
        <v>104</v>
      </c>
      <c r="D211" t="s">
        <v>17</v>
      </c>
      <c r="E211" t="s">
        <v>83</v>
      </c>
      <c r="F211" t="s">
        <v>1</v>
      </c>
      <c r="G211">
        <v>3</v>
      </c>
      <c r="H211">
        <v>0.5691580115835021</v>
      </c>
      <c r="I211">
        <v>0.73656318901720663</v>
      </c>
      <c r="J211">
        <v>0.41922084006663651</v>
      </c>
      <c r="K211">
        <v>0.40381960423377816</v>
      </c>
      <c r="L211">
        <v>3.6737762918490111E-2</v>
      </c>
    </row>
    <row r="212" spans="1:12" x14ac:dyDescent="0.2">
      <c r="A212">
        <v>211</v>
      </c>
      <c r="B212" t="s">
        <v>42</v>
      </c>
      <c r="C212" t="s">
        <v>106</v>
      </c>
      <c r="D212" t="s">
        <v>17</v>
      </c>
      <c r="E212" t="s">
        <v>84</v>
      </c>
      <c r="F212" t="s">
        <v>1</v>
      </c>
      <c r="G212">
        <v>3</v>
      </c>
      <c r="H212">
        <v>0.5691580115835021</v>
      </c>
      <c r="I212">
        <v>1.0973844494401197</v>
      </c>
      <c r="J212">
        <v>0.62458515118599467</v>
      </c>
      <c r="K212">
        <v>1.0846773771565623</v>
      </c>
      <c r="L212">
        <v>-0.736636510004954</v>
      </c>
    </row>
    <row r="213" spans="1:12" x14ac:dyDescent="0.2">
      <c r="A213">
        <v>212</v>
      </c>
      <c r="B213" t="s">
        <v>42</v>
      </c>
      <c r="C213" t="s">
        <v>105</v>
      </c>
      <c r="D213" t="s">
        <v>17</v>
      </c>
      <c r="E213" t="s">
        <v>82</v>
      </c>
      <c r="F213" t="s">
        <v>1</v>
      </c>
      <c r="G213">
        <v>3</v>
      </c>
      <c r="H213">
        <v>0.73656318901720663</v>
      </c>
      <c r="I213">
        <v>1.0973844494401197</v>
      </c>
      <c r="J213">
        <v>0.80829298965750618</v>
      </c>
      <c r="K213">
        <v>0.28904431088606625</v>
      </c>
      <c r="L213">
        <v>0.64240156158159734</v>
      </c>
    </row>
    <row r="214" spans="1:12" x14ac:dyDescent="0.2">
      <c r="A214">
        <v>213</v>
      </c>
      <c r="B214" t="s">
        <v>42</v>
      </c>
      <c r="C214" t="s">
        <v>114</v>
      </c>
      <c r="D214" t="s">
        <v>17</v>
      </c>
      <c r="E214" t="s">
        <v>80</v>
      </c>
      <c r="F214" t="s">
        <v>1</v>
      </c>
      <c r="G214">
        <v>3</v>
      </c>
      <c r="H214">
        <v>0.94293603313391627</v>
      </c>
      <c r="I214">
        <v>0.61391392059179939</v>
      </c>
      <c r="J214">
        <v>0.57888155696852139</v>
      </c>
      <c r="K214">
        <v>0</v>
      </c>
      <c r="L214">
        <v>1</v>
      </c>
    </row>
    <row r="215" spans="1:12" x14ac:dyDescent="0.2">
      <c r="A215">
        <v>214</v>
      </c>
      <c r="B215" t="s">
        <v>42</v>
      </c>
      <c r="C215" t="s">
        <v>109</v>
      </c>
      <c r="D215" t="s">
        <v>17</v>
      </c>
      <c r="E215" t="s">
        <v>71</v>
      </c>
      <c r="F215" t="s">
        <v>1</v>
      </c>
      <c r="G215">
        <v>1</v>
      </c>
      <c r="H215">
        <v>0.68225239268639071</v>
      </c>
      <c r="I215">
        <v>0.72555291201809891</v>
      </c>
      <c r="J215">
        <v>0.49501021024492631</v>
      </c>
      <c r="K215">
        <v>0.89077416959850197</v>
      </c>
      <c r="L215">
        <v>-0.79950665897932782</v>
      </c>
    </row>
    <row r="216" spans="1:12" x14ac:dyDescent="0.2">
      <c r="A216">
        <v>215</v>
      </c>
      <c r="B216" t="s">
        <v>42</v>
      </c>
      <c r="C216" t="s">
        <v>111</v>
      </c>
      <c r="D216" t="s">
        <v>17</v>
      </c>
      <c r="E216" t="s">
        <v>75</v>
      </c>
      <c r="F216" t="s">
        <v>1</v>
      </c>
      <c r="G216">
        <v>2</v>
      </c>
      <c r="H216">
        <v>0.68225239268639071</v>
      </c>
      <c r="I216">
        <v>0.38649533187864787</v>
      </c>
      <c r="J216">
        <v>0.26368736493632816</v>
      </c>
      <c r="K216">
        <v>0.47562208758028035</v>
      </c>
      <c r="L216">
        <v>-0.80373484218755598</v>
      </c>
    </row>
    <row r="217" spans="1:12" x14ac:dyDescent="0.2">
      <c r="A217">
        <v>216</v>
      </c>
      <c r="B217" t="s">
        <v>42</v>
      </c>
      <c r="C217" t="s">
        <v>103</v>
      </c>
      <c r="D217" t="s">
        <v>17</v>
      </c>
      <c r="E217" t="s">
        <v>58</v>
      </c>
      <c r="F217" t="s">
        <v>1</v>
      </c>
      <c r="G217">
        <v>1</v>
      </c>
      <c r="H217">
        <v>0.57480427272127899</v>
      </c>
      <c r="I217">
        <v>0.72555291201809891</v>
      </c>
      <c r="J217">
        <v>0.41705091391336946</v>
      </c>
      <c r="K217">
        <v>0.49826566889586504</v>
      </c>
      <c r="L217">
        <v>-0.19473582786433039</v>
      </c>
    </row>
  </sheetData>
  <sortState xmlns:xlrd2="http://schemas.microsoft.com/office/spreadsheetml/2017/richdata2" ref="A2:L217">
    <sortCondition ref="A2:A2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94C6-9D27-AC46-853A-3AAF455E42C7}">
  <dimension ref="A1:D37"/>
  <sheetViews>
    <sheetView workbookViewId="0">
      <selection activeCell="D2" sqref="D2"/>
    </sheetView>
  </sheetViews>
  <sheetFormatPr baseColWidth="10" defaultRowHeight="16" x14ac:dyDescent="0.2"/>
  <cols>
    <col min="2" max="2" width="11.5" bestFit="1" customWidth="1"/>
    <col min="3" max="4" width="33.83203125" bestFit="1" customWidth="1"/>
  </cols>
  <sheetData>
    <row r="1" spans="1:4" x14ac:dyDescent="0.2">
      <c r="A1" t="s">
        <v>118</v>
      </c>
      <c r="B1" t="s">
        <v>119</v>
      </c>
      <c r="C1" t="s">
        <v>124</v>
      </c>
      <c r="D1" t="s">
        <v>123</v>
      </c>
    </row>
    <row r="2" spans="1:4" x14ac:dyDescent="0.2">
      <c r="A2">
        <v>1</v>
      </c>
      <c r="B2" t="s">
        <v>73</v>
      </c>
      <c r="C2" t="s">
        <v>120</v>
      </c>
      <c r="D2" t="s">
        <v>120</v>
      </c>
    </row>
    <row r="3" spans="1:4" x14ac:dyDescent="0.2">
      <c r="A3">
        <v>2</v>
      </c>
      <c r="B3" t="s">
        <v>78</v>
      </c>
      <c r="C3" t="s">
        <v>120</v>
      </c>
      <c r="D3" t="s">
        <v>120</v>
      </c>
    </row>
    <row r="4" spans="1:4" x14ac:dyDescent="0.2">
      <c r="A4">
        <v>3</v>
      </c>
      <c r="B4" t="s">
        <v>80</v>
      </c>
      <c r="C4" t="s">
        <v>121</v>
      </c>
      <c r="D4" t="s">
        <v>121</v>
      </c>
    </row>
    <row r="5" spans="1:4" x14ac:dyDescent="0.2">
      <c r="A5">
        <v>4</v>
      </c>
      <c r="B5" t="s">
        <v>69</v>
      </c>
      <c r="C5" t="s">
        <v>120</v>
      </c>
      <c r="D5" t="s">
        <v>120</v>
      </c>
    </row>
    <row r="6" spans="1:4" x14ac:dyDescent="0.2">
      <c r="A6">
        <v>5</v>
      </c>
      <c r="B6" t="s">
        <v>71</v>
      </c>
      <c r="C6" t="s">
        <v>120</v>
      </c>
      <c r="D6" t="s">
        <v>122</v>
      </c>
    </row>
    <row r="7" spans="1:4" x14ac:dyDescent="0.2">
      <c r="A7">
        <v>6</v>
      </c>
      <c r="B7" t="s">
        <v>76</v>
      </c>
      <c r="C7" t="s">
        <v>120</v>
      </c>
      <c r="D7" t="s">
        <v>120</v>
      </c>
    </row>
    <row r="8" spans="1:4" x14ac:dyDescent="0.2">
      <c r="A8">
        <v>7</v>
      </c>
      <c r="B8" t="s">
        <v>75</v>
      </c>
      <c r="C8" t="s">
        <v>120</v>
      </c>
      <c r="D8" t="s">
        <v>120</v>
      </c>
    </row>
    <row r="9" spans="1:4" x14ac:dyDescent="0.2">
      <c r="A9">
        <v>8</v>
      </c>
      <c r="B9" t="s">
        <v>3</v>
      </c>
      <c r="C9" t="s">
        <v>122</v>
      </c>
      <c r="D9" t="s">
        <v>120</v>
      </c>
    </row>
    <row r="10" spans="1:4" x14ac:dyDescent="0.2">
      <c r="A10">
        <v>9</v>
      </c>
      <c r="B10" t="s">
        <v>66</v>
      </c>
      <c r="C10" t="s">
        <v>120</v>
      </c>
      <c r="D10" t="s">
        <v>120</v>
      </c>
    </row>
    <row r="11" spans="1:4" x14ac:dyDescent="0.2">
      <c r="A11">
        <v>10</v>
      </c>
      <c r="B11" t="s">
        <v>67</v>
      </c>
      <c r="C11" t="s">
        <v>122</v>
      </c>
      <c r="D11" t="s">
        <v>120</v>
      </c>
    </row>
    <row r="12" spans="1:4" x14ac:dyDescent="0.2">
      <c r="A12">
        <v>11</v>
      </c>
      <c r="B12" t="s">
        <v>54</v>
      </c>
      <c r="C12" t="s">
        <v>122</v>
      </c>
      <c r="D12" t="s">
        <v>120</v>
      </c>
    </row>
    <row r="13" spans="1:4" x14ac:dyDescent="0.2">
      <c r="A13">
        <v>12</v>
      </c>
      <c r="B13" t="s">
        <v>58</v>
      </c>
      <c r="C13" t="s">
        <v>122</v>
      </c>
      <c r="D13" t="s">
        <v>120</v>
      </c>
    </row>
    <row r="14" spans="1:4" x14ac:dyDescent="0.2">
      <c r="A14">
        <v>13</v>
      </c>
      <c r="B14" t="s">
        <v>62</v>
      </c>
      <c r="C14" t="s">
        <v>120</v>
      </c>
      <c r="D14" t="s">
        <v>120</v>
      </c>
    </row>
    <row r="15" spans="1:4" x14ac:dyDescent="0.2">
      <c r="A15">
        <v>14</v>
      </c>
      <c r="B15" t="s">
        <v>61</v>
      </c>
      <c r="C15" t="s">
        <v>120</v>
      </c>
      <c r="D15" t="s">
        <v>120</v>
      </c>
    </row>
    <row r="16" spans="1:4" x14ac:dyDescent="0.2">
      <c r="A16">
        <v>15</v>
      </c>
      <c r="B16" t="s">
        <v>65</v>
      </c>
      <c r="C16" t="s">
        <v>120</v>
      </c>
      <c r="D16" t="s">
        <v>120</v>
      </c>
    </row>
    <row r="17" spans="1:4" x14ac:dyDescent="0.2">
      <c r="A17">
        <v>16</v>
      </c>
      <c r="B17" t="s">
        <v>2</v>
      </c>
      <c r="C17" t="s">
        <v>120</v>
      </c>
      <c r="D17" t="s">
        <v>121</v>
      </c>
    </row>
    <row r="18" spans="1:4" x14ac:dyDescent="0.2">
      <c r="A18">
        <v>17</v>
      </c>
      <c r="B18" t="s">
        <v>85</v>
      </c>
      <c r="C18" t="s">
        <v>122</v>
      </c>
      <c r="D18" t="s">
        <v>120</v>
      </c>
    </row>
    <row r="19" spans="1:4" x14ac:dyDescent="0.2">
      <c r="A19">
        <v>18</v>
      </c>
      <c r="B19" t="s">
        <v>4</v>
      </c>
      <c r="C19" t="s">
        <v>122</v>
      </c>
      <c r="D19" t="s">
        <v>120</v>
      </c>
    </row>
    <row r="20" spans="1:4" x14ac:dyDescent="0.2">
      <c r="A20">
        <v>19</v>
      </c>
      <c r="B20" t="s">
        <v>88</v>
      </c>
      <c r="C20" t="s">
        <v>120</v>
      </c>
      <c r="D20" t="s">
        <v>120</v>
      </c>
    </row>
    <row r="21" spans="1:4" x14ac:dyDescent="0.2">
      <c r="A21">
        <v>20</v>
      </c>
      <c r="B21" t="s">
        <v>86</v>
      </c>
      <c r="C21" t="s">
        <v>120</v>
      </c>
      <c r="D21" t="s">
        <v>122</v>
      </c>
    </row>
    <row r="22" spans="1:4" x14ac:dyDescent="0.2">
      <c r="A22">
        <v>21</v>
      </c>
      <c r="B22" t="s">
        <v>90</v>
      </c>
      <c r="C22" t="s">
        <v>122</v>
      </c>
      <c r="D22" t="s">
        <v>120</v>
      </c>
    </row>
    <row r="23" spans="1:4" x14ac:dyDescent="0.2">
      <c r="A23">
        <v>22</v>
      </c>
      <c r="B23" t="s">
        <v>21</v>
      </c>
      <c r="C23" t="s">
        <v>122</v>
      </c>
      <c r="D23" t="s">
        <v>120</v>
      </c>
    </row>
    <row r="24" spans="1:4" x14ac:dyDescent="0.2">
      <c r="A24">
        <v>23</v>
      </c>
      <c r="B24" t="s">
        <v>92</v>
      </c>
      <c r="C24" t="s">
        <v>121</v>
      </c>
      <c r="D24" t="s">
        <v>120</v>
      </c>
    </row>
    <row r="25" spans="1:4" x14ac:dyDescent="0.2">
      <c r="A25">
        <v>24</v>
      </c>
      <c r="B25" t="s">
        <v>94</v>
      </c>
      <c r="C25" t="s">
        <v>120</v>
      </c>
      <c r="D25" t="s">
        <v>120</v>
      </c>
    </row>
    <row r="26" spans="1:4" x14ac:dyDescent="0.2">
      <c r="A26">
        <v>25</v>
      </c>
      <c r="B26" t="s">
        <v>93</v>
      </c>
      <c r="C26" t="s">
        <v>120</v>
      </c>
      <c r="D26" t="s">
        <v>122</v>
      </c>
    </row>
    <row r="27" spans="1:4" x14ac:dyDescent="0.2">
      <c r="A27">
        <v>26</v>
      </c>
      <c r="B27" t="s">
        <v>95</v>
      </c>
      <c r="C27" t="s">
        <v>120</v>
      </c>
      <c r="D27" t="s">
        <v>121</v>
      </c>
    </row>
    <row r="28" spans="1:4" x14ac:dyDescent="0.2">
      <c r="A28">
        <v>27</v>
      </c>
      <c r="B28" t="s">
        <v>40</v>
      </c>
      <c r="C28" t="s">
        <v>120</v>
      </c>
      <c r="D28" t="s">
        <v>121</v>
      </c>
    </row>
    <row r="29" spans="1:4" x14ac:dyDescent="0.2">
      <c r="A29">
        <v>28</v>
      </c>
      <c r="B29" t="s">
        <v>46</v>
      </c>
      <c r="C29" t="s">
        <v>122</v>
      </c>
      <c r="D29" t="s">
        <v>120</v>
      </c>
    </row>
    <row r="30" spans="1:4" x14ac:dyDescent="0.2">
      <c r="A30">
        <v>29</v>
      </c>
      <c r="B30" t="s">
        <v>44</v>
      </c>
      <c r="C30" t="s">
        <v>120</v>
      </c>
      <c r="D30" t="s">
        <v>120</v>
      </c>
    </row>
    <row r="31" spans="1:4" x14ac:dyDescent="0.2">
      <c r="A31">
        <v>30</v>
      </c>
      <c r="B31" t="s">
        <v>10</v>
      </c>
      <c r="C31" t="s">
        <v>122</v>
      </c>
      <c r="D31" t="s">
        <v>120</v>
      </c>
    </row>
    <row r="32" spans="1:4" x14ac:dyDescent="0.2">
      <c r="A32">
        <v>31</v>
      </c>
      <c r="B32" t="s">
        <v>11</v>
      </c>
      <c r="C32" t="s">
        <v>122</v>
      </c>
      <c r="D32" t="s">
        <v>120</v>
      </c>
    </row>
    <row r="33" spans="1:4" x14ac:dyDescent="0.2">
      <c r="A33">
        <v>32</v>
      </c>
      <c r="B33" t="s">
        <v>49</v>
      </c>
      <c r="C33" t="s">
        <v>120</v>
      </c>
      <c r="D33" t="s">
        <v>122</v>
      </c>
    </row>
    <row r="34" spans="1:4" x14ac:dyDescent="0.2">
      <c r="A34">
        <v>33</v>
      </c>
      <c r="B34" t="s">
        <v>52</v>
      </c>
      <c r="C34" t="s">
        <v>120</v>
      </c>
      <c r="D34" t="s">
        <v>120</v>
      </c>
    </row>
    <row r="35" spans="1:4" x14ac:dyDescent="0.2">
      <c r="A35">
        <v>34</v>
      </c>
      <c r="B35" t="s">
        <v>83</v>
      </c>
      <c r="C35" t="s">
        <v>120</v>
      </c>
      <c r="D35" t="s">
        <v>120</v>
      </c>
    </row>
    <row r="36" spans="1:4" x14ac:dyDescent="0.2">
      <c r="A36">
        <v>35</v>
      </c>
      <c r="B36" t="s">
        <v>84</v>
      </c>
      <c r="C36" t="s">
        <v>122</v>
      </c>
      <c r="D36" t="s">
        <v>120</v>
      </c>
    </row>
    <row r="37" spans="1:4" x14ac:dyDescent="0.2">
      <c r="A37">
        <v>36</v>
      </c>
      <c r="B37" t="s">
        <v>82</v>
      </c>
      <c r="C37" t="s">
        <v>120</v>
      </c>
      <c r="D37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158D-570E-8E4E-BE9A-D72393CC363B}">
  <dimension ref="A1:AI769"/>
  <sheetViews>
    <sheetView topLeftCell="A498" workbookViewId="0">
      <selection activeCell="J536" sqref="J536"/>
    </sheetView>
  </sheetViews>
  <sheetFormatPr baseColWidth="10" defaultRowHeight="16" x14ac:dyDescent="0.2"/>
  <cols>
    <col min="3" max="4" width="7.5" bestFit="1" customWidth="1"/>
    <col min="5" max="6" width="8.33203125" bestFit="1" customWidth="1"/>
    <col min="7" max="7" width="12.1640625" bestFit="1" customWidth="1"/>
  </cols>
  <sheetData>
    <row r="1" spans="1:35" x14ac:dyDescent="0.2">
      <c r="A1" t="s">
        <v>118</v>
      </c>
      <c r="B1" t="s">
        <v>125</v>
      </c>
      <c r="C1" t="s">
        <v>126</v>
      </c>
      <c r="D1" t="s">
        <v>127</v>
      </c>
      <c r="E1" t="s">
        <v>969</v>
      </c>
      <c r="F1" t="s">
        <v>970</v>
      </c>
      <c r="G1" t="s">
        <v>971</v>
      </c>
      <c r="H1" t="s">
        <v>936</v>
      </c>
      <c r="I1" t="s">
        <v>972</v>
      </c>
      <c r="J1" t="s">
        <v>973</v>
      </c>
      <c r="K1" t="s">
        <v>974</v>
      </c>
      <c r="L1" t="s">
        <v>937</v>
      </c>
      <c r="M1" t="s">
        <v>975</v>
      </c>
      <c r="N1" t="s">
        <v>976</v>
      </c>
      <c r="O1" t="s">
        <v>977</v>
      </c>
      <c r="P1" t="s">
        <v>978</v>
      </c>
      <c r="Q1" t="s">
        <v>979</v>
      </c>
      <c r="R1" t="s">
        <v>980</v>
      </c>
      <c r="S1" t="s">
        <v>981</v>
      </c>
      <c r="T1" t="s">
        <v>982</v>
      </c>
      <c r="U1" t="s">
        <v>983</v>
      </c>
      <c r="V1" t="s">
        <v>984</v>
      </c>
      <c r="W1" t="s">
        <v>985</v>
      </c>
      <c r="X1" t="s">
        <v>986</v>
      </c>
      <c r="Y1" t="s">
        <v>938</v>
      </c>
      <c r="Z1" t="s">
        <v>987</v>
      </c>
      <c r="AA1" t="s">
        <v>988</v>
      </c>
      <c r="AB1" t="s">
        <v>989</v>
      </c>
      <c r="AC1" t="s">
        <v>990</v>
      </c>
      <c r="AD1" t="s">
        <v>991</v>
      </c>
      <c r="AE1" t="s">
        <v>992</v>
      </c>
      <c r="AF1" t="s">
        <v>993</v>
      </c>
      <c r="AG1" t="s">
        <v>994</v>
      </c>
      <c r="AH1" t="s">
        <v>995</v>
      </c>
      <c r="AI1" t="s">
        <v>996</v>
      </c>
    </row>
    <row r="2" spans="1:35" x14ac:dyDescent="0.2">
      <c r="A2">
        <v>41</v>
      </c>
      <c r="B2" t="s">
        <v>128</v>
      </c>
      <c r="C2" t="s">
        <v>129</v>
      </c>
      <c r="D2" t="s">
        <v>130</v>
      </c>
      <c r="E2" s="11">
        <v>9.0999999999999993E-6</v>
      </c>
      <c r="F2" s="11">
        <v>2.8100000000000002E-6</v>
      </c>
      <c r="G2">
        <v>0.30857857799999999</v>
      </c>
      <c r="H2">
        <v>-0.20019189800000001</v>
      </c>
      <c r="I2" s="11">
        <v>1.19E-5</v>
      </c>
      <c r="J2">
        <v>0.414326325</v>
      </c>
      <c r="K2">
        <v>0.67036132800000003</v>
      </c>
      <c r="L2">
        <v>3.826680606</v>
      </c>
      <c r="M2">
        <v>0.34991071200000001</v>
      </c>
      <c r="N2">
        <v>1.5408875000000001E-2</v>
      </c>
      <c r="O2">
        <v>4.7612210000000004E-3</v>
      </c>
      <c r="P2">
        <v>0.55210886000000003</v>
      </c>
      <c r="Q2">
        <v>1.2611325330000001</v>
      </c>
      <c r="R2">
        <v>8.6710129219999992</v>
      </c>
      <c r="S2">
        <v>2.8076588E-2</v>
      </c>
      <c r="T2">
        <v>2.5031728999999999E-2</v>
      </c>
      <c r="U2">
        <v>0.214738867</v>
      </c>
      <c r="V2">
        <v>0.207720075</v>
      </c>
      <c r="W2">
        <v>0.96731475700000003</v>
      </c>
      <c r="X2">
        <v>3.405664748</v>
      </c>
      <c r="Y2">
        <v>6.1163172719999999</v>
      </c>
      <c r="Z2">
        <v>0.308590425</v>
      </c>
      <c r="AA2">
        <v>2.8665749000000001E-2</v>
      </c>
      <c r="AB2">
        <v>0.37434890399999998</v>
      </c>
      <c r="AC2">
        <v>0.70268201799999996</v>
      </c>
      <c r="AD2">
        <v>0.88194456399999999</v>
      </c>
      <c r="AE2">
        <v>0.61882462199999999</v>
      </c>
      <c r="AF2">
        <v>2.357037746</v>
      </c>
      <c r="AG2">
        <v>7.3517583489999998</v>
      </c>
      <c r="AH2">
        <v>8.8692440000000001E-3</v>
      </c>
      <c r="AI2">
        <v>1.5390339529999999</v>
      </c>
    </row>
    <row r="3" spans="1:35" x14ac:dyDescent="0.2">
      <c r="A3">
        <v>42</v>
      </c>
      <c r="B3" t="s">
        <v>131</v>
      </c>
      <c r="C3" t="s">
        <v>129</v>
      </c>
      <c r="D3" t="s">
        <v>132</v>
      </c>
      <c r="E3" s="11">
        <v>1.3799999999999999E-6</v>
      </c>
      <c r="F3" s="11">
        <v>4.3300000000000003E-7</v>
      </c>
      <c r="G3">
        <v>0.31350550599999999</v>
      </c>
      <c r="H3">
        <v>-0.65858692500000005</v>
      </c>
      <c r="I3" s="11">
        <v>1.8199999999999999E-6</v>
      </c>
      <c r="J3">
        <v>0.623636364</v>
      </c>
      <c r="K3">
        <v>2.1044607829999999</v>
      </c>
      <c r="L3">
        <v>7.9507397480000002</v>
      </c>
      <c r="M3">
        <v>0.39973340400000001</v>
      </c>
      <c r="N3">
        <v>1.1784767E-2</v>
      </c>
      <c r="O3">
        <v>3.7514319999999999E-3</v>
      </c>
      <c r="P3">
        <v>2.5663627099999999</v>
      </c>
      <c r="Q3">
        <v>1.9589109840000001</v>
      </c>
      <c r="R3">
        <v>16.886191329999999</v>
      </c>
      <c r="S3">
        <v>8.9727620000000004E-3</v>
      </c>
      <c r="T3">
        <v>7.9770110000000009E-3</v>
      </c>
      <c r="U3">
        <v>6.8626601999999995E-2</v>
      </c>
      <c r="V3">
        <v>6.6195401000000001E-2</v>
      </c>
      <c r="W3">
        <v>0.96457349000000003</v>
      </c>
      <c r="X3">
        <v>4.0406361449999997</v>
      </c>
      <c r="Y3">
        <v>3.0024243140000002</v>
      </c>
      <c r="Z3">
        <v>0.29379212500000002</v>
      </c>
      <c r="AA3">
        <v>1.2726311000000001E-2</v>
      </c>
      <c r="AB3">
        <v>-1</v>
      </c>
      <c r="AC3">
        <v>0.31249663999999999</v>
      </c>
      <c r="AD3">
        <v>0.87890659199999999</v>
      </c>
      <c r="AE3">
        <v>0.30422157599999999</v>
      </c>
      <c r="AF3">
        <v>1.26321525</v>
      </c>
      <c r="AG3">
        <v>3.563443141</v>
      </c>
      <c r="AH3">
        <v>3.9443289999999999E-3</v>
      </c>
      <c r="AI3">
        <v>0.82360178699999997</v>
      </c>
    </row>
    <row r="4" spans="1:35" x14ac:dyDescent="0.2">
      <c r="A4">
        <v>43</v>
      </c>
      <c r="B4" t="s">
        <v>133</v>
      </c>
      <c r="C4" t="s">
        <v>129</v>
      </c>
      <c r="D4" t="s">
        <v>134</v>
      </c>
      <c r="E4" s="11">
        <v>1.04E-5</v>
      </c>
      <c r="F4" s="11">
        <v>3.4199999999999999E-6</v>
      </c>
      <c r="G4">
        <v>0.32927105699999998</v>
      </c>
      <c r="H4">
        <v>-1.1002151E-2</v>
      </c>
      <c r="I4" s="11">
        <v>1.38E-5</v>
      </c>
      <c r="J4">
        <v>0.37315146300000002</v>
      </c>
      <c r="K4">
        <v>0.556874698</v>
      </c>
      <c r="L4">
        <v>3.3526581740000001</v>
      </c>
      <c r="M4">
        <v>0.332250296</v>
      </c>
      <c r="N4">
        <v>1.8457231000000001E-2</v>
      </c>
      <c r="O4">
        <v>5.6979120000000003E-3</v>
      </c>
      <c r="P4">
        <v>0.66131625999999999</v>
      </c>
      <c r="Q4">
        <v>1.0330689340000001</v>
      </c>
      <c r="R4">
        <v>7.5210461320000004</v>
      </c>
      <c r="S4">
        <v>3.3534115000000003E-2</v>
      </c>
      <c r="T4">
        <v>3.0096596999999999E-2</v>
      </c>
      <c r="U4">
        <v>0.256479809</v>
      </c>
      <c r="V4">
        <v>0.249749727</v>
      </c>
      <c r="W4">
        <v>0.97375979800000001</v>
      </c>
      <c r="X4">
        <v>3.1710997700000001</v>
      </c>
      <c r="Y4">
        <v>5.8735374589999996</v>
      </c>
      <c r="Z4">
        <v>0.40139776199999999</v>
      </c>
      <c r="AA4">
        <v>3.8682928999999998E-2</v>
      </c>
      <c r="AB4">
        <v>0.42919267999999999</v>
      </c>
      <c r="AC4">
        <v>0.94789300700000001</v>
      </c>
      <c r="AD4">
        <v>0.90469486899999996</v>
      </c>
      <c r="AE4">
        <v>0.590487651</v>
      </c>
      <c r="AF4">
        <v>1.70650922</v>
      </c>
      <c r="AG4">
        <v>7.5255774410000003</v>
      </c>
      <c r="AH4">
        <v>1.1964294E-2</v>
      </c>
      <c r="AI4">
        <v>1.121393442</v>
      </c>
    </row>
    <row r="5" spans="1:35" x14ac:dyDescent="0.2">
      <c r="A5">
        <v>44</v>
      </c>
      <c r="B5" t="s">
        <v>135</v>
      </c>
      <c r="C5" t="s">
        <v>129</v>
      </c>
      <c r="D5" t="s">
        <v>136</v>
      </c>
      <c r="E5" s="11">
        <v>9.2199999999999998E-6</v>
      </c>
      <c r="F5" s="11">
        <v>2.8399999999999999E-6</v>
      </c>
      <c r="G5">
        <v>0.30856900500000001</v>
      </c>
      <c r="H5">
        <v>-0.26403560100000001</v>
      </c>
      <c r="I5" s="11">
        <v>1.2099999999999999E-5</v>
      </c>
      <c r="J5">
        <v>0.62363636300000003</v>
      </c>
      <c r="K5">
        <v>1.2472727269999999</v>
      </c>
      <c r="L5">
        <v>6.236363635</v>
      </c>
      <c r="M5">
        <v>5.4503717E-2</v>
      </c>
      <c r="N5">
        <v>4.7968893999999998E-2</v>
      </c>
      <c r="O5">
        <v>1.4828698E-2</v>
      </c>
      <c r="P5">
        <v>1.7187351900000001</v>
      </c>
      <c r="Q5">
        <v>2.0176463080000002</v>
      </c>
      <c r="R5">
        <v>15.543348229999999</v>
      </c>
      <c r="S5">
        <v>4.0830445999999999E-2</v>
      </c>
      <c r="T5">
        <v>3.7322521999999997E-2</v>
      </c>
      <c r="U5">
        <v>0.31228451899999998</v>
      </c>
      <c r="V5">
        <v>0.30971241199999999</v>
      </c>
      <c r="W5">
        <v>0.99176357800000003</v>
      </c>
      <c r="X5">
        <v>3.293530933</v>
      </c>
      <c r="Y5">
        <v>4.0576884069999997</v>
      </c>
      <c r="Z5">
        <v>0.31807037799999999</v>
      </c>
      <c r="AA5">
        <v>3.3070717999999999E-2</v>
      </c>
      <c r="AB5">
        <v>-0.53692521699999995</v>
      </c>
      <c r="AC5">
        <v>0.81078477500000001</v>
      </c>
      <c r="AD5">
        <v>0.88194539000000005</v>
      </c>
      <c r="AE5">
        <v>0.40577924399999998</v>
      </c>
      <c r="AF5">
        <v>1.5090306339999999</v>
      </c>
      <c r="AG5">
        <v>8.2814392899999998</v>
      </c>
      <c r="AH5">
        <v>1.0233716E-2</v>
      </c>
      <c r="AI5">
        <v>0.99688555400000001</v>
      </c>
    </row>
    <row r="6" spans="1:35" x14ac:dyDescent="0.2">
      <c r="A6">
        <v>45</v>
      </c>
      <c r="B6" t="s">
        <v>137</v>
      </c>
      <c r="C6" t="s">
        <v>129</v>
      </c>
      <c r="D6" t="s">
        <v>138</v>
      </c>
      <c r="E6" s="11">
        <v>9.3500000000000003E-6</v>
      </c>
      <c r="F6" s="11">
        <v>2.9699999999999999E-6</v>
      </c>
      <c r="G6">
        <v>0.31787706399999999</v>
      </c>
      <c r="H6">
        <v>0.96305561100000003</v>
      </c>
      <c r="I6" s="11">
        <v>1.2300000000000001E-5</v>
      </c>
      <c r="J6">
        <v>0.69217278299999996</v>
      </c>
      <c r="K6">
        <v>2.2561313999999999E-2</v>
      </c>
      <c r="L6">
        <v>4.1981593239999997</v>
      </c>
      <c r="M6">
        <v>1.0737897E-2</v>
      </c>
      <c r="N6">
        <v>2.6264118999999999E-2</v>
      </c>
      <c r="O6">
        <v>8.1078869999999994E-3</v>
      </c>
      <c r="P6">
        <v>6.5946229999999995E-2</v>
      </c>
      <c r="Q6">
        <v>2.0232940429999999</v>
      </c>
      <c r="R6">
        <v>12.271656719999999</v>
      </c>
      <c r="S6">
        <v>4.8578570000000001E-2</v>
      </c>
      <c r="T6">
        <v>4.2495843999999998E-2</v>
      </c>
      <c r="U6">
        <v>0.37154468699999998</v>
      </c>
      <c r="V6">
        <v>0.35264203900000002</v>
      </c>
      <c r="W6">
        <v>0.94912415999999999</v>
      </c>
      <c r="X6">
        <v>2.376172291</v>
      </c>
      <c r="Y6">
        <v>37.591334310000001</v>
      </c>
      <c r="Z6">
        <v>0.37149726100000002</v>
      </c>
      <c r="AA6">
        <v>0.10194837499999999</v>
      </c>
      <c r="AB6">
        <v>0.88832108799999998</v>
      </c>
      <c r="AC6">
        <v>2.6141082600000001</v>
      </c>
      <c r="AD6">
        <v>0.909496258</v>
      </c>
      <c r="AE6">
        <v>3.8268943809999998</v>
      </c>
      <c r="AF6">
        <v>7.5451171629999996</v>
      </c>
      <c r="AG6">
        <v>17.598469470000001</v>
      </c>
      <c r="AH6">
        <v>3.2995244999999999E-2</v>
      </c>
      <c r="AI6">
        <v>4.9074100610000002</v>
      </c>
    </row>
    <row r="7" spans="1:35" x14ac:dyDescent="0.2">
      <c r="A7">
        <v>46</v>
      </c>
      <c r="B7" t="s">
        <v>139</v>
      </c>
      <c r="C7" t="s">
        <v>129</v>
      </c>
      <c r="D7" t="s">
        <v>140</v>
      </c>
      <c r="E7" s="11">
        <v>5.4399999999999996E-6</v>
      </c>
      <c r="F7" s="11">
        <v>1.68E-6</v>
      </c>
      <c r="G7">
        <v>0.30908946700000001</v>
      </c>
      <c r="H7">
        <v>-1.0522263220000001</v>
      </c>
      <c r="I7" s="11">
        <v>7.1300000000000003E-6</v>
      </c>
      <c r="J7">
        <v>0.623636364</v>
      </c>
      <c r="K7">
        <v>1.2472727269999999</v>
      </c>
      <c r="L7">
        <v>6.2363636360000001</v>
      </c>
      <c r="M7">
        <v>0.39976689999999998</v>
      </c>
      <c r="N7">
        <v>2.2368843999999999E-2</v>
      </c>
      <c r="O7">
        <v>6.9373270000000001E-3</v>
      </c>
      <c r="P7">
        <v>1.75373153</v>
      </c>
      <c r="Q7">
        <v>2.0107904489999999</v>
      </c>
      <c r="R7">
        <v>15.57220575</v>
      </c>
      <c r="S7">
        <v>1.9877597E-2</v>
      </c>
      <c r="T7">
        <v>1.8069348999999998E-2</v>
      </c>
      <c r="U7">
        <v>0.152030322</v>
      </c>
      <c r="V7">
        <v>0.149944354</v>
      </c>
      <c r="W7">
        <v>0.98627926300000002</v>
      </c>
      <c r="X7">
        <v>4.1886445410000004</v>
      </c>
      <c r="Y7">
        <v>2.6197945260000002</v>
      </c>
      <c r="Z7">
        <v>0.29494679099999999</v>
      </c>
      <c r="AA7">
        <v>1.0539437E-2</v>
      </c>
      <c r="AB7">
        <v>-1</v>
      </c>
      <c r="AC7">
        <v>0.25871180199999999</v>
      </c>
      <c r="AD7">
        <v>0.86100891999999996</v>
      </c>
      <c r="AE7">
        <v>0.26564438299999998</v>
      </c>
      <c r="AF7">
        <v>1.117383639</v>
      </c>
      <c r="AG7">
        <v>2.9888990729999998</v>
      </c>
      <c r="AH7">
        <v>3.2654569999999998E-3</v>
      </c>
      <c r="AI7">
        <v>0.72799360800000001</v>
      </c>
    </row>
    <row r="8" spans="1:35" x14ac:dyDescent="0.2">
      <c r="A8">
        <v>47</v>
      </c>
      <c r="B8" t="s">
        <v>141</v>
      </c>
      <c r="C8" t="s">
        <v>129</v>
      </c>
      <c r="D8" t="s">
        <v>142</v>
      </c>
      <c r="E8" s="11">
        <v>4.95E-6</v>
      </c>
      <c r="F8" s="11">
        <v>1.7099999999999999E-6</v>
      </c>
      <c r="G8">
        <v>0.34617259500000003</v>
      </c>
      <c r="H8">
        <v>0.35641241499999998</v>
      </c>
      <c r="I8" s="11">
        <v>6.6699999999999997E-6</v>
      </c>
      <c r="J8">
        <v>0.62363627099999996</v>
      </c>
      <c r="K8">
        <v>1.554908349</v>
      </c>
      <c r="L8">
        <v>6.8516343280000003</v>
      </c>
      <c r="M8">
        <v>0.39975460899999998</v>
      </c>
      <c r="N8">
        <v>4.7827336999999998E-2</v>
      </c>
      <c r="O8">
        <v>1.4817001E-2</v>
      </c>
      <c r="P8">
        <v>1.7136648400000001</v>
      </c>
      <c r="Q8">
        <v>2.0128853150000001</v>
      </c>
      <c r="R8">
        <v>15.50464156</v>
      </c>
      <c r="S8">
        <v>3.9402537000000001E-2</v>
      </c>
      <c r="T8">
        <v>3.6020731E-2</v>
      </c>
      <c r="U8">
        <v>0.30136340499999997</v>
      </c>
      <c r="V8">
        <v>0.29890979299999998</v>
      </c>
      <c r="W8">
        <v>0.991858295</v>
      </c>
      <c r="X8">
        <v>2.231334607</v>
      </c>
      <c r="Y8">
        <v>77.097745250000003</v>
      </c>
      <c r="Z8">
        <v>1.1802427630000001</v>
      </c>
      <c r="AA8">
        <v>0.132179503</v>
      </c>
      <c r="AB8">
        <v>0.91113054900000001</v>
      </c>
      <c r="AC8">
        <v>152.7785337</v>
      </c>
      <c r="AD8">
        <v>1.0730488330000001</v>
      </c>
      <c r="AE8">
        <v>5.8118801949999996</v>
      </c>
      <c r="AF8">
        <v>5.4000630889999996</v>
      </c>
      <c r="AG8">
        <v>382.52965899999998</v>
      </c>
      <c r="AH8">
        <v>3.9693849000000003E-2</v>
      </c>
      <c r="AI8">
        <v>4.7085714980000004</v>
      </c>
    </row>
    <row r="9" spans="1:35" x14ac:dyDescent="0.2">
      <c r="A9">
        <v>48</v>
      </c>
      <c r="B9" t="s">
        <v>143</v>
      </c>
      <c r="C9" t="s">
        <v>129</v>
      </c>
      <c r="D9" t="s">
        <v>144</v>
      </c>
      <c r="E9" s="11">
        <v>1.08E-5</v>
      </c>
      <c r="F9" s="11">
        <v>3.58E-6</v>
      </c>
      <c r="G9">
        <v>0.330850906</v>
      </c>
      <c r="H9">
        <v>-9.8815028999999999E-2</v>
      </c>
      <c r="I9" s="11">
        <v>1.4399999999999999E-5</v>
      </c>
      <c r="J9">
        <v>0.623636364</v>
      </c>
      <c r="K9">
        <v>1.2472727269999999</v>
      </c>
      <c r="L9">
        <v>6.2363636360000001</v>
      </c>
      <c r="M9">
        <v>0.39976304699999998</v>
      </c>
      <c r="N9">
        <v>5.2711839000000003E-2</v>
      </c>
      <c r="O9">
        <v>1.6279096E-2</v>
      </c>
      <c r="P9">
        <v>1.88876972</v>
      </c>
      <c r="Q9">
        <v>2.2715943470000002</v>
      </c>
      <c r="R9">
        <v>17.407105520000002</v>
      </c>
      <c r="S9">
        <v>4.3215626E-2</v>
      </c>
      <c r="T9">
        <v>3.8893547000000001E-2</v>
      </c>
      <c r="U9">
        <v>0.33052715100000002</v>
      </c>
      <c r="V9">
        <v>0.32274919800000001</v>
      </c>
      <c r="W9">
        <v>0.97646803599999998</v>
      </c>
      <c r="X9">
        <v>3.0278507710000002</v>
      </c>
      <c r="Y9">
        <v>5.6657158189999999</v>
      </c>
      <c r="Z9">
        <v>0.30812819800000002</v>
      </c>
      <c r="AA9">
        <v>4.6433145000000002E-2</v>
      </c>
      <c r="AB9">
        <v>-0.100719456</v>
      </c>
      <c r="AC9">
        <v>1.138022093</v>
      </c>
      <c r="AD9">
        <v>0.89794005700000001</v>
      </c>
      <c r="AE9">
        <v>0.56650416999999997</v>
      </c>
      <c r="AF9">
        <v>1.9645614259999999</v>
      </c>
      <c r="AG9">
        <v>10.84161552</v>
      </c>
      <c r="AH9">
        <v>1.4364102E-2</v>
      </c>
      <c r="AI9">
        <v>1.298010082</v>
      </c>
    </row>
    <row r="10" spans="1:35" x14ac:dyDescent="0.2">
      <c r="A10">
        <v>49</v>
      </c>
      <c r="B10" t="s">
        <v>145</v>
      </c>
      <c r="C10" t="s">
        <v>129</v>
      </c>
      <c r="D10" t="s">
        <v>146</v>
      </c>
      <c r="E10" s="11">
        <v>9.0899999999999994E-6</v>
      </c>
      <c r="F10" s="11">
        <v>2.8100000000000002E-6</v>
      </c>
      <c r="G10">
        <v>0.30857927899999998</v>
      </c>
      <c r="H10">
        <v>-0.197410106</v>
      </c>
      <c r="I10" s="11">
        <v>1.19E-5</v>
      </c>
      <c r="J10">
        <v>0.41487027300000001</v>
      </c>
      <c r="K10">
        <v>0.670824211</v>
      </c>
      <c r="L10">
        <v>3.830870059</v>
      </c>
      <c r="M10">
        <v>0.35015578200000003</v>
      </c>
      <c r="N10">
        <v>1.5471036000000001E-2</v>
      </c>
      <c r="O10">
        <v>4.7799289999999996E-3</v>
      </c>
      <c r="P10">
        <v>0.55480275999999995</v>
      </c>
      <c r="Q10">
        <v>1.262635358</v>
      </c>
      <c r="R10">
        <v>8.6854176719999998</v>
      </c>
      <c r="S10">
        <v>2.8183894000000001E-2</v>
      </c>
      <c r="T10">
        <v>2.5131542999999999E-2</v>
      </c>
      <c r="U10">
        <v>0.215559582</v>
      </c>
      <c r="V10">
        <v>0.20854836099999999</v>
      </c>
      <c r="W10">
        <v>0.96747432499999997</v>
      </c>
      <c r="X10">
        <v>3.400820097</v>
      </c>
      <c r="Y10">
        <v>6.1528095509999998</v>
      </c>
      <c r="Z10">
        <v>0.30348898000000002</v>
      </c>
      <c r="AA10">
        <v>2.8842843999999999E-2</v>
      </c>
      <c r="AB10">
        <v>0.37737873599999999</v>
      </c>
      <c r="AC10">
        <v>0.70703977900000003</v>
      </c>
      <c r="AD10">
        <v>0.88131638999999995</v>
      </c>
      <c r="AE10">
        <v>0.62251448099999995</v>
      </c>
      <c r="AF10">
        <v>2.3687559729999998</v>
      </c>
      <c r="AG10">
        <v>7.3907051570000002</v>
      </c>
      <c r="AH10">
        <v>8.9242479999999992E-3</v>
      </c>
      <c r="AI10">
        <v>1.546693152</v>
      </c>
    </row>
    <row r="11" spans="1:35" x14ac:dyDescent="0.2">
      <c r="A11">
        <v>50</v>
      </c>
      <c r="B11" t="s">
        <v>147</v>
      </c>
      <c r="C11" t="s">
        <v>129</v>
      </c>
      <c r="D11" t="s">
        <v>148</v>
      </c>
      <c r="E11" s="11">
        <v>8.3000000000000002E-6</v>
      </c>
      <c r="F11" s="11">
        <v>2.57E-6</v>
      </c>
      <c r="G11">
        <v>0.30993980900000001</v>
      </c>
      <c r="H11">
        <v>-0.61536488600000006</v>
      </c>
      <c r="I11" s="11">
        <v>1.0900000000000001E-5</v>
      </c>
      <c r="J11">
        <v>0.623636364</v>
      </c>
      <c r="K11">
        <v>1.2472727269999999</v>
      </c>
      <c r="L11">
        <v>6.236363635</v>
      </c>
      <c r="M11">
        <v>0.39976476999999999</v>
      </c>
      <c r="N11">
        <v>4.7956803999999999E-2</v>
      </c>
      <c r="O11">
        <v>1.4825546E-2</v>
      </c>
      <c r="P11">
        <v>1.7183020099999999</v>
      </c>
      <c r="Q11">
        <v>2.017239698</v>
      </c>
      <c r="R11">
        <v>15.540042209999999</v>
      </c>
      <c r="S11">
        <v>4.0493969999999997E-2</v>
      </c>
      <c r="T11">
        <v>3.6521753999999997E-2</v>
      </c>
      <c r="U11">
        <v>0.30971104399999999</v>
      </c>
      <c r="V11">
        <v>0.30306742199999998</v>
      </c>
      <c r="W11">
        <v>0.97854896599999996</v>
      </c>
      <c r="X11">
        <v>4.1060857439999996</v>
      </c>
      <c r="Y11">
        <v>1.9564074789999999</v>
      </c>
      <c r="Z11">
        <v>0.290889275</v>
      </c>
      <c r="AA11">
        <v>1.1707876000000001E-2</v>
      </c>
      <c r="AB11">
        <v>-1</v>
      </c>
      <c r="AC11">
        <v>2.308697402</v>
      </c>
      <c r="AD11">
        <v>0.87169129199999995</v>
      </c>
      <c r="AE11">
        <v>0.16914773899999999</v>
      </c>
      <c r="AF11">
        <v>0.70624814999999996</v>
      </c>
      <c r="AG11">
        <v>26.48893395</v>
      </c>
      <c r="AH11">
        <v>3.6282710000000002E-3</v>
      </c>
      <c r="AI11">
        <v>0.53968490000000002</v>
      </c>
    </row>
    <row r="12" spans="1:35" x14ac:dyDescent="0.2">
      <c r="A12">
        <v>51</v>
      </c>
      <c r="B12" t="s">
        <v>149</v>
      </c>
      <c r="C12" t="s">
        <v>129</v>
      </c>
      <c r="D12" t="s">
        <v>150</v>
      </c>
      <c r="E12" s="11">
        <v>9.2199999999999998E-6</v>
      </c>
      <c r="F12" s="11">
        <v>2.8399999999999999E-6</v>
      </c>
      <c r="G12">
        <v>0.30856894899999998</v>
      </c>
      <c r="H12">
        <v>-0.20186309099999999</v>
      </c>
      <c r="I12" s="11">
        <v>1.2099999999999999E-5</v>
      </c>
      <c r="J12">
        <v>0.41474219200000001</v>
      </c>
      <c r="K12">
        <v>0.67150898199999998</v>
      </c>
      <c r="L12">
        <v>3.831471117</v>
      </c>
      <c r="M12">
        <v>0.35051302699999998</v>
      </c>
      <c r="N12">
        <v>1.5378797E-2</v>
      </c>
      <c r="O12">
        <v>4.7516449999999997E-3</v>
      </c>
      <c r="P12">
        <v>0.55102954999999998</v>
      </c>
      <c r="Q12">
        <v>1.2626364160000001</v>
      </c>
      <c r="R12">
        <v>8.6778775980000002</v>
      </c>
      <c r="S12">
        <v>2.8027262000000001E-2</v>
      </c>
      <c r="T12">
        <v>2.4995163000000001E-2</v>
      </c>
      <c r="U12">
        <v>0.21436160900000001</v>
      </c>
      <c r="V12">
        <v>0.20741664300000001</v>
      </c>
      <c r="W12">
        <v>0.96760163300000002</v>
      </c>
      <c r="X12">
        <v>3.4062589349999999</v>
      </c>
      <c r="Y12">
        <v>6.1167573080000004</v>
      </c>
      <c r="Z12">
        <v>0.30310437899999998</v>
      </c>
      <c r="AA12">
        <v>2.8643386E-2</v>
      </c>
      <c r="AB12">
        <v>0.37361073500000003</v>
      </c>
      <c r="AC12">
        <v>0.702149405</v>
      </c>
      <c r="AD12">
        <v>0.88123957900000005</v>
      </c>
      <c r="AE12">
        <v>0.61887720000000002</v>
      </c>
      <c r="AF12">
        <v>2.3574551760000002</v>
      </c>
      <c r="AG12">
        <v>7.347525289</v>
      </c>
      <c r="AH12">
        <v>8.8625219999999994E-3</v>
      </c>
      <c r="AI12">
        <v>1.5392886180000001</v>
      </c>
    </row>
    <row r="13" spans="1:35" x14ac:dyDescent="0.2">
      <c r="A13">
        <v>52</v>
      </c>
      <c r="B13" t="s">
        <v>151</v>
      </c>
      <c r="C13" t="s">
        <v>129</v>
      </c>
      <c r="D13" t="s">
        <v>152</v>
      </c>
      <c r="E13" s="11">
        <v>4.9599999999999999E-6</v>
      </c>
      <c r="F13" s="11">
        <v>1.7099999999999999E-6</v>
      </c>
      <c r="G13">
        <v>0.34584428299999997</v>
      </c>
      <c r="H13">
        <v>0.35659982099999998</v>
      </c>
      <c r="I13" s="11">
        <v>6.6699999999999997E-6</v>
      </c>
      <c r="J13">
        <v>0.62363627200000005</v>
      </c>
      <c r="K13">
        <v>1.5549083560000001</v>
      </c>
      <c r="L13">
        <v>6.8516343409999996</v>
      </c>
      <c r="M13">
        <v>0.39975461099999998</v>
      </c>
      <c r="N13">
        <v>4.7827356000000001E-2</v>
      </c>
      <c r="O13">
        <v>1.4817007E-2</v>
      </c>
      <c r="P13">
        <v>1.71366554</v>
      </c>
      <c r="Q13">
        <v>2.0128859769999998</v>
      </c>
      <c r="R13">
        <v>15.50464695</v>
      </c>
      <c r="S13">
        <v>3.9402568999999998E-2</v>
      </c>
      <c r="T13">
        <v>3.6020761999999998E-2</v>
      </c>
      <c r="U13">
        <v>0.30136364999999998</v>
      </c>
      <c r="V13">
        <v>0.29891004799999998</v>
      </c>
      <c r="W13">
        <v>0.99185833499999998</v>
      </c>
      <c r="X13">
        <v>2.2308252780000002</v>
      </c>
      <c r="Y13">
        <v>77.083909169999998</v>
      </c>
      <c r="Z13">
        <v>1.1800808810000001</v>
      </c>
      <c r="AA13">
        <v>0.13218972000000001</v>
      </c>
      <c r="AB13">
        <v>0.91111459699999997</v>
      </c>
      <c r="AC13">
        <v>153.0373621</v>
      </c>
      <c r="AD13">
        <v>1.0727551799999999</v>
      </c>
      <c r="AE13">
        <v>5.8068821120000003</v>
      </c>
      <c r="AF13">
        <v>5.400969216</v>
      </c>
      <c r="AG13">
        <v>378.31747360000003</v>
      </c>
      <c r="AH13">
        <v>3.9719656999999998E-2</v>
      </c>
      <c r="AI13">
        <v>4.6955323150000003</v>
      </c>
    </row>
    <row r="14" spans="1:35" x14ac:dyDescent="0.2">
      <c r="A14">
        <v>53</v>
      </c>
      <c r="B14" t="s">
        <v>153</v>
      </c>
      <c r="C14" t="s">
        <v>129</v>
      </c>
      <c r="D14" t="s">
        <v>154</v>
      </c>
      <c r="E14" s="11">
        <v>4.8300000000000003E-6</v>
      </c>
      <c r="F14" s="11">
        <v>1.5600000000000001E-6</v>
      </c>
      <c r="G14">
        <v>0.32341806200000001</v>
      </c>
      <c r="H14">
        <v>-1.05774328</v>
      </c>
      <c r="I14" s="11">
        <v>6.3899999999999998E-6</v>
      </c>
      <c r="J14">
        <v>0.623636364</v>
      </c>
      <c r="K14">
        <v>1.2472727269999999</v>
      </c>
      <c r="L14">
        <v>6.2363636360000001</v>
      </c>
      <c r="M14">
        <v>0.39974795000000002</v>
      </c>
      <c r="N14">
        <v>2.6560982E-2</v>
      </c>
      <c r="O14">
        <v>8.240519E-3</v>
      </c>
      <c r="P14">
        <v>1.7791372999999999</v>
      </c>
      <c r="Q14">
        <v>2.01008692</v>
      </c>
      <c r="R14">
        <v>15.61879611</v>
      </c>
      <c r="S14">
        <v>2.3168228999999999E-2</v>
      </c>
      <c r="T14">
        <v>2.1141177000000001E-2</v>
      </c>
      <c r="U14">
        <v>0.177198148</v>
      </c>
      <c r="V14">
        <v>0.175435223</v>
      </c>
      <c r="W14">
        <v>0.99005110900000004</v>
      </c>
      <c r="X14">
        <v>4.4494324709999997</v>
      </c>
      <c r="Y14">
        <v>2.10766835</v>
      </c>
      <c r="Z14">
        <v>0.29027112300000002</v>
      </c>
      <c r="AA14">
        <v>7.5426240000000004E-3</v>
      </c>
      <c r="AB14">
        <v>-1</v>
      </c>
      <c r="AC14">
        <v>0.18547376700000001</v>
      </c>
      <c r="AD14">
        <v>0.84103206900000005</v>
      </c>
      <c r="AE14">
        <v>0.21402848399999999</v>
      </c>
      <c r="AF14">
        <v>0.91411849999999994</v>
      </c>
      <c r="AG14">
        <v>2.175866547</v>
      </c>
      <c r="AH14">
        <v>2.3410480000000001E-3</v>
      </c>
      <c r="AI14">
        <v>0.59469212699999996</v>
      </c>
    </row>
    <row r="15" spans="1:35" x14ac:dyDescent="0.2">
      <c r="A15">
        <v>54</v>
      </c>
      <c r="B15" t="s">
        <v>155</v>
      </c>
      <c r="C15" t="s">
        <v>129</v>
      </c>
      <c r="D15" t="s">
        <v>156</v>
      </c>
      <c r="E15" s="11">
        <v>9.2099999999999999E-6</v>
      </c>
      <c r="F15" s="11">
        <v>2.88E-6</v>
      </c>
      <c r="G15">
        <v>0.31307200800000001</v>
      </c>
      <c r="H15">
        <v>-5.4383843000000001E-2</v>
      </c>
      <c r="I15" s="11">
        <v>1.2099999999999999E-5</v>
      </c>
      <c r="J15">
        <v>0.623636364</v>
      </c>
      <c r="K15">
        <v>1.2472727269999999</v>
      </c>
      <c r="L15">
        <v>6.236363635</v>
      </c>
      <c r="M15">
        <v>0.39976144299999999</v>
      </c>
      <c r="N15">
        <v>4.7972118000000001E-2</v>
      </c>
      <c r="O15">
        <v>1.4826453999999999E-2</v>
      </c>
      <c r="P15">
        <v>1.7188113700000001</v>
      </c>
      <c r="Q15">
        <v>2.0177566310000001</v>
      </c>
      <c r="R15">
        <v>15.54416252</v>
      </c>
      <c r="S15">
        <v>4.0866367000000001E-2</v>
      </c>
      <c r="T15">
        <v>3.7379774999999997E-2</v>
      </c>
      <c r="U15">
        <v>0.31255925400000001</v>
      </c>
      <c r="V15">
        <v>0.31018750899999997</v>
      </c>
      <c r="W15">
        <v>0.99241185499999995</v>
      </c>
      <c r="X15">
        <v>3.1664324490000002</v>
      </c>
      <c r="Y15">
        <v>4.7341374890000001</v>
      </c>
      <c r="Z15">
        <v>0.320831066</v>
      </c>
      <c r="AA15">
        <v>3.8889976E-2</v>
      </c>
      <c r="AB15">
        <v>-0.31731781100000001</v>
      </c>
      <c r="AC15">
        <v>0.95355562999999999</v>
      </c>
      <c r="AD15">
        <v>0.877409561</v>
      </c>
      <c r="AE15">
        <v>0.47332078599999999</v>
      </c>
      <c r="AF15">
        <v>1.705781043</v>
      </c>
      <c r="AG15">
        <v>9.4428780359999998</v>
      </c>
      <c r="AH15">
        <v>1.2035768000000001E-2</v>
      </c>
      <c r="AI15">
        <v>1.1271256409999999</v>
      </c>
    </row>
    <row r="16" spans="1:35" x14ac:dyDescent="0.2">
      <c r="A16">
        <v>55</v>
      </c>
      <c r="B16" t="s">
        <v>157</v>
      </c>
      <c r="C16" t="s">
        <v>129</v>
      </c>
      <c r="D16" t="s">
        <v>158</v>
      </c>
      <c r="E16" s="11">
        <v>6.0399999999999998E-6</v>
      </c>
      <c r="F16" s="11">
        <v>1.8700000000000001E-6</v>
      </c>
      <c r="G16">
        <v>0.30896364700000001</v>
      </c>
      <c r="H16">
        <v>-0.71001093400000004</v>
      </c>
      <c r="I16" s="11">
        <v>7.9100000000000005E-6</v>
      </c>
      <c r="J16">
        <v>0.623636364</v>
      </c>
      <c r="K16">
        <v>1.2472727269999999</v>
      </c>
      <c r="L16">
        <v>6.2363636360000001</v>
      </c>
      <c r="M16">
        <v>0.39976689799999998</v>
      </c>
      <c r="N16">
        <v>3.0522792999999999E-2</v>
      </c>
      <c r="O16">
        <v>9.4575200000000005E-3</v>
      </c>
      <c r="P16">
        <v>1.7316771200000001</v>
      </c>
      <c r="Q16">
        <v>2.0126404579999999</v>
      </c>
      <c r="R16">
        <v>15.53919698</v>
      </c>
      <c r="S16">
        <v>2.7120577E-2</v>
      </c>
      <c r="T16">
        <v>2.4073291E-2</v>
      </c>
      <c r="U16">
        <v>0.20742698700000001</v>
      </c>
      <c r="V16">
        <v>0.19976669399999999</v>
      </c>
      <c r="W16">
        <v>0.96306993100000005</v>
      </c>
      <c r="X16">
        <v>4.0229688289999999</v>
      </c>
      <c r="Y16">
        <v>2.3377583199999998</v>
      </c>
      <c r="Z16">
        <v>0.29584384400000002</v>
      </c>
      <c r="AA16">
        <v>1.2985436E-2</v>
      </c>
      <c r="AB16">
        <v>-1</v>
      </c>
      <c r="AC16">
        <v>0.31962219800000002</v>
      </c>
      <c r="AD16">
        <v>0.86165202299999999</v>
      </c>
      <c r="AE16">
        <v>0.23581978000000001</v>
      </c>
      <c r="AF16">
        <v>1.273403217</v>
      </c>
      <c r="AG16">
        <v>6.2738516369999999</v>
      </c>
      <c r="AH16">
        <v>4.0342679999999997E-3</v>
      </c>
      <c r="AI16">
        <v>0.83891642</v>
      </c>
    </row>
    <row r="17" spans="1:35" x14ac:dyDescent="0.2">
      <c r="A17">
        <v>56</v>
      </c>
      <c r="B17" t="s">
        <v>159</v>
      </c>
      <c r="C17" t="s">
        <v>129</v>
      </c>
      <c r="D17" t="s">
        <v>160</v>
      </c>
      <c r="E17" s="11">
        <v>5.22E-6</v>
      </c>
      <c r="F17" s="11">
        <v>1.7099999999999999E-6</v>
      </c>
      <c r="G17">
        <v>0.32706476899999998</v>
      </c>
      <c r="H17">
        <v>-0.73873211900000002</v>
      </c>
      <c r="I17" s="11">
        <v>6.9299999999999997E-6</v>
      </c>
      <c r="J17">
        <v>0.62363625300000003</v>
      </c>
      <c r="K17">
        <v>1.5555354830000001</v>
      </c>
      <c r="L17">
        <v>6.8528884850000003</v>
      </c>
      <c r="M17">
        <v>0.39974460699999997</v>
      </c>
      <c r="N17">
        <v>4.7790212999999998E-2</v>
      </c>
      <c r="O17">
        <v>1.4805831E-2</v>
      </c>
      <c r="P17">
        <v>1.71233374</v>
      </c>
      <c r="Q17">
        <v>2.0128204950000002</v>
      </c>
      <c r="R17">
        <v>15.501590459999999</v>
      </c>
      <c r="S17">
        <v>3.9438033999999997E-2</v>
      </c>
      <c r="T17">
        <v>3.5992050999999997E-2</v>
      </c>
      <c r="U17">
        <v>0.30163489799999998</v>
      </c>
      <c r="V17">
        <v>0.29867180100000001</v>
      </c>
      <c r="W17">
        <v>0.99017654399999999</v>
      </c>
      <c r="X17">
        <v>3.0683765059999999</v>
      </c>
      <c r="Y17">
        <v>4.7882587939999999</v>
      </c>
      <c r="Z17">
        <v>0.31307552900000002</v>
      </c>
      <c r="AA17">
        <v>4.4027255000000001E-2</v>
      </c>
      <c r="AB17">
        <v>-0.43118590299999998</v>
      </c>
      <c r="AC17">
        <v>1.0806636489999999</v>
      </c>
      <c r="AD17">
        <v>0.88204123400000001</v>
      </c>
      <c r="AE17">
        <v>0.47712621999999999</v>
      </c>
      <c r="AF17">
        <v>1.9015847829999999</v>
      </c>
      <c r="AG17">
        <v>10.56816444</v>
      </c>
      <c r="AH17">
        <v>1.3640124E-2</v>
      </c>
      <c r="AI17">
        <v>1.2566402350000001</v>
      </c>
    </row>
    <row r="18" spans="1:35" x14ac:dyDescent="0.2">
      <c r="A18">
        <v>57</v>
      </c>
      <c r="B18" t="s">
        <v>161</v>
      </c>
      <c r="C18" t="s">
        <v>129</v>
      </c>
      <c r="D18" t="s">
        <v>162</v>
      </c>
      <c r="E18" s="11">
        <v>9.1099999999999992E-6</v>
      </c>
      <c r="F18" s="11">
        <v>2.8100000000000002E-6</v>
      </c>
      <c r="G18">
        <v>0.30857786399999998</v>
      </c>
      <c r="H18">
        <v>-0.17487293600000001</v>
      </c>
      <c r="I18" s="11">
        <v>1.19E-5</v>
      </c>
      <c r="J18">
        <v>0.41839362299999999</v>
      </c>
      <c r="K18">
        <v>0.68157322399999998</v>
      </c>
      <c r="L18">
        <v>3.8735081839999999</v>
      </c>
      <c r="M18">
        <v>0.35209628500000001</v>
      </c>
      <c r="N18">
        <v>1.5109381E-2</v>
      </c>
      <c r="O18">
        <v>4.668518E-3</v>
      </c>
      <c r="P18">
        <v>0.69925879000000002</v>
      </c>
      <c r="Q18">
        <v>1.2750771970000001</v>
      </c>
      <c r="R18">
        <v>9.0489807580000008</v>
      </c>
      <c r="S18">
        <v>2.7536644999999998E-2</v>
      </c>
      <c r="T18">
        <v>2.452621E-2</v>
      </c>
      <c r="U18">
        <v>0.21060921099999999</v>
      </c>
      <c r="V18">
        <v>0.20352514199999999</v>
      </c>
      <c r="W18">
        <v>0.96636391700000002</v>
      </c>
      <c r="X18">
        <v>3.4047672520000001</v>
      </c>
      <c r="Y18">
        <v>6.1154513340000003</v>
      </c>
      <c r="Z18">
        <v>0.31848955400000001</v>
      </c>
      <c r="AA18">
        <v>2.8699031999999999E-2</v>
      </c>
      <c r="AB18">
        <v>0.36660305599999998</v>
      </c>
      <c r="AC18">
        <v>0.70348728100000002</v>
      </c>
      <c r="AD18">
        <v>0.88250540499999997</v>
      </c>
      <c r="AE18">
        <v>0.61872450800000001</v>
      </c>
      <c r="AF18">
        <v>2.3562582679999999</v>
      </c>
      <c r="AG18">
        <v>7.3589867489999996</v>
      </c>
      <c r="AH18">
        <v>8.8794080000000001E-3</v>
      </c>
      <c r="AI18">
        <v>1.53855623</v>
      </c>
    </row>
    <row r="19" spans="1:35" x14ac:dyDescent="0.2">
      <c r="A19">
        <v>58</v>
      </c>
      <c r="B19" t="s">
        <v>163</v>
      </c>
      <c r="C19" t="s">
        <v>129</v>
      </c>
      <c r="D19" t="s">
        <v>164</v>
      </c>
      <c r="E19" s="11">
        <v>1.9400000000000001E-6</v>
      </c>
      <c r="F19" s="11">
        <v>6.2600000000000002E-7</v>
      </c>
      <c r="G19">
        <v>0.32229447900000002</v>
      </c>
      <c r="H19">
        <v>-0.76782946900000004</v>
      </c>
      <c r="I19" s="11">
        <v>2.57E-6</v>
      </c>
      <c r="J19">
        <v>0.623636364</v>
      </c>
      <c r="K19">
        <v>9.9999644189999994</v>
      </c>
      <c r="L19">
        <v>23.741747019999998</v>
      </c>
      <c r="M19">
        <v>0.53489278699999998</v>
      </c>
      <c r="N19">
        <v>4.1713727999999999E-2</v>
      </c>
      <c r="O19">
        <v>1.1158226E-2</v>
      </c>
      <c r="P19">
        <v>1.9741176499999999</v>
      </c>
      <c r="Q19">
        <v>1.97625418</v>
      </c>
      <c r="R19">
        <v>15.80576037</v>
      </c>
      <c r="S19">
        <v>4.8163418999999999E-2</v>
      </c>
      <c r="T19">
        <v>5.1358204999999997E-2</v>
      </c>
      <c r="U19">
        <v>0.368369481</v>
      </c>
      <c r="V19">
        <v>0.42618431400000001</v>
      </c>
      <c r="W19">
        <v>1.156947945</v>
      </c>
      <c r="X19">
        <v>2.8363835960000001</v>
      </c>
      <c r="Y19">
        <v>7.6156857069999999</v>
      </c>
      <c r="Z19">
        <v>0.33736625100000001</v>
      </c>
      <c r="AA19">
        <v>5.9238645999999999E-2</v>
      </c>
      <c r="AB19">
        <v>-1</v>
      </c>
      <c r="AC19">
        <v>1.452999691</v>
      </c>
      <c r="AD19">
        <v>0.87623511899999995</v>
      </c>
      <c r="AE19">
        <v>0.76253766300000003</v>
      </c>
      <c r="AF19">
        <v>2.4751754629999998</v>
      </c>
      <c r="AG19">
        <v>12.95394112</v>
      </c>
      <c r="AH19">
        <v>1.8339745000000001E-2</v>
      </c>
      <c r="AI19">
        <v>1.633097453</v>
      </c>
    </row>
    <row r="20" spans="1:35" x14ac:dyDescent="0.2">
      <c r="A20">
        <v>59</v>
      </c>
      <c r="B20" t="s">
        <v>165</v>
      </c>
      <c r="C20" t="s">
        <v>129</v>
      </c>
      <c r="D20" t="s">
        <v>166</v>
      </c>
      <c r="E20" s="11">
        <v>1.1199999999999999E-5</v>
      </c>
      <c r="F20" s="11">
        <v>3.5899999999999999E-6</v>
      </c>
      <c r="G20">
        <v>0.321939794</v>
      </c>
      <c r="H20">
        <v>-5.3619729999999999E-3</v>
      </c>
      <c r="I20" s="11">
        <v>1.4800000000000001E-5</v>
      </c>
      <c r="J20">
        <v>0.623636364</v>
      </c>
      <c r="K20">
        <v>1.2472727269999999</v>
      </c>
      <c r="L20">
        <v>6.236363635</v>
      </c>
      <c r="M20">
        <v>0.39976079199999998</v>
      </c>
      <c r="N20">
        <v>5.0801519000000003E-2</v>
      </c>
      <c r="O20">
        <v>1.5691358999999998E-2</v>
      </c>
      <c r="P20">
        <v>1.82031919</v>
      </c>
      <c r="Q20">
        <v>2.1129199769999998</v>
      </c>
      <c r="R20">
        <v>16.318158239999999</v>
      </c>
      <c r="S20">
        <v>4.3616286999999997E-2</v>
      </c>
      <c r="T20">
        <v>3.9520596999999998E-2</v>
      </c>
      <c r="U20">
        <v>0.33359153600000002</v>
      </c>
      <c r="V20">
        <v>0.32795263200000002</v>
      </c>
      <c r="W20">
        <v>0.98309638200000005</v>
      </c>
      <c r="X20">
        <v>2.9560186270000002</v>
      </c>
      <c r="Y20">
        <v>6.2363634100000001</v>
      </c>
      <c r="Z20">
        <v>0.321939643</v>
      </c>
      <c r="AA20">
        <v>5.0887411E-2</v>
      </c>
      <c r="AB20" s="11">
        <v>-3.6099999999999999E-8</v>
      </c>
      <c r="AC20">
        <v>1.2472728239999999</v>
      </c>
      <c r="AD20">
        <v>0.89817453599999997</v>
      </c>
      <c r="AE20">
        <v>0.62363634000000001</v>
      </c>
      <c r="AF20">
        <v>2.1136336660000001</v>
      </c>
      <c r="AG20">
        <v>11.61016178</v>
      </c>
      <c r="AH20">
        <v>1.5743063000000002E-2</v>
      </c>
      <c r="AI20">
        <v>1.3963289299999999</v>
      </c>
    </row>
    <row r="21" spans="1:35" x14ac:dyDescent="0.2">
      <c r="A21">
        <v>60</v>
      </c>
      <c r="B21" t="s">
        <v>167</v>
      </c>
      <c r="C21" t="s">
        <v>129</v>
      </c>
      <c r="D21" t="s">
        <v>168</v>
      </c>
      <c r="E21" s="11">
        <v>1.0100000000000001E-6</v>
      </c>
      <c r="F21" s="11">
        <v>3.2500000000000001E-7</v>
      </c>
      <c r="G21">
        <v>0.32049749300000002</v>
      </c>
      <c r="H21">
        <v>-0.83203212000000004</v>
      </c>
      <c r="I21" s="11">
        <v>1.3400000000000001E-6</v>
      </c>
      <c r="J21">
        <v>0.623636364</v>
      </c>
      <c r="K21">
        <v>9.9998855199999994</v>
      </c>
      <c r="L21">
        <v>23.741589220000002</v>
      </c>
      <c r="M21">
        <v>0.35571687899999999</v>
      </c>
      <c r="N21">
        <v>1.3075682999999999E-2</v>
      </c>
      <c r="O21">
        <v>4.208453E-3</v>
      </c>
      <c r="P21">
        <v>2.5274982700000002</v>
      </c>
      <c r="Q21">
        <v>1.9302078359999999</v>
      </c>
      <c r="R21">
        <v>16.63624355</v>
      </c>
      <c r="S21">
        <v>6.7814609999999999E-3</v>
      </c>
      <c r="T21">
        <v>9.0077360000000006E-3</v>
      </c>
      <c r="U21">
        <v>5.1866813999999997E-2</v>
      </c>
      <c r="V21">
        <v>7.4748639000000006E-2</v>
      </c>
      <c r="W21">
        <v>1.4411650389999999</v>
      </c>
      <c r="X21">
        <v>3.7875114609999998</v>
      </c>
      <c r="Y21">
        <v>3.6890489909999999</v>
      </c>
      <c r="Z21">
        <v>0.287530063</v>
      </c>
      <c r="AA21">
        <v>1.7554624000000001E-2</v>
      </c>
      <c r="AB21">
        <v>-1</v>
      </c>
      <c r="AC21">
        <v>0.43165023699999999</v>
      </c>
      <c r="AD21">
        <v>0.86657337899999998</v>
      </c>
      <c r="AE21">
        <v>0.37313511799999999</v>
      </c>
      <c r="AF21">
        <v>1.6053373980000001</v>
      </c>
      <c r="AG21">
        <v>7.2309093679999998</v>
      </c>
      <c r="AH21">
        <v>5.4482840000000003E-3</v>
      </c>
      <c r="AI21">
        <v>1.055400603</v>
      </c>
    </row>
    <row r="22" spans="1:35" x14ac:dyDescent="0.2">
      <c r="A22">
        <v>61</v>
      </c>
      <c r="B22" t="s">
        <v>169</v>
      </c>
      <c r="C22" t="s">
        <v>130</v>
      </c>
      <c r="D22" t="s">
        <v>158</v>
      </c>
      <c r="E22" s="11">
        <v>5.3499999999999996E-6</v>
      </c>
      <c r="F22" s="11">
        <v>1.6700000000000001E-6</v>
      </c>
      <c r="G22">
        <v>0.31310419099999998</v>
      </c>
      <c r="H22">
        <v>0.13623895999999999</v>
      </c>
      <c r="I22" s="11">
        <v>7.0199999999999997E-6</v>
      </c>
      <c r="J22">
        <v>0.223636273</v>
      </c>
      <c r="K22">
        <v>3.335504E-3</v>
      </c>
      <c r="L22">
        <v>1.348488642</v>
      </c>
      <c r="M22">
        <v>4.9395610000000003E-3</v>
      </c>
      <c r="N22">
        <v>3.8642609999999999E-3</v>
      </c>
      <c r="O22">
        <v>1.198684E-3</v>
      </c>
      <c r="P22">
        <v>1.058649E-2</v>
      </c>
      <c r="Q22">
        <v>0.70965405999999998</v>
      </c>
      <c r="R22">
        <v>4.2790973460000004</v>
      </c>
      <c r="S22">
        <v>7.0971710000000002E-3</v>
      </c>
      <c r="T22">
        <v>6.3767829999999996E-3</v>
      </c>
      <c r="U22">
        <v>5.4281468999999999E-2</v>
      </c>
      <c r="V22">
        <v>5.2916276999999998E-2</v>
      </c>
      <c r="W22">
        <v>0.97484976000000001</v>
      </c>
      <c r="X22">
        <v>4.2083520879999998</v>
      </c>
      <c r="Y22">
        <v>1.7499432260000001</v>
      </c>
      <c r="Z22">
        <v>0.30560590799999998</v>
      </c>
      <c r="AA22">
        <v>1.0749442999999999E-2</v>
      </c>
      <c r="AB22">
        <v>0.229410062</v>
      </c>
      <c r="AC22">
        <v>9.2394599999999997E-3</v>
      </c>
      <c r="AD22">
        <v>0.86824198900000005</v>
      </c>
      <c r="AE22">
        <v>0.28966258900000003</v>
      </c>
      <c r="AF22">
        <v>1.2746076369999999</v>
      </c>
      <c r="AG22">
        <v>0.34310712399999999</v>
      </c>
      <c r="AH22">
        <v>3.3313370000000002E-3</v>
      </c>
      <c r="AI22">
        <v>0.66260343899999996</v>
      </c>
    </row>
    <row r="23" spans="1:35" x14ac:dyDescent="0.2">
      <c r="A23">
        <v>62</v>
      </c>
      <c r="B23" t="s">
        <v>170</v>
      </c>
      <c r="C23" t="s">
        <v>132</v>
      </c>
      <c r="D23" t="s">
        <v>130</v>
      </c>
      <c r="E23" s="11">
        <v>9.8400000000000007E-6</v>
      </c>
      <c r="F23" s="11">
        <v>3.1099999999999999E-6</v>
      </c>
      <c r="G23">
        <v>0.31654609299999997</v>
      </c>
      <c r="H23">
        <v>-0.37852237300000002</v>
      </c>
      <c r="I23" s="11">
        <v>1.2999999999999999E-5</v>
      </c>
      <c r="J23">
        <v>0.407880929</v>
      </c>
      <c r="K23">
        <v>1.2434933E-2</v>
      </c>
      <c r="L23">
        <v>2.472155441</v>
      </c>
      <c r="M23">
        <v>1.0194271E-2</v>
      </c>
      <c r="N23">
        <v>1.4440368E-2</v>
      </c>
      <c r="O23">
        <v>4.4687570000000003E-3</v>
      </c>
      <c r="P23">
        <v>3.8146180000000002E-2</v>
      </c>
      <c r="Q23">
        <v>1.2678575190000001</v>
      </c>
      <c r="R23">
        <v>7.6834374680000002</v>
      </c>
      <c r="S23">
        <v>2.2192190000000001E-2</v>
      </c>
      <c r="T23">
        <v>2.0170309000000001E-2</v>
      </c>
      <c r="U23">
        <v>0.16973308400000001</v>
      </c>
      <c r="V23">
        <v>0.167378692</v>
      </c>
      <c r="W23">
        <v>0.986128856</v>
      </c>
      <c r="X23">
        <v>4.2268335349999999</v>
      </c>
      <c r="Y23">
        <v>2.2474830020000001</v>
      </c>
      <c r="Z23">
        <v>0.30348648700000003</v>
      </c>
      <c r="AA23">
        <v>1.0534938000000001E-2</v>
      </c>
      <c r="AB23">
        <v>-9.9966245999999995E-2</v>
      </c>
      <c r="AC23">
        <v>9.0334779999999993E-3</v>
      </c>
      <c r="AD23">
        <v>0.88562852299999995</v>
      </c>
      <c r="AE23">
        <v>0.37368201000000001</v>
      </c>
      <c r="AF23">
        <v>1.2644100330000001</v>
      </c>
      <c r="AG23">
        <v>0.19487912600000001</v>
      </c>
      <c r="AH23">
        <v>3.257069E-3</v>
      </c>
      <c r="AI23">
        <v>0.65050744400000005</v>
      </c>
    </row>
    <row r="24" spans="1:35" x14ac:dyDescent="0.2">
      <c r="A24">
        <v>63</v>
      </c>
      <c r="B24" t="s">
        <v>171</v>
      </c>
      <c r="C24" t="s">
        <v>132</v>
      </c>
      <c r="D24" t="s">
        <v>150</v>
      </c>
      <c r="E24" s="11">
        <v>9.8900000000000002E-6</v>
      </c>
      <c r="F24" s="11">
        <v>3.0900000000000001E-6</v>
      </c>
      <c r="G24">
        <v>0.31228777899999999</v>
      </c>
      <c r="H24">
        <v>-0.385992838</v>
      </c>
      <c r="I24" s="11">
        <v>1.2999999999999999E-5</v>
      </c>
      <c r="J24">
        <v>0.40863749799999999</v>
      </c>
      <c r="K24">
        <v>1.2439634999999999E-2</v>
      </c>
      <c r="L24">
        <v>2.476704255</v>
      </c>
      <c r="M24">
        <v>8.3900829999999996E-3</v>
      </c>
      <c r="N24">
        <v>1.4452334000000001E-2</v>
      </c>
      <c r="O24">
        <v>4.4704469999999998E-3</v>
      </c>
      <c r="P24">
        <v>3.8176950000000001E-2</v>
      </c>
      <c r="Q24">
        <v>1.269972498</v>
      </c>
      <c r="R24">
        <v>7.6961888900000002</v>
      </c>
      <c r="S24">
        <v>2.2240848000000001E-2</v>
      </c>
      <c r="T24">
        <v>2.0180112E-2</v>
      </c>
      <c r="U24">
        <v>0.17010523399999999</v>
      </c>
      <c r="V24">
        <v>0.167460042</v>
      </c>
      <c r="W24">
        <v>0.98444967299999997</v>
      </c>
      <c r="X24">
        <v>4.2275709920000004</v>
      </c>
      <c r="Y24">
        <v>2.2476446970000001</v>
      </c>
      <c r="Z24">
        <v>0.29809117800000001</v>
      </c>
      <c r="AA24">
        <v>1.0526719E-2</v>
      </c>
      <c r="AB24">
        <v>-0.101910929</v>
      </c>
      <c r="AC24">
        <v>9.0266310000000002E-3</v>
      </c>
      <c r="AD24">
        <v>0.88492059199999995</v>
      </c>
      <c r="AE24">
        <v>0.37371376000000001</v>
      </c>
      <c r="AF24">
        <v>1.264633959</v>
      </c>
      <c r="AG24">
        <v>0.19476691700000001</v>
      </c>
      <c r="AH24">
        <v>3.2545999999999999E-3</v>
      </c>
      <c r="AI24">
        <v>0.65061508499999998</v>
      </c>
    </row>
    <row r="25" spans="1:35" x14ac:dyDescent="0.2">
      <c r="A25">
        <v>64</v>
      </c>
      <c r="B25" t="s">
        <v>172</v>
      </c>
      <c r="C25" t="s">
        <v>132</v>
      </c>
      <c r="D25" t="s">
        <v>158</v>
      </c>
      <c r="E25" s="11">
        <v>5.6200000000000004E-6</v>
      </c>
      <c r="F25" s="11">
        <v>1.75E-6</v>
      </c>
      <c r="G25">
        <v>0.31105909300000001</v>
      </c>
      <c r="H25">
        <v>-0.644431219</v>
      </c>
      <c r="I25" s="11">
        <v>7.3699999999999997E-6</v>
      </c>
      <c r="J25">
        <v>0.29191687999999999</v>
      </c>
      <c r="K25">
        <v>1.0065279999999999E-2</v>
      </c>
      <c r="L25">
        <v>1.7716318419999999</v>
      </c>
      <c r="M25">
        <v>8.6156310000000003E-3</v>
      </c>
      <c r="N25">
        <v>1.1659948999999999E-2</v>
      </c>
      <c r="O25">
        <v>3.6171720000000001E-3</v>
      </c>
      <c r="P25">
        <v>5.5310699999999997E-2</v>
      </c>
      <c r="Q25">
        <v>1.0831177439999999</v>
      </c>
      <c r="R25">
        <v>6.6093278719999997</v>
      </c>
      <c r="S25">
        <v>1.0139031999999999E-2</v>
      </c>
      <c r="T25">
        <v>8.9031860000000004E-3</v>
      </c>
      <c r="U25">
        <v>7.7546612000000001E-2</v>
      </c>
      <c r="V25">
        <v>7.3881049000000004E-2</v>
      </c>
      <c r="W25">
        <v>0.95273084299999999</v>
      </c>
      <c r="X25">
        <v>4.9929810510000001</v>
      </c>
      <c r="Y25">
        <v>0.85902543200000003</v>
      </c>
      <c r="Z25">
        <v>0.29095072900000002</v>
      </c>
      <c r="AA25">
        <v>4.7722720000000001E-3</v>
      </c>
      <c r="AB25">
        <v>-1</v>
      </c>
      <c r="AC25">
        <v>4.1089710000000003E-3</v>
      </c>
      <c r="AD25">
        <v>0.86525121800000004</v>
      </c>
      <c r="AE25">
        <v>0.142401589</v>
      </c>
      <c r="AF25">
        <v>0.68310480200000001</v>
      </c>
      <c r="AG25">
        <v>0.16630616400000001</v>
      </c>
      <c r="AH25">
        <v>1.4815119999999999E-3</v>
      </c>
      <c r="AI25">
        <v>0.354586964</v>
      </c>
    </row>
    <row r="26" spans="1:35" x14ac:dyDescent="0.2">
      <c r="A26">
        <v>65</v>
      </c>
      <c r="B26" t="s">
        <v>173</v>
      </c>
      <c r="C26" t="s">
        <v>132</v>
      </c>
      <c r="D26" t="s">
        <v>168</v>
      </c>
      <c r="E26" s="11">
        <v>4.5199999999999999E-6</v>
      </c>
      <c r="F26" s="11">
        <v>1.4100000000000001E-6</v>
      </c>
      <c r="G26">
        <v>0.31134114699999998</v>
      </c>
      <c r="H26">
        <v>-1.0349690629999999</v>
      </c>
      <c r="I26" s="11">
        <v>5.9200000000000001E-6</v>
      </c>
      <c r="J26">
        <v>0.291929785</v>
      </c>
      <c r="K26">
        <v>8.1120129999999995E-3</v>
      </c>
      <c r="L26">
        <v>1.7678027350000001</v>
      </c>
      <c r="M26">
        <v>8.6853539999999993E-3</v>
      </c>
      <c r="N26">
        <v>9.3823280000000005E-3</v>
      </c>
      <c r="O26">
        <v>2.9152240000000001E-3</v>
      </c>
      <c r="P26">
        <v>4.9474749999999998E-2</v>
      </c>
      <c r="Q26">
        <v>0.93953152600000001</v>
      </c>
      <c r="R26">
        <v>5.7361386640000003</v>
      </c>
      <c r="S26">
        <v>8.3373949999999992E-3</v>
      </c>
      <c r="T26">
        <v>7.6501900000000003E-3</v>
      </c>
      <c r="U26">
        <v>6.3767105000000004E-2</v>
      </c>
      <c r="V26">
        <v>6.3483349999999994E-2</v>
      </c>
      <c r="W26">
        <v>0.995550135</v>
      </c>
      <c r="X26">
        <v>4.7007505549999999</v>
      </c>
      <c r="Y26">
        <v>1.355566517</v>
      </c>
      <c r="Z26">
        <v>0.28277445400000001</v>
      </c>
      <c r="AA26">
        <v>6.451493E-3</v>
      </c>
      <c r="AB26">
        <v>-0.30410622599999998</v>
      </c>
      <c r="AC26">
        <v>5.5491710000000003E-3</v>
      </c>
      <c r="AD26">
        <v>0.87019312999999998</v>
      </c>
      <c r="AE26">
        <v>0.225320513</v>
      </c>
      <c r="AF26">
        <v>0.86116767299999997</v>
      </c>
      <c r="AG26">
        <v>0.19167568300000001</v>
      </c>
      <c r="AH26">
        <v>2.0007839999999998E-3</v>
      </c>
      <c r="AI26">
        <v>0.44608889099999999</v>
      </c>
    </row>
    <row r="27" spans="1:35" x14ac:dyDescent="0.2">
      <c r="A27">
        <v>66</v>
      </c>
      <c r="B27" t="s">
        <v>174</v>
      </c>
      <c r="C27" t="s">
        <v>175</v>
      </c>
      <c r="D27" t="s">
        <v>129</v>
      </c>
      <c r="E27" s="11">
        <v>6.81E-6</v>
      </c>
      <c r="F27" s="11">
        <v>2.0999999999999998E-6</v>
      </c>
      <c r="G27">
        <v>0.30883473500000003</v>
      </c>
      <c r="H27">
        <v>-0.73838047699999998</v>
      </c>
      <c r="I27" s="11">
        <v>8.9099999999999994E-6</v>
      </c>
      <c r="J27">
        <v>0.623636364</v>
      </c>
      <c r="K27">
        <v>1.2472727269999999</v>
      </c>
      <c r="L27">
        <v>6.236363635</v>
      </c>
      <c r="M27">
        <v>0.39976275700000002</v>
      </c>
      <c r="N27">
        <v>2.9358083E-2</v>
      </c>
      <c r="O27">
        <v>9.0887950000000002E-3</v>
      </c>
      <c r="P27">
        <v>1.05190607</v>
      </c>
      <c r="Q27">
        <v>2.014369157</v>
      </c>
      <c r="R27">
        <v>14.19002708</v>
      </c>
      <c r="S27">
        <v>2.5675890999999999E-2</v>
      </c>
      <c r="T27">
        <v>2.3284493E-2</v>
      </c>
      <c r="U27">
        <v>0.19637755800000001</v>
      </c>
      <c r="V27">
        <v>0.19322103500000001</v>
      </c>
      <c r="W27">
        <v>0.983926254</v>
      </c>
      <c r="X27">
        <v>4.8230257019999998</v>
      </c>
      <c r="Y27">
        <v>1.629530943</v>
      </c>
      <c r="Z27">
        <v>0.29434920399999998</v>
      </c>
      <c r="AA27">
        <v>4.6756539999999996E-3</v>
      </c>
      <c r="AB27">
        <v>-1</v>
      </c>
      <c r="AC27">
        <v>0.115140966</v>
      </c>
      <c r="AD27">
        <v>0.86480681500000001</v>
      </c>
      <c r="AE27">
        <v>0.16586524599999999</v>
      </c>
      <c r="AF27">
        <v>0.71919846700000001</v>
      </c>
      <c r="AG27">
        <v>1.3716908050000001</v>
      </c>
      <c r="AH27">
        <v>1.4533079999999999E-3</v>
      </c>
      <c r="AI27">
        <v>0.46678407199999999</v>
      </c>
    </row>
    <row r="28" spans="1:35" x14ac:dyDescent="0.2">
      <c r="A28">
        <v>67</v>
      </c>
      <c r="B28" t="s">
        <v>176</v>
      </c>
      <c r="C28" t="s">
        <v>175</v>
      </c>
      <c r="D28" t="s">
        <v>130</v>
      </c>
      <c r="E28" s="11">
        <v>6.9399999999999996E-6</v>
      </c>
      <c r="F28" s="11">
        <v>2.1500000000000002E-6</v>
      </c>
      <c r="G28">
        <v>0.31002454400000001</v>
      </c>
      <c r="H28">
        <v>-0.41219877199999999</v>
      </c>
      <c r="I28" s="11">
        <v>9.0999999999999993E-6</v>
      </c>
      <c r="J28">
        <v>0.22253706300000001</v>
      </c>
      <c r="K28">
        <v>4.7043390000000001E-3</v>
      </c>
      <c r="L28">
        <v>1.344631057</v>
      </c>
      <c r="M28">
        <v>7.0184699999999997E-3</v>
      </c>
      <c r="N28">
        <v>5.4600839999999996E-3</v>
      </c>
      <c r="O28">
        <v>1.6906040000000001E-3</v>
      </c>
      <c r="P28">
        <v>1.4863950000000001E-2</v>
      </c>
      <c r="Q28">
        <v>0.70301100400000005</v>
      </c>
      <c r="R28">
        <v>4.2477939320000004</v>
      </c>
      <c r="S28">
        <v>1.0067082999999999E-2</v>
      </c>
      <c r="T28">
        <v>9.1033450000000005E-3</v>
      </c>
      <c r="U28">
        <v>7.6996324000000005E-2</v>
      </c>
      <c r="V28">
        <v>7.5542026999999998E-2</v>
      </c>
      <c r="W28">
        <v>0.98111212400000003</v>
      </c>
      <c r="X28">
        <v>5.0452765470000003</v>
      </c>
      <c r="Y28">
        <v>1.219795309</v>
      </c>
      <c r="Z28">
        <v>0.304061949</v>
      </c>
      <c r="AA28">
        <v>3.8705419999999998E-3</v>
      </c>
      <c r="AB28">
        <v>-0.102341554</v>
      </c>
      <c r="AC28">
        <v>3.3284310000000002E-3</v>
      </c>
      <c r="AD28">
        <v>0.87142090999999999</v>
      </c>
      <c r="AE28">
        <v>0.20373590599999999</v>
      </c>
      <c r="AF28">
        <v>0.71987870499999995</v>
      </c>
      <c r="AG28">
        <v>7.5015623000000003E-2</v>
      </c>
      <c r="AH28">
        <v>1.2000839999999999E-3</v>
      </c>
      <c r="AI28">
        <v>0.368681223</v>
      </c>
    </row>
    <row r="29" spans="1:35" x14ac:dyDescent="0.2">
      <c r="A29">
        <v>68</v>
      </c>
      <c r="B29" t="s">
        <v>177</v>
      </c>
      <c r="C29" t="s">
        <v>175</v>
      </c>
      <c r="D29" t="s">
        <v>132</v>
      </c>
      <c r="E29" s="11">
        <v>6.3300000000000004E-6</v>
      </c>
      <c r="F29" s="11">
        <v>1.9800000000000001E-6</v>
      </c>
      <c r="G29">
        <v>0.31355066399999998</v>
      </c>
      <c r="H29">
        <v>-0.60836229600000002</v>
      </c>
      <c r="I29" s="11">
        <v>8.3100000000000001E-6</v>
      </c>
      <c r="J29">
        <v>0.29191748299999998</v>
      </c>
      <c r="K29">
        <v>9.9462600000000002E-3</v>
      </c>
      <c r="L29">
        <v>1.771397417</v>
      </c>
      <c r="M29">
        <v>9.7926769999999996E-3</v>
      </c>
      <c r="N29">
        <v>1.1523497000000001E-2</v>
      </c>
      <c r="O29">
        <v>3.5742819999999998E-3</v>
      </c>
      <c r="P29">
        <v>5.5027960000000001E-2</v>
      </c>
      <c r="Q29">
        <v>1.074124818</v>
      </c>
      <c r="R29">
        <v>6.5548048339999996</v>
      </c>
      <c r="S29">
        <v>1.3623109E-2</v>
      </c>
      <c r="T29">
        <v>1.2084538000000001E-2</v>
      </c>
      <c r="U29">
        <v>0.104193965</v>
      </c>
      <c r="V29">
        <v>0.100280772</v>
      </c>
      <c r="W29">
        <v>0.96244318900000003</v>
      </c>
      <c r="X29">
        <v>5.9859464400000002</v>
      </c>
      <c r="Y29">
        <v>0.59878239300000002</v>
      </c>
      <c r="Z29">
        <v>0.28948080999999998</v>
      </c>
      <c r="AA29">
        <v>1.718348E-3</v>
      </c>
      <c r="AB29">
        <v>-1</v>
      </c>
      <c r="AC29">
        <v>1.4802190000000001E-3</v>
      </c>
      <c r="AD29">
        <v>0.86841918799999995</v>
      </c>
      <c r="AE29">
        <v>0.100159005</v>
      </c>
      <c r="AF29">
        <v>0.38580704100000002</v>
      </c>
      <c r="AG29">
        <v>3.6360539999999997E-2</v>
      </c>
      <c r="AH29">
        <v>5.3370100000000003E-4</v>
      </c>
      <c r="AI29">
        <v>0.19729682600000001</v>
      </c>
    </row>
    <row r="30" spans="1:35" x14ac:dyDescent="0.2">
      <c r="A30">
        <v>69</v>
      </c>
      <c r="B30" t="s">
        <v>178</v>
      </c>
      <c r="C30" t="s">
        <v>175</v>
      </c>
      <c r="D30" t="s">
        <v>134</v>
      </c>
      <c r="E30" s="11">
        <v>9.0999999999999993E-6</v>
      </c>
      <c r="F30" s="11">
        <v>2.8200000000000001E-6</v>
      </c>
      <c r="G30">
        <v>0.30955243799999999</v>
      </c>
      <c r="H30">
        <v>-0.40619687199999999</v>
      </c>
      <c r="I30" s="11">
        <v>1.19E-5</v>
      </c>
      <c r="J30">
        <v>0.27306308899999998</v>
      </c>
      <c r="K30">
        <v>2.2306152999999999E-2</v>
      </c>
      <c r="L30">
        <v>1.68299084</v>
      </c>
      <c r="M30">
        <v>2.2757659999999998E-3</v>
      </c>
      <c r="N30">
        <v>1.629765E-2</v>
      </c>
      <c r="O30">
        <v>8.0161699999999995E-3</v>
      </c>
      <c r="P30">
        <v>7.3338639999999997E-2</v>
      </c>
      <c r="Q30">
        <v>1.028841312</v>
      </c>
      <c r="R30">
        <v>6.3197251420000002</v>
      </c>
      <c r="S30">
        <v>1.3881869E-2</v>
      </c>
      <c r="T30">
        <v>1.3460985E-2</v>
      </c>
      <c r="U30">
        <v>0.10617304499999999</v>
      </c>
      <c r="V30">
        <v>0.111702907</v>
      </c>
      <c r="W30">
        <v>1.0520834830000001</v>
      </c>
      <c r="X30">
        <v>4.697783394</v>
      </c>
      <c r="Y30">
        <v>1.1713770109999999</v>
      </c>
      <c r="Z30">
        <v>0.395507365</v>
      </c>
      <c r="AA30">
        <v>5.2230940000000002E-3</v>
      </c>
      <c r="AB30">
        <v>-0.43676273700000001</v>
      </c>
      <c r="AC30">
        <v>4.4899340000000001E-3</v>
      </c>
      <c r="AD30">
        <v>0.89389975099999996</v>
      </c>
      <c r="AE30">
        <v>0.194406512</v>
      </c>
      <c r="AF30">
        <v>0.52119642499999996</v>
      </c>
      <c r="AG30">
        <v>7.6789231999999999E-2</v>
      </c>
      <c r="AH30">
        <v>1.6188699999999999E-3</v>
      </c>
      <c r="AI30">
        <v>0.26863390799999998</v>
      </c>
    </row>
    <row r="31" spans="1:35" x14ac:dyDescent="0.2">
      <c r="A31">
        <v>70</v>
      </c>
      <c r="B31" t="s">
        <v>179</v>
      </c>
      <c r="C31" t="s">
        <v>175</v>
      </c>
      <c r="D31" t="s">
        <v>136</v>
      </c>
      <c r="E31" s="11">
        <v>7.4599999999999997E-6</v>
      </c>
      <c r="F31" s="11">
        <v>2.3599999999999999E-6</v>
      </c>
      <c r="G31">
        <v>0.316903881</v>
      </c>
      <c r="H31">
        <v>-0.36715784000000001</v>
      </c>
      <c r="I31" s="11">
        <v>9.8200000000000008E-6</v>
      </c>
      <c r="J31">
        <v>0.29191489399999998</v>
      </c>
      <c r="K31">
        <v>1.2669390000000001E-2</v>
      </c>
      <c r="L31">
        <v>1.7768281420000001</v>
      </c>
      <c r="M31">
        <v>1.2798779E-2</v>
      </c>
      <c r="N31">
        <v>1.4712205000000001E-2</v>
      </c>
      <c r="O31">
        <v>4.5530149999999997E-3</v>
      </c>
      <c r="P31">
        <v>7.4407899999999999E-2</v>
      </c>
      <c r="Q31">
        <v>0.96165316599999995</v>
      </c>
      <c r="R31">
        <v>5.9187348039999996</v>
      </c>
      <c r="S31">
        <v>1.3353234E-2</v>
      </c>
      <c r="T31">
        <v>1.1842505E-2</v>
      </c>
      <c r="U31">
        <v>0.10212987699999999</v>
      </c>
      <c r="V31">
        <v>9.8272314999999999E-2</v>
      </c>
      <c r="W31">
        <v>0.96222885899999999</v>
      </c>
      <c r="X31">
        <v>4.8791574039999999</v>
      </c>
      <c r="Y31">
        <v>0.80923684399999996</v>
      </c>
      <c r="Z31">
        <v>0.31340278599999999</v>
      </c>
      <c r="AA31">
        <v>4.4653150000000001E-3</v>
      </c>
      <c r="AB31">
        <v>-1</v>
      </c>
      <c r="AC31">
        <v>3.8404870000000001E-3</v>
      </c>
      <c r="AD31">
        <v>0.87142172500000004</v>
      </c>
      <c r="AE31">
        <v>0.133594881</v>
      </c>
      <c r="AF31">
        <v>0.46088316600000001</v>
      </c>
      <c r="AG31">
        <v>8.4501868999999993E-2</v>
      </c>
      <c r="AH31">
        <v>1.3847079999999999E-3</v>
      </c>
      <c r="AI31">
        <v>0.23880758699999999</v>
      </c>
    </row>
    <row r="32" spans="1:35" x14ac:dyDescent="0.2">
      <c r="A32">
        <v>71</v>
      </c>
      <c r="B32" t="s">
        <v>180</v>
      </c>
      <c r="C32" t="s">
        <v>175</v>
      </c>
      <c r="D32" t="s">
        <v>138</v>
      </c>
      <c r="E32" s="11">
        <v>8.2600000000000005E-6</v>
      </c>
      <c r="F32" s="11">
        <v>2.5799999999999999E-6</v>
      </c>
      <c r="G32">
        <v>0.31190035300000002</v>
      </c>
      <c r="H32">
        <v>0.85179938099999997</v>
      </c>
      <c r="I32" s="11">
        <v>1.08E-5</v>
      </c>
      <c r="J32">
        <v>0.37818126000000002</v>
      </c>
      <c r="K32">
        <v>1.1087601000000001E-2</v>
      </c>
      <c r="L32">
        <v>2.2912627620000001</v>
      </c>
      <c r="M32">
        <v>9.5160430000000001E-3</v>
      </c>
      <c r="N32">
        <v>1.2870942999999999E-2</v>
      </c>
      <c r="O32">
        <v>3.9845649999999998E-3</v>
      </c>
      <c r="P32">
        <v>3.4124349999999998E-2</v>
      </c>
      <c r="Q32">
        <v>1.16419494</v>
      </c>
      <c r="R32">
        <v>7.0534183459999999</v>
      </c>
      <c r="S32">
        <v>1.9476648999999999E-2</v>
      </c>
      <c r="T32">
        <v>1.931275E-2</v>
      </c>
      <c r="U32">
        <v>0.14896374100000001</v>
      </c>
      <c r="V32">
        <v>0.16026243800000001</v>
      </c>
      <c r="W32">
        <v>1.0758486389999999</v>
      </c>
      <c r="X32">
        <v>3.5201486989999999</v>
      </c>
      <c r="Y32">
        <v>7.4969513890000004</v>
      </c>
      <c r="Z32">
        <v>0.36604564499999998</v>
      </c>
      <c r="AA32">
        <v>1.3765398999999999E-2</v>
      </c>
      <c r="AB32">
        <v>0.69437406700000004</v>
      </c>
      <c r="AC32">
        <v>1.2382383E-2</v>
      </c>
      <c r="AD32">
        <v>0.89864384799999997</v>
      </c>
      <c r="AE32">
        <v>1.259930142</v>
      </c>
      <c r="AF32">
        <v>2.3044048309999998</v>
      </c>
      <c r="AG32">
        <v>0.17957066599999999</v>
      </c>
      <c r="AH32">
        <v>4.4645350000000004E-3</v>
      </c>
      <c r="AI32">
        <v>1.175588061</v>
      </c>
    </row>
    <row r="33" spans="1:35" x14ac:dyDescent="0.2">
      <c r="A33">
        <v>72</v>
      </c>
      <c r="B33" t="s">
        <v>181</v>
      </c>
      <c r="C33" t="s">
        <v>175</v>
      </c>
      <c r="D33" t="s">
        <v>182</v>
      </c>
      <c r="E33" s="11">
        <v>6.64E-6</v>
      </c>
      <c r="F33" s="11">
        <v>2.0700000000000001E-6</v>
      </c>
      <c r="G33">
        <v>0.31123726899999998</v>
      </c>
      <c r="H33">
        <v>0.83921496200000001</v>
      </c>
      <c r="I33" s="11">
        <v>8.7099999999999996E-6</v>
      </c>
      <c r="J33">
        <v>0.37117050699999998</v>
      </c>
      <c r="K33">
        <v>1.1079767000000001E-2</v>
      </c>
      <c r="L33">
        <v>2.2491825790000002</v>
      </c>
      <c r="M33">
        <v>3.1017140000000002E-3</v>
      </c>
      <c r="N33">
        <v>1.2857594999999999E-2</v>
      </c>
      <c r="O33">
        <v>3.98175E-3</v>
      </c>
      <c r="P33">
        <v>3.4147299999999998E-2</v>
      </c>
      <c r="Q33">
        <v>1.170057742</v>
      </c>
      <c r="R33">
        <v>7.0886410599999996</v>
      </c>
      <c r="S33">
        <v>1.3666862E-2</v>
      </c>
      <c r="T33">
        <v>1.2821707E-2</v>
      </c>
      <c r="U33">
        <v>0.104528603</v>
      </c>
      <c r="V33">
        <v>0.10639799799999999</v>
      </c>
      <c r="W33">
        <v>1.0178840520000001</v>
      </c>
      <c r="X33">
        <v>3.3052446350000002</v>
      </c>
      <c r="Y33">
        <v>16.39402188</v>
      </c>
      <c r="Z33">
        <v>0.53061903499999996</v>
      </c>
      <c r="AA33">
        <v>1.7215390000000001E-2</v>
      </c>
      <c r="AB33">
        <v>0.86280471000000003</v>
      </c>
      <c r="AC33">
        <v>0.923141565</v>
      </c>
      <c r="AD33">
        <v>0.95337146399999995</v>
      </c>
      <c r="AE33">
        <v>1.894618194</v>
      </c>
      <c r="AF33">
        <v>3.2231947980000002</v>
      </c>
      <c r="AG33">
        <v>7.3096606749999999</v>
      </c>
      <c r="AH33">
        <v>5.372468E-3</v>
      </c>
      <c r="AI33">
        <v>2.1802002960000002</v>
      </c>
    </row>
    <row r="34" spans="1:35" x14ac:dyDescent="0.2">
      <c r="A34">
        <v>73</v>
      </c>
      <c r="B34" t="s">
        <v>183</v>
      </c>
      <c r="C34" t="s">
        <v>175</v>
      </c>
      <c r="D34" t="s">
        <v>184</v>
      </c>
      <c r="E34" s="11">
        <v>5.8599999999999998E-6</v>
      </c>
      <c r="F34" s="11">
        <v>1.8500000000000001E-6</v>
      </c>
      <c r="G34">
        <v>0.31507323100000001</v>
      </c>
      <c r="H34">
        <v>-0.622494349</v>
      </c>
      <c r="I34" s="11">
        <v>7.7100000000000007E-6</v>
      </c>
      <c r="J34">
        <v>0.21030247799999999</v>
      </c>
      <c r="K34">
        <v>4.1966039999999996E-3</v>
      </c>
      <c r="L34">
        <v>1.270208075</v>
      </c>
      <c r="M34">
        <v>6.6058899999999997E-3</v>
      </c>
      <c r="N34">
        <v>4.8663220000000002E-3</v>
      </c>
      <c r="O34">
        <v>1.5081389999999999E-3</v>
      </c>
      <c r="P34">
        <v>1.327857E-2</v>
      </c>
      <c r="Q34">
        <v>0.66518140400000003</v>
      </c>
      <c r="R34">
        <v>4.0176455539999996</v>
      </c>
      <c r="S34">
        <v>9.1311129999999997E-3</v>
      </c>
      <c r="T34">
        <v>8.2198040000000007E-3</v>
      </c>
      <c r="U34">
        <v>6.9837717999999993E-2</v>
      </c>
      <c r="V34">
        <v>6.8210159000000006E-2</v>
      </c>
      <c r="W34">
        <v>0.976695129</v>
      </c>
      <c r="X34">
        <v>5.505632823</v>
      </c>
      <c r="Y34">
        <v>0.83515186600000002</v>
      </c>
      <c r="Z34">
        <v>0.297856501</v>
      </c>
      <c r="AA34">
        <v>2.608843E-3</v>
      </c>
      <c r="AB34">
        <v>-0.52093065599999999</v>
      </c>
      <c r="AC34">
        <v>2.2388030000000001E-3</v>
      </c>
      <c r="AD34">
        <v>0.85698637899999996</v>
      </c>
      <c r="AE34">
        <v>0.13952943400000001</v>
      </c>
      <c r="AF34">
        <v>0.524538328</v>
      </c>
      <c r="AG34">
        <v>5.3249545000000002E-2</v>
      </c>
      <c r="AH34">
        <v>8.0721199999999997E-4</v>
      </c>
      <c r="AI34">
        <v>0.268531829</v>
      </c>
    </row>
    <row r="35" spans="1:35" x14ac:dyDescent="0.2">
      <c r="A35">
        <v>74</v>
      </c>
      <c r="B35" t="s">
        <v>185</v>
      </c>
      <c r="C35" t="s">
        <v>175</v>
      </c>
      <c r="D35" t="s">
        <v>186</v>
      </c>
      <c r="E35" s="11">
        <v>5.8599999999999998E-6</v>
      </c>
      <c r="F35" s="11">
        <v>1.8300000000000001E-6</v>
      </c>
      <c r="G35">
        <v>0.31191553</v>
      </c>
      <c r="H35">
        <v>-0.63619761200000002</v>
      </c>
      <c r="I35" s="11">
        <v>7.6799999999999993E-6</v>
      </c>
      <c r="J35">
        <v>0.21225815000000001</v>
      </c>
      <c r="K35">
        <v>2.5451306999999999E-2</v>
      </c>
      <c r="L35">
        <v>1.324451515</v>
      </c>
      <c r="M35">
        <v>3.8544159000000001E-2</v>
      </c>
      <c r="N35">
        <v>5.2415889999999996E-3</v>
      </c>
      <c r="O35">
        <v>1.6245560000000001E-3</v>
      </c>
      <c r="P35">
        <v>8.0404249999999997E-2</v>
      </c>
      <c r="Q35">
        <v>0.67034134899999998</v>
      </c>
      <c r="R35">
        <v>4.1828566</v>
      </c>
      <c r="S35">
        <v>8.8437600000000009E-3</v>
      </c>
      <c r="T35">
        <v>8.3407889999999995E-3</v>
      </c>
      <c r="U35">
        <v>6.7639949000000005E-2</v>
      </c>
      <c r="V35">
        <v>6.9214128999999999E-2</v>
      </c>
      <c r="W35">
        <v>1.0232729330000001</v>
      </c>
      <c r="X35">
        <v>5.8439131639999999</v>
      </c>
      <c r="Y35">
        <v>0.66185782100000001</v>
      </c>
      <c r="Z35">
        <v>0.28794711299999998</v>
      </c>
      <c r="AA35">
        <v>1.9414689999999999E-3</v>
      </c>
      <c r="AB35">
        <v>-1</v>
      </c>
      <c r="AC35">
        <v>9.4184790000000004E-3</v>
      </c>
      <c r="AD35">
        <v>0.85309249300000001</v>
      </c>
      <c r="AE35">
        <v>0.103235857</v>
      </c>
      <c r="AF35">
        <v>0.41271259100000002</v>
      </c>
      <c r="AG35">
        <v>0.2296329</v>
      </c>
      <c r="AH35">
        <v>6.0316199999999997E-4</v>
      </c>
      <c r="AI35">
        <v>0.22553704099999999</v>
      </c>
    </row>
    <row r="36" spans="1:35" x14ac:dyDescent="0.2">
      <c r="A36">
        <v>75</v>
      </c>
      <c r="B36" t="s">
        <v>187</v>
      </c>
      <c r="C36" t="s">
        <v>175</v>
      </c>
      <c r="D36" t="s">
        <v>188</v>
      </c>
      <c r="E36" s="11">
        <v>6.9700000000000002E-6</v>
      </c>
      <c r="F36" s="11">
        <v>2.1900000000000002E-6</v>
      </c>
      <c r="G36">
        <v>0.31452402299999999</v>
      </c>
      <c r="H36">
        <v>0.99246814400000005</v>
      </c>
      <c r="I36" s="11">
        <v>9.1600000000000004E-6</v>
      </c>
      <c r="J36">
        <v>0.32277979800000001</v>
      </c>
      <c r="K36">
        <v>9.0870320000000001E-3</v>
      </c>
      <c r="L36">
        <v>1.9548528519999999</v>
      </c>
      <c r="M36">
        <v>1.4302086E-2</v>
      </c>
      <c r="N36">
        <v>1.0548083999999999E-2</v>
      </c>
      <c r="O36">
        <v>3.2656180000000001E-3</v>
      </c>
      <c r="P36">
        <v>2.816749E-2</v>
      </c>
      <c r="Q36">
        <v>1.021618565</v>
      </c>
      <c r="R36">
        <v>6.1860463760000002</v>
      </c>
      <c r="S36">
        <v>1.3265215E-2</v>
      </c>
      <c r="T36">
        <v>1.223314E-2</v>
      </c>
      <c r="U36">
        <v>0.101456675</v>
      </c>
      <c r="V36">
        <v>0.101513915</v>
      </c>
      <c r="W36">
        <v>1.000564182</v>
      </c>
      <c r="X36">
        <v>3.3057731430000001</v>
      </c>
      <c r="Y36">
        <v>20.336121989999999</v>
      </c>
      <c r="Z36">
        <v>0.43696185199999998</v>
      </c>
      <c r="AA36">
        <v>1.6249141000000002E-2</v>
      </c>
      <c r="AB36">
        <v>0.90387287900000002</v>
      </c>
      <c r="AC36">
        <v>0.923141604</v>
      </c>
      <c r="AD36">
        <v>0.93384851999999996</v>
      </c>
      <c r="AE36">
        <v>2.5633764530000001</v>
      </c>
      <c r="AF36">
        <v>3.0522261620000002</v>
      </c>
      <c r="AG36">
        <v>7.5354395729999997</v>
      </c>
      <c r="AH36">
        <v>5.3700229999999998E-3</v>
      </c>
      <c r="AI36">
        <v>2.1111339610000002</v>
      </c>
    </row>
    <row r="37" spans="1:35" x14ac:dyDescent="0.2">
      <c r="A37">
        <v>76</v>
      </c>
      <c r="B37" t="s">
        <v>189</v>
      </c>
      <c r="C37" t="s">
        <v>175</v>
      </c>
      <c r="D37" t="s">
        <v>140</v>
      </c>
      <c r="E37" s="11">
        <v>2.4899999999999999E-6</v>
      </c>
      <c r="F37" s="11">
        <v>7.7199999999999998E-7</v>
      </c>
      <c r="G37">
        <v>0.310601499</v>
      </c>
      <c r="H37">
        <v>-0.96677273500000005</v>
      </c>
      <c r="I37" s="11">
        <v>3.2600000000000001E-6</v>
      </c>
      <c r="J37">
        <v>0.29191489399999998</v>
      </c>
      <c r="K37">
        <v>3.3055789999999999E-3</v>
      </c>
      <c r="L37">
        <v>1.7581005199999999</v>
      </c>
      <c r="M37">
        <v>3.6726020000000001E-3</v>
      </c>
      <c r="N37">
        <v>3.7905069999999998E-3</v>
      </c>
      <c r="O37">
        <v>1.18793E-3</v>
      </c>
      <c r="P37">
        <v>2.062437E-2</v>
      </c>
      <c r="Q37">
        <v>0.93158660000000004</v>
      </c>
      <c r="R37">
        <v>5.630768336</v>
      </c>
      <c r="S37">
        <v>3.4581159999999998E-3</v>
      </c>
      <c r="T37">
        <v>2.906741E-3</v>
      </c>
      <c r="U37">
        <v>2.6448794000000001E-2</v>
      </c>
      <c r="V37">
        <v>2.4120922999999999E-2</v>
      </c>
      <c r="W37">
        <v>0.91198574099999996</v>
      </c>
      <c r="X37">
        <v>6.205211502</v>
      </c>
      <c r="Y37">
        <v>0.52247339900000001</v>
      </c>
      <c r="Z37">
        <v>0.29061853199999998</v>
      </c>
      <c r="AA37">
        <v>1.4230689999999999E-3</v>
      </c>
      <c r="AB37">
        <v>-1</v>
      </c>
      <c r="AC37">
        <v>1.225454E-3</v>
      </c>
      <c r="AD37">
        <v>0.85073507699999995</v>
      </c>
      <c r="AE37">
        <v>8.7458218000000004E-2</v>
      </c>
      <c r="AF37">
        <v>0.34126762999999999</v>
      </c>
      <c r="AG37">
        <v>3.0498027E-2</v>
      </c>
      <c r="AH37">
        <v>4.4184399999999999E-4</v>
      </c>
      <c r="AI37">
        <v>0.17439353599999999</v>
      </c>
    </row>
    <row r="38" spans="1:35" x14ac:dyDescent="0.2">
      <c r="A38">
        <v>77</v>
      </c>
      <c r="B38" t="s">
        <v>190</v>
      </c>
      <c r="C38" t="s">
        <v>175</v>
      </c>
      <c r="D38" t="s">
        <v>191</v>
      </c>
      <c r="E38" s="11">
        <v>2.1299999999999999E-6</v>
      </c>
      <c r="F38" s="11">
        <v>6.6700000000000003E-7</v>
      </c>
      <c r="G38">
        <v>0.312962611</v>
      </c>
      <c r="H38">
        <v>-1.0216211959999999</v>
      </c>
      <c r="I38" s="11">
        <v>2.7999999999999999E-6</v>
      </c>
      <c r="J38">
        <v>0.29191489399999998</v>
      </c>
      <c r="K38">
        <v>2.671423E-3</v>
      </c>
      <c r="L38">
        <v>1.7568322080000001</v>
      </c>
      <c r="M38">
        <v>2.9805470000000001E-3</v>
      </c>
      <c r="N38">
        <v>3.0543670000000001E-3</v>
      </c>
      <c r="O38">
        <v>9.60033E-4</v>
      </c>
      <c r="P38">
        <v>1.6689599999999999E-2</v>
      </c>
      <c r="Q38">
        <v>0.92885704499999999</v>
      </c>
      <c r="R38">
        <v>5.6065214760000002</v>
      </c>
      <c r="S38">
        <v>2.851353E-3</v>
      </c>
      <c r="T38">
        <v>2.3810770000000001E-3</v>
      </c>
      <c r="U38">
        <v>2.1808076999999999E-2</v>
      </c>
      <c r="V38">
        <v>1.975882E-2</v>
      </c>
      <c r="W38">
        <v>0.90603220100000004</v>
      </c>
      <c r="X38">
        <v>6.3976008179999999</v>
      </c>
      <c r="Y38">
        <v>0.46724248600000001</v>
      </c>
      <c r="Z38">
        <v>0.28929607200000002</v>
      </c>
      <c r="AA38">
        <v>1.205533E-3</v>
      </c>
      <c r="AB38">
        <v>-1</v>
      </c>
      <c r="AC38">
        <v>1.0382989999999999E-3</v>
      </c>
      <c r="AD38">
        <v>0.84592788200000002</v>
      </c>
      <c r="AE38">
        <v>7.8268296000000001E-2</v>
      </c>
      <c r="AF38">
        <v>0.30818344199999997</v>
      </c>
      <c r="AG38">
        <v>2.60751E-2</v>
      </c>
      <c r="AH38">
        <v>3.7436400000000002E-4</v>
      </c>
      <c r="AI38">
        <v>0.15737563199999999</v>
      </c>
    </row>
    <row r="39" spans="1:35" x14ac:dyDescent="0.2">
      <c r="A39">
        <v>78</v>
      </c>
      <c r="B39" t="s">
        <v>192</v>
      </c>
      <c r="C39" t="s">
        <v>175</v>
      </c>
      <c r="D39" t="s">
        <v>193</v>
      </c>
      <c r="E39" s="11">
        <v>1.31E-6</v>
      </c>
      <c r="F39" s="11">
        <v>4.1100000000000001E-7</v>
      </c>
      <c r="G39">
        <v>0.31309327999999997</v>
      </c>
      <c r="H39">
        <v>-0.824460584</v>
      </c>
      <c r="I39" s="11">
        <v>1.72E-6</v>
      </c>
      <c r="J39">
        <v>0.29191489399999998</v>
      </c>
      <c r="K39">
        <v>1.665908E-3</v>
      </c>
      <c r="L39">
        <v>1.754821177</v>
      </c>
      <c r="M39">
        <v>1.8817770000000001E-3</v>
      </c>
      <c r="N39">
        <v>1.8795070000000001E-3</v>
      </c>
      <c r="O39">
        <v>5.9867899999999996E-4</v>
      </c>
      <c r="P39">
        <v>1.0339549999999999E-2</v>
      </c>
      <c r="Q39">
        <v>0.91672030999999998</v>
      </c>
      <c r="R39">
        <v>5.5210009680000001</v>
      </c>
      <c r="S39">
        <v>1.709126E-3</v>
      </c>
      <c r="T39">
        <v>1.38299E-3</v>
      </c>
      <c r="U39">
        <v>1.3071948E-2</v>
      </c>
      <c r="V39">
        <v>1.1476425E-2</v>
      </c>
      <c r="W39">
        <v>0.87794298100000001</v>
      </c>
      <c r="X39">
        <v>6.8708871599999997</v>
      </c>
      <c r="Y39">
        <v>0.36626398999999998</v>
      </c>
      <c r="Z39">
        <v>0.28499186399999998</v>
      </c>
      <c r="AA39">
        <v>8.0121299999999995E-4</v>
      </c>
      <c r="AB39">
        <v>-1</v>
      </c>
      <c r="AC39">
        <v>6.9065499999999998E-4</v>
      </c>
      <c r="AD39">
        <v>0.86449647900000004</v>
      </c>
      <c r="AE39">
        <v>6.1471643999999999E-2</v>
      </c>
      <c r="AF39">
        <v>0.245997782</v>
      </c>
      <c r="AG39">
        <v>1.7630890999999999E-2</v>
      </c>
      <c r="AH39">
        <v>2.4901900000000001E-4</v>
      </c>
      <c r="AI39">
        <v>0.12537852999999999</v>
      </c>
    </row>
    <row r="40" spans="1:35" x14ac:dyDescent="0.2">
      <c r="A40">
        <v>79</v>
      </c>
      <c r="B40" t="s">
        <v>194</v>
      </c>
      <c r="C40" t="s">
        <v>175</v>
      </c>
      <c r="D40" t="s">
        <v>142</v>
      </c>
      <c r="E40" s="11">
        <v>7.5100000000000001E-6</v>
      </c>
      <c r="F40" s="11">
        <v>2.34E-6</v>
      </c>
      <c r="G40">
        <v>0.311464464</v>
      </c>
      <c r="H40">
        <v>0.80134757700000003</v>
      </c>
      <c r="I40" s="11">
        <v>9.8400000000000007E-6</v>
      </c>
      <c r="J40">
        <v>0.28900913299999997</v>
      </c>
      <c r="K40">
        <v>1.1011587E-2</v>
      </c>
      <c r="L40">
        <v>1.756077968</v>
      </c>
      <c r="M40">
        <v>1.2030094E-2</v>
      </c>
      <c r="N40">
        <v>1.2774271E-2</v>
      </c>
      <c r="O40">
        <v>3.957248E-3</v>
      </c>
      <c r="P40">
        <v>3.4130849999999997E-2</v>
      </c>
      <c r="Q40">
        <v>0.89293305700000003</v>
      </c>
      <c r="R40">
        <v>5.4258600360000004</v>
      </c>
      <c r="S40">
        <v>1.7652155999999999E-2</v>
      </c>
      <c r="T40">
        <v>1.7066876000000002E-2</v>
      </c>
      <c r="U40">
        <v>0.13500942299999999</v>
      </c>
      <c r="V40">
        <v>0.14162556500000001</v>
      </c>
      <c r="W40">
        <v>1.0490050390000001</v>
      </c>
      <c r="X40">
        <v>3.3055808459999998</v>
      </c>
      <c r="Y40">
        <v>15.375832190000001</v>
      </c>
      <c r="Z40">
        <v>1.162923039</v>
      </c>
      <c r="AA40">
        <v>1.7847304000000001E-2</v>
      </c>
      <c r="AB40">
        <v>0.88578972899999997</v>
      </c>
      <c r="AC40">
        <v>0.723674076</v>
      </c>
      <c r="AD40">
        <v>1.0602448600000001</v>
      </c>
      <c r="AE40">
        <v>1.913447906</v>
      </c>
      <c r="AF40">
        <v>1.6492694809999999</v>
      </c>
      <c r="AG40">
        <v>3.903243163</v>
      </c>
      <c r="AH40">
        <v>5.3709129999999997E-3</v>
      </c>
      <c r="AI40">
        <v>1.127955555</v>
      </c>
    </row>
    <row r="41" spans="1:35" x14ac:dyDescent="0.2">
      <c r="A41">
        <v>80</v>
      </c>
      <c r="B41" t="s">
        <v>195</v>
      </c>
      <c r="C41" t="s">
        <v>175</v>
      </c>
      <c r="D41" t="s">
        <v>196</v>
      </c>
      <c r="E41" s="11">
        <v>6.8399999999999997E-6</v>
      </c>
      <c r="F41" s="11">
        <v>2.1100000000000001E-6</v>
      </c>
      <c r="G41">
        <v>0.30882983899999999</v>
      </c>
      <c r="H41">
        <v>-0.49714082999999998</v>
      </c>
      <c r="I41" s="11">
        <v>8.9500000000000007E-6</v>
      </c>
      <c r="J41">
        <v>0.41912909599999998</v>
      </c>
      <c r="K41">
        <v>1.511113747</v>
      </c>
      <c r="L41">
        <v>5.5370020699999998</v>
      </c>
      <c r="M41">
        <v>0.54548544899999996</v>
      </c>
      <c r="N41">
        <v>1.4516462000000001E-2</v>
      </c>
      <c r="O41">
        <v>4.4912090000000003E-3</v>
      </c>
      <c r="P41">
        <v>0.28952021999999999</v>
      </c>
      <c r="Q41">
        <v>1.278370725</v>
      </c>
      <c r="R41">
        <v>8.2492647960000003</v>
      </c>
      <c r="S41">
        <v>2.6372029000000002E-2</v>
      </c>
      <c r="T41">
        <v>2.3250125E-2</v>
      </c>
      <c r="U41">
        <v>0.20170184599999999</v>
      </c>
      <c r="V41">
        <v>0.19293584</v>
      </c>
      <c r="W41">
        <v>0.95653978299999998</v>
      </c>
      <c r="X41">
        <v>4.7900739540000004</v>
      </c>
      <c r="Y41">
        <v>4.7817667070000001</v>
      </c>
      <c r="Z41">
        <v>0.29713108300000002</v>
      </c>
      <c r="AA41">
        <v>4.8190719999999998E-3</v>
      </c>
      <c r="AB41">
        <v>-0.15794065500000001</v>
      </c>
      <c r="AC41">
        <v>0.591026308</v>
      </c>
      <c r="AD41">
        <v>0.86212952300000001</v>
      </c>
      <c r="AE41">
        <v>0.243605395</v>
      </c>
      <c r="AF41">
        <v>0.82827905400000001</v>
      </c>
      <c r="AG41">
        <v>0.78673273200000005</v>
      </c>
      <c r="AH41">
        <v>1.4951509999999999E-3</v>
      </c>
      <c r="AI41">
        <v>0.47737495899999999</v>
      </c>
    </row>
    <row r="42" spans="1:35" x14ac:dyDescent="0.2">
      <c r="A42">
        <v>81</v>
      </c>
      <c r="B42" t="s">
        <v>197</v>
      </c>
      <c r="C42" t="s">
        <v>175</v>
      </c>
      <c r="D42" t="s">
        <v>144</v>
      </c>
      <c r="E42" s="11">
        <v>8.0099999999999995E-6</v>
      </c>
      <c r="F42" s="11">
        <v>2.48E-6</v>
      </c>
      <c r="G42">
        <v>0.31009410300000001</v>
      </c>
      <c r="H42">
        <v>2.9817719999999999E-2</v>
      </c>
      <c r="I42" s="11">
        <v>1.0499999999999999E-5</v>
      </c>
      <c r="J42">
        <v>0.20503364600000001</v>
      </c>
      <c r="K42">
        <v>5.8916660000000003E-3</v>
      </c>
      <c r="L42">
        <v>1.2419852060000001</v>
      </c>
      <c r="M42">
        <v>9.4984900000000001E-3</v>
      </c>
      <c r="N42">
        <v>6.8442980000000004E-3</v>
      </c>
      <c r="O42">
        <v>2.1172949999999999E-3</v>
      </c>
      <c r="P42">
        <v>1.8530399999999999E-2</v>
      </c>
      <c r="Q42">
        <v>0.64467695899999999</v>
      </c>
      <c r="R42">
        <v>3.9051225559999998</v>
      </c>
      <c r="S42">
        <v>1.1760576999999999E-2</v>
      </c>
      <c r="T42">
        <v>1.1030751E-2</v>
      </c>
      <c r="U42">
        <v>8.9948712E-2</v>
      </c>
      <c r="V42">
        <v>9.1536163000000004E-2</v>
      </c>
      <c r="W42">
        <v>1.0176484020000001</v>
      </c>
      <c r="X42">
        <v>4.4855690770000001</v>
      </c>
      <c r="Y42">
        <v>1.1299305239999999</v>
      </c>
      <c r="Z42">
        <v>0.30360650500000003</v>
      </c>
      <c r="AA42">
        <v>6.2695529999999998E-3</v>
      </c>
      <c r="AB42">
        <v>-9.9169533000000004E-2</v>
      </c>
      <c r="AC42">
        <v>5.3905289999999998E-3</v>
      </c>
      <c r="AD42">
        <v>0.88722553900000001</v>
      </c>
      <c r="AE42">
        <v>0.18651042000000001</v>
      </c>
      <c r="AF42">
        <v>0.60000988</v>
      </c>
      <c r="AG42">
        <v>0.110625309</v>
      </c>
      <c r="AH42">
        <v>1.9435839999999999E-3</v>
      </c>
      <c r="AI42">
        <v>0.31094307100000002</v>
      </c>
    </row>
    <row r="43" spans="1:35" x14ac:dyDescent="0.2">
      <c r="A43">
        <v>82</v>
      </c>
      <c r="B43" t="s">
        <v>198</v>
      </c>
      <c r="C43" t="s">
        <v>175</v>
      </c>
      <c r="D43" t="s">
        <v>146</v>
      </c>
      <c r="E43" s="11">
        <v>6.9399999999999996E-6</v>
      </c>
      <c r="F43" s="11">
        <v>2.1600000000000001E-6</v>
      </c>
      <c r="G43">
        <v>0.31066960900000001</v>
      </c>
      <c r="H43">
        <v>-0.40363551800000003</v>
      </c>
      <c r="I43" s="11">
        <v>9.0899999999999994E-6</v>
      </c>
      <c r="J43">
        <v>0.222693223</v>
      </c>
      <c r="K43">
        <v>4.7091670000000002E-3</v>
      </c>
      <c r="L43">
        <v>1.3455776690000001</v>
      </c>
      <c r="M43">
        <v>6.9736210000000002E-3</v>
      </c>
      <c r="N43">
        <v>5.4657009999999999E-3</v>
      </c>
      <c r="O43">
        <v>1.692339E-3</v>
      </c>
      <c r="P43">
        <v>1.4878860000000001E-2</v>
      </c>
      <c r="Q43">
        <v>0.70349083300000004</v>
      </c>
      <c r="R43">
        <v>4.2507027160000002</v>
      </c>
      <c r="S43">
        <v>1.0072105E-2</v>
      </c>
      <c r="T43">
        <v>9.1310839999999994E-3</v>
      </c>
      <c r="U43">
        <v>7.7034728999999996E-2</v>
      </c>
      <c r="V43">
        <v>7.5772210000000007E-2</v>
      </c>
      <c r="W43">
        <v>0.98361104099999996</v>
      </c>
      <c r="X43">
        <v>5.0380995029999998</v>
      </c>
      <c r="Y43">
        <v>1.2270730729999999</v>
      </c>
      <c r="Z43">
        <v>0.299035367</v>
      </c>
      <c r="AA43">
        <v>3.8944539999999999E-3</v>
      </c>
      <c r="AB43">
        <v>-9.6575011000000002E-2</v>
      </c>
      <c r="AC43">
        <v>3.3490719999999998E-3</v>
      </c>
      <c r="AD43">
        <v>0.87080023200000001</v>
      </c>
      <c r="AE43">
        <v>0.20495072</v>
      </c>
      <c r="AF43">
        <v>0.72345764700000004</v>
      </c>
      <c r="AG43">
        <v>7.5413026999999994E-2</v>
      </c>
      <c r="AH43">
        <v>1.207526E-3</v>
      </c>
      <c r="AI43">
        <v>0.37051601200000001</v>
      </c>
    </row>
    <row r="44" spans="1:35" x14ac:dyDescent="0.2">
      <c r="A44">
        <v>83</v>
      </c>
      <c r="B44" t="s">
        <v>199</v>
      </c>
      <c r="C44" t="s">
        <v>175</v>
      </c>
      <c r="D44" t="s">
        <v>200</v>
      </c>
      <c r="E44" s="11">
        <v>1.2699999999999999E-6</v>
      </c>
      <c r="F44" s="11">
        <v>3.9999999999999998E-7</v>
      </c>
      <c r="G44">
        <v>0.31529159600000001</v>
      </c>
      <c r="H44">
        <v>-9.0446473999999999E-2</v>
      </c>
      <c r="I44" s="11">
        <v>1.6700000000000001E-6</v>
      </c>
      <c r="J44">
        <v>0.29191489399999998</v>
      </c>
      <c r="K44">
        <v>2.900484E-3</v>
      </c>
      <c r="L44">
        <v>1.75729033</v>
      </c>
      <c r="M44">
        <v>3.2303179999999998E-3</v>
      </c>
      <c r="N44">
        <v>3.2694809999999999E-3</v>
      </c>
      <c r="O44">
        <v>1.042351E-3</v>
      </c>
      <c r="P44">
        <v>1.783452E-2</v>
      </c>
      <c r="Q44">
        <v>0.91585873100000004</v>
      </c>
      <c r="R44">
        <v>5.5308214260000002</v>
      </c>
      <c r="S44">
        <v>2.5888040000000001E-3</v>
      </c>
      <c r="T44">
        <v>2.563587E-3</v>
      </c>
      <c r="U44">
        <v>1.9800010999999999E-2</v>
      </c>
      <c r="V44">
        <v>2.1273337E-2</v>
      </c>
      <c r="W44">
        <v>1.0744103629999999</v>
      </c>
      <c r="X44">
        <v>4.6752154529999999</v>
      </c>
      <c r="Y44">
        <v>1.696808603</v>
      </c>
      <c r="Z44">
        <v>0.31254313099999997</v>
      </c>
      <c r="AA44">
        <v>5.317507E-3</v>
      </c>
      <c r="AB44">
        <v>-3.5644400999999999E-2</v>
      </c>
      <c r="AC44">
        <v>4.578075E-3</v>
      </c>
      <c r="AD44">
        <v>0.85212362799999997</v>
      </c>
      <c r="AE44">
        <v>0.28345880499999998</v>
      </c>
      <c r="AF44">
        <v>0.94452740400000001</v>
      </c>
      <c r="AG44">
        <v>9.7295074999999995E-2</v>
      </c>
      <c r="AH44">
        <v>1.6506489999999999E-3</v>
      </c>
      <c r="AI44">
        <v>0.48364778899999999</v>
      </c>
    </row>
    <row r="45" spans="1:35" x14ac:dyDescent="0.2">
      <c r="A45">
        <v>84</v>
      </c>
      <c r="B45" t="s">
        <v>201</v>
      </c>
      <c r="C45" t="s">
        <v>175</v>
      </c>
      <c r="D45" t="s">
        <v>148</v>
      </c>
      <c r="E45" s="11">
        <v>6.7499999999999997E-6</v>
      </c>
      <c r="F45" s="11">
        <v>2.1299999999999999E-6</v>
      </c>
      <c r="G45">
        <v>0.31568981000000002</v>
      </c>
      <c r="H45">
        <v>-1.027707675</v>
      </c>
      <c r="I45" s="11">
        <v>8.8799999999999997E-6</v>
      </c>
      <c r="J45">
        <v>0.29191489399999998</v>
      </c>
      <c r="K45">
        <v>1.2282298000000001E-2</v>
      </c>
      <c r="L45">
        <v>1.7760539580000001</v>
      </c>
      <c r="M45">
        <v>1.281239E-2</v>
      </c>
      <c r="N45">
        <v>1.4251653E-2</v>
      </c>
      <c r="O45">
        <v>4.4137539999999998E-3</v>
      </c>
      <c r="P45">
        <v>7.3229920000000004E-2</v>
      </c>
      <c r="Q45">
        <v>0.94253765</v>
      </c>
      <c r="R45">
        <v>5.80168573</v>
      </c>
      <c r="S45">
        <v>1.2396905E-2</v>
      </c>
      <c r="T45">
        <v>1.0898043E-2</v>
      </c>
      <c r="U45">
        <v>9.4815561000000007E-2</v>
      </c>
      <c r="V45">
        <v>9.0434918000000003E-2</v>
      </c>
      <c r="W45">
        <v>0.95379826899999998</v>
      </c>
      <c r="X45">
        <v>6.0829058749999998</v>
      </c>
      <c r="Y45">
        <v>0.39017215100000002</v>
      </c>
      <c r="Z45">
        <v>0.286620559</v>
      </c>
      <c r="AA45">
        <v>1.5808350000000001E-3</v>
      </c>
      <c r="AB45">
        <v>-1</v>
      </c>
      <c r="AC45">
        <v>1.0935728E-2</v>
      </c>
      <c r="AD45">
        <v>0.86128998300000004</v>
      </c>
      <c r="AE45">
        <v>5.5688585999999998E-2</v>
      </c>
      <c r="AF45">
        <v>0.21569998400000001</v>
      </c>
      <c r="AG45">
        <v>0.270286886</v>
      </c>
      <c r="AH45">
        <v>4.9093599999999998E-4</v>
      </c>
      <c r="AI45">
        <v>0.129283495</v>
      </c>
    </row>
    <row r="46" spans="1:35" x14ac:dyDescent="0.2">
      <c r="A46">
        <v>85</v>
      </c>
      <c r="B46" t="s">
        <v>202</v>
      </c>
      <c r="C46" t="s">
        <v>175</v>
      </c>
      <c r="D46" t="s">
        <v>150</v>
      </c>
      <c r="E46" s="11">
        <v>6.9399999999999996E-6</v>
      </c>
      <c r="F46" s="11">
        <v>2.17E-6</v>
      </c>
      <c r="G46">
        <v>0.31219858299999997</v>
      </c>
      <c r="H46">
        <v>-0.41510914199999999</v>
      </c>
      <c r="I46" s="11">
        <v>9.1099999999999992E-6</v>
      </c>
      <c r="J46">
        <v>0.22259706100000001</v>
      </c>
      <c r="K46">
        <v>4.7002290000000002E-3</v>
      </c>
      <c r="L46">
        <v>1.3449828269999999</v>
      </c>
      <c r="M46">
        <v>7.0123540000000002E-3</v>
      </c>
      <c r="N46">
        <v>5.4555519999999998E-3</v>
      </c>
      <c r="O46">
        <v>1.6891269999999999E-3</v>
      </c>
      <c r="P46">
        <v>1.485185E-2</v>
      </c>
      <c r="Q46">
        <v>0.70324629299999997</v>
      </c>
      <c r="R46">
        <v>4.2491814640000003</v>
      </c>
      <c r="S46">
        <v>1.0054966E-2</v>
      </c>
      <c r="T46">
        <v>9.1220439999999993E-3</v>
      </c>
      <c r="U46">
        <v>7.6903651000000003E-2</v>
      </c>
      <c r="V46">
        <v>7.5697196999999994E-2</v>
      </c>
      <c r="W46">
        <v>0.984312136</v>
      </c>
      <c r="X46">
        <v>5.0461567980000002</v>
      </c>
      <c r="Y46">
        <v>1.219883067</v>
      </c>
      <c r="Z46">
        <v>0.29865640900000001</v>
      </c>
      <c r="AA46">
        <v>3.8675229999999999E-3</v>
      </c>
      <c r="AB46">
        <v>-0.102550616</v>
      </c>
      <c r="AC46">
        <v>3.3259079999999998E-3</v>
      </c>
      <c r="AD46">
        <v>0.87072433599999999</v>
      </c>
      <c r="AE46">
        <v>0.20375321599999999</v>
      </c>
      <c r="AF46">
        <v>0.72000619499999996</v>
      </c>
      <c r="AG46">
        <v>7.4972428999999993E-2</v>
      </c>
      <c r="AH46">
        <v>1.1991739999999999E-3</v>
      </c>
      <c r="AI46">
        <v>0.36874222899999998</v>
      </c>
    </row>
    <row r="47" spans="1:35" x14ac:dyDescent="0.2">
      <c r="A47">
        <v>86</v>
      </c>
      <c r="B47" t="s">
        <v>203</v>
      </c>
      <c r="C47" t="s">
        <v>175</v>
      </c>
      <c r="D47" t="s">
        <v>204</v>
      </c>
      <c r="E47" s="11">
        <v>5.6099999999999997E-6</v>
      </c>
      <c r="F47" s="11">
        <v>1.73E-6</v>
      </c>
      <c r="G47">
        <v>0.30905258899999999</v>
      </c>
      <c r="H47">
        <v>-0.71368427099999998</v>
      </c>
      <c r="I47" s="11">
        <v>7.34E-6</v>
      </c>
      <c r="J47">
        <v>0.29191489399999998</v>
      </c>
      <c r="K47">
        <v>1.1990130999999999E-2</v>
      </c>
      <c r="L47">
        <v>1.7754696240000001</v>
      </c>
      <c r="M47">
        <v>8.5379070000000008E-3</v>
      </c>
      <c r="N47">
        <v>1.3893587000000001E-2</v>
      </c>
      <c r="O47">
        <v>4.3089080000000002E-3</v>
      </c>
      <c r="P47">
        <v>6.0900089999999997E-2</v>
      </c>
      <c r="Q47">
        <v>1.2244092639999999</v>
      </c>
      <c r="R47">
        <v>7.4682557679999997</v>
      </c>
      <c r="S47">
        <v>1.0723658E-2</v>
      </c>
      <c r="T47">
        <v>9.5089800000000002E-3</v>
      </c>
      <c r="U47">
        <v>8.2018022999999995E-2</v>
      </c>
      <c r="V47">
        <v>7.8908097999999996E-2</v>
      </c>
      <c r="W47">
        <v>0.96208241900000002</v>
      </c>
      <c r="X47">
        <v>6.4322575210000004</v>
      </c>
      <c r="Y47">
        <v>0.45159147199999999</v>
      </c>
      <c r="Z47">
        <v>0.28461505100000001</v>
      </c>
      <c r="AA47">
        <v>1.1678039999999999E-3</v>
      </c>
      <c r="AB47">
        <v>-1</v>
      </c>
      <c r="AC47">
        <v>1.007759E-3</v>
      </c>
      <c r="AD47">
        <v>0.83468815200000002</v>
      </c>
      <c r="AE47">
        <v>7.5642505999999998E-2</v>
      </c>
      <c r="AF47">
        <v>0.30344101899999998</v>
      </c>
      <c r="AG47">
        <v>2.5319845000000001E-2</v>
      </c>
      <c r="AH47">
        <v>3.6335300000000002E-4</v>
      </c>
      <c r="AI47">
        <v>0.15492701</v>
      </c>
    </row>
    <row r="48" spans="1:35" x14ac:dyDescent="0.2">
      <c r="A48">
        <v>87</v>
      </c>
      <c r="B48" t="s">
        <v>205</v>
      </c>
      <c r="C48" t="s">
        <v>175</v>
      </c>
      <c r="D48" t="s">
        <v>152</v>
      </c>
      <c r="E48" s="11">
        <v>7.4699999999999996E-6</v>
      </c>
      <c r="F48" s="11">
        <v>2.3300000000000001E-6</v>
      </c>
      <c r="G48">
        <v>0.31220592800000002</v>
      </c>
      <c r="H48">
        <v>0.80188564100000004</v>
      </c>
      <c r="I48" s="11">
        <v>9.7999999999999993E-6</v>
      </c>
      <c r="J48">
        <v>0.29648898400000001</v>
      </c>
      <c r="K48">
        <v>1.1713840999999999E-2</v>
      </c>
      <c r="L48">
        <v>1.8023615879999999</v>
      </c>
      <c r="M48">
        <v>1.1966146E-2</v>
      </c>
      <c r="N48">
        <v>1.3606106999999999E-2</v>
      </c>
      <c r="O48">
        <v>4.2096169999999997E-3</v>
      </c>
      <c r="P48">
        <v>3.5380040000000001E-2</v>
      </c>
      <c r="Q48">
        <v>0.92749873900000002</v>
      </c>
      <c r="R48">
        <v>5.6357525060000002</v>
      </c>
      <c r="S48">
        <v>1.7635222999999998E-2</v>
      </c>
      <c r="T48">
        <v>1.6962018999999998E-2</v>
      </c>
      <c r="U48">
        <v>0.13487991399999999</v>
      </c>
      <c r="V48">
        <v>0.14075543400000001</v>
      </c>
      <c r="W48">
        <v>1.043561119</v>
      </c>
      <c r="X48">
        <v>3.304826308</v>
      </c>
      <c r="Y48">
        <v>15.373072820000001</v>
      </c>
      <c r="Z48">
        <v>1.1627635329999999</v>
      </c>
      <c r="AA48">
        <v>1.7848683000000001E-2</v>
      </c>
      <c r="AB48">
        <v>0.88275853400000004</v>
      </c>
      <c r="AC48">
        <v>0.724900082</v>
      </c>
      <c r="AD48">
        <v>1.05995471</v>
      </c>
      <c r="AE48">
        <v>1.9118023850000001</v>
      </c>
      <c r="AF48">
        <v>1.6495462279999999</v>
      </c>
      <c r="AG48">
        <v>3.860263008</v>
      </c>
      <c r="AH48">
        <v>5.3744049999999996E-3</v>
      </c>
      <c r="AI48">
        <v>1.1248319710000001</v>
      </c>
    </row>
    <row r="49" spans="1:35" x14ac:dyDescent="0.2">
      <c r="A49">
        <v>88</v>
      </c>
      <c r="B49" t="s">
        <v>206</v>
      </c>
      <c r="C49" t="s">
        <v>175</v>
      </c>
      <c r="D49" t="s">
        <v>207</v>
      </c>
      <c r="E49" s="11">
        <v>5.66E-6</v>
      </c>
      <c r="F49" s="11">
        <v>1.7600000000000001E-6</v>
      </c>
      <c r="G49">
        <v>0.31064854800000002</v>
      </c>
      <c r="H49">
        <v>-0.79535395799999997</v>
      </c>
      <c r="I49" s="11">
        <v>7.4200000000000001E-6</v>
      </c>
      <c r="J49">
        <v>0.29191434300000002</v>
      </c>
      <c r="K49">
        <v>1.0071963999999999E-2</v>
      </c>
      <c r="L49">
        <v>1.7716299879999999</v>
      </c>
      <c r="M49">
        <v>1.1617615E-2</v>
      </c>
      <c r="N49">
        <v>1.1669852E-2</v>
      </c>
      <c r="O49">
        <v>3.619574E-3</v>
      </c>
      <c r="P49">
        <v>5.5250229999999997E-2</v>
      </c>
      <c r="Q49">
        <v>1.0926518430000001</v>
      </c>
      <c r="R49">
        <v>6.6664115180000003</v>
      </c>
      <c r="S49">
        <v>9.3384479999999992E-3</v>
      </c>
      <c r="T49">
        <v>8.8688989999999995E-3</v>
      </c>
      <c r="U49">
        <v>7.1423484999999995E-2</v>
      </c>
      <c r="V49">
        <v>7.3596525999999995E-2</v>
      </c>
      <c r="W49">
        <v>1.030424741</v>
      </c>
      <c r="X49">
        <v>5.8394737680000004</v>
      </c>
      <c r="Y49">
        <v>0.66261796900000003</v>
      </c>
      <c r="Z49">
        <v>0.28813198800000001</v>
      </c>
      <c r="AA49">
        <v>1.9499929999999999E-3</v>
      </c>
      <c r="AB49">
        <v>-1</v>
      </c>
      <c r="AC49">
        <v>1.6792790000000001E-3</v>
      </c>
      <c r="AD49">
        <v>0.85069768999999995</v>
      </c>
      <c r="AE49">
        <v>0.11079723399999999</v>
      </c>
      <c r="AF49">
        <v>0.42283752899999999</v>
      </c>
      <c r="AG49">
        <v>4.0873855000000001E-2</v>
      </c>
      <c r="AH49">
        <v>6.0547300000000004E-4</v>
      </c>
      <c r="AI49">
        <v>0.21631144299999999</v>
      </c>
    </row>
    <row r="50" spans="1:35" x14ac:dyDescent="0.2">
      <c r="A50">
        <v>89</v>
      </c>
      <c r="B50" t="s">
        <v>208</v>
      </c>
      <c r="C50" t="s">
        <v>175</v>
      </c>
      <c r="D50" t="s">
        <v>209</v>
      </c>
      <c r="E50" s="11">
        <v>7.0800000000000004E-7</v>
      </c>
      <c r="F50" s="11">
        <v>2.2499999999999999E-7</v>
      </c>
      <c r="G50">
        <v>0.31843135700000003</v>
      </c>
      <c r="H50">
        <v>-0.28637900799999999</v>
      </c>
      <c r="I50" s="11">
        <v>9.33E-7</v>
      </c>
      <c r="J50">
        <v>0.29191489399999998</v>
      </c>
      <c r="K50">
        <v>1.420248E-3</v>
      </c>
      <c r="L50">
        <v>1.754329858</v>
      </c>
      <c r="M50">
        <v>1.6064320000000001E-3</v>
      </c>
      <c r="N50">
        <v>1.554868E-3</v>
      </c>
      <c r="O50">
        <v>5.1039599999999998E-4</v>
      </c>
      <c r="P50">
        <v>8.5494200000000003E-3</v>
      </c>
      <c r="Q50">
        <v>0.89044041900000004</v>
      </c>
      <c r="R50">
        <v>5.3597413500000002</v>
      </c>
      <c r="S50">
        <v>1.227842E-3</v>
      </c>
      <c r="T50">
        <v>1.208827E-3</v>
      </c>
      <c r="U50">
        <v>9.3909379999999997E-3</v>
      </c>
      <c r="V50">
        <v>1.0031174E-2</v>
      </c>
      <c r="W50">
        <v>1.0681759369999999</v>
      </c>
      <c r="X50">
        <v>5.6250847400000001</v>
      </c>
      <c r="Y50">
        <v>0.75591452999999997</v>
      </c>
      <c r="Z50">
        <v>0.29686277100000003</v>
      </c>
      <c r="AA50">
        <v>2.3401770000000001E-3</v>
      </c>
      <c r="AB50">
        <v>-1</v>
      </c>
      <c r="AC50">
        <v>2.0198899999999999E-3</v>
      </c>
      <c r="AD50">
        <v>0.85190874599999999</v>
      </c>
      <c r="AE50">
        <v>0.12629743600000001</v>
      </c>
      <c r="AF50">
        <v>0.48479423999999999</v>
      </c>
      <c r="AG50">
        <v>4.9720140000000003E-2</v>
      </c>
      <c r="AH50">
        <v>7.2828200000000002E-4</v>
      </c>
      <c r="AI50">
        <v>0.248223627</v>
      </c>
    </row>
    <row r="51" spans="1:35" x14ac:dyDescent="0.2">
      <c r="A51">
        <v>90</v>
      </c>
      <c r="B51" t="s">
        <v>210</v>
      </c>
      <c r="C51" t="s">
        <v>175</v>
      </c>
      <c r="D51" t="s">
        <v>154</v>
      </c>
      <c r="E51" s="11">
        <v>5.5300000000000004E-6</v>
      </c>
      <c r="F51" s="11">
        <v>1.73E-6</v>
      </c>
      <c r="G51">
        <v>0.31205518199999999</v>
      </c>
      <c r="H51">
        <v>-0.71355591100000004</v>
      </c>
      <c r="I51" s="11">
        <v>7.2599999999999999E-6</v>
      </c>
      <c r="J51">
        <v>0.29191489399999998</v>
      </c>
      <c r="K51">
        <v>1.1326216E-2</v>
      </c>
      <c r="L51">
        <v>1.774141795</v>
      </c>
      <c r="M51">
        <v>8.5590230000000007E-3</v>
      </c>
      <c r="N51">
        <v>1.3121552999999999E-2</v>
      </c>
      <c r="O51">
        <v>4.070316E-3</v>
      </c>
      <c r="P51">
        <v>5.894895E-2</v>
      </c>
      <c r="Q51">
        <v>1.176038734</v>
      </c>
      <c r="R51">
        <v>7.1741303060000003</v>
      </c>
      <c r="S51">
        <v>1.0396155000000001E-2</v>
      </c>
      <c r="T51">
        <v>9.1951519999999998E-3</v>
      </c>
      <c r="U51">
        <v>7.9513170999999994E-2</v>
      </c>
      <c r="V51">
        <v>7.6303867999999997E-2</v>
      </c>
      <c r="W51">
        <v>0.95963809600000005</v>
      </c>
      <c r="X51">
        <v>6.5915522969999998</v>
      </c>
      <c r="Y51">
        <v>0.42033855599999997</v>
      </c>
      <c r="Z51">
        <v>0.28601147700000001</v>
      </c>
      <c r="AA51">
        <v>1.0184289999999999E-3</v>
      </c>
      <c r="AB51">
        <v>-1</v>
      </c>
      <c r="AC51">
        <v>8.7854299999999997E-4</v>
      </c>
      <c r="AD51">
        <v>0.83099659599999998</v>
      </c>
      <c r="AE51">
        <v>7.0464692999999995E-2</v>
      </c>
      <c r="AF51">
        <v>0.27918706100000001</v>
      </c>
      <c r="AG51">
        <v>2.2202032999999999E-2</v>
      </c>
      <c r="AH51">
        <v>3.1676399999999998E-4</v>
      </c>
      <c r="AI51">
        <v>0.14246067800000001</v>
      </c>
    </row>
    <row r="52" spans="1:35" x14ac:dyDescent="0.2">
      <c r="A52">
        <v>91</v>
      </c>
      <c r="B52" t="s">
        <v>211</v>
      </c>
      <c r="C52" t="s">
        <v>175</v>
      </c>
      <c r="D52" t="s">
        <v>156</v>
      </c>
      <c r="E52" s="11">
        <v>7.5100000000000001E-6</v>
      </c>
      <c r="F52" s="11">
        <v>2.3599999999999999E-6</v>
      </c>
      <c r="G52">
        <v>0.31403323599999999</v>
      </c>
      <c r="H52">
        <v>-0.23829292199999999</v>
      </c>
      <c r="I52" s="11">
        <v>9.8600000000000005E-6</v>
      </c>
      <c r="J52">
        <v>0.29191489399999998</v>
      </c>
      <c r="K52">
        <v>1.4670492E-2</v>
      </c>
      <c r="L52">
        <v>1.780830345</v>
      </c>
      <c r="M52">
        <v>1.2704933999999999E-2</v>
      </c>
      <c r="N52">
        <v>1.7036635000000001E-2</v>
      </c>
      <c r="O52">
        <v>5.2721529999999999E-3</v>
      </c>
      <c r="P52">
        <v>8.0075939999999998E-2</v>
      </c>
      <c r="Q52">
        <v>1.0582109770000001</v>
      </c>
      <c r="R52">
        <v>6.5094177359999996</v>
      </c>
      <c r="S52">
        <v>1.4276517000000001E-2</v>
      </c>
      <c r="T52">
        <v>1.2736457E-2</v>
      </c>
      <c r="U52">
        <v>0.109191445</v>
      </c>
      <c r="V52">
        <v>0.10569057</v>
      </c>
      <c r="W52">
        <v>0.96793819299999995</v>
      </c>
      <c r="X52">
        <v>4.6908690540000002</v>
      </c>
      <c r="Y52">
        <v>0.94414309200000002</v>
      </c>
      <c r="Z52">
        <v>0.31612296200000001</v>
      </c>
      <c r="AA52">
        <v>5.2510500000000002E-3</v>
      </c>
      <c r="AB52">
        <v>-0.88618691299999997</v>
      </c>
      <c r="AC52">
        <v>4.5167569999999997E-3</v>
      </c>
      <c r="AD52">
        <v>0.86694002000000003</v>
      </c>
      <c r="AE52">
        <v>0.15583161300000001</v>
      </c>
      <c r="AF52">
        <v>0.52097402699999995</v>
      </c>
      <c r="AG52">
        <v>9.6352918999999995E-2</v>
      </c>
      <c r="AH52">
        <v>1.6285410000000001E-3</v>
      </c>
      <c r="AI52">
        <v>0.27000707699999998</v>
      </c>
    </row>
    <row r="53" spans="1:35" x14ac:dyDescent="0.2">
      <c r="A53">
        <v>92</v>
      </c>
      <c r="B53" t="s">
        <v>212</v>
      </c>
      <c r="C53" t="s">
        <v>175</v>
      </c>
      <c r="D53" t="s">
        <v>158</v>
      </c>
      <c r="E53" s="11">
        <v>5.1599999999999997E-6</v>
      </c>
      <c r="F53" s="11">
        <v>1.6199999999999999E-6</v>
      </c>
      <c r="G53">
        <v>0.31356683499999999</v>
      </c>
      <c r="H53">
        <v>-0.71317423099999999</v>
      </c>
      <c r="I53" s="11">
        <v>6.7800000000000003E-6</v>
      </c>
      <c r="J53">
        <v>0.29191489399999998</v>
      </c>
      <c r="K53">
        <v>8.0848540000000007E-3</v>
      </c>
      <c r="L53">
        <v>1.7676590700000001</v>
      </c>
      <c r="M53">
        <v>8.6594989999999993E-3</v>
      </c>
      <c r="N53">
        <v>9.3614419999999993E-3</v>
      </c>
      <c r="O53">
        <v>2.905464E-3</v>
      </c>
      <c r="P53">
        <v>4.9378539999999999E-2</v>
      </c>
      <c r="Q53">
        <v>0.94052386200000004</v>
      </c>
      <c r="R53">
        <v>5.741900244</v>
      </c>
      <c r="S53">
        <v>8.3387010000000004E-3</v>
      </c>
      <c r="T53">
        <v>7.2474849999999997E-3</v>
      </c>
      <c r="U53">
        <v>6.3777094000000006E-2</v>
      </c>
      <c r="V53">
        <v>6.0141595999999999E-2</v>
      </c>
      <c r="W53">
        <v>0.94299680699999999</v>
      </c>
      <c r="X53">
        <v>5.9597734310000003</v>
      </c>
      <c r="Y53">
        <v>0.46622608100000001</v>
      </c>
      <c r="Z53">
        <v>0.29150242100000001</v>
      </c>
      <c r="AA53">
        <v>1.7533360000000001E-3</v>
      </c>
      <c r="AB53">
        <v>-1</v>
      </c>
      <c r="AC53">
        <v>1.513971E-3</v>
      </c>
      <c r="AD53">
        <v>0.85137050599999997</v>
      </c>
      <c r="AE53">
        <v>7.7639051000000001E-2</v>
      </c>
      <c r="AF53">
        <v>0.38891861599999999</v>
      </c>
      <c r="AG53">
        <v>6.4016914999999994E-2</v>
      </c>
      <c r="AH53">
        <v>5.4586999999999995E-4</v>
      </c>
      <c r="AI53">
        <v>0.20096550199999999</v>
      </c>
    </row>
    <row r="54" spans="1:35" x14ac:dyDescent="0.2">
      <c r="A54">
        <v>93</v>
      </c>
      <c r="B54" t="s">
        <v>213</v>
      </c>
      <c r="C54" t="s">
        <v>175</v>
      </c>
      <c r="D54" t="s">
        <v>214</v>
      </c>
      <c r="E54" s="11">
        <v>4.27E-7</v>
      </c>
      <c r="F54" s="11">
        <v>1.3899999999999999E-7</v>
      </c>
      <c r="G54">
        <v>0.32473373</v>
      </c>
      <c r="H54">
        <v>-0.63980804000000002</v>
      </c>
      <c r="I54" s="11">
        <v>5.6599999999999996E-7</v>
      </c>
      <c r="J54">
        <v>0.29191489399999998</v>
      </c>
      <c r="K54">
        <v>9.9796900000000003E-4</v>
      </c>
      <c r="L54">
        <v>1.7534852990000001</v>
      </c>
      <c r="M54">
        <v>1.1319699999999999E-3</v>
      </c>
      <c r="N54">
        <v>1.0461439999999999E-3</v>
      </c>
      <c r="O54">
        <v>3.58828E-4</v>
      </c>
      <c r="P54">
        <v>5.7685599999999998E-3</v>
      </c>
      <c r="Q54">
        <v>0.85408153200000003</v>
      </c>
      <c r="R54">
        <v>5.1360263039999996</v>
      </c>
      <c r="S54">
        <v>9.3572200000000005E-4</v>
      </c>
      <c r="T54">
        <v>8.1457299999999997E-4</v>
      </c>
      <c r="U54">
        <v>7.1567039999999998E-3</v>
      </c>
      <c r="V54">
        <v>6.7595470000000003E-3</v>
      </c>
      <c r="W54">
        <v>0.94450559899999997</v>
      </c>
      <c r="X54">
        <v>5.8754352499999998</v>
      </c>
      <c r="Y54">
        <v>0.466871914</v>
      </c>
      <c r="Z54">
        <v>0.28794769999999997</v>
      </c>
      <c r="AA54">
        <v>1.886153E-3</v>
      </c>
      <c r="AB54">
        <v>-1</v>
      </c>
      <c r="AC54">
        <v>1.6280559999999999E-3</v>
      </c>
      <c r="AD54">
        <v>0.85328233399999998</v>
      </c>
      <c r="AE54">
        <v>7.7639051000000001E-2</v>
      </c>
      <c r="AF54">
        <v>0.40915061400000002</v>
      </c>
      <c r="AG54">
        <v>6.6644938000000001E-2</v>
      </c>
      <c r="AH54">
        <v>5.8700400000000002E-4</v>
      </c>
      <c r="AI54">
        <v>0.21136664799999999</v>
      </c>
    </row>
    <row r="55" spans="1:35" x14ac:dyDescent="0.2">
      <c r="A55">
        <v>94</v>
      </c>
      <c r="B55" t="s">
        <v>215</v>
      </c>
      <c r="C55" t="s">
        <v>175</v>
      </c>
      <c r="D55" t="s">
        <v>160</v>
      </c>
      <c r="E55" s="11">
        <v>7.3799999999999996E-6</v>
      </c>
      <c r="F55" s="11">
        <v>2.3499999999999999E-6</v>
      </c>
      <c r="G55">
        <v>0.31894089199999998</v>
      </c>
      <c r="H55">
        <v>-0.35204560800000001</v>
      </c>
      <c r="I55" s="11">
        <v>9.73E-6</v>
      </c>
      <c r="J55">
        <v>0.29191371399999999</v>
      </c>
      <c r="K55">
        <v>1.2097376E-2</v>
      </c>
      <c r="L55">
        <v>1.775677038</v>
      </c>
      <c r="M55">
        <v>9.2760589999999997E-3</v>
      </c>
      <c r="N55">
        <v>1.4044063000000001E-2</v>
      </c>
      <c r="O55">
        <v>4.3474489999999998E-3</v>
      </c>
      <c r="P55">
        <v>7.2768390000000002E-2</v>
      </c>
      <c r="Q55">
        <v>0.94019352099999998</v>
      </c>
      <c r="R55">
        <v>5.7866979079999998</v>
      </c>
      <c r="S55">
        <v>1.3351314E-2</v>
      </c>
      <c r="T55">
        <v>1.3134566E-2</v>
      </c>
      <c r="U55">
        <v>0.102115187</v>
      </c>
      <c r="V55">
        <v>0.10899418700000001</v>
      </c>
      <c r="W55">
        <v>1.0673651019999999</v>
      </c>
      <c r="X55">
        <v>4.5456053860000001</v>
      </c>
      <c r="Y55">
        <v>0.95493666499999996</v>
      </c>
      <c r="Z55">
        <v>0.30848123500000002</v>
      </c>
      <c r="AA55">
        <v>5.9447019999999996E-3</v>
      </c>
      <c r="AB55">
        <v>-0.85947100300000001</v>
      </c>
      <c r="AC55">
        <v>5.1188359999999999E-3</v>
      </c>
      <c r="AD55">
        <v>0.87151642600000001</v>
      </c>
      <c r="AE55">
        <v>0.157084478</v>
      </c>
      <c r="AF55">
        <v>0.58077576099999995</v>
      </c>
      <c r="AG55">
        <v>0.107835078</v>
      </c>
      <c r="AH55">
        <v>1.8456239999999999E-3</v>
      </c>
      <c r="AI55">
        <v>0.30103277299999998</v>
      </c>
    </row>
    <row r="56" spans="1:35" x14ac:dyDescent="0.2">
      <c r="A56">
        <v>95</v>
      </c>
      <c r="B56" t="s">
        <v>216</v>
      </c>
      <c r="C56" t="s">
        <v>175</v>
      </c>
      <c r="D56" t="s">
        <v>162</v>
      </c>
      <c r="E56" s="11">
        <v>5.2599999999999996E-6</v>
      </c>
      <c r="F56" s="11">
        <v>1.64E-6</v>
      </c>
      <c r="G56">
        <v>0.31160575600000001</v>
      </c>
      <c r="H56">
        <v>0.108512398</v>
      </c>
      <c r="I56" s="11">
        <v>6.9E-6</v>
      </c>
      <c r="J56">
        <v>0.244736184</v>
      </c>
      <c r="K56">
        <v>3.198766E-3</v>
      </c>
      <c r="L56">
        <v>1.4748146360000001</v>
      </c>
      <c r="M56">
        <v>4.3504040000000004E-3</v>
      </c>
      <c r="N56">
        <v>3.7048739999999999E-3</v>
      </c>
      <c r="O56">
        <v>1.1495450000000001E-3</v>
      </c>
      <c r="P56">
        <v>1.015629E-2</v>
      </c>
      <c r="Q56">
        <v>0.77700297100000004</v>
      </c>
      <c r="R56">
        <v>4.6823303999999997</v>
      </c>
      <c r="S56">
        <v>6.4575910000000004E-3</v>
      </c>
      <c r="T56">
        <v>5.8334950000000002E-3</v>
      </c>
      <c r="U56">
        <v>4.9389754000000001E-2</v>
      </c>
      <c r="V56">
        <v>4.8407927000000003E-2</v>
      </c>
      <c r="W56">
        <v>0.980120836</v>
      </c>
      <c r="X56">
        <v>5.0439469629999998</v>
      </c>
      <c r="Y56">
        <v>1.2196226130000001</v>
      </c>
      <c r="Z56">
        <v>0.313815811</v>
      </c>
      <c r="AA56">
        <v>3.8750360000000001E-3</v>
      </c>
      <c r="AB56">
        <v>-0.20923851399999999</v>
      </c>
      <c r="AC56">
        <v>3.3322450000000002E-3</v>
      </c>
      <c r="AD56">
        <v>0.87197505799999997</v>
      </c>
      <c r="AE56">
        <v>0.203702945</v>
      </c>
      <c r="AF56">
        <v>0.71964063899999997</v>
      </c>
      <c r="AG56">
        <v>7.5089378999999998E-2</v>
      </c>
      <c r="AH56">
        <v>1.201459E-3</v>
      </c>
      <c r="AI56">
        <v>0.36856678199999998</v>
      </c>
    </row>
    <row r="57" spans="1:35" x14ac:dyDescent="0.2">
      <c r="A57">
        <v>96</v>
      </c>
      <c r="B57" t="s">
        <v>217</v>
      </c>
      <c r="C57" t="s">
        <v>175</v>
      </c>
      <c r="D57" t="s">
        <v>218</v>
      </c>
      <c r="E57" s="11">
        <v>6.2400000000000004E-6</v>
      </c>
      <c r="F57" s="11">
        <v>1.9400000000000001E-6</v>
      </c>
      <c r="G57">
        <v>0.31192137800000003</v>
      </c>
      <c r="H57">
        <v>0.183361258</v>
      </c>
      <c r="I57" s="11">
        <v>8.1799999999999996E-6</v>
      </c>
      <c r="J57">
        <v>0.233675416</v>
      </c>
      <c r="K57">
        <v>5.1696720000000002E-3</v>
      </c>
      <c r="L57">
        <v>1.41239184</v>
      </c>
      <c r="M57">
        <v>7.3291129999999999E-3</v>
      </c>
      <c r="N57">
        <v>5.9971800000000004E-3</v>
      </c>
      <c r="O57">
        <v>1.8578309999999999E-3</v>
      </c>
      <c r="P57">
        <v>1.6290720000000002E-2</v>
      </c>
      <c r="Q57">
        <v>0.73620456999999995</v>
      </c>
      <c r="R57">
        <v>4.4498088500000001</v>
      </c>
      <c r="S57">
        <v>1.0224715000000001E-2</v>
      </c>
      <c r="T57">
        <v>9.6165220000000006E-3</v>
      </c>
      <c r="U57">
        <v>7.8201942999999996E-2</v>
      </c>
      <c r="V57">
        <v>7.9800508000000006E-2</v>
      </c>
      <c r="W57">
        <v>1.0204415</v>
      </c>
      <c r="X57">
        <v>4.38388255</v>
      </c>
      <c r="Y57">
        <v>2.2436541650000001</v>
      </c>
      <c r="Z57">
        <v>0.32370638600000001</v>
      </c>
      <c r="AA57">
        <v>6.8398210000000003E-3</v>
      </c>
      <c r="AB57">
        <v>0.37049485500000001</v>
      </c>
      <c r="AC57">
        <v>5.8840079999999996E-3</v>
      </c>
      <c r="AD57">
        <v>0.861086609</v>
      </c>
      <c r="AE57">
        <v>0.37497435400000001</v>
      </c>
      <c r="AF57">
        <v>1.1796493589999999</v>
      </c>
      <c r="AG57">
        <v>0.118061614</v>
      </c>
      <c r="AH57">
        <v>2.121511E-3</v>
      </c>
      <c r="AI57">
        <v>0.60378044399999997</v>
      </c>
    </row>
    <row r="58" spans="1:35" x14ac:dyDescent="0.2">
      <c r="A58">
        <v>97</v>
      </c>
      <c r="B58" t="s">
        <v>219</v>
      </c>
      <c r="C58" t="s">
        <v>175</v>
      </c>
      <c r="D58" t="s">
        <v>220</v>
      </c>
      <c r="E58" s="11">
        <v>6.9399999999999996E-6</v>
      </c>
      <c r="F58" s="11">
        <v>2.1799999999999999E-6</v>
      </c>
      <c r="G58">
        <v>0.314537662</v>
      </c>
      <c r="H58">
        <v>-0.41176605399999999</v>
      </c>
      <c r="I58" s="11">
        <v>9.1200000000000008E-6</v>
      </c>
      <c r="J58">
        <v>0.22248592</v>
      </c>
      <c r="K58">
        <v>4.7077849999999999E-3</v>
      </c>
      <c r="L58">
        <v>1.3443310909999999</v>
      </c>
      <c r="M58">
        <v>7.0236029999999998E-3</v>
      </c>
      <c r="N58">
        <v>5.4647960000000001E-3</v>
      </c>
      <c r="O58">
        <v>1.6918429999999999E-3</v>
      </c>
      <c r="P58">
        <v>1.487659E-2</v>
      </c>
      <c r="Q58">
        <v>0.70289696599999996</v>
      </c>
      <c r="R58">
        <v>4.247134966</v>
      </c>
      <c r="S58">
        <v>1.0070305999999999E-2</v>
      </c>
      <c r="T58">
        <v>9.1141179999999992E-3</v>
      </c>
      <c r="U58">
        <v>7.7020973000000006E-2</v>
      </c>
      <c r="V58">
        <v>7.5631421000000004E-2</v>
      </c>
      <c r="W58">
        <v>0.98195878400000003</v>
      </c>
      <c r="X58">
        <v>5.0446069839999996</v>
      </c>
      <c r="Y58">
        <v>1.219701307</v>
      </c>
      <c r="Z58">
        <v>0.313439674</v>
      </c>
      <c r="AA58">
        <v>3.8728399999999998E-3</v>
      </c>
      <c r="AB58">
        <v>-0.10218057799999999</v>
      </c>
      <c r="AC58">
        <v>3.3303510000000001E-3</v>
      </c>
      <c r="AD58">
        <v>0.87345766700000005</v>
      </c>
      <c r="AE58">
        <v>0.20371811400000001</v>
      </c>
      <c r="AF58">
        <v>0.71975926599999995</v>
      </c>
      <c r="AG58">
        <v>7.5053465999999999E-2</v>
      </c>
      <c r="AH58">
        <v>1.200776E-3</v>
      </c>
      <c r="AI58">
        <v>0.36862387099999999</v>
      </c>
    </row>
    <row r="59" spans="1:35" x14ac:dyDescent="0.2">
      <c r="A59">
        <v>98</v>
      </c>
      <c r="B59" t="s">
        <v>221</v>
      </c>
      <c r="C59" t="s">
        <v>175</v>
      </c>
      <c r="D59" t="s">
        <v>164</v>
      </c>
      <c r="E59" s="11">
        <v>6.7800000000000003E-6</v>
      </c>
      <c r="F59" s="11">
        <v>2.1500000000000002E-6</v>
      </c>
      <c r="G59">
        <v>0.31676355699999997</v>
      </c>
      <c r="H59">
        <v>0.24566384899999999</v>
      </c>
      <c r="I59" s="11">
        <v>8.9199999999999993E-6</v>
      </c>
      <c r="J59">
        <v>0.29191974199999998</v>
      </c>
      <c r="K59">
        <v>1.611744E-2</v>
      </c>
      <c r="L59">
        <v>1.7837533299999999</v>
      </c>
      <c r="M59">
        <v>1.242942E-2</v>
      </c>
      <c r="N59">
        <v>1.8704162E-2</v>
      </c>
      <c r="O59">
        <v>5.7921450000000003E-3</v>
      </c>
      <c r="P59">
        <v>8.3545839999999996E-2</v>
      </c>
      <c r="Q59">
        <v>1.1403691330000001</v>
      </c>
      <c r="R59">
        <v>7.0093064820000004</v>
      </c>
      <c r="S59">
        <v>1.4825481999999999E-2</v>
      </c>
      <c r="T59">
        <v>1.3393629000000001E-2</v>
      </c>
      <c r="U59">
        <v>0.11339010300000001</v>
      </c>
      <c r="V59">
        <v>0.111143969</v>
      </c>
      <c r="W59">
        <v>0.98019109299999996</v>
      </c>
      <c r="X59">
        <v>4.2019225880000004</v>
      </c>
      <c r="Y59">
        <v>1.5188188069999999</v>
      </c>
      <c r="Z59">
        <v>0.33241549799999998</v>
      </c>
      <c r="AA59">
        <v>7.9985939999999995E-3</v>
      </c>
      <c r="AB59">
        <v>-0.17443458100000001</v>
      </c>
      <c r="AC59">
        <v>6.8824999999999997E-3</v>
      </c>
      <c r="AD59">
        <v>0.86577959199999999</v>
      </c>
      <c r="AE59">
        <v>0.25105061499999998</v>
      </c>
      <c r="AF59">
        <v>0.75595993699999997</v>
      </c>
      <c r="AG59">
        <v>0.132178985</v>
      </c>
      <c r="AH59">
        <v>2.4815219999999999E-3</v>
      </c>
      <c r="AI59">
        <v>0.391214479</v>
      </c>
    </row>
    <row r="60" spans="1:35" x14ac:dyDescent="0.2">
      <c r="A60">
        <v>99</v>
      </c>
      <c r="B60" t="s">
        <v>222</v>
      </c>
      <c r="C60" t="s">
        <v>175</v>
      </c>
      <c r="D60" t="s">
        <v>166</v>
      </c>
      <c r="E60" s="11">
        <v>8.0099999999999995E-6</v>
      </c>
      <c r="F60" s="11">
        <v>2.5399999999999998E-6</v>
      </c>
      <c r="G60">
        <v>0.31721531400000003</v>
      </c>
      <c r="H60">
        <v>3.5828047000000002E-2</v>
      </c>
      <c r="I60" s="11">
        <v>1.06E-5</v>
      </c>
      <c r="J60">
        <v>0.205318849</v>
      </c>
      <c r="K60">
        <v>5.9078710000000003E-3</v>
      </c>
      <c r="L60">
        <v>1.2437288369999999</v>
      </c>
      <c r="M60">
        <v>9.5145820000000006E-3</v>
      </c>
      <c r="N60">
        <v>6.8592059999999996E-3</v>
      </c>
      <c r="O60">
        <v>2.1231190000000001E-3</v>
      </c>
      <c r="P60">
        <v>1.8573630000000001E-2</v>
      </c>
      <c r="Q60">
        <v>0.645316958</v>
      </c>
      <c r="R60">
        <v>3.909049016</v>
      </c>
      <c r="S60">
        <v>1.290207E-2</v>
      </c>
      <c r="T60">
        <v>1.1748484E-2</v>
      </c>
      <c r="U60">
        <v>9.8679221999999997E-2</v>
      </c>
      <c r="V60">
        <v>9.7492107999999994E-2</v>
      </c>
      <c r="W60">
        <v>0.98796996999999998</v>
      </c>
      <c r="X60">
        <v>4.3791543080000004</v>
      </c>
      <c r="Y60">
        <v>1.243736467</v>
      </c>
      <c r="Z60">
        <v>0.31721527100000002</v>
      </c>
      <c r="AA60">
        <v>6.8709829999999998E-3</v>
      </c>
      <c r="AB60" s="11">
        <v>6.1299999999999998E-6</v>
      </c>
      <c r="AC60">
        <v>5.9080219999999998E-3</v>
      </c>
      <c r="AD60">
        <v>0.88745722000000005</v>
      </c>
      <c r="AE60">
        <v>0.20532006999999999</v>
      </c>
      <c r="AF60">
        <v>0.64553903199999996</v>
      </c>
      <c r="AG60">
        <v>0.118467375</v>
      </c>
      <c r="AH60">
        <v>2.1301689999999999E-3</v>
      </c>
      <c r="AI60">
        <v>0.33449571099999997</v>
      </c>
    </row>
    <row r="61" spans="1:35" x14ac:dyDescent="0.2">
      <c r="A61">
        <v>100</v>
      </c>
      <c r="B61" t="s">
        <v>223</v>
      </c>
      <c r="C61" t="s">
        <v>175</v>
      </c>
      <c r="D61" t="s">
        <v>224</v>
      </c>
      <c r="E61" s="11">
        <v>5.9000000000000003E-6</v>
      </c>
      <c r="F61" s="11">
        <v>1.84E-6</v>
      </c>
      <c r="G61">
        <v>0.311520248</v>
      </c>
      <c r="H61">
        <v>-0.62917399399999996</v>
      </c>
      <c r="I61" s="11">
        <v>7.7400000000000004E-6</v>
      </c>
      <c r="J61">
        <v>0.20447737899999999</v>
      </c>
      <c r="K61">
        <v>3.9580040000000002E-3</v>
      </c>
      <c r="L61">
        <v>1.234780282</v>
      </c>
      <c r="M61">
        <v>6.425582E-3</v>
      </c>
      <c r="N61">
        <v>4.5887649999999999E-3</v>
      </c>
      <c r="O61">
        <v>1.4223930000000001E-3</v>
      </c>
      <c r="P61">
        <v>1.2534440000000001E-2</v>
      </c>
      <c r="Q61">
        <v>0.647297181</v>
      </c>
      <c r="R61">
        <v>3.908851962</v>
      </c>
      <c r="S61">
        <v>8.6243880000000002E-3</v>
      </c>
      <c r="T61">
        <v>7.7784359999999997E-3</v>
      </c>
      <c r="U61">
        <v>6.5962124999999996E-2</v>
      </c>
      <c r="V61">
        <v>6.4547570999999998E-2</v>
      </c>
      <c r="W61">
        <v>0.97855505700000001</v>
      </c>
      <c r="X61">
        <v>5.7348275190000004</v>
      </c>
      <c r="Y61">
        <v>0.70241081599999999</v>
      </c>
      <c r="Z61">
        <v>0.28777393800000001</v>
      </c>
      <c r="AA61">
        <v>2.1335859999999998E-3</v>
      </c>
      <c r="AB61">
        <v>-0.75791752300000004</v>
      </c>
      <c r="AC61">
        <v>1.837689E-3</v>
      </c>
      <c r="AD61">
        <v>0.85083020600000003</v>
      </c>
      <c r="AE61">
        <v>0.117395768</v>
      </c>
      <c r="AF61">
        <v>0.45074181600000002</v>
      </c>
      <c r="AG61">
        <v>4.4474409999999999E-2</v>
      </c>
      <c r="AH61">
        <v>6.6258899999999999E-4</v>
      </c>
      <c r="AI61">
        <v>0.23065503900000001</v>
      </c>
    </row>
    <row r="62" spans="1:35" x14ac:dyDescent="0.2">
      <c r="A62">
        <v>101</v>
      </c>
      <c r="B62" t="s">
        <v>225</v>
      </c>
      <c r="C62" t="s">
        <v>175</v>
      </c>
      <c r="D62" t="s">
        <v>226</v>
      </c>
      <c r="E62" s="11">
        <v>4.9999999999999998E-7</v>
      </c>
      <c r="F62" s="11">
        <v>1.61E-7</v>
      </c>
      <c r="G62">
        <v>0.32203451199999999</v>
      </c>
      <c r="H62">
        <v>-0.40435870699999998</v>
      </c>
      <c r="I62" s="11">
        <v>6.6199999999999997E-7</v>
      </c>
      <c r="J62">
        <v>0.29191489399999998</v>
      </c>
      <c r="K62">
        <v>1.0221469999999999E-3</v>
      </c>
      <c r="L62">
        <v>1.753533657</v>
      </c>
      <c r="M62">
        <v>1.159298E-3</v>
      </c>
      <c r="N62">
        <v>1.0893809999999999E-3</v>
      </c>
      <c r="O62">
        <v>3.6752200000000001E-4</v>
      </c>
      <c r="P62">
        <v>6.0146399999999999E-3</v>
      </c>
      <c r="Q62">
        <v>0.86744332300000004</v>
      </c>
      <c r="R62">
        <v>5.2166892239999996</v>
      </c>
      <c r="S62">
        <v>1.00624E-3</v>
      </c>
      <c r="T62">
        <v>7.5612699999999999E-4</v>
      </c>
      <c r="U62">
        <v>7.6960529999999996E-3</v>
      </c>
      <c r="V62">
        <v>6.2745489999999999E-3</v>
      </c>
      <c r="W62">
        <v>0.815294411</v>
      </c>
      <c r="X62">
        <v>6.2609392049999997</v>
      </c>
      <c r="Y62">
        <v>0.50664683399999999</v>
      </c>
      <c r="Z62">
        <v>0.292166339</v>
      </c>
      <c r="AA62">
        <v>1.355305E-3</v>
      </c>
      <c r="AB62">
        <v>-1</v>
      </c>
      <c r="AC62">
        <v>1.168016E-3</v>
      </c>
      <c r="AD62">
        <v>0.84199068700000002</v>
      </c>
      <c r="AE62">
        <v>8.4828478999999998E-2</v>
      </c>
      <c r="AF62">
        <v>0.33167692100000001</v>
      </c>
      <c r="AG62">
        <v>2.9126984000000002E-2</v>
      </c>
      <c r="AH62">
        <v>4.2113399999999998E-4</v>
      </c>
      <c r="AI62">
        <v>0.16945350100000001</v>
      </c>
    </row>
    <row r="63" spans="1:35" x14ac:dyDescent="0.2">
      <c r="A63">
        <v>102</v>
      </c>
      <c r="B63" t="s">
        <v>227</v>
      </c>
      <c r="C63" t="s">
        <v>175</v>
      </c>
      <c r="D63" t="s">
        <v>168</v>
      </c>
      <c r="E63" s="11">
        <v>1.7099999999999999E-6</v>
      </c>
      <c r="F63" s="11">
        <v>5.3600000000000004E-7</v>
      </c>
      <c r="G63">
        <v>0.31367827300000001</v>
      </c>
      <c r="H63">
        <v>-0.85419192300000002</v>
      </c>
      <c r="I63" s="11">
        <v>2.2400000000000002E-6</v>
      </c>
      <c r="J63">
        <v>0.29191294000000001</v>
      </c>
      <c r="K63">
        <v>2.2933070000000001E-3</v>
      </c>
      <c r="L63">
        <v>1.7560642580000001</v>
      </c>
      <c r="M63">
        <v>4.0597380000000002E-3</v>
      </c>
      <c r="N63">
        <v>2.6064880000000001E-3</v>
      </c>
      <c r="O63">
        <v>8.2414900000000004E-4</v>
      </c>
      <c r="P63">
        <v>1.330689E-2</v>
      </c>
      <c r="Q63">
        <v>0.92177579899999995</v>
      </c>
      <c r="R63">
        <v>5.5572685640000001</v>
      </c>
      <c r="S63">
        <v>2.5353730000000001E-3</v>
      </c>
      <c r="T63">
        <v>2.207503E-3</v>
      </c>
      <c r="U63">
        <v>1.9391354E-2</v>
      </c>
      <c r="V63">
        <v>1.8318457999999999E-2</v>
      </c>
      <c r="W63">
        <v>0.94467142400000004</v>
      </c>
      <c r="X63">
        <v>5.6109582580000001</v>
      </c>
      <c r="Y63">
        <v>0.73571799100000002</v>
      </c>
      <c r="Z63">
        <v>0.283310642</v>
      </c>
      <c r="AA63">
        <v>2.370282E-3</v>
      </c>
      <c r="AB63">
        <v>-1</v>
      </c>
      <c r="AC63">
        <v>2.04462E-3</v>
      </c>
      <c r="AD63">
        <v>0.85623313899999998</v>
      </c>
      <c r="AE63">
        <v>0.122847441</v>
      </c>
      <c r="AF63">
        <v>0.49029686</v>
      </c>
      <c r="AG63">
        <v>7.3782507999999997E-2</v>
      </c>
      <c r="AH63">
        <v>7.3719900000000001E-4</v>
      </c>
      <c r="AI63">
        <v>0.25282508100000001</v>
      </c>
    </row>
    <row r="64" spans="1:35" x14ac:dyDescent="0.2">
      <c r="A64">
        <v>103</v>
      </c>
      <c r="B64" t="s">
        <v>228</v>
      </c>
      <c r="C64" t="s">
        <v>134</v>
      </c>
      <c r="D64" t="s">
        <v>130</v>
      </c>
      <c r="E64" s="11">
        <v>2.1399999999999998E-5</v>
      </c>
      <c r="F64" s="11">
        <v>8.1000000000000004E-6</v>
      </c>
      <c r="G64">
        <v>0.378974162</v>
      </c>
      <c r="H64">
        <v>-4.2099729999999997E-3</v>
      </c>
      <c r="I64" s="11">
        <v>2.9499999999999999E-5</v>
      </c>
      <c r="J64">
        <v>0.64609297399999999</v>
      </c>
      <c r="K64">
        <v>2.6137152E-2</v>
      </c>
      <c r="L64">
        <v>3.9288321480000001</v>
      </c>
      <c r="M64">
        <v>1.3293050000000001E-2</v>
      </c>
      <c r="N64">
        <v>3.0489987E-2</v>
      </c>
      <c r="O64">
        <v>9.3929410000000001E-3</v>
      </c>
      <c r="P64">
        <v>6.6048179999999998E-2</v>
      </c>
      <c r="Q64">
        <v>1.6326670830000001</v>
      </c>
      <c r="R64">
        <v>9.9280988640000007</v>
      </c>
      <c r="S64">
        <v>4.8895275000000002E-2</v>
      </c>
      <c r="T64">
        <v>4.9371587000000001E-2</v>
      </c>
      <c r="U64">
        <v>0.37396695600000002</v>
      </c>
      <c r="V64">
        <v>0.40969881800000002</v>
      </c>
      <c r="W64">
        <v>1.09554818</v>
      </c>
      <c r="X64">
        <v>3.3172278749999999</v>
      </c>
      <c r="Y64">
        <v>4.3966722300000001</v>
      </c>
      <c r="Z64">
        <v>0.41464282499999999</v>
      </c>
      <c r="AA64">
        <v>3.2022024000000003E-2</v>
      </c>
      <c r="AB64">
        <v>0.106407769</v>
      </c>
      <c r="AC64">
        <v>2.7401161E-2</v>
      </c>
      <c r="AD64">
        <v>0.91161402999999996</v>
      </c>
      <c r="AE64">
        <v>0.72530888599999999</v>
      </c>
      <c r="AF64">
        <v>1.7081232820000001</v>
      </c>
      <c r="AG64">
        <v>0.41156204800000001</v>
      </c>
      <c r="AH64">
        <v>9.8796360000000007E-3</v>
      </c>
      <c r="AI64">
        <v>0.88571296700000002</v>
      </c>
    </row>
    <row r="65" spans="1:35" x14ac:dyDescent="0.2">
      <c r="A65">
        <v>104</v>
      </c>
      <c r="B65" t="s">
        <v>229</v>
      </c>
      <c r="C65" t="s">
        <v>134</v>
      </c>
      <c r="D65" t="s">
        <v>132</v>
      </c>
      <c r="E65" s="11">
        <v>1.0900000000000001E-5</v>
      </c>
      <c r="F65" s="11">
        <v>3.6600000000000001E-6</v>
      </c>
      <c r="G65">
        <v>0.33623140800000001</v>
      </c>
      <c r="H65">
        <v>-0.28721543799999999</v>
      </c>
      <c r="I65" s="11">
        <v>1.4600000000000001E-5</v>
      </c>
      <c r="J65">
        <v>0.32152265000000002</v>
      </c>
      <c r="K65">
        <v>1.1721848999999999E-2</v>
      </c>
      <c r="L65">
        <v>1.9525796</v>
      </c>
      <c r="M65">
        <v>1.200009E-2</v>
      </c>
      <c r="N65">
        <v>1.3651414000000001E-2</v>
      </c>
      <c r="O65">
        <v>4.2124950000000001E-3</v>
      </c>
      <c r="P65">
        <v>3.3763250000000002E-2</v>
      </c>
      <c r="Q65">
        <v>0.92618500000000004</v>
      </c>
      <c r="R65">
        <v>5.6246364919999996</v>
      </c>
      <c r="S65">
        <v>2.6967525999999999E-2</v>
      </c>
      <c r="T65">
        <v>2.4124158E-2</v>
      </c>
      <c r="U65">
        <v>0.206256406</v>
      </c>
      <c r="V65">
        <v>0.200188805</v>
      </c>
      <c r="W65">
        <v>0.97058224199999998</v>
      </c>
      <c r="X65">
        <v>3.9357106009999998</v>
      </c>
      <c r="Y65">
        <v>2.1582718839999999</v>
      </c>
      <c r="Z65">
        <v>0.394758836</v>
      </c>
      <c r="AA65">
        <v>1.4216348E-2</v>
      </c>
      <c r="AB65">
        <v>9.5304158E-2</v>
      </c>
      <c r="AC65">
        <v>1.218584E-2</v>
      </c>
      <c r="AD65">
        <v>0.90847385800000002</v>
      </c>
      <c r="AE65">
        <v>0.35657051200000001</v>
      </c>
      <c r="AF65">
        <v>0.91544031599999998</v>
      </c>
      <c r="AG65">
        <v>0.19948669299999999</v>
      </c>
      <c r="AH65">
        <v>4.3936699999999997E-3</v>
      </c>
      <c r="AI65">
        <v>0.47398225399999999</v>
      </c>
    </row>
    <row r="66" spans="1:35" x14ac:dyDescent="0.2">
      <c r="A66">
        <v>105</v>
      </c>
      <c r="B66" t="s">
        <v>230</v>
      </c>
      <c r="C66" t="s">
        <v>134</v>
      </c>
      <c r="D66" t="s">
        <v>136</v>
      </c>
      <c r="E66" s="11">
        <v>1.8E-5</v>
      </c>
      <c r="F66" s="11">
        <v>6.9199999999999998E-6</v>
      </c>
      <c r="G66">
        <v>0.38460081800000001</v>
      </c>
      <c r="H66">
        <v>-5.6156733E-2</v>
      </c>
      <c r="I66" s="11">
        <v>2.4899999999999999E-5</v>
      </c>
      <c r="J66">
        <v>0.44467305600000001</v>
      </c>
      <c r="K66">
        <v>3.0208282999999999E-2</v>
      </c>
      <c r="L66">
        <v>2.7284549010000001</v>
      </c>
      <c r="M66">
        <v>2.2112831999999999E-2</v>
      </c>
      <c r="N66">
        <v>3.5235335E-2</v>
      </c>
      <c r="O66">
        <v>1.0855988E-2</v>
      </c>
      <c r="P66">
        <v>7.3652579999999995E-2</v>
      </c>
      <c r="Q66">
        <v>1.0842462390000001</v>
      </c>
      <c r="R66">
        <v>6.6527825959999998</v>
      </c>
      <c r="S66">
        <v>5.7171526E-2</v>
      </c>
      <c r="T66">
        <v>5.7361265000000002E-2</v>
      </c>
      <c r="U66">
        <v>0.43726641199999999</v>
      </c>
      <c r="V66">
        <v>0.47599932900000003</v>
      </c>
      <c r="W66">
        <v>1.0885796759999999</v>
      </c>
      <c r="X66">
        <v>3.2080059040000002</v>
      </c>
      <c r="Y66">
        <v>2.9168411550000002</v>
      </c>
      <c r="Z66">
        <v>0.42738072799999999</v>
      </c>
      <c r="AA66">
        <v>3.6942742000000001E-2</v>
      </c>
      <c r="AB66">
        <v>6.4585709000000005E-2</v>
      </c>
      <c r="AC66">
        <v>3.1616640000000001E-2</v>
      </c>
      <c r="AD66">
        <v>0.91161488300000004</v>
      </c>
      <c r="AE66">
        <v>0.47560371899999998</v>
      </c>
      <c r="AF66">
        <v>1.0935804330000001</v>
      </c>
      <c r="AG66">
        <v>0.46360692999999997</v>
      </c>
      <c r="AH66">
        <v>1.139955E-2</v>
      </c>
      <c r="AI66">
        <v>0.57370694099999997</v>
      </c>
    </row>
    <row r="67" spans="1:35" x14ac:dyDescent="0.2">
      <c r="A67">
        <v>106</v>
      </c>
      <c r="B67" t="s">
        <v>231</v>
      </c>
      <c r="C67" t="s">
        <v>134</v>
      </c>
      <c r="D67" t="s">
        <v>140</v>
      </c>
      <c r="E67" s="11">
        <v>1.3699999999999999E-5</v>
      </c>
      <c r="F67" s="11">
        <v>4.4700000000000004E-6</v>
      </c>
      <c r="G67">
        <v>0.32714595200000002</v>
      </c>
      <c r="H67">
        <v>-0.576838815</v>
      </c>
      <c r="I67" s="11">
        <v>1.8099999999999999E-5</v>
      </c>
      <c r="J67">
        <v>0.356501923</v>
      </c>
      <c r="K67">
        <v>2.3223253999999999E-2</v>
      </c>
      <c r="L67">
        <v>2.1854580449999998</v>
      </c>
      <c r="M67">
        <v>7.1087770000000002E-3</v>
      </c>
      <c r="N67">
        <v>1.71544E-2</v>
      </c>
      <c r="O67">
        <v>8.3457700000000006E-3</v>
      </c>
      <c r="P67">
        <v>6.9418179999999996E-2</v>
      </c>
      <c r="Q67">
        <v>1.0663725589999999</v>
      </c>
      <c r="R67">
        <v>6.5370717200000001</v>
      </c>
      <c r="S67">
        <v>2.6652427999999999E-2</v>
      </c>
      <c r="T67">
        <v>2.5245436999999999E-2</v>
      </c>
      <c r="U67">
        <v>0.20384643299999999</v>
      </c>
      <c r="V67">
        <v>0.20949348200000001</v>
      </c>
      <c r="W67">
        <v>1.0277024669999999</v>
      </c>
      <c r="X67">
        <v>4.0798755770000001</v>
      </c>
      <c r="Y67">
        <v>1.8832211160000001</v>
      </c>
      <c r="Z67">
        <v>0.39631032300000002</v>
      </c>
      <c r="AA67">
        <v>1.1773428000000001E-2</v>
      </c>
      <c r="AB67">
        <v>-0.160489348</v>
      </c>
      <c r="AC67">
        <v>1.0088494999999999E-2</v>
      </c>
      <c r="AD67">
        <v>0.88997409100000002</v>
      </c>
      <c r="AE67">
        <v>0.311355147</v>
      </c>
      <c r="AF67">
        <v>0.80975750700000004</v>
      </c>
      <c r="AG67">
        <v>0.167322886</v>
      </c>
      <c r="AH67">
        <v>3.6374609999999998E-3</v>
      </c>
      <c r="AI67">
        <v>0.41895981399999999</v>
      </c>
    </row>
    <row r="68" spans="1:35" x14ac:dyDescent="0.2">
      <c r="A68">
        <v>107</v>
      </c>
      <c r="B68" t="s">
        <v>232</v>
      </c>
      <c r="C68" t="s">
        <v>134</v>
      </c>
      <c r="D68" t="s">
        <v>142</v>
      </c>
      <c r="E68" s="11">
        <v>1.66E-5</v>
      </c>
      <c r="F68" s="11">
        <v>9.0000000000000002E-6</v>
      </c>
      <c r="G68">
        <v>0.54247688500000002</v>
      </c>
      <c r="H68">
        <v>0.20454868600000001</v>
      </c>
      <c r="I68" s="11">
        <v>2.5599999999999999E-5</v>
      </c>
      <c r="J68">
        <v>1.6673498309999999</v>
      </c>
      <c r="K68">
        <v>9.1064234999999993E-2</v>
      </c>
      <c r="L68">
        <v>10.18622746</v>
      </c>
      <c r="M68">
        <v>1.7850582E-2</v>
      </c>
      <c r="N68">
        <v>0.10630711800000001</v>
      </c>
      <c r="O68">
        <v>3.2725866999999999E-2</v>
      </c>
      <c r="P68">
        <v>0.14061309999999999</v>
      </c>
      <c r="Q68">
        <v>2.573653593</v>
      </c>
      <c r="R68">
        <v>15.723147770000001</v>
      </c>
      <c r="S68">
        <v>0.15484124499999999</v>
      </c>
      <c r="T68">
        <v>0.160519577</v>
      </c>
      <c r="U68">
        <v>1.184276165</v>
      </c>
      <c r="V68">
        <v>1.332034977</v>
      </c>
      <c r="W68">
        <v>1.124767192</v>
      </c>
      <c r="X68">
        <v>2.1733922460000001</v>
      </c>
      <c r="Y68">
        <v>55.421179189999997</v>
      </c>
      <c r="Z68">
        <v>1.5858534639999999</v>
      </c>
      <c r="AA68">
        <v>0.147655494</v>
      </c>
      <c r="AB68">
        <v>0.81620334299999997</v>
      </c>
      <c r="AC68">
        <v>5.9576154609999996</v>
      </c>
      <c r="AD68">
        <v>1.1091472309999999</v>
      </c>
      <c r="AE68">
        <v>6.8119596439999999</v>
      </c>
      <c r="AF68">
        <v>3.9133753809999998</v>
      </c>
      <c r="AG68">
        <v>21.414562669999999</v>
      </c>
      <c r="AH68">
        <v>4.4215806000000003E-2</v>
      </c>
      <c r="AI68">
        <v>2.709779615</v>
      </c>
    </row>
    <row r="69" spans="1:35" x14ac:dyDescent="0.2">
      <c r="A69">
        <v>108</v>
      </c>
      <c r="B69" t="s">
        <v>233</v>
      </c>
      <c r="C69" t="s">
        <v>134</v>
      </c>
      <c r="D69" t="s">
        <v>146</v>
      </c>
      <c r="E69" s="11">
        <v>2.12E-5</v>
      </c>
      <c r="F69" s="11">
        <v>8.0099999999999995E-6</v>
      </c>
      <c r="G69">
        <v>0.37722847999999998</v>
      </c>
      <c r="H69">
        <v>6.488326E-3</v>
      </c>
      <c r="I69" s="11">
        <v>2.9200000000000002E-5</v>
      </c>
      <c r="J69">
        <v>0.64855410700000005</v>
      </c>
      <c r="K69">
        <v>2.6225029E-2</v>
      </c>
      <c r="L69">
        <v>3.9437747010000002</v>
      </c>
      <c r="M69">
        <v>1.3303792E-2</v>
      </c>
      <c r="N69">
        <v>3.0589372E-2</v>
      </c>
      <c r="O69">
        <v>9.4245209999999999E-3</v>
      </c>
      <c r="P69">
        <v>6.6211829999999999E-2</v>
      </c>
      <c r="Q69">
        <v>1.6374768129999999</v>
      </c>
      <c r="R69">
        <v>9.9572845440000002</v>
      </c>
      <c r="S69">
        <v>4.8660970999999997E-2</v>
      </c>
      <c r="T69">
        <v>5.0316395E-2</v>
      </c>
      <c r="U69">
        <v>0.37217492200000002</v>
      </c>
      <c r="V69">
        <v>0.41753909</v>
      </c>
      <c r="W69">
        <v>1.1218893729999999</v>
      </c>
      <c r="X69">
        <v>3.312509028</v>
      </c>
      <c r="Y69">
        <v>4.422904451</v>
      </c>
      <c r="Z69">
        <v>0.407788182</v>
      </c>
      <c r="AA69">
        <v>3.2219854999999999E-2</v>
      </c>
      <c r="AB69">
        <v>0.10832921099999999</v>
      </c>
      <c r="AC69">
        <v>2.7571093000000001E-2</v>
      </c>
      <c r="AD69">
        <v>0.91096472399999995</v>
      </c>
      <c r="AE69">
        <v>0.72963367700000004</v>
      </c>
      <c r="AF69">
        <v>1.7166153719999999</v>
      </c>
      <c r="AG69">
        <v>0.41374234700000001</v>
      </c>
      <c r="AH69">
        <v>9.9409059999999994E-3</v>
      </c>
      <c r="AI69">
        <v>0.89012083099999995</v>
      </c>
    </row>
    <row r="70" spans="1:35" x14ac:dyDescent="0.2">
      <c r="A70">
        <v>109</v>
      </c>
      <c r="B70" t="s">
        <v>234</v>
      </c>
      <c r="C70" t="s">
        <v>134</v>
      </c>
      <c r="D70" t="s">
        <v>148</v>
      </c>
      <c r="E70" s="11">
        <v>1.2500000000000001E-5</v>
      </c>
      <c r="F70" s="11">
        <v>4.1899999999999997E-6</v>
      </c>
      <c r="G70">
        <v>0.33581418499999999</v>
      </c>
      <c r="H70">
        <v>-0.26413869499999998</v>
      </c>
      <c r="I70" s="11">
        <v>1.6699999999999999E-5</v>
      </c>
      <c r="J70">
        <v>0.21660262699999999</v>
      </c>
      <c r="K70">
        <v>0.108091125</v>
      </c>
      <c r="L70">
        <v>1.5157980099999999</v>
      </c>
      <c r="M70">
        <v>0.142138086</v>
      </c>
      <c r="N70">
        <v>1.5676231999999998E-2</v>
      </c>
      <c r="O70">
        <v>4.8365789999999997E-3</v>
      </c>
      <c r="P70">
        <v>0.30639283</v>
      </c>
      <c r="Q70">
        <v>0.61371209000000004</v>
      </c>
      <c r="R70">
        <v>4.2950581999999997</v>
      </c>
      <c r="S70">
        <v>2.7520788000000001E-2</v>
      </c>
      <c r="T70">
        <v>2.6582761E-2</v>
      </c>
      <c r="U70">
        <v>0.21048792799999999</v>
      </c>
      <c r="V70">
        <v>0.220590959</v>
      </c>
      <c r="W70">
        <v>1.0479981490000001</v>
      </c>
      <c r="X70">
        <v>3.9994606319999999</v>
      </c>
      <c r="Y70">
        <v>1.406349941</v>
      </c>
      <c r="Z70">
        <v>0.39085837200000001</v>
      </c>
      <c r="AA70">
        <v>1.3078671E-2</v>
      </c>
      <c r="AB70">
        <v>-7.7824207000000006E-2</v>
      </c>
      <c r="AC70">
        <v>9.0027905000000005E-2</v>
      </c>
      <c r="AD70">
        <v>0.90101582800000002</v>
      </c>
      <c r="AE70">
        <v>0.19825384200000001</v>
      </c>
      <c r="AF70">
        <v>0.51181144999999995</v>
      </c>
      <c r="AG70">
        <v>1.482888771</v>
      </c>
      <c r="AH70">
        <v>4.0416059999999997E-3</v>
      </c>
      <c r="AI70">
        <v>0.31058828399999999</v>
      </c>
    </row>
    <row r="71" spans="1:35" x14ac:dyDescent="0.2">
      <c r="A71">
        <v>110</v>
      </c>
      <c r="B71" t="s">
        <v>235</v>
      </c>
      <c r="C71" t="s">
        <v>134</v>
      </c>
      <c r="D71" t="s">
        <v>150</v>
      </c>
      <c r="E71" s="11">
        <v>2.1100000000000001E-5</v>
      </c>
      <c r="F71" s="11">
        <v>8.0099999999999995E-6</v>
      </c>
      <c r="G71">
        <v>0.37950442200000001</v>
      </c>
      <c r="H71">
        <v>6.8059700000000002E-4</v>
      </c>
      <c r="I71" s="11">
        <v>2.9099999999999999E-5</v>
      </c>
      <c r="J71">
        <v>0.64477351199999999</v>
      </c>
      <c r="K71">
        <v>2.6039577000000001E-2</v>
      </c>
      <c r="L71">
        <v>3.9207202240000001</v>
      </c>
      <c r="M71">
        <v>1.3277102000000001E-2</v>
      </c>
      <c r="N71">
        <v>3.0375684999999999E-2</v>
      </c>
      <c r="O71">
        <v>9.3578749999999999E-3</v>
      </c>
      <c r="P71">
        <v>6.5857289999999999E-2</v>
      </c>
      <c r="Q71">
        <v>1.6307113120000001</v>
      </c>
      <c r="R71">
        <v>9.9159824440000008</v>
      </c>
      <c r="S71">
        <v>4.8513002E-2</v>
      </c>
      <c r="T71">
        <v>4.9891966000000003E-2</v>
      </c>
      <c r="U71">
        <v>0.37104320600000001</v>
      </c>
      <c r="V71">
        <v>0.41401706100000002</v>
      </c>
      <c r="W71">
        <v>1.1158190050000001</v>
      </c>
      <c r="X71">
        <v>3.317806633</v>
      </c>
      <c r="Y71">
        <v>4.3969885470000003</v>
      </c>
      <c r="Z71">
        <v>0.40727140499999998</v>
      </c>
      <c r="AA71">
        <v>3.1997044000000002E-2</v>
      </c>
      <c r="AB71">
        <v>0.108316935</v>
      </c>
      <c r="AC71">
        <v>2.7380392E-2</v>
      </c>
      <c r="AD71">
        <v>0.91088532799999999</v>
      </c>
      <c r="AE71">
        <v>0.72537051100000005</v>
      </c>
      <c r="AF71">
        <v>1.7084257899999999</v>
      </c>
      <c r="AG71">
        <v>0.41132507499999998</v>
      </c>
      <c r="AH71">
        <v>9.8721480000000007E-3</v>
      </c>
      <c r="AI71">
        <v>0.88585952700000004</v>
      </c>
    </row>
    <row r="72" spans="1:35" x14ac:dyDescent="0.2">
      <c r="A72">
        <v>111</v>
      </c>
      <c r="B72" t="s">
        <v>236</v>
      </c>
      <c r="C72" t="s">
        <v>134</v>
      </c>
      <c r="D72" t="s">
        <v>156</v>
      </c>
      <c r="E72" s="11">
        <v>1.7799999999999999E-5</v>
      </c>
      <c r="F72" s="11">
        <v>7.2200000000000003E-6</v>
      </c>
      <c r="G72">
        <v>0.40609660600000003</v>
      </c>
      <c r="H72">
        <v>-9.8115461000000001E-2</v>
      </c>
      <c r="I72" s="11">
        <v>2.5000000000000001E-5</v>
      </c>
      <c r="J72">
        <v>0.59657117100000001</v>
      </c>
      <c r="K72">
        <v>4.0505260000000001E-2</v>
      </c>
      <c r="L72">
        <v>3.660437548</v>
      </c>
      <c r="M72">
        <v>2.2123464999999998E-2</v>
      </c>
      <c r="N72">
        <v>4.7267470999999998E-2</v>
      </c>
      <c r="O72">
        <v>1.4556426000000001E-2</v>
      </c>
      <c r="P72">
        <v>9.0557239999999997E-2</v>
      </c>
      <c r="Q72">
        <v>1.3334926890000001</v>
      </c>
      <c r="R72">
        <v>8.1820706080000001</v>
      </c>
      <c r="S72">
        <v>6.9620480999999998E-2</v>
      </c>
      <c r="T72">
        <v>7.0158657999999999E-2</v>
      </c>
      <c r="U72">
        <v>0.532480065</v>
      </c>
      <c r="V72">
        <v>0.58219556699999997</v>
      </c>
      <c r="W72">
        <v>1.09336594</v>
      </c>
      <c r="X72">
        <v>3.0842078599999998</v>
      </c>
      <c r="Y72">
        <v>3.4031018839999998</v>
      </c>
      <c r="Z72">
        <v>0.43109017399999999</v>
      </c>
      <c r="AA72">
        <v>4.3443335999999999E-2</v>
      </c>
      <c r="AB72">
        <v>-7.5617972000000006E-2</v>
      </c>
      <c r="AC72">
        <v>3.7184004999999999E-2</v>
      </c>
      <c r="AD72">
        <v>0.90692646499999996</v>
      </c>
      <c r="AE72">
        <v>0.55476747400000004</v>
      </c>
      <c r="AF72">
        <v>1.2361636199999999</v>
      </c>
      <c r="AG72">
        <v>0.52862594799999996</v>
      </c>
      <c r="AH72">
        <v>1.3406893E-2</v>
      </c>
      <c r="AI72">
        <v>0.64866002099999998</v>
      </c>
    </row>
    <row r="73" spans="1:35" x14ac:dyDescent="0.2">
      <c r="A73">
        <v>112</v>
      </c>
      <c r="B73" t="s">
        <v>237</v>
      </c>
      <c r="C73" t="s">
        <v>134</v>
      </c>
      <c r="D73" t="s">
        <v>158</v>
      </c>
      <c r="E73" s="11">
        <v>6.8900000000000001E-6</v>
      </c>
      <c r="F73" s="11">
        <v>2.21E-6</v>
      </c>
      <c r="G73">
        <v>0.32080563000000001</v>
      </c>
      <c r="H73">
        <v>8.7895845E-2</v>
      </c>
      <c r="I73" s="11">
        <v>9.0999999999999993E-6</v>
      </c>
      <c r="J73">
        <v>0.19312255</v>
      </c>
      <c r="K73">
        <v>4.8266339999999998E-3</v>
      </c>
      <c r="L73">
        <v>1.168388567</v>
      </c>
      <c r="M73">
        <v>8.2470890000000008E-3</v>
      </c>
      <c r="N73">
        <v>5.603846E-3</v>
      </c>
      <c r="O73">
        <v>1.7345539999999999E-3</v>
      </c>
      <c r="P73">
        <v>1.4840219999999999E-2</v>
      </c>
      <c r="Q73">
        <v>0.59354301300000001</v>
      </c>
      <c r="R73">
        <v>3.5909385199999999</v>
      </c>
      <c r="S73">
        <v>1.0463235E-2</v>
      </c>
      <c r="T73">
        <v>9.0953000000000006E-3</v>
      </c>
      <c r="U73">
        <v>8.0026225000000006E-2</v>
      </c>
      <c r="V73">
        <v>7.5475267999999998E-2</v>
      </c>
      <c r="W73">
        <v>0.94313168000000003</v>
      </c>
      <c r="X73">
        <v>3.918502062</v>
      </c>
      <c r="Y73">
        <v>1.680481347</v>
      </c>
      <c r="Z73">
        <v>0.39751566399999999</v>
      </c>
      <c r="AA73">
        <v>1.4505812E-2</v>
      </c>
      <c r="AB73">
        <v>0.30472982100000001</v>
      </c>
      <c r="AC73">
        <v>1.2463702E-2</v>
      </c>
      <c r="AD73">
        <v>0.89063882800000005</v>
      </c>
      <c r="AE73">
        <v>0.27639847499999998</v>
      </c>
      <c r="AF73">
        <v>0.92282344100000002</v>
      </c>
      <c r="AG73">
        <v>0.35121927400000003</v>
      </c>
      <c r="AH73">
        <v>4.4938549999999997E-3</v>
      </c>
      <c r="AI73">
        <v>0.48279581500000002</v>
      </c>
    </row>
    <row r="74" spans="1:35" x14ac:dyDescent="0.2">
      <c r="A74">
        <v>113</v>
      </c>
      <c r="B74" t="s">
        <v>238</v>
      </c>
      <c r="C74" t="s">
        <v>134</v>
      </c>
      <c r="D74" t="s">
        <v>160</v>
      </c>
      <c r="E74" s="11">
        <v>1.8300000000000001E-5</v>
      </c>
      <c r="F74" s="11">
        <v>7.0400000000000004E-6</v>
      </c>
      <c r="G74">
        <v>0.38385574300000003</v>
      </c>
      <c r="H74">
        <v>-0.31722404100000001</v>
      </c>
      <c r="I74" s="11">
        <v>2.5400000000000001E-5</v>
      </c>
      <c r="J74">
        <v>0.50579143999999998</v>
      </c>
      <c r="K74">
        <v>3.4489355999999999E-2</v>
      </c>
      <c r="L74">
        <v>3.1037273519999999</v>
      </c>
      <c r="M74">
        <v>2.2246189999999999E-2</v>
      </c>
      <c r="N74">
        <v>4.0223174E-2</v>
      </c>
      <c r="O74">
        <v>1.2394483E-2</v>
      </c>
      <c r="P74">
        <v>8.107367E-2</v>
      </c>
      <c r="Q74">
        <v>1.1883479459999999</v>
      </c>
      <c r="R74">
        <v>7.292235024</v>
      </c>
      <c r="S74">
        <v>7.3408538999999995E-2</v>
      </c>
      <c r="T74">
        <v>6.7839180999999998E-2</v>
      </c>
      <c r="U74">
        <v>0.56145236600000004</v>
      </c>
      <c r="V74">
        <v>0.56294792299999996</v>
      </c>
      <c r="W74">
        <v>1.002663729</v>
      </c>
      <c r="X74">
        <v>2.9886981920000002</v>
      </c>
      <c r="Y74">
        <v>3.4420066079999998</v>
      </c>
      <c r="Z74">
        <v>0.42066931299999999</v>
      </c>
      <c r="AA74">
        <v>4.9182103999999997E-2</v>
      </c>
      <c r="AB74">
        <v>9.8279665000000002E-2</v>
      </c>
      <c r="AC74">
        <v>4.2140596000000002E-2</v>
      </c>
      <c r="AD74">
        <v>0.91171395200000005</v>
      </c>
      <c r="AE74">
        <v>0.55922772799999998</v>
      </c>
      <c r="AF74">
        <v>1.3780607659999999</v>
      </c>
      <c r="AG74">
        <v>0.59162110499999998</v>
      </c>
      <c r="AH74">
        <v>1.5194019E-2</v>
      </c>
      <c r="AI74">
        <v>0.72319557899999998</v>
      </c>
    </row>
    <row r="75" spans="1:35" x14ac:dyDescent="0.2">
      <c r="A75">
        <v>114</v>
      </c>
      <c r="B75" t="s">
        <v>239</v>
      </c>
      <c r="C75" t="s">
        <v>134</v>
      </c>
      <c r="D75" t="s">
        <v>162</v>
      </c>
      <c r="E75" s="11">
        <v>2.1399999999999998E-5</v>
      </c>
      <c r="F75" s="11">
        <v>7.96E-6</v>
      </c>
      <c r="G75">
        <v>0.37187168100000001</v>
      </c>
      <c r="H75">
        <v>5.0263169999999998E-3</v>
      </c>
      <c r="I75" s="11">
        <v>2.94E-5</v>
      </c>
      <c r="J75">
        <v>0.64683602399999995</v>
      </c>
      <c r="K75">
        <v>2.6191783E-2</v>
      </c>
      <c r="L75">
        <v>3.933399707</v>
      </c>
      <c r="M75">
        <v>1.3321062999999999E-2</v>
      </c>
      <c r="N75">
        <v>3.0551620000000002E-2</v>
      </c>
      <c r="O75">
        <v>9.4125730000000005E-3</v>
      </c>
      <c r="P75">
        <v>6.6150029999999999E-2</v>
      </c>
      <c r="Q75">
        <v>1.6336845099999999</v>
      </c>
      <c r="R75">
        <v>9.9344071280000001</v>
      </c>
      <c r="S75">
        <v>4.8536617999999997E-2</v>
      </c>
      <c r="T75">
        <v>5.0178876999999997E-2</v>
      </c>
      <c r="U75">
        <v>0.37122382700000001</v>
      </c>
      <c r="V75">
        <v>0.416397931</v>
      </c>
      <c r="W75">
        <v>1.1216896670000001</v>
      </c>
      <c r="X75">
        <v>3.3163536840000001</v>
      </c>
      <c r="Y75">
        <v>4.396049756</v>
      </c>
      <c r="Z75">
        <v>0.42794396000000001</v>
      </c>
      <c r="AA75">
        <v>3.2059205E-2</v>
      </c>
      <c r="AB75">
        <v>0.105242223</v>
      </c>
      <c r="AC75">
        <v>2.7432563E-2</v>
      </c>
      <c r="AD75">
        <v>0.91219373800000003</v>
      </c>
      <c r="AE75">
        <v>0.72519154500000005</v>
      </c>
      <c r="AF75">
        <v>1.7075584020000001</v>
      </c>
      <c r="AG75">
        <v>0.41196670400000002</v>
      </c>
      <c r="AH75">
        <v>9.890958E-3</v>
      </c>
      <c r="AI75">
        <v>0.88543803799999998</v>
      </c>
    </row>
    <row r="76" spans="1:35" x14ac:dyDescent="0.2">
      <c r="A76">
        <v>115</v>
      </c>
      <c r="B76" t="s">
        <v>240</v>
      </c>
      <c r="C76" t="s">
        <v>134</v>
      </c>
      <c r="D76" t="s">
        <v>168</v>
      </c>
      <c r="E76" s="11">
        <v>9.7100000000000002E-6</v>
      </c>
      <c r="F76" s="11">
        <v>3.2200000000000001E-6</v>
      </c>
      <c r="G76">
        <v>0.33135308000000002</v>
      </c>
      <c r="H76">
        <v>-0.79513695100000004</v>
      </c>
      <c r="I76" s="11">
        <v>1.29E-5</v>
      </c>
      <c r="J76">
        <v>0.41489964499999998</v>
      </c>
      <c r="K76">
        <v>1.2776021E-2</v>
      </c>
      <c r="L76">
        <v>2.514949911</v>
      </c>
      <c r="M76">
        <v>1.2709092E-2</v>
      </c>
      <c r="N76">
        <v>2.01777E-2</v>
      </c>
      <c r="O76">
        <v>4.5913350000000002E-3</v>
      </c>
      <c r="P76">
        <v>3.6771060000000001E-2</v>
      </c>
      <c r="Q76">
        <v>1.2039546569999999</v>
      </c>
      <c r="R76">
        <v>7.2972700599999998</v>
      </c>
      <c r="S76">
        <v>2.3399144E-2</v>
      </c>
      <c r="T76">
        <v>2.0298948000000001E-2</v>
      </c>
      <c r="U76">
        <v>0.17896425999999999</v>
      </c>
      <c r="V76">
        <v>0.168446177</v>
      </c>
      <c r="W76">
        <v>0.94122802500000002</v>
      </c>
      <c r="X76">
        <v>3.6891589520000001</v>
      </c>
      <c r="Y76">
        <v>2.6518472690000001</v>
      </c>
      <c r="Z76">
        <v>0.38634470900000001</v>
      </c>
      <c r="AA76">
        <v>1.9609973999999999E-2</v>
      </c>
      <c r="AB76">
        <v>5.1623395000000002E-2</v>
      </c>
      <c r="AC76">
        <v>1.6832248000000001E-2</v>
      </c>
      <c r="AD76">
        <v>0.89572574299999996</v>
      </c>
      <c r="AE76">
        <v>0.43734235399999999</v>
      </c>
      <c r="AF76">
        <v>1.1633730470000001</v>
      </c>
      <c r="AG76">
        <v>0.40479674799999998</v>
      </c>
      <c r="AH76">
        <v>6.0689569999999998E-3</v>
      </c>
      <c r="AI76">
        <v>0.60738231099999995</v>
      </c>
    </row>
    <row r="77" spans="1:35" x14ac:dyDescent="0.2">
      <c r="A77">
        <v>116</v>
      </c>
      <c r="B77" t="s">
        <v>241</v>
      </c>
      <c r="C77" t="s">
        <v>136</v>
      </c>
      <c r="D77" t="s">
        <v>130</v>
      </c>
      <c r="E77" s="11">
        <v>1.4399999999999999E-5</v>
      </c>
      <c r="F77" s="11">
        <v>4.6E-6</v>
      </c>
      <c r="G77">
        <v>0.31993083900000002</v>
      </c>
      <c r="H77">
        <v>0.27682090100000001</v>
      </c>
      <c r="I77" s="11">
        <v>1.9000000000000001E-5</v>
      </c>
      <c r="J77">
        <v>0.371084835</v>
      </c>
      <c r="K77">
        <v>1.5655387999999999E-2</v>
      </c>
      <c r="L77">
        <v>2.257819783</v>
      </c>
      <c r="M77">
        <v>1.3846008E-2</v>
      </c>
      <c r="N77">
        <v>1.8238468000000001E-2</v>
      </c>
      <c r="O77">
        <v>5.6260959999999997E-3</v>
      </c>
      <c r="P77">
        <v>4.7229979999999998E-2</v>
      </c>
      <c r="Q77">
        <v>1.119552651</v>
      </c>
      <c r="R77">
        <v>6.8117758740000003</v>
      </c>
      <c r="S77">
        <v>3.0788204999999999E-2</v>
      </c>
      <c r="T77">
        <v>2.9777278000000001E-2</v>
      </c>
      <c r="U77">
        <v>0.235478201</v>
      </c>
      <c r="V77">
        <v>0.247099928</v>
      </c>
      <c r="W77">
        <v>1.049353728</v>
      </c>
      <c r="X77">
        <v>3.4453008129999998</v>
      </c>
      <c r="Y77">
        <v>3.0374073639999999</v>
      </c>
      <c r="Z77">
        <v>0.32856585799999999</v>
      </c>
      <c r="AA77">
        <v>2.7376193E-2</v>
      </c>
      <c r="AB77">
        <v>0.25666217499999999</v>
      </c>
      <c r="AC77">
        <v>2.3437712999999999E-2</v>
      </c>
      <c r="AD77">
        <v>0.88869056099999999</v>
      </c>
      <c r="AE77">
        <v>0.49842751299999999</v>
      </c>
      <c r="AF77">
        <v>1.510457916</v>
      </c>
      <c r="AG77">
        <v>0.452898949</v>
      </c>
      <c r="AH77">
        <v>8.4505940000000005E-3</v>
      </c>
      <c r="AI77">
        <v>0.78737259199999998</v>
      </c>
    </row>
    <row r="78" spans="1:35" x14ac:dyDescent="0.2">
      <c r="A78">
        <v>117</v>
      </c>
      <c r="B78" t="s">
        <v>242</v>
      </c>
      <c r="C78" t="s">
        <v>136</v>
      </c>
      <c r="D78" t="s">
        <v>132</v>
      </c>
      <c r="E78" s="11">
        <v>8.5900000000000008E-6</v>
      </c>
      <c r="F78" s="11">
        <v>2.7E-6</v>
      </c>
      <c r="G78">
        <v>0.31382482699999997</v>
      </c>
      <c r="H78">
        <v>-9.9482161E-2</v>
      </c>
      <c r="I78" s="11">
        <v>1.13E-5</v>
      </c>
      <c r="J78">
        <v>0.36552854400000001</v>
      </c>
      <c r="K78">
        <v>1.5875138E-2</v>
      </c>
      <c r="L78">
        <v>2.22492154</v>
      </c>
      <c r="M78">
        <v>3.7086002E-2</v>
      </c>
      <c r="N78">
        <v>1.8452982E-2</v>
      </c>
      <c r="O78">
        <v>5.7050679999999998E-3</v>
      </c>
      <c r="P78">
        <v>4.9332340000000002E-2</v>
      </c>
      <c r="Q78">
        <v>1.1360297349999999</v>
      </c>
      <c r="R78">
        <v>6.9148430980000004</v>
      </c>
      <c r="S78">
        <v>2.1947861999999999E-2</v>
      </c>
      <c r="T78">
        <v>1.9890440999999998E-2</v>
      </c>
      <c r="U78">
        <v>0.16786438100000001</v>
      </c>
      <c r="V78">
        <v>0.165056273</v>
      </c>
      <c r="W78">
        <v>0.98327156699999996</v>
      </c>
      <c r="X78">
        <v>4.0876621819999999</v>
      </c>
      <c r="Y78">
        <v>1.4910256150000001</v>
      </c>
      <c r="Z78">
        <v>0.31280964700000002</v>
      </c>
      <c r="AA78">
        <v>1.2153806E-2</v>
      </c>
      <c r="AB78">
        <v>-0.49220879699999998</v>
      </c>
      <c r="AC78">
        <v>1.0423216000000001E-2</v>
      </c>
      <c r="AD78">
        <v>0.88562935099999995</v>
      </c>
      <c r="AE78">
        <v>0.24503291899999999</v>
      </c>
      <c r="AF78">
        <v>0.809504844</v>
      </c>
      <c r="AG78">
        <v>0.219522946</v>
      </c>
      <c r="AH78">
        <v>3.7581469999999999E-3</v>
      </c>
      <c r="AI78">
        <v>0.42135618400000002</v>
      </c>
    </row>
    <row r="79" spans="1:35" x14ac:dyDescent="0.2">
      <c r="A79">
        <v>118</v>
      </c>
      <c r="B79" t="s">
        <v>243</v>
      </c>
      <c r="C79" t="s">
        <v>136</v>
      </c>
      <c r="D79" t="s">
        <v>140</v>
      </c>
      <c r="E79" s="11">
        <v>9.6800000000000005E-6</v>
      </c>
      <c r="F79" s="11">
        <v>3.05E-6</v>
      </c>
      <c r="G79">
        <v>0.314843231</v>
      </c>
      <c r="H79">
        <v>-6.0747821E-2</v>
      </c>
      <c r="I79" s="11">
        <v>1.27E-5</v>
      </c>
      <c r="J79">
        <v>0.24427105299999999</v>
      </c>
      <c r="K79">
        <v>8.2849900000000008E-3</v>
      </c>
      <c r="L79">
        <v>1.482196297</v>
      </c>
      <c r="M79">
        <v>1.1190257E-2</v>
      </c>
      <c r="N79">
        <v>9.6361390000000002E-3</v>
      </c>
      <c r="O79">
        <v>2.9773870000000002E-3</v>
      </c>
      <c r="P79">
        <v>2.580344E-2</v>
      </c>
      <c r="Q79">
        <v>0.76065311599999996</v>
      </c>
      <c r="R79">
        <v>4.61552557</v>
      </c>
      <c r="S79">
        <v>1.7050201000000001E-2</v>
      </c>
      <c r="T79">
        <v>1.5674451999999998E-2</v>
      </c>
      <c r="U79">
        <v>0.13040548099999999</v>
      </c>
      <c r="V79">
        <v>0.13007085700000001</v>
      </c>
      <c r="W79">
        <v>0.99743397300000003</v>
      </c>
      <c r="X79">
        <v>4.2373931410000001</v>
      </c>
      <c r="Y79">
        <v>1.301008897</v>
      </c>
      <c r="Z79">
        <v>0.31403905599999998</v>
      </c>
      <c r="AA79">
        <v>1.0065311E-2</v>
      </c>
      <c r="AB79">
        <v>-0.139266842</v>
      </c>
      <c r="AC79">
        <v>8.6292420000000005E-3</v>
      </c>
      <c r="AD79">
        <v>0.86759478000000001</v>
      </c>
      <c r="AE79">
        <v>0.21396121700000001</v>
      </c>
      <c r="AF79">
        <v>0.71605173300000002</v>
      </c>
      <c r="AG79">
        <v>0.18412863800000001</v>
      </c>
      <c r="AH79">
        <v>3.111319E-3</v>
      </c>
      <c r="AI79">
        <v>0.37244286500000001</v>
      </c>
    </row>
    <row r="80" spans="1:35" x14ac:dyDescent="0.2">
      <c r="A80">
        <v>119</v>
      </c>
      <c r="B80" t="s">
        <v>244</v>
      </c>
      <c r="C80" t="s">
        <v>136</v>
      </c>
      <c r="D80" t="s">
        <v>142</v>
      </c>
      <c r="E80" s="11">
        <v>1.19E-5</v>
      </c>
      <c r="F80" s="11">
        <v>3.9999999999999998E-6</v>
      </c>
      <c r="G80">
        <v>0.33536674100000002</v>
      </c>
      <c r="H80">
        <v>0.89588073099999999</v>
      </c>
      <c r="I80" s="11">
        <v>1.59E-5</v>
      </c>
      <c r="J80">
        <v>0.38897214000000002</v>
      </c>
      <c r="K80">
        <v>3.4244185000000003E-2</v>
      </c>
      <c r="L80">
        <v>2.4023212100000002</v>
      </c>
      <c r="M80">
        <v>1.076422E-2</v>
      </c>
      <c r="N80">
        <v>3.9701380000000001E-2</v>
      </c>
      <c r="O80">
        <v>1.2306375E-2</v>
      </c>
      <c r="P80">
        <v>9.5830760000000001E-2</v>
      </c>
      <c r="Q80">
        <v>1.1886965709999999</v>
      </c>
      <c r="R80">
        <v>7.3238409420000004</v>
      </c>
      <c r="S80">
        <v>4.3393568E-2</v>
      </c>
      <c r="T80">
        <v>4.4979329999999998E-2</v>
      </c>
      <c r="U80">
        <v>0.33188810800000001</v>
      </c>
      <c r="V80">
        <v>0.37325067899999997</v>
      </c>
      <c r="W80">
        <v>1.12462806</v>
      </c>
      <c r="X80">
        <v>2.2573034939999999</v>
      </c>
      <c r="Y80">
        <v>38.287297529999996</v>
      </c>
      <c r="Z80">
        <v>1.2566413139999999</v>
      </c>
      <c r="AA80">
        <v>0.126233284</v>
      </c>
      <c r="AB80">
        <v>0.93725539899999999</v>
      </c>
      <c r="AC80">
        <v>5.0958746110000002</v>
      </c>
      <c r="AD80">
        <v>1.0812565869999999</v>
      </c>
      <c r="AE80">
        <v>4.6811340269999997</v>
      </c>
      <c r="AF80">
        <v>3.4605165119999999</v>
      </c>
      <c r="AG80">
        <v>23.565421000000001</v>
      </c>
      <c r="AH80">
        <v>3.7820198999999999E-2</v>
      </c>
      <c r="AI80">
        <v>2.4089138120000002</v>
      </c>
    </row>
    <row r="81" spans="1:35" x14ac:dyDescent="0.2">
      <c r="A81">
        <v>120</v>
      </c>
      <c r="B81" t="s">
        <v>245</v>
      </c>
      <c r="C81" t="s">
        <v>136</v>
      </c>
      <c r="D81" t="s">
        <v>146</v>
      </c>
      <c r="E81" s="11">
        <v>1.43E-5</v>
      </c>
      <c r="F81" s="11">
        <v>4.6099999999999999E-6</v>
      </c>
      <c r="G81">
        <v>0.32101660799999998</v>
      </c>
      <c r="H81">
        <v>0.27926044100000003</v>
      </c>
      <c r="I81" s="11">
        <v>1.9000000000000001E-5</v>
      </c>
      <c r="J81">
        <v>0.37209673599999998</v>
      </c>
      <c r="K81">
        <v>1.5705123000000001E-2</v>
      </c>
      <c r="L81">
        <v>2.2639906600000002</v>
      </c>
      <c r="M81">
        <v>1.3889986E-2</v>
      </c>
      <c r="N81">
        <v>1.8296467E-2</v>
      </c>
      <c r="O81">
        <v>5.6439699999999999E-3</v>
      </c>
      <c r="P81">
        <v>4.7369550000000003E-2</v>
      </c>
      <c r="Q81">
        <v>1.1223563599999999</v>
      </c>
      <c r="R81">
        <v>6.8288772499999997</v>
      </c>
      <c r="S81">
        <v>3.0912386E-2</v>
      </c>
      <c r="T81">
        <v>2.9911205E-2</v>
      </c>
      <c r="U81">
        <v>0.23642797199999999</v>
      </c>
      <c r="V81">
        <v>0.248211288</v>
      </c>
      <c r="W81">
        <v>1.049838925</v>
      </c>
      <c r="X81">
        <v>3.4403997789999998</v>
      </c>
      <c r="Y81">
        <v>3.0555296940000001</v>
      </c>
      <c r="Z81">
        <v>0.32313419199999999</v>
      </c>
      <c r="AA81">
        <v>2.7545322000000001E-2</v>
      </c>
      <c r="AB81">
        <v>0.259051331</v>
      </c>
      <c r="AC81">
        <v>2.3583065E-2</v>
      </c>
      <c r="AD81">
        <v>0.88805758199999996</v>
      </c>
      <c r="AE81">
        <v>0.50139948199999995</v>
      </c>
      <c r="AF81">
        <v>1.517967294</v>
      </c>
      <c r="AG81">
        <v>0.455298235</v>
      </c>
      <c r="AH81">
        <v>8.5030009999999996E-3</v>
      </c>
      <c r="AI81">
        <v>0.79129105300000002</v>
      </c>
    </row>
    <row r="82" spans="1:35" x14ac:dyDescent="0.2">
      <c r="A82">
        <v>121</v>
      </c>
      <c r="B82" t="s">
        <v>246</v>
      </c>
      <c r="C82" t="s">
        <v>136</v>
      </c>
      <c r="D82" t="s">
        <v>150</v>
      </c>
      <c r="E82" s="11">
        <v>1.43E-5</v>
      </c>
      <c r="F82" s="11">
        <v>4.6199999999999998E-6</v>
      </c>
      <c r="G82">
        <v>0.322115125</v>
      </c>
      <c r="H82">
        <v>0.275008209</v>
      </c>
      <c r="I82" s="11">
        <v>1.9000000000000001E-5</v>
      </c>
      <c r="J82">
        <v>0.370864003</v>
      </c>
      <c r="K82">
        <v>1.5611465E-2</v>
      </c>
      <c r="L82">
        <v>2.2564069490000001</v>
      </c>
      <c r="M82">
        <v>1.3807253E-2</v>
      </c>
      <c r="N82">
        <v>1.8187590999999999E-2</v>
      </c>
      <c r="O82">
        <v>5.6103120000000001E-3</v>
      </c>
      <c r="P82">
        <v>4.7107599999999999E-2</v>
      </c>
      <c r="Q82">
        <v>1.119126579</v>
      </c>
      <c r="R82">
        <v>6.8089746800000004</v>
      </c>
      <c r="S82">
        <v>3.0774218999999998E-2</v>
      </c>
      <c r="T82">
        <v>2.9680544999999999E-2</v>
      </c>
      <c r="U82">
        <v>0.23537122599999999</v>
      </c>
      <c r="V82">
        <v>0.24629720899999999</v>
      </c>
      <c r="W82">
        <v>1.0464202149999999</v>
      </c>
      <c r="X82">
        <v>3.445901916</v>
      </c>
      <c r="Y82">
        <v>3.0376258900000002</v>
      </c>
      <c r="Z82">
        <v>0.32272469399999998</v>
      </c>
      <c r="AA82">
        <v>2.7354837E-2</v>
      </c>
      <c r="AB82">
        <v>0.25718076200000001</v>
      </c>
      <c r="AC82">
        <v>2.3419947999999999E-2</v>
      </c>
      <c r="AD82">
        <v>0.88798018300000003</v>
      </c>
      <c r="AE82">
        <v>0.49846986199999999</v>
      </c>
      <c r="AF82">
        <v>1.510725417</v>
      </c>
      <c r="AG82">
        <v>0.45263817499999998</v>
      </c>
      <c r="AH82">
        <v>8.444188E-3</v>
      </c>
      <c r="AI82">
        <v>0.78750288000000002</v>
      </c>
    </row>
    <row r="83" spans="1:35" x14ac:dyDescent="0.2">
      <c r="A83">
        <v>122</v>
      </c>
      <c r="B83" t="s">
        <v>247</v>
      </c>
      <c r="C83" t="s">
        <v>136</v>
      </c>
      <c r="D83" t="s">
        <v>156</v>
      </c>
      <c r="E83" s="11">
        <v>1.1800000000000001E-5</v>
      </c>
      <c r="F83" s="11">
        <v>3.7699999999999999E-6</v>
      </c>
      <c r="G83">
        <v>0.31812672400000003</v>
      </c>
      <c r="H83">
        <v>0.58399926099999999</v>
      </c>
      <c r="I83" s="11">
        <v>1.56E-5</v>
      </c>
      <c r="J83">
        <v>0.236176255</v>
      </c>
      <c r="K83">
        <v>1.4887401E-2</v>
      </c>
      <c r="L83">
        <v>1.446832331</v>
      </c>
      <c r="M83">
        <v>2.0520061999999999E-2</v>
      </c>
      <c r="N83">
        <v>1.7335231999999999E-2</v>
      </c>
      <c r="O83">
        <v>5.3501039999999996E-3</v>
      </c>
      <c r="P83">
        <v>4.5045960000000003E-2</v>
      </c>
      <c r="Q83">
        <v>0.71438651099999995</v>
      </c>
      <c r="R83">
        <v>4.3764109820000003</v>
      </c>
      <c r="S83">
        <v>3.0725788E-2</v>
      </c>
      <c r="T83">
        <v>2.8238392000000001E-2</v>
      </c>
      <c r="U83">
        <v>0.235000816</v>
      </c>
      <c r="V83">
        <v>0.23432983800000001</v>
      </c>
      <c r="W83">
        <v>0.99714478399999995</v>
      </c>
      <c r="X83">
        <v>3.203284263</v>
      </c>
      <c r="Y83">
        <v>2.3510068940000002</v>
      </c>
      <c r="Z83">
        <v>0.34159885200000001</v>
      </c>
      <c r="AA83">
        <v>3.7140474E-2</v>
      </c>
      <c r="AB83">
        <v>0.38459035000000003</v>
      </c>
      <c r="AC83">
        <v>3.1805514999999999E-2</v>
      </c>
      <c r="AD83">
        <v>0.88412086899999998</v>
      </c>
      <c r="AE83">
        <v>0.38123257300000002</v>
      </c>
      <c r="AF83">
        <v>1.0931137959999999</v>
      </c>
      <c r="AG83">
        <v>0.58172063600000001</v>
      </c>
      <c r="AH83">
        <v>1.1467649999999999E-2</v>
      </c>
      <c r="AI83">
        <v>0.57663954500000003</v>
      </c>
    </row>
    <row r="84" spans="1:35" x14ac:dyDescent="0.2">
      <c r="A84">
        <v>123</v>
      </c>
      <c r="B84" t="s">
        <v>248</v>
      </c>
      <c r="C84" t="s">
        <v>136</v>
      </c>
      <c r="D84" t="s">
        <v>158</v>
      </c>
      <c r="E84" s="11">
        <v>7.0299999999999996E-6</v>
      </c>
      <c r="F84" s="11">
        <v>2.1900000000000002E-6</v>
      </c>
      <c r="G84">
        <v>0.31153897699999999</v>
      </c>
      <c r="H84">
        <v>-9.5258633999999995E-2</v>
      </c>
      <c r="I84" s="11">
        <v>9.2299999999999997E-6</v>
      </c>
      <c r="J84">
        <v>0.29191489399999998</v>
      </c>
      <c r="K84">
        <v>1.2272188E-2</v>
      </c>
      <c r="L84">
        <v>1.7760337369999999</v>
      </c>
      <c r="M84">
        <v>1.280281E-2</v>
      </c>
      <c r="N84">
        <v>1.4242375999999999E-2</v>
      </c>
      <c r="O84">
        <v>4.4101260000000003E-3</v>
      </c>
      <c r="P84">
        <v>7.3186870000000001E-2</v>
      </c>
      <c r="Q84">
        <v>0.94270480499999998</v>
      </c>
      <c r="R84">
        <v>5.802602576</v>
      </c>
      <c r="S84">
        <v>1.2852318E-2</v>
      </c>
      <c r="T84">
        <v>1.1415006E-2</v>
      </c>
      <c r="U84">
        <v>9.8298703000000001E-2</v>
      </c>
      <c r="V84">
        <v>9.4724815000000004E-2</v>
      </c>
      <c r="W84">
        <v>0.96364257200000003</v>
      </c>
      <c r="X84">
        <v>4.0697892490000003</v>
      </c>
      <c r="Y84">
        <v>1.160947679</v>
      </c>
      <c r="Z84">
        <v>0.31499417600000001</v>
      </c>
      <c r="AA84">
        <v>1.2401274E-2</v>
      </c>
      <c r="AB84">
        <v>-0.52981376300000005</v>
      </c>
      <c r="AC84">
        <v>1.0660887000000001E-2</v>
      </c>
      <c r="AD84">
        <v>0.86824280200000004</v>
      </c>
      <c r="AE84">
        <v>0.18993922099999999</v>
      </c>
      <c r="AF84">
        <v>0.81603358800000003</v>
      </c>
      <c r="AG84">
        <v>0.38649540399999999</v>
      </c>
      <c r="AH84">
        <v>3.8438399999999998E-3</v>
      </c>
      <c r="AI84">
        <v>0.42919117800000001</v>
      </c>
    </row>
    <row r="85" spans="1:35" x14ac:dyDescent="0.2">
      <c r="A85">
        <v>124</v>
      </c>
      <c r="B85" t="s">
        <v>249</v>
      </c>
      <c r="C85" t="s">
        <v>136</v>
      </c>
      <c r="D85" t="s">
        <v>162</v>
      </c>
      <c r="E85" s="11">
        <v>1.45E-5</v>
      </c>
      <c r="F85" s="11">
        <v>4.6099999999999999E-6</v>
      </c>
      <c r="G85">
        <v>0.31729905200000003</v>
      </c>
      <c r="H85">
        <v>0.27664223199999999</v>
      </c>
      <c r="I85" s="11">
        <v>1.91E-5</v>
      </c>
      <c r="J85">
        <v>0.37121197</v>
      </c>
      <c r="K85">
        <v>1.5680273000000002E-2</v>
      </c>
      <c r="L85">
        <v>2.2586323639999999</v>
      </c>
      <c r="M85">
        <v>1.3868159E-2</v>
      </c>
      <c r="N85">
        <v>1.8265852999999999E-2</v>
      </c>
      <c r="O85">
        <v>5.6350389999999997E-3</v>
      </c>
      <c r="P85">
        <v>4.7295610000000002E-2</v>
      </c>
      <c r="Q85">
        <v>1.1197586369999999</v>
      </c>
      <c r="R85">
        <v>6.8131430359999996</v>
      </c>
      <c r="S85">
        <v>3.0865119E-2</v>
      </c>
      <c r="T85">
        <v>2.9825976000000001E-2</v>
      </c>
      <c r="U85">
        <v>0.236066462</v>
      </c>
      <c r="V85">
        <v>0.24750403400000001</v>
      </c>
      <c r="W85">
        <v>1.0484506440000001</v>
      </c>
      <c r="X85">
        <v>3.4443928719999999</v>
      </c>
      <c r="Y85">
        <v>3.0369773329999998</v>
      </c>
      <c r="Z85">
        <v>0.33910576999999997</v>
      </c>
      <c r="AA85">
        <v>2.7407979999999998E-2</v>
      </c>
      <c r="AB85">
        <v>0.256289357</v>
      </c>
      <c r="AC85">
        <v>2.3464572E-2</v>
      </c>
      <c r="AD85">
        <v>0.88925569100000001</v>
      </c>
      <c r="AE85">
        <v>0.49834687799999999</v>
      </c>
      <c r="AF85">
        <v>1.509958404</v>
      </c>
      <c r="AG85">
        <v>0.45334424899999998</v>
      </c>
      <c r="AH85">
        <v>8.4602779999999999E-3</v>
      </c>
      <c r="AI85">
        <v>0.78712818799999995</v>
      </c>
    </row>
    <row r="86" spans="1:35" x14ac:dyDescent="0.2">
      <c r="A86">
        <v>125</v>
      </c>
      <c r="B86" t="s">
        <v>250</v>
      </c>
      <c r="C86" t="s">
        <v>136</v>
      </c>
      <c r="D86" t="s">
        <v>168</v>
      </c>
      <c r="E86" s="11">
        <v>4.9699999999999998E-6</v>
      </c>
      <c r="F86" s="11">
        <v>1.5600000000000001E-6</v>
      </c>
      <c r="G86">
        <v>0.31509549399999998</v>
      </c>
      <c r="H86">
        <v>-0.32611482200000003</v>
      </c>
      <c r="I86" s="11">
        <v>6.5300000000000002E-6</v>
      </c>
      <c r="J86">
        <v>0.29193342</v>
      </c>
      <c r="K86">
        <v>1.22541E-2</v>
      </c>
      <c r="L86">
        <v>1.776108719</v>
      </c>
      <c r="M86">
        <v>1.2810334E-2</v>
      </c>
      <c r="N86">
        <v>1.4216873E-2</v>
      </c>
      <c r="O86">
        <v>4.4156079999999997E-3</v>
      </c>
      <c r="P86">
        <v>7.2951219999999997E-2</v>
      </c>
      <c r="Q86">
        <v>0.94036673599999998</v>
      </c>
      <c r="R86">
        <v>5.7881028519999997</v>
      </c>
      <c r="S86">
        <v>1.2184911999999999E-2</v>
      </c>
      <c r="T86">
        <v>1.0997837999999999E-2</v>
      </c>
      <c r="U86">
        <v>9.3194168999999993E-2</v>
      </c>
      <c r="V86">
        <v>9.1263045000000001E-2</v>
      </c>
      <c r="W86">
        <v>0.97927848900000003</v>
      </c>
      <c r="X86">
        <v>3.8315915629999999</v>
      </c>
      <c r="Y86">
        <v>1.8320083920000001</v>
      </c>
      <c r="Z86">
        <v>0.30614223499999998</v>
      </c>
      <c r="AA86">
        <v>1.6764912999999999E-2</v>
      </c>
      <c r="AB86">
        <v>3.0512781999999999E-2</v>
      </c>
      <c r="AC86">
        <v>1.4397543E-2</v>
      </c>
      <c r="AD86">
        <v>0.873201801</v>
      </c>
      <c r="AE86">
        <v>0.30053879999999999</v>
      </c>
      <c r="AF86">
        <v>1.028746605</v>
      </c>
      <c r="AG86">
        <v>0.44545414799999999</v>
      </c>
      <c r="AH86">
        <v>5.191111E-3</v>
      </c>
      <c r="AI86">
        <v>0.53994488299999999</v>
      </c>
    </row>
    <row r="87" spans="1:35" x14ac:dyDescent="0.2">
      <c r="A87">
        <v>126</v>
      </c>
      <c r="B87" t="s">
        <v>251</v>
      </c>
      <c r="C87" t="s">
        <v>138</v>
      </c>
      <c r="D87" t="s">
        <v>130</v>
      </c>
      <c r="E87" s="11">
        <v>1.73E-5</v>
      </c>
      <c r="F87" s="11">
        <v>6.1700000000000002E-6</v>
      </c>
      <c r="G87">
        <v>0.357126518</v>
      </c>
      <c r="H87">
        <v>-0.135410168</v>
      </c>
      <c r="I87" s="11">
        <v>2.34E-5</v>
      </c>
      <c r="J87">
        <v>2.5841947689999998</v>
      </c>
      <c r="K87">
        <v>0.71003055500000001</v>
      </c>
      <c r="L87">
        <v>16.925229720000001</v>
      </c>
      <c r="M87">
        <v>9.0523719999999995E-3</v>
      </c>
      <c r="N87">
        <v>8.1545273000000001E-2</v>
      </c>
      <c r="O87">
        <v>2.5470791E-2</v>
      </c>
      <c r="P87">
        <v>1.98024372</v>
      </c>
      <c r="Q87">
        <v>5.5886229839999997</v>
      </c>
      <c r="R87">
        <v>37.492225339999997</v>
      </c>
      <c r="S87">
        <v>0.15314008300000001</v>
      </c>
      <c r="T87">
        <v>0.14027246500000001</v>
      </c>
      <c r="U87">
        <v>1.1712651249999999</v>
      </c>
      <c r="V87">
        <v>1.1640189510000001</v>
      </c>
      <c r="W87">
        <v>0.993813379</v>
      </c>
      <c r="X87">
        <v>2.4856691780000002</v>
      </c>
      <c r="Y87">
        <v>28.139222199999999</v>
      </c>
      <c r="Z87">
        <v>0.38375568799999998</v>
      </c>
      <c r="AA87">
        <v>8.4393644000000004E-2</v>
      </c>
      <c r="AB87">
        <v>0.39851821100000001</v>
      </c>
      <c r="AC87">
        <v>7.5567180999999997E-2</v>
      </c>
      <c r="AD87">
        <v>0.91645213999999997</v>
      </c>
      <c r="AE87">
        <v>4.7006580019999999</v>
      </c>
      <c r="AF87">
        <v>7.5522535399999997</v>
      </c>
      <c r="AG87">
        <v>0.96243274199999995</v>
      </c>
      <c r="AH87">
        <v>2.7246154000000002E-2</v>
      </c>
      <c r="AI87">
        <v>3.8760318740000002</v>
      </c>
    </row>
    <row r="88" spans="1:35" x14ac:dyDescent="0.2">
      <c r="A88">
        <v>127</v>
      </c>
      <c r="B88" t="s">
        <v>252</v>
      </c>
      <c r="C88" t="s">
        <v>138</v>
      </c>
      <c r="D88" t="s">
        <v>132</v>
      </c>
      <c r="E88" s="11">
        <v>1.0699999999999999E-5</v>
      </c>
      <c r="F88" s="11">
        <v>3.9500000000000003E-6</v>
      </c>
      <c r="G88">
        <v>0.367815373</v>
      </c>
      <c r="H88">
        <v>-0.920340881</v>
      </c>
      <c r="I88" s="11">
        <v>1.47E-5</v>
      </c>
      <c r="J88">
        <v>2.1363990259999999</v>
      </c>
      <c r="K88">
        <v>6.6381051999999996E-2</v>
      </c>
      <c r="L88">
        <v>12.951156259999999</v>
      </c>
      <c r="M88">
        <v>1.0200468000000001E-2</v>
      </c>
      <c r="N88">
        <v>7.6137950999999995E-2</v>
      </c>
      <c r="O88">
        <v>2.3855441000000002E-2</v>
      </c>
      <c r="P88">
        <v>0.15999216999999999</v>
      </c>
      <c r="Q88">
        <v>5.1604475030000003</v>
      </c>
      <c r="R88">
        <v>31.28266936</v>
      </c>
      <c r="S88">
        <v>0.127519309</v>
      </c>
      <c r="T88">
        <v>0.11870009099999999</v>
      </c>
      <c r="U88">
        <v>0.97530911899999995</v>
      </c>
      <c r="V88">
        <v>0.98500553999999996</v>
      </c>
      <c r="W88">
        <v>1.0099418950000001</v>
      </c>
      <c r="X88">
        <v>2.9491113979999999</v>
      </c>
      <c r="Y88">
        <v>13.81319528</v>
      </c>
      <c r="Z88">
        <v>0.36535287500000002</v>
      </c>
      <c r="AA88">
        <v>3.7467005999999997E-2</v>
      </c>
      <c r="AB88">
        <v>6.2406924000000003E-2</v>
      </c>
      <c r="AC88">
        <v>3.3606225000000003E-2</v>
      </c>
      <c r="AD88">
        <v>0.91329530199999998</v>
      </c>
      <c r="AE88">
        <v>2.3108996240000002</v>
      </c>
      <c r="AF88">
        <v>4.0475049060000003</v>
      </c>
      <c r="AG88">
        <v>0.466497155</v>
      </c>
      <c r="AH88">
        <v>1.2116906E-2</v>
      </c>
      <c r="AI88">
        <v>2.074227649</v>
      </c>
    </row>
    <row r="89" spans="1:35" x14ac:dyDescent="0.2">
      <c r="A89">
        <v>128</v>
      </c>
      <c r="B89" t="s">
        <v>253</v>
      </c>
      <c r="C89" t="s">
        <v>138</v>
      </c>
      <c r="D89" t="s">
        <v>134</v>
      </c>
      <c r="E89" s="11">
        <v>1.7099999999999999E-5</v>
      </c>
      <c r="F89" s="11">
        <v>9.2399999999999996E-6</v>
      </c>
      <c r="G89">
        <v>0.53871586000000005</v>
      </c>
      <c r="H89">
        <v>-6.8081859999999999E-3</v>
      </c>
      <c r="I89" s="11">
        <v>2.6400000000000001E-5</v>
      </c>
      <c r="J89">
        <v>3.513071396</v>
      </c>
      <c r="K89">
        <v>9.8167085000000001E-2</v>
      </c>
      <c r="L89">
        <v>21.274762540000001</v>
      </c>
      <c r="M89">
        <v>9.2222039999999995E-3</v>
      </c>
      <c r="N89">
        <v>0.114561657</v>
      </c>
      <c r="O89">
        <v>3.5278427000000001E-2</v>
      </c>
      <c r="P89">
        <v>0.14476130000000001</v>
      </c>
      <c r="Q89">
        <v>5.1787687870000001</v>
      </c>
      <c r="R89">
        <v>31.362135330000001</v>
      </c>
      <c r="S89">
        <v>0.17052458700000001</v>
      </c>
      <c r="T89">
        <v>0.17141034999999999</v>
      </c>
      <c r="U89">
        <v>1.3042274570000001</v>
      </c>
      <c r="V89">
        <v>1.422409569</v>
      </c>
      <c r="W89">
        <v>1.0906146480000001</v>
      </c>
      <c r="X89">
        <v>2.314468846</v>
      </c>
      <c r="Y89">
        <v>27.022269820000002</v>
      </c>
      <c r="Z89">
        <v>0.49916867700000001</v>
      </c>
      <c r="AA89">
        <v>0.113884811</v>
      </c>
      <c r="AB89">
        <v>0.212695207</v>
      </c>
      <c r="AC89">
        <v>0.10193743500000001</v>
      </c>
      <c r="AD89">
        <v>0.94009258900000003</v>
      </c>
      <c r="AE89">
        <v>4.4854073400000001</v>
      </c>
      <c r="AF89">
        <v>5.4678760730000002</v>
      </c>
      <c r="AG89">
        <v>0.98518773199999998</v>
      </c>
      <c r="AH89">
        <v>3.6754091000000003E-2</v>
      </c>
      <c r="AI89">
        <v>2.824211069</v>
      </c>
    </row>
    <row r="90" spans="1:35" x14ac:dyDescent="0.2">
      <c r="A90">
        <v>129</v>
      </c>
      <c r="B90" t="s">
        <v>254</v>
      </c>
      <c r="C90" t="s">
        <v>138</v>
      </c>
      <c r="D90" t="s">
        <v>136</v>
      </c>
      <c r="E90" s="11">
        <v>1.43E-5</v>
      </c>
      <c r="F90" s="11">
        <v>5.1000000000000003E-6</v>
      </c>
      <c r="G90">
        <v>0.35519353999999997</v>
      </c>
      <c r="H90">
        <v>0.32872728200000001</v>
      </c>
      <c r="I90" s="11">
        <v>1.9400000000000001E-5</v>
      </c>
      <c r="J90">
        <v>1.956028624</v>
      </c>
      <c r="K90">
        <v>9.3610073000000002E-2</v>
      </c>
      <c r="L90">
        <v>11.92339189</v>
      </c>
      <c r="M90">
        <v>1.5007441999999999E-2</v>
      </c>
      <c r="N90">
        <v>0.107386579</v>
      </c>
      <c r="O90">
        <v>3.3640768000000001E-2</v>
      </c>
      <c r="P90">
        <v>0.23211428000000001</v>
      </c>
      <c r="Q90">
        <v>4.8501422569999999</v>
      </c>
      <c r="R90">
        <v>29.565082100000001</v>
      </c>
      <c r="S90">
        <v>0.118863978</v>
      </c>
      <c r="T90">
        <v>0.11036209800000001</v>
      </c>
      <c r="U90">
        <v>0.90911032899999999</v>
      </c>
      <c r="V90">
        <v>0.91581462000000002</v>
      </c>
      <c r="W90">
        <v>1.0073745629999999</v>
      </c>
      <c r="X90">
        <v>2.4038268399999998</v>
      </c>
      <c r="Y90">
        <v>18.668128320000001</v>
      </c>
      <c r="Z90">
        <v>0.39554473099999998</v>
      </c>
      <c r="AA90">
        <v>9.7362132000000004E-2</v>
      </c>
      <c r="AB90">
        <v>0.36129687500000002</v>
      </c>
      <c r="AC90">
        <v>8.7192668000000001E-2</v>
      </c>
      <c r="AD90">
        <v>0.91645299800000002</v>
      </c>
      <c r="AE90">
        <v>3.08234253</v>
      </c>
      <c r="AF90">
        <v>4.8351291639999996</v>
      </c>
      <c r="AG90">
        <v>1.084139052</v>
      </c>
      <c r="AH90">
        <v>3.1437786000000002E-2</v>
      </c>
      <c r="AI90">
        <v>2.5106399860000002</v>
      </c>
    </row>
    <row r="91" spans="1:35" x14ac:dyDescent="0.2">
      <c r="A91">
        <v>130</v>
      </c>
      <c r="B91" t="s">
        <v>255</v>
      </c>
      <c r="C91" t="s">
        <v>138</v>
      </c>
      <c r="D91" t="s">
        <v>140</v>
      </c>
      <c r="E91" s="11">
        <v>1.1399999999999999E-5</v>
      </c>
      <c r="F91" s="11">
        <v>3.5999999999999998E-6</v>
      </c>
      <c r="G91">
        <v>0.31643033599999998</v>
      </c>
      <c r="H91">
        <v>0.41417285999999998</v>
      </c>
      <c r="I91" s="11">
        <v>1.5E-5</v>
      </c>
      <c r="J91">
        <v>0.49031376599999998</v>
      </c>
      <c r="K91">
        <v>1.5367970999999999E-2</v>
      </c>
      <c r="L91">
        <v>2.9726185350000001</v>
      </c>
      <c r="M91">
        <v>1.0327630000000001E-2</v>
      </c>
      <c r="N91">
        <v>1.7895198000000001E-2</v>
      </c>
      <c r="O91">
        <v>5.5228070000000002E-3</v>
      </c>
      <c r="P91">
        <v>4.6389920000000001E-2</v>
      </c>
      <c r="Q91">
        <v>1.4801573969999999</v>
      </c>
      <c r="R91">
        <v>8.9737242300000002</v>
      </c>
      <c r="S91">
        <v>3.2301879999999998E-2</v>
      </c>
      <c r="T91">
        <v>2.8404774000000001E-2</v>
      </c>
      <c r="U91">
        <v>0.24705527599999999</v>
      </c>
      <c r="V91">
        <v>0.23571051800000001</v>
      </c>
      <c r="W91">
        <v>0.95408008200000005</v>
      </c>
      <c r="X91">
        <v>3.0571372710000002</v>
      </c>
      <c r="Y91">
        <v>12.05283784</v>
      </c>
      <c r="Z91">
        <v>0.366788791</v>
      </c>
      <c r="AA91">
        <v>3.1028720999999999E-2</v>
      </c>
      <c r="AB91">
        <v>0.75336774799999995</v>
      </c>
      <c r="AC91">
        <v>2.7822145999999999E-2</v>
      </c>
      <c r="AD91">
        <v>0.89469735399999994</v>
      </c>
      <c r="AE91">
        <v>2.017863137</v>
      </c>
      <c r="AF91">
        <v>3.58024158</v>
      </c>
      <c r="AG91">
        <v>0.39128249300000001</v>
      </c>
      <c r="AH91">
        <v>1.0031424000000001E-2</v>
      </c>
      <c r="AI91">
        <v>1.833440011</v>
      </c>
    </row>
    <row r="92" spans="1:35" x14ac:dyDescent="0.2">
      <c r="A92">
        <v>131</v>
      </c>
      <c r="B92" t="s">
        <v>256</v>
      </c>
      <c r="C92" t="s">
        <v>138</v>
      </c>
      <c r="D92" t="s">
        <v>142</v>
      </c>
      <c r="E92" s="11">
        <v>3.4700000000000002E-7</v>
      </c>
      <c r="F92" s="11">
        <v>3.7000000000000002E-6</v>
      </c>
      <c r="G92">
        <v>10.664951950000001</v>
      </c>
      <c r="H92">
        <v>2.1909725000000001E-2</v>
      </c>
      <c r="I92" s="11">
        <v>4.0500000000000002E-6</v>
      </c>
      <c r="J92">
        <v>5.322722293</v>
      </c>
      <c r="K92">
        <v>0</v>
      </c>
      <c r="L92">
        <v>31.93633376</v>
      </c>
      <c r="M92">
        <v>0</v>
      </c>
      <c r="N92">
        <v>3.217218E-3</v>
      </c>
      <c r="O92">
        <v>9.9020699999999989E-4</v>
      </c>
      <c r="P92">
        <v>0</v>
      </c>
      <c r="Q92">
        <v>0.49541659399999999</v>
      </c>
      <c r="R92">
        <v>2.972499564</v>
      </c>
      <c r="S92">
        <v>6.4126560000000001E-3</v>
      </c>
      <c r="T92">
        <v>6.9377578999999995E-2</v>
      </c>
      <c r="U92">
        <v>4.9046077E-2</v>
      </c>
      <c r="V92">
        <v>0.57571396900000005</v>
      </c>
      <c r="W92">
        <v>11.73822667</v>
      </c>
      <c r="X92">
        <v>1.6285688899999999</v>
      </c>
      <c r="Y92">
        <v>354.70210059999999</v>
      </c>
      <c r="Z92">
        <v>1.4677217339999999</v>
      </c>
      <c r="AA92">
        <v>0.38914420300000002</v>
      </c>
      <c r="AB92">
        <v>0.90996294200000005</v>
      </c>
      <c r="AC92">
        <v>16.42996802</v>
      </c>
      <c r="AD92">
        <v>1.115033688</v>
      </c>
      <c r="AE92">
        <v>44.147663469999998</v>
      </c>
      <c r="AF92">
        <v>17.302499990000001</v>
      </c>
      <c r="AG92">
        <v>50.077689069999998</v>
      </c>
      <c r="AH92">
        <v>0.121938768</v>
      </c>
      <c r="AI92">
        <v>11.858460409999999</v>
      </c>
    </row>
    <row r="93" spans="1:35" x14ac:dyDescent="0.2">
      <c r="A93">
        <v>132</v>
      </c>
      <c r="B93" t="s">
        <v>257</v>
      </c>
      <c r="C93" t="s">
        <v>138</v>
      </c>
      <c r="D93" t="s">
        <v>144</v>
      </c>
      <c r="E93" s="11">
        <v>1.8499999999999999E-5</v>
      </c>
      <c r="F93" s="11">
        <v>7.7400000000000004E-6</v>
      </c>
      <c r="G93">
        <v>0.41711115100000001</v>
      </c>
      <c r="H93">
        <v>-0.15386803199999999</v>
      </c>
      <c r="I93" s="11">
        <v>2.6299999999999999E-5</v>
      </c>
      <c r="J93">
        <v>3.8062438049999998</v>
      </c>
      <c r="K93">
        <v>0.23498580099999999</v>
      </c>
      <c r="L93">
        <v>23.307434430000001</v>
      </c>
      <c r="M93">
        <v>1.1618434E-2</v>
      </c>
      <c r="N93">
        <v>0.149562641</v>
      </c>
      <c r="O93">
        <v>4.8371330999999997E-2</v>
      </c>
      <c r="P93">
        <v>0.58689380000000002</v>
      </c>
      <c r="Q93">
        <v>6.9261997219999998</v>
      </c>
      <c r="R93">
        <v>42.730985939999997</v>
      </c>
      <c r="S93">
        <v>0.26111506299999998</v>
      </c>
      <c r="T93">
        <v>0.24585874299999999</v>
      </c>
      <c r="U93">
        <v>1.9970928569999999</v>
      </c>
      <c r="V93">
        <v>2.0402025199999998</v>
      </c>
      <c r="W93">
        <v>1.0215862090000001</v>
      </c>
      <c r="X93">
        <v>2.2099166810000002</v>
      </c>
      <c r="Y93">
        <v>26.06614884</v>
      </c>
      <c r="Z93">
        <v>0.383180874</v>
      </c>
      <c r="AA93">
        <v>0.13670189899999999</v>
      </c>
      <c r="AB93">
        <v>0.105835136</v>
      </c>
      <c r="AC93">
        <v>0.122384121</v>
      </c>
      <c r="AD93">
        <v>0.93307348400000001</v>
      </c>
      <c r="AE93">
        <v>4.3032262540000001</v>
      </c>
      <c r="AF93">
        <v>6.2947086920000004</v>
      </c>
      <c r="AG93">
        <v>1.419296618</v>
      </c>
      <c r="AH93">
        <v>4.4126253999999997E-2</v>
      </c>
      <c r="AI93">
        <v>3.2690171910000001</v>
      </c>
    </row>
    <row r="94" spans="1:35" x14ac:dyDescent="0.2">
      <c r="A94">
        <v>133</v>
      </c>
      <c r="B94" t="s">
        <v>258</v>
      </c>
      <c r="C94" t="s">
        <v>138</v>
      </c>
      <c r="D94" t="s">
        <v>146</v>
      </c>
      <c r="E94" s="11">
        <v>1.6900000000000001E-5</v>
      </c>
      <c r="F94" s="11">
        <v>6.2999999999999998E-6</v>
      </c>
      <c r="G94">
        <v>0.373926168</v>
      </c>
      <c r="H94">
        <v>-0.221309956</v>
      </c>
      <c r="I94" s="11">
        <v>2.3200000000000001E-5</v>
      </c>
      <c r="J94">
        <v>2.9383246359999999</v>
      </c>
      <c r="K94">
        <v>0.35623070800000001</v>
      </c>
      <c r="L94">
        <v>18.342409230000001</v>
      </c>
      <c r="M94">
        <v>9.1204219999999996E-3</v>
      </c>
      <c r="N94">
        <v>9.3151730000000002E-2</v>
      </c>
      <c r="O94">
        <v>2.9185524000000001E-2</v>
      </c>
      <c r="P94">
        <v>0.97421122999999998</v>
      </c>
      <c r="Q94">
        <v>6.3322857609999996</v>
      </c>
      <c r="R94">
        <v>39.942137029999998</v>
      </c>
      <c r="S94">
        <v>0.16592722100000001</v>
      </c>
      <c r="T94">
        <v>0.15669830400000001</v>
      </c>
      <c r="U94">
        <v>1.2690653089999999</v>
      </c>
      <c r="V94">
        <v>1.300325017</v>
      </c>
      <c r="W94">
        <v>1.0246320719999999</v>
      </c>
      <c r="X94">
        <v>2.4821332460000001</v>
      </c>
      <c r="Y94">
        <v>28.307111519999999</v>
      </c>
      <c r="Z94">
        <v>0.37741165300000001</v>
      </c>
      <c r="AA94">
        <v>8.4915024000000006E-2</v>
      </c>
      <c r="AB94">
        <v>0.352021162</v>
      </c>
      <c r="AC94">
        <v>7.6035819000000004E-2</v>
      </c>
      <c r="AD94">
        <v>0.91579938800000005</v>
      </c>
      <c r="AE94">
        <v>4.7286865640000002</v>
      </c>
      <c r="AF94">
        <v>7.5898002529999999</v>
      </c>
      <c r="AG94">
        <v>0.96753134399999996</v>
      </c>
      <c r="AH94">
        <v>2.7415123999999999E-2</v>
      </c>
      <c r="AI94">
        <v>3.8953214420000002</v>
      </c>
    </row>
    <row r="95" spans="1:35" x14ac:dyDescent="0.2">
      <c r="A95">
        <v>134</v>
      </c>
      <c r="B95" t="s">
        <v>259</v>
      </c>
      <c r="C95" t="s">
        <v>138</v>
      </c>
      <c r="D95" t="s">
        <v>148</v>
      </c>
      <c r="E95" s="11">
        <v>1.1600000000000001E-5</v>
      </c>
      <c r="F95" s="11">
        <v>3.7000000000000002E-6</v>
      </c>
      <c r="G95">
        <v>0.31979996599999999</v>
      </c>
      <c r="H95">
        <v>0.85079487300000001</v>
      </c>
      <c r="I95" s="11">
        <v>1.5299999999999999E-5</v>
      </c>
      <c r="J95">
        <v>0.62247844699999999</v>
      </c>
      <c r="K95">
        <v>2.9071095000000002E-2</v>
      </c>
      <c r="L95">
        <v>3.7930128729999999</v>
      </c>
      <c r="M95">
        <v>1.5327245999999999E-2</v>
      </c>
      <c r="N95">
        <v>3.3878115E-2</v>
      </c>
      <c r="O95">
        <v>1.0447315E-2</v>
      </c>
      <c r="P95">
        <v>8.2626699999999997E-2</v>
      </c>
      <c r="Q95">
        <v>1.769353806</v>
      </c>
      <c r="R95">
        <v>10.78137624</v>
      </c>
      <c r="S95">
        <v>4.4305170999999997E-2</v>
      </c>
      <c r="T95">
        <v>4.5797185999999997E-2</v>
      </c>
      <c r="U95">
        <v>0.33886034300000001</v>
      </c>
      <c r="V95">
        <v>0.38003747199999999</v>
      </c>
      <c r="W95">
        <v>1.121516518</v>
      </c>
      <c r="X95">
        <v>2.9968806479999999</v>
      </c>
      <c r="Y95">
        <v>9.0008059300000003</v>
      </c>
      <c r="Z95">
        <v>0.36174296099999997</v>
      </c>
      <c r="AA95">
        <v>3.4468672999999998E-2</v>
      </c>
      <c r="AB95">
        <v>0.57859186100000004</v>
      </c>
      <c r="AC95">
        <v>0.24827980399999999</v>
      </c>
      <c r="AD95">
        <v>0.90579769099999996</v>
      </c>
      <c r="AE95">
        <v>1.284864317</v>
      </c>
      <c r="AF95">
        <v>2.262910341</v>
      </c>
      <c r="AG95">
        <v>3.4677169910000001</v>
      </c>
      <c r="AH95">
        <v>1.1145980999999999E-2</v>
      </c>
      <c r="AI95">
        <v>1.359187605</v>
      </c>
    </row>
    <row r="96" spans="1:35" x14ac:dyDescent="0.2">
      <c r="A96">
        <v>135</v>
      </c>
      <c r="B96" t="s">
        <v>260</v>
      </c>
      <c r="C96" t="s">
        <v>138</v>
      </c>
      <c r="D96" t="s">
        <v>150</v>
      </c>
      <c r="E96" s="11">
        <v>1.73E-5</v>
      </c>
      <c r="F96" s="11">
        <v>6.3300000000000004E-6</v>
      </c>
      <c r="G96">
        <v>0.365216188</v>
      </c>
      <c r="H96">
        <v>-0.32829356199999998</v>
      </c>
      <c r="I96" s="11">
        <v>2.3600000000000001E-5</v>
      </c>
      <c r="J96">
        <v>4.6451476869999997</v>
      </c>
      <c r="K96">
        <v>0.131428244</v>
      </c>
      <c r="L96">
        <v>28.133742609999999</v>
      </c>
      <c r="M96">
        <v>9.2244070000000004E-3</v>
      </c>
      <c r="N96">
        <v>0.149562641</v>
      </c>
      <c r="O96">
        <v>4.7231531E-2</v>
      </c>
      <c r="P96">
        <v>0.52746488999999996</v>
      </c>
      <c r="Q96">
        <v>9.924161883</v>
      </c>
      <c r="R96">
        <v>60.599901080000002</v>
      </c>
      <c r="S96">
        <v>0.178812149</v>
      </c>
      <c r="T96">
        <v>0.17316133</v>
      </c>
      <c r="U96">
        <v>1.367613427</v>
      </c>
      <c r="V96">
        <v>1.4369396729999999</v>
      </c>
      <c r="W96">
        <v>1.050691405</v>
      </c>
      <c r="X96">
        <v>2.4861028539999999</v>
      </c>
      <c r="Y96">
        <v>28.14124666</v>
      </c>
      <c r="Z96">
        <v>0.37693337199999999</v>
      </c>
      <c r="AA96">
        <v>8.4327808000000004E-2</v>
      </c>
      <c r="AB96">
        <v>2.6665700000000001E-4</v>
      </c>
      <c r="AC96">
        <v>7.5509903000000003E-2</v>
      </c>
      <c r="AD96">
        <v>0.91571957100000001</v>
      </c>
      <c r="AE96">
        <v>4.701057391</v>
      </c>
      <c r="AF96">
        <v>7.5535910409999998</v>
      </c>
      <c r="AG96">
        <v>0.96187858400000004</v>
      </c>
      <c r="AH96">
        <v>2.7225501999999999E-2</v>
      </c>
      <c r="AI96">
        <v>3.876673244</v>
      </c>
    </row>
    <row r="97" spans="1:35" x14ac:dyDescent="0.2">
      <c r="A97">
        <v>136</v>
      </c>
      <c r="B97" t="s">
        <v>261</v>
      </c>
      <c r="C97" t="s">
        <v>138</v>
      </c>
      <c r="D97" t="s">
        <v>152</v>
      </c>
      <c r="E97" s="11">
        <v>3.4799999999999999E-7</v>
      </c>
      <c r="F97" s="11">
        <v>3.6899999999999998E-6</v>
      </c>
      <c r="G97">
        <v>10.621871280000001</v>
      </c>
      <c r="H97">
        <v>2.1925149000000001E-2</v>
      </c>
      <c r="I97" s="11">
        <v>4.0400000000000003E-6</v>
      </c>
      <c r="J97">
        <v>5.3227569690000003</v>
      </c>
      <c r="K97">
        <v>0</v>
      </c>
      <c r="L97">
        <v>31.936541819999999</v>
      </c>
      <c r="M97">
        <v>0</v>
      </c>
      <c r="N97">
        <v>3.2206600000000002E-3</v>
      </c>
      <c r="O97">
        <v>9.9126500000000007E-4</v>
      </c>
      <c r="P97">
        <v>0</v>
      </c>
      <c r="Q97">
        <v>0.49556054999999999</v>
      </c>
      <c r="R97">
        <v>2.9733632999999999</v>
      </c>
      <c r="S97">
        <v>6.4196239999999996E-3</v>
      </c>
      <c r="T97">
        <v>6.9380982999999993E-2</v>
      </c>
      <c r="U97">
        <v>4.9099370000000003E-2</v>
      </c>
      <c r="V97">
        <v>0.57574221000000003</v>
      </c>
      <c r="W97">
        <v>11.72606105</v>
      </c>
      <c r="X97">
        <v>1.6281971500000001</v>
      </c>
      <c r="Y97">
        <v>354.63844519999998</v>
      </c>
      <c r="Z97">
        <v>1.467520422</v>
      </c>
      <c r="AA97">
        <v>0.38917428300000001</v>
      </c>
      <c r="AB97">
        <v>0.90994619399999999</v>
      </c>
      <c r="AC97">
        <v>16.457802690000001</v>
      </c>
      <c r="AD97">
        <v>1.114728545</v>
      </c>
      <c r="AE97">
        <v>44.109697500000003</v>
      </c>
      <c r="AF97">
        <v>17.305403340000002</v>
      </c>
      <c r="AG97">
        <v>49.526263829999998</v>
      </c>
      <c r="AH97">
        <v>0.122018051</v>
      </c>
      <c r="AI97">
        <v>11.825621440000001</v>
      </c>
    </row>
    <row r="98" spans="1:35" x14ac:dyDescent="0.2">
      <c r="A98">
        <v>137</v>
      </c>
      <c r="B98" t="s">
        <v>262</v>
      </c>
      <c r="C98" t="s">
        <v>138</v>
      </c>
      <c r="D98" t="s">
        <v>154</v>
      </c>
      <c r="E98" s="11">
        <v>5.3799999999999997E-7</v>
      </c>
      <c r="F98" s="11">
        <v>1.6300000000000001E-6</v>
      </c>
      <c r="G98">
        <v>3.0267839849999998</v>
      </c>
      <c r="H98">
        <v>-0.27247300299999999</v>
      </c>
      <c r="I98" s="11">
        <v>2.17E-6</v>
      </c>
      <c r="J98">
        <v>5.5178932090000004</v>
      </c>
      <c r="K98">
        <v>4.4611720000000002E-3</v>
      </c>
      <c r="L98">
        <v>33.116281600000001</v>
      </c>
      <c r="M98">
        <v>2.69394E-4</v>
      </c>
      <c r="N98">
        <v>5.2930520000000003E-3</v>
      </c>
      <c r="O98">
        <v>1.6032170000000001E-3</v>
      </c>
      <c r="P98">
        <v>1.4699299999999999E-3</v>
      </c>
      <c r="Q98">
        <v>1.81810771</v>
      </c>
      <c r="R98">
        <v>10.91158611</v>
      </c>
      <c r="S98">
        <v>1.0361341E-2</v>
      </c>
      <c r="T98">
        <v>1.2155440999999999E-2</v>
      </c>
      <c r="U98">
        <v>7.9246905000000006E-2</v>
      </c>
      <c r="V98">
        <v>0.10086914299999999</v>
      </c>
      <c r="W98">
        <v>1.2728464660000001</v>
      </c>
      <c r="X98">
        <v>3.24747677</v>
      </c>
      <c r="Y98">
        <v>9.6967088829999994</v>
      </c>
      <c r="Z98">
        <v>0.36097424099999997</v>
      </c>
      <c r="AA98">
        <v>2.2205927E-2</v>
      </c>
      <c r="AB98">
        <v>-1</v>
      </c>
      <c r="AC98">
        <v>1.9946049E-2</v>
      </c>
      <c r="AD98">
        <v>0.87393887400000003</v>
      </c>
      <c r="AE98">
        <v>1.6257832489999999</v>
      </c>
      <c r="AF98">
        <v>2.9289538080000002</v>
      </c>
      <c r="AG98">
        <v>0.28484684999999998</v>
      </c>
      <c r="AH98">
        <v>7.1916549999999999E-3</v>
      </c>
      <c r="AI98">
        <v>1.497722408</v>
      </c>
    </row>
    <row r="99" spans="1:35" x14ac:dyDescent="0.2">
      <c r="A99">
        <v>138</v>
      </c>
      <c r="B99" t="s">
        <v>263</v>
      </c>
      <c r="C99" t="s">
        <v>138</v>
      </c>
      <c r="D99" t="s">
        <v>156</v>
      </c>
      <c r="E99" s="11">
        <v>1.4E-5</v>
      </c>
      <c r="F99" s="11">
        <v>5.1100000000000002E-6</v>
      </c>
      <c r="G99">
        <v>0.36406980700000002</v>
      </c>
      <c r="H99">
        <v>0.215572035</v>
      </c>
      <c r="I99" s="11">
        <v>1.9199999999999999E-5</v>
      </c>
      <c r="J99">
        <v>2.3370808150000002</v>
      </c>
      <c r="K99">
        <v>0.10107003000000001</v>
      </c>
      <c r="L99">
        <v>14.224624950000001</v>
      </c>
      <c r="M99">
        <v>1.401666E-2</v>
      </c>
      <c r="N99">
        <v>0.11763870899999999</v>
      </c>
      <c r="O99">
        <v>3.6321661999999998E-2</v>
      </c>
      <c r="P99">
        <v>0.22861603999999999</v>
      </c>
      <c r="Q99">
        <v>5.286478711</v>
      </c>
      <c r="R99">
        <v>32.176104340000002</v>
      </c>
      <c r="S99">
        <v>0.156311004</v>
      </c>
      <c r="T99">
        <v>0.14851344499999999</v>
      </c>
      <c r="U99">
        <v>1.1955173589999999</v>
      </c>
      <c r="V99">
        <v>1.2324048439999999</v>
      </c>
      <c r="W99">
        <v>1.03085483</v>
      </c>
      <c r="X99">
        <v>2.311062341</v>
      </c>
      <c r="Y99">
        <v>21.780254490000001</v>
      </c>
      <c r="Z99">
        <v>0.39897785699999999</v>
      </c>
      <c r="AA99">
        <v>0.114494368</v>
      </c>
      <c r="AB99">
        <v>0.34690272100000002</v>
      </c>
      <c r="AC99">
        <v>0.102546399</v>
      </c>
      <c r="AD99">
        <v>0.91173969700000002</v>
      </c>
      <c r="AE99">
        <v>3.5953953080000001</v>
      </c>
      <c r="AF99">
        <v>5.4655429010000001</v>
      </c>
      <c r="AG99">
        <v>1.236185219</v>
      </c>
      <c r="AH99">
        <v>3.6973657E-2</v>
      </c>
      <c r="AI99">
        <v>2.8386475189999998</v>
      </c>
    </row>
    <row r="100" spans="1:35" x14ac:dyDescent="0.2">
      <c r="A100">
        <v>139</v>
      </c>
      <c r="B100" t="s">
        <v>264</v>
      </c>
      <c r="C100" t="s">
        <v>138</v>
      </c>
      <c r="D100" t="s">
        <v>158</v>
      </c>
      <c r="E100" s="11">
        <v>6.9E-6</v>
      </c>
      <c r="F100" s="11">
        <v>2.1399999999999998E-6</v>
      </c>
      <c r="G100">
        <v>0.31044509100000001</v>
      </c>
      <c r="H100">
        <v>1.113958655</v>
      </c>
      <c r="I100" s="11">
        <v>9.0499999999999997E-6</v>
      </c>
      <c r="J100">
        <v>0.27070312800000002</v>
      </c>
      <c r="K100">
        <v>6.7351529999999998E-3</v>
      </c>
      <c r="L100">
        <v>1.6376890719999999</v>
      </c>
      <c r="M100">
        <v>8.2087329999999993E-3</v>
      </c>
      <c r="N100">
        <v>7.8197279999999997E-3</v>
      </c>
      <c r="O100">
        <v>2.4204199999999999E-3</v>
      </c>
      <c r="P100">
        <v>2.1088590000000001E-2</v>
      </c>
      <c r="Q100">
        <v>0.84756983900000005</v>
      </c>
      <c r="R100">
        <v>5.1275962220000002</v>
      </c>
      <c r="S100">
        <v>1.304027E-2</v>
      </c>
      <c r="T100">
        <v>1.2679087E-2</v>
      </c>
      <c r="U100">
        <v>9.9736224999999998E-2</v>
      </c>
      <c r="V100">
        <v>0.105214504</v>
      </c>
      <c r="W100">
        <v>1.0549276750000001</v>
      </c>
      <c r="X100">
        <v>2.9362166749999998</v>
      </c>
      <c r="Y100">
        <v>10.75527934</v>
      </c>
      <c r="Z100">
        <v>0.36790434399999999</v>
      </c>
      <c r="AA100">
        <v>3.8229884999999998E-2</v>
      </c>
      <c r="AB100">
        <v>0.84773160999999997</v>
      </c>
      <c r="AC100">
        <v>3.4372514999999999E-2</v>
      </c>
      <c r="AD100">
        <v>0.895365619</v>
      </c>
      <c r="AE100">
        <v>1.791312265</v>
      </c>
      <c r="AF100">
        <v>4.0801484710000002</v>
      </c>
      <c r="AG100">
        <v>0.82132191399999999</v>
      </c>
      <c r="AH100">
        <v>1.2393194999999999E-2</v>
      </c>
      <c r="AI100">
        <v>2.1127973010000001</v>
      </c>
    </row>
    <row r="101" spans="1:35" x14ac:dyDescent="0.2">
      <c r="A101">
        <v>140</v>
      </c>
      <c r="B101" t="s">
        <v>265</v>
      </c>
      <c r="C101" t="s">
        <v>138</v>
      </c>
      <c r="D101" t="s">
        <v>160</v>
      </c>
      <c r="E101" s="11">
        <v>1.4600000000000001E-5</v>
      </c>
      <c r="F101" s="11">
        <v>5.2000000000000002E-6</v>
      </c>
      <c r="G101">
        <v>0.35487043200000001</v>
      </c>
      <c r="H101">
        <v>7.9873162999999997E-2</v>
      </c>
      <c r="I101" s="11">
        <v>1.98E-5</v>
      </c>
      <c r="J101">
        <v>2.3371557329999999</v>
      </c>
      <c r="K101">
        <v>0.101089076</v>
      </c>
      <c r="L101">
        <v>14.22511255</v>
      </c>
      <c r="M101">
        <v>1.4015448E-2</v>
      </c>
      <c r="N101">
        <v>0.117652205</v>
      </c>
      <c r="O101">
        <v>3.6328507000000003E-2</v>
      </c>
      <c r="P101">
        <v>0.22878415999999999</v>
      </c>
      <c r="Q101">
        <v>5.2895518199999998</v>
      </c>
      <c r="R101">
        <v>32.194879229999998</v>
      </c>
      <c r="S101">
        <v>0.15655079299999999</v>
      </c>
      <c r="T101">
        <v>0.14858157</v>
      </c>
      <c r="U101">
        <v>1.19735134</v>
      </c>
      <c r="V101">
        <v>1.2329701609999999</v>
      </c>
      <c r="W101">
        <v>1.0297480109999999</v>
      </c>
      <c r="X101">
        <v>2.2394949209999999</v>
      </c>
      <c r="Y101">
        <v>22.029249320000002</v>
      </c>
      <c r="Z101">
        <v>0.38933325699999999</v>
      </c>
      <c r="AA101">
        <v>0.129618819</v>
      </c>
      <c r="AB101">
        <v>0.35426249300000001</v>
      </c>
      <c r="AC101">
        <v>0.116215732</v>
      </c>
      <c r="AD101">
        <v>0.91655259200000005</v>
      </c>
      <c r="AE101">
        <v>3.6243017900000001</v>
      </c>
      <c r="AF101">
        <v>6.0929233890000001</v>
      </c>
      <c r="AG101">
        <v>1.3834986140000001</v>
      </c>
      <c r="AH101">
        <v>4.1902209000000003E-2</v>
      </c>
      <c r="AI101">
        <v>3.1648279079999999</v>
      </c>
    </row>
    <row r="102" spans="1:35" x14ac:dyDescent="0.2">
      <c r="A102">
        <v>141</v>
      </c>
      <c r="B102" t="s">
        <v>266</v>
      </c>
      <c r="C102" t="s">
        <v>138</v>
      </c>
      <c r="D102" t="s">
        <v>162</v>
      </c>
      <c r="E102" s="11">
        <v>1.7200000000000001E-5</v>
      </c>
      <c r="F102" s="11">
        <v>6.4400000000000002E-6</v>
      </c>
      <c r="G102">
        <v>0.37487172499999999</v>
      </c>
      <c r="H102">
        <v>-0.345889063</v>
      </c>
      <c r="I102" s="11">
        <v>2.3600000000000001E-5</v>
      </c>
      <c r="J102">
        <v>4.4354483419999999</v>
      </c>
      <c r="K102">
        <v>0.125267137</v>
      </c>
      <c r="L102">
        <v>26.863224330000001</v>
      </c>
      <c r="M102">
        <v>9.2223849999999996E-3</v>
      </c>
      <c r="N102">
        <v>0.14316932199999999</v>
      </c>
      <c r="O102">
        <v>4.5017406000000003E-2</v>
      </c>
      <c r="P102">
        <v>0.52672669000000005</v>
      </c>
      <c r="Q102">
        <v>9.5342746090000006</v>
      </c>
      <c r="R102">
        <v>58.259101029999997</v>
      </c>
      <c r="S102">
        <v>0.182138671</v>
      </c>
      <c r="T102">
        <v>0.17109922</v>
      </c>
      <c r="U102">
        <v>1.3930557459999999</v>
      </c>
      <c r="V102">
        <v>1.419827725</v>
      </c>
      <c r="W102">
        <v>1.0192181680000001</v>
      </c>
      <c r="X102">
        <v>2.4850141290000001</v>
      </c>
      <c r="Y102">
        <v>28.13523829</v>
      </c>
      <c r="Z102">
        <v>0.396066009</v>
      </c>
      <c r="AA102">
        <v>8.4491632999999997E-2</v>
      </c>
      <c r="AB102">
        <v>4.5210704999999997E-2</v>
      </c>
      <c r="AC102">
        <v>7.5653780000000004E-2</v>
      </c>
      <c r="AD102">
        <v>0.91703492399999997</v>
      </c>
      <c r="AE102">
        <v>4.6998975280000002</v>
      </c>
      <c r="AF102">
        <v>7.5497559900000004</v>
      </c>
      <c r="AG102">
        <v>0.96337902600000003</v>
      </c>
      <c r="AH102">
        <v>2.7277378000000001E-2</v>
      </c>
      <c r="AI102">
        <v>3.8748287370000001</v>
      </c>
    </row>
    <row r="103" spans="1:35" x14ac:dyDescent="0.2">
      <c r="A103">
        <v>142</v>
      </c>
      <c r="B103" t="s">
        <v>267</v>
      </c>
      <c r="C103" t="s">
        <v>138</v>
      </c>
      <c r="D103" t="s">
        <v>164</v>
      </c>
      <c r="E103" s="11">
        <v>1.0699999999999999E-5</v>
      </c>
      <c r="F103" s="11">
        <v>5.1900000000000003E-6</v>
      </c>
      <c r="G103">
        <v>0.48452902599999997</v>
      </c>
      <c r="H103">
        <v>0.29510201400000002</v>
      </c>
      <c r="I103" s="11">
        <v>1.59E-5</v>
      </c>
      <c r="J103">
        <v>3.0135418669999998</v>
      </c>
      <c r="K103">
        <v>0.100997446</v>
      </c>
      <c r="L103">
        <v>18.283246089999999</v>
      </c>
      <c r="M103">
        <v>1.1050048999999999E-2</v>
      </c>
      <c r="N103">
        <v>0.117803058</v>
      </c>
      <c r="O103">
        <v>3.6295577000000002E-2</v>
      </c>
      <c r="P103">
        <v>0.18098194000000001</v>
      </c>
      <c r="Q103">
        <v>5.4001033979999997</v>
      </c>
      <c r="R103">
        <v>32.762584269999998</v>
      </c>
      <c r="S103">
        <v>0.20122526299999999</v>
      </c>
      <c r="T103">
        <v>0.19173008599999999</v>
      </c>
      <c r="U103">
        <v>1.539036203</v>
      </c>
      <c r="V103">
        <v>1.5910282490000001</v>
      </c>
      <c r="W103">
        <v>1.0337822109999999</v>
      </c>
      <c r="X103">
        <v>2.0701718470000001</v>
      </c>
      <c r="Y103">
        <v>35.037337460000003</v>
      </c>
      <c r="Z103">
        <v>0.41954061799999998</v>
      </c>
      <c r="AA103">
        <v>0.17440204500000001</v>
      </c>
      <c r="AB103">
        <v>0.47817821199999999</v>
      </c>
      <c r="AC103">
        <v>0.15625715100000001</v>
      </c>
      <c r="AD103">
        <v>0.91051930299999995</v>
      </c>
      <c r="AE103">
        <v>5.7923176339999998</v>
      </c>
      <c r="AF103">
        <v>7.9307820529999997</v>
      </c>
      <c r="AG103">
        <v>1.6958252009999999</v>
      </c>
      <c r="AH103">
        <v>5.6339357999999999E-2</v>
      </c>
      <c r="AI103">
        <v>4.1129292619999998</v>
      </c>
    </row>
    <row r="104" spans="1:35" x14ac:dyDescent="0.2">
      <c r="A104">
        <v>143</v>
      </c>
      <c r="B104" t="s">
        <v>268</v>
      </c>
      <c r="C104" t="s">
        <v>138</v>
      </c>
      <c r="D104" t="s">
        <v>166</v>
      </c>
      <c r="E104" s="11">
        <v>1.95E-5</v>
      </c>
      <c r="F104" s="11">
        <v>7.8099999999999998E-6</v>
      </c>
      <c r="G104">
        <v>0.400356457</v>
      </c>
      <c r="H104">
        <v>-7.4355212000000004E-2</v>
      </c>
      <c r="I104" s="11">
        <v>2.73E-5</v>
      </c>
      <c r="J104">
        <v>4.7372085110000004</v>
      </c>
      <c r="K104">
        <v>0.134133052</v>
      </c>
      <c r="L104">
        <v>28.691517170000001</v>
      </c>
      <c r="M104">
        <v>9.3368749999999997E-3</v>
      </c>
      <c r="N104">
        <v>0.149562641</v>
      </c>
      <c r="O104">
        <v>4.8203561999999998E-2</v>
      </c>
      <c r="P104">
        <v>0.23830145</v>
      </c>
      <c r="Q104">
        <v>6.7700683079999999</v>
      </c>
      <c r="R104">
        <v>41.097012739999997</v>
      </c>
      <c r="S104">
        <v>0.26883190000000001</v>
      </c>
      <c r="T104">
        <v>0.24600578400000001</v>
      </c>
      <c r="U104">
        <v>2.0561137349999998</v>
      </c>
      <c r="V104">
        <v>2.0414227039999999</v>
      </c>
      <c r="W104">
        <v>0.99285495199999996</v>
      </c>
      <c r="X104">
        <v>2.1574890469999999</v>
      </c>
      <c r="Y104">
        <v>28.69151613</v>
      </c>
      <c r="Z104">
        <v>0.400356457</v>
      </c>
      <c r="AA104">
        <v>0.14981551900000001</v>
      </c>
      <c r="AB104" s="11">
        <v>-3.6099999999999999E-8</v>
      </c>
      <c r="AC104">
        <v>0.134133062</v>
      </c>
      <c r="AD104">
        <v>0.93331713699999996</v>
      </c>
      <c r="AE104">
        <v>4.7372083270000003</v>
      </c>
      <c r="AF104">
        <v>6.7723554119999996</v>
      </c>
      <c r="AG104">
        <v>1.5199084780000001</v>
      </c>
      <c r="AH104">
        <v>4.8362399E-2</v>
      </c>
      <c r="AI104">
        <v>3.516631603</v>
      </c>
    </row>
    <row r="105" spans="1:35" x14ac:dyDescent="0.2">
      <c r="A105">
        <v>144</v>
      </c>
      <c r="B105" t="s">
        <v>269</v>
      </c>
      <c r="C105" t="s">
        <v>138</v>
      </c>
      <c r="D105" t="s">
        <v>168</v>
      </c>
      <c r="E105" s="11">
        <v>8.0499999999999992E-6</v>
      </c>
      <c r="F105" s="11">
        <v>2.5500000000000001E-6</v>
      </c>
      <c r="G105">
        <v>0.317315501</v>
      </c>
      <c r="H105">
        <v>0.57421804200000004</v>
      </c>
      <c r="I105" s="11">
        <v>1.06E-5</v>
      </c>
      <c r="J105">
        <v>0.34387594100000002</v>
      </c>
      <c r="K105">
        <v>9.7030780000000004E-3</v>
      </c>
      <c r="L105">
        <v>2.0826618030000001</v>
      </c>
      <c r="M105">
        <v>9.3113840000000007E-3</v>
      </c>
      <c r="N105">
        <v>1.1279545E-2</v>
      </c>
      <c r="O105">
        <v>3.4869749999999998E-3</v>
      </c>
      <c r="P105">
        <v>3.0001779999999999E-2</v>
      </c>
      <c r="Q105">
        <v>1.063338578</v>
      </c>
      <c r="R105">
        <v>6.4400350340000001</v>
      </c>
      <c r="S105">
        <v>1.9592458E-2</v>
      </c>
      <c r="T105">
        <v>1.7023687999999999E-2</v>
      </c>
      <c r="U105">
        <v>0.149849486</v>
      </c>
      <c r="V105">
        <v>0.14126718199999999</v>
      </c>
      <c r="W105">
        <v>0.94272717100000003</v>
      </c>
      <c r="X105">
        <v>2.7643650200000001</v>
      </c>
      <c r="Y105">
        <v>16.972136110000001</v>
      </c>
      <c r="Z105">
        <v>0.357565525</v>
      </c>
      <c r="AA105">
        <v>5.1681840999999999E-2</v>
      </c>
      <c r="AB105">
        <v>0.87728935299999999</v>
      </c>
      <c r="AC105">
        <v>4.6420131000000003E-2</v>
      </c>
      <c r="AD105">
        <v>0.900479531</v>
      </c>
      <c r="AE105">
        <v>2.834374258</v>
      </c>
      <c r="AF105">
        <v>5.143708481</v>
      </c>
      <c r="AG105">
        <v>0.94661217099999995</v>
      </c>
      <c r="AH105">
        <v>1.6737028000000001E-2</v>
      </c>
      <c r="AI105">
        <v>2.6580091800000001</v>
      </c>
    </row>
    <row r="106" spans="1:35" x14ac:dyDescent="0.2">
      <c r="A106">
        <v>145</v>
      </c>
      <c r="B106" t="s">
        <v>270</v>
      </c>
      <c r="C106" t="s">
        <v>182</v>
      </c>
      <c r="D106" t="s">
        <v>129</v>
      </c>
      <c r="E106" s="11">
        <v>7.8199999999999997E-6</v>
      </c>
      <c r="F106" s="11">
        <v>2.4600000000000002E-6</v>
      </c>
      <c r="G106">
        <v>0.31486908699999999</v>
      </c>
      <c r="H106">
        <v>0.88650630200000002</v>
      </c>
      <c r="I106" s="11">
        <v>1.03E-5</v>
      </c>
      <c r="J106">
        <v>0.50389363499999995</v>
      </c>
      <c r="K106">
        <v>0.18051608399999999</v>
      </c>
      <c r="L106">
        <v>3.3843939770000002</v>
      </c>
      <c r="M106">
        <v>0.105610018</v>
      </c>
      <c r="N106">
        <v>1.9688415000000001E-2</v>
      </c>
      <c r="O106">
        <v>6.0880939999999996E-3</v>
      </c>
      <c r="P106">
        <v>0.53841333000000002</v>
      </c>
      <c r="Q106">
        <v>1.5078924840000001</v>
      </c>
      <c r="R106">
        <v>10.124181549999999</v>
      </c>
      <c r="S106">
        <v>3.6302580000000001E-2</v>
      </c>
      <c r="T106">
        <v>3.2052748999999998E-2</v>
      </c>
      <c r="U106">
        <v>0.27765392700000002</v>
      </c>
      <c r="V106">
        <v>0.26598240699999998</v>
      </c>
      <c r="W106">
        <v>0.95796378599999998</v>
      </c>
      <c r="X106">
        <v>2.2311076569999999</v>
      </c>
      <c r="Y106">
        <v>82.203168340000005</v>
      </c>
      <c r="Z106">
        <v>0.53852168700000003</v>
      </c>
      <c r="AA106">
        <v>0.12749946500000001</v>
      </c>
      <c r="AB106">
        <v>0.95882891100000001</v>
      </c>
      <c r="AC106">
        <v>194.88913489999999</v>
      </c>
      <c r="AD106">
        <v>0.96488478799999999</v>
      </c>
      <c r="AE106">
        <v>5.7546870869999998</v>
      </c>
      <c r="AF106">
        <v>10.55343317</v>
      </c>
      <c r="AG106">
        <v>716.3688985</v>
      </c>
      <c r="AH106">
        <v>3.9705347000000002E-2</v>
      </c>
      <c r="AI106">
        <v>9.1010935029999995</v>
      </c>
    </row>
    <row r="107" spans="1:35" x14ac:dyDescent="0.2">
      <c r="A107">
        <v>146</v>
      </c>
      <c r="B107" t="s">
        <v>271</v>
      </c>
      <c r="C107" t="s">
        <v>182</v>
      </c>
      <c r="D107" t="s">
        <v>130</v>
      </c>
      <c r="E107" s="11">
        <v>1.2500000000000001E-5</v>
      </c>
      <c r="F107" s="11">
        <v>4.2200000000000003E-6</v>
      </c>
      <c r="G107">
        <v>0.33769835399999998</v>
      </c>
      <c r="H107">
        <v>0.61211256300000005</v>
      </c>
      <c r="I107" s="11">
        <v>1.6699999999999999E-5</v>
      </c>
      <c r="J107">
        <v>0.94118524100000001</v>
      </c>
      <c r="K107">
        <v>3.1479589000000002E-2</v>
      </c>
      <c r="L107">
        <v>5.7100706219999999</v>
      </c>
      <c r="M107">
        <v>1.0888447000000001E-2</v>
      </c>
      <c r="N107">
        <v>3.6497214E-2</v>
      </c>
      <c r="O107">
        <v>1.1312859E-2</v>
      </c>
      <c r="P107">
        <v>8.8943999999999995E-2</v>
      </c>
      <c r="Q107">
        <v>2.658376633</v>
      </c>
      <c r="R107">
        <v>16.12814779</v>
      </c>
      <c r="S107">
        <v>5.1446328999999999E-2</v>
      </c>
      <c r="T107">
        <v>4.6906162000000001E-2</v>
      </c>
      <c r="U107">
        <v>0.39347824599999998</v>
      </c>
      <c r="V107">
        <v>0.389240054</v>
      </c>
      <c r="W107">
        <v>0.98922890399999996</v>
      </c>
      <c r="X107">
        <v>2.333919791</v>
      </c>
      <c r="Y107">
        <v>61.533682210000002</v>
      </c>
      <c r="Z107">
        <v>0.55629147700000003</v>
      </c>
      <c r="AA107">
        <v>0.105545031</v>
      </c>
      <c r="AB107">
        <v>0.90720414500000002</v>
      </c>
      <c r="AC107">
        <v>5.6337462049999996</v>
      </c>
      <c r="AD107">
        <v>0.97226428499999995</v>
      </c>
      <c r="AE107">
        <v>7.0686079130000001</v>
      </c>
      <c r="AF107">
        <v>10.5634149</v>
      </c>
      <c r="AG107">
        <v>39.177093489999997</v>
      </c>
      <c r="AH107">
        <v>3.2787088999999998E-2</v>
      </c>
      <c r="AI107">
        <v>7.188339279</v>
      </c>
    </row>
    <row r="108" spans="1:35" x14ac:dyDescent="0.2">
      <c r="A108">
        <v>147</v>
      </c>
      <c r="B108" t="s">
        <v>272</v>
      </c>
      <c r="C108" t="s">
        <v>182</v>
      </c>
      <c r="D108" t="s">
        <v>132</v>
      </c>
      <c r="E108" s="11">
        <v>1.72E-6</v>
      </c>
      <c r="F108" s="11">
        <v>8.1100000000000005E-7</v>
      </c>
      <c r="G108">
        <v>0.47159976100000001</v>
      </c>
      <c r="H108">
        <v>-0.52021370199999994</v>
      </c>
      <c r="I108" s="11">
        <v>2.5299999999999999E-6</v>
      </c>
      <c r="J108">
        <v>2.0721558510000002</v>
      </c>
      <c r="K108">
        <v>0</v>
      </c>
      <c r="L108">
        <v>12.432935110000001</v>
      </c>
      <c r="M108">
        <v>0</v>
      </c>
      <c r="N108">
        <v>2.1446525000000001E-2</v>
      </c>
      <c r="O108">
        <v>6.6496580000000001E-3</v>
      </c>
      <c r="P108">
        <v>0</v>
      </c>
      <c r="Q108">
        <v>4.1586802589999996</v>
      </c>
      <c r="R108">
        <v>24.952081549999999</v>
      </c>
      <c r="S108">
        <v>4.2106646999999997E-2</v>
      </c>
      <c r="T108">
        <v>3.7691466999999999E-2</v>
      </c>
      <c r="U108">
        <v>0.32204532200000002</v>
      </c>
      <c r="V108">
        <v>0.31277401199999999</v>
      </c>
      <c r="W108">
        <v>0.97121116399999996</v>
      </c>
      <c r="X108">
        <v>2.7690689960000001</v>
      </c>
      <c r="Y108">
        <v>30.20612165</v>
      </c>
      <c r="Z108">
        <v>0.52961479700000003</v>
      </c>
      <c r="AA108">
        <v>4.6857277000000003E-2</v>
      </c>
      <c r="AB108">
        <v>0.58839684000000003</v>
      </c>
      <c r="AC108">
        <v>2.5054387519999999</v>
      </c>
      <c r="AD108">
        <v>0.96891519500000001</v>
      </c>
      <c r="AE108">
        <v>3.475012086</v>
      </c>
      <c r="AF108">
        <v>5.6612868460000003</v>
      </c>
      <c r="AG108">
        <v>18.989381649999999</v>
      </c>
      <c r="AH108">
        <v>1.4581069E-2</v>
      </c>
      <c r="AI108">
        <v>3.8467826289999998</v>
      </c>
    </row>
    <row r="109" spans="1:35" x14ac:dyDescent="0.2">
      <c r="A109">
        <v>148</v>
      </c>
      <c r="B109" t="s">
        <v>273</v>
      </c>
      <c r="C109" t="s">
        <v>182</v>
      </c>
      <c r="D109" t="s">
        <v>134</v>
      </c>
      <c r="E109" s="11">
        <v>1.3699999999999999E-5</v>
      </c>
      <c r="F109" s="11">
        <v>6.02E-6</v>
      </c>
      <c r="G109">
        <v>0.440286281</v>
      </c>
      <c r="H109">
        <v>0.41256922200000001</v>
      </c>
      <c r="I109" s="11">
        <v>1.9700000000000001E-5</v>
      </c>
      <c r="J109">
        <v>1.4810746859999999</v>
      </c>
      <c r="K109">
        <v>5.3571052000000001E-2</v>
      </c>
      <c r="L109">
        <v>8.9935902169999995</v>
      </c>
      <c r="M109">
        <v>1.1902496E-2</v>
      </c>
      <c r="N109">
        <v>6.2509788999999996E-2</v>
      </c>
      <c r="O109">
        <v>1.9251895000000002E-2</v>
      </c>
      <c r="P109">
        <v>0.10792093</v>
      </c>
      <c r="Q109">
        <v>2.9826396860000002</v>
      </c>
      <c r="R109">
        <v>18.111679970000001</v>
      </c>
      <c r="S109">
        <v>9.4533310999999995E-2</v>
      </c>
      <c r="T109">
        <v>9.5923618000000002E-2</v>
      </c>
      <c r="U109">
        <v>0.72302148300000002</v>
      </c>
      <c r="V109">
        <v>0.79600019799999999</v>
      </c>
      <c r="W109">
        <v>1.100935749</v>
      </c>
      <c r="X109">
        <v>2.1731711900000001</v>
      </c>
      <c r="Y109">
        <v>59.09117715</v>
      </c>
      <c r="Z109">
        <v>0.723593916</v>
      </c>
      <c r="AA109">
        <v>0.14242750200000001</v>
      </c>
      <c r="AB109">
        <v>0.84780147100000003</v>
      </c>
      <c r="AC109">
        <v>7.5997229109999997</v>
      </c>
      <c r="AD109">
        <v>0.99734444300000002</v>
      </c>
      <c r="AE109">
        <v>6.7449250300000001</v>
      </c>
      <c r="AF109">
        <v>7.6479746420000003</v>
      </c>
      <c r="AG109">
        <v>40.103365340000003</v>
      </c>
      <c r="AH109">
        <v>4.4228613E-2</v>
      </c>
      <c r="AI109">
        <v>5.237672967</v>
      </c>
    </row>
    <row r="110" spans="1:35" x14ac:dyDescent="0.2">
      <c r="A110">
        <v>149</v>
      </c>
      <c r="B110" t="s">
        <v>274</v>
      </c>
      <c r="C110" t="s">
        <v>182</v>
      </c>
      <c r="D110" t="s">
        <v>136</v>
      </c>
      <c r="E110" s="11">
        <v>8.9199999999999993E-6</v>
      </c>
      <c r="F110" s="11">
        <v>2.7800000000000001E-6</v>
      </c>
      <c r="G110">
        <v>0.31153215699999998</v>
      </c>
      <c r="H110">
        <v>0.99261913199999996</v>
      </c>
      <c r="I110" s="11">
        <v>1.17E-5</v>
      </c>
      <c r="J110">
        <v>0.25916262400000001</v>
      </c>
      <c r="K110">
        <v>9.2265349999999993E-3</v>
      </c>
      <c r="L110">
        <v>1.573428812</v>
      </c>
      <c r="M110">
        <v>1.1732134E-2</v>
      </c>
      <c r="N110">
        <v>1.0729214000000001E-2</v>
      </c>
      <c r="O110">
        <v>3.315695E-3</v>
      </c>
      <c r="P110">
        <v>2.8600569999999999E-2</v>
      </c>
      <c r="Q110">
        <v>0.80344861000000001</v>
      </c>
      <c r="R110">
        <v>4.8778927980000004</v>
      </c>
      <c r="S110">
        <v>2.0586070000000001E-2</v>
      </c>
      <c r="T110">
        <v>1.7841446E-2</v>
      </c>
      <c r="U110">
        <v>0.157448955</v>
      </c>
      <c r="V110">
        <v>0.14805315599999999</v>
      </c>
      <c r="W110">
        <v>0.94032479300000005</v>
      </c>
      <c r="X110">
        <v>2.2570739030000002</v>
      </c>
      <c r="Y110">
        <v>40.822687539999997</v>
      </c>
      <c r="Z110">
        <v>0.57338085100000002</v>
      </c>
      <c r="AA110">
        <v>0.121763782</v>
      </c>
      <c r="AB110">
        <v>0.96145700099999998</v>
      </c>
      <c r="AC110">
        <v>6.5004589990000001</v>
      </c>
      <c r="AD110">
        <v>0.97226519499999997</v>
      </c>
      <c r="AE110">
        <v>4.6350682790000004</v>
      </c>
      <c r="AF110">
        <v>6.7629450159999998</v>
      </c>
      <c r="AG110">
        <v>44.131309270000003</v>
      </c>
      <c r="AH110">
        <v>3.7831153999999999E-2</v>
      </c>
      <c r="AI110">
        <v>4.6561361239999997</v>
      </c>
    </row>
    <row r="111" spans="1:35" x14ac:dyDescent="0.2">
      <c r="A111">
        <v>150</v>
      </c>
      <c r="B111" t="s">
        <v>275</v>
      </c>
      <c r="C111" t="s">
        <v>182</v>
      </c>
      <c r="D111" t="s">
        <v>138</v>
      </c>
      <c r="E111" s="11">
        <v>1.06E-5</v>
      </c>
      <c r="F111" s="11">
        <v>5.2100000000000001E-6</v>
      </c>
      <c r="G111">
        <v>0.49255009599999999</v>
      </c>
      <c r="H111">
        <v>0.652020453</v>
      </c>
      <c r="I111" s="11">
        <v>1.5800000000000001E-5</v>
      </c>
      <c r="J111">
        <v>5.2103651969999998</v>
      </c>
      <c r="K111">
        <v>0.546390398</v>
      </c>
      <c r="L111">
        <v>32.354971980000002</v>
      </c>
      <c r="M111">
        <v>6.4225200000000001E-3</v>
      </c>
      <c r="N111">
        <v>0.11483088399999999</v>
      </c>
      <c r="O111">
        <v>3.6305922999999997E-2</v>
      </c>
      <c r="P111">
        <v>1.0795783299999999</v>
      </c>
      <c r="Q111">
        <v>7.6910493830000002</v>
      </c>
      <c r="R111">
        <v>48.305452950000003</v>
      </c>
      <c r="S111">
        <v>0.20486849600000001</v>
      </c>
      <c r="T111">
        <v>0.19268570900000001</v>
      </c>
      <c r="U111">
        <v>1.5669008390000001</v>
      </c>
      <c r="V111">
        <v>1.598958267</v>
      </c>
      <c r="W111">
        <v>1.0204591300000001</v>
      </c>
      <c r="X111">
        <v>1.6284032479999999</v>
      </c>
      <c r="Y111">
        <v>378.19052160000001</v>
      </c>
      <c r="Z111">
        <v>0.66969271799999996</v>
      </c>
      <c r="AA111">
        <v>0.375365897</v>
      </c>
      <c r="AB111">
        <v>0.91444795599999995</v>
      </c>
      <c r="AC111">
        <v>20.95858741</v>
      </c>
      <c r="AD111">
        <v>1.0026375409999999</v>
      </c>
      <c r="AE111">
        <v>43.713218500000004</v>
      </c>
      <c r="AF111">
        <v>33.814563720000002</v>
      </c>
      <c r="AG111">
        <v>93.781222240000005</v>
      </c>
      <c r="AH111">
        <v>0.12197408899999999</v>
      </c>
      <c r="AI111">
        <v>22.920955339999999</v>
      </c>
    </row>
    <row r="112" spans="1:35" x14ac:dyDescent="0.2">
      <c r="A112">
        <v>151</v>
      </c>
      <c r="B112" t="s">
        <v>276</v>
      </c>
      <c r="C112" t="s">
        <v>182</v>
      </c>
      <c r="D112" t="s">
        <v>140</v>
      </c>
      <c r="E112" s="11">
        <v>8.1999999999999994E-6</v>
      </c>
      <c r="F112" s="11">
        <v>2.5500000000000001E-6</v>
      </c>
      <c r="G112">
        <v>0.311403506</v>
      </c>
      <c r="H112">
        <v>0.72403452499999998</v>
      </c>
      <c r="I112" s="11">
        <v>1.08E-5</v>
      </c>
      <c r="J112">
        <v>0.333397938</v>
      </c>
      <c r="K112">
        <v>1.0910463E-2</v>
      </c>
      <c r="L112">
        <v>2.0222085559999998</v>
      </c>
      <c r="M112">
        <v>8.520527E-3</v>
      </c>
      <c r="N112">
        <v>1.0931577E-2</v>
      </c>
      <c r="O112">
        <v>3.9209070000000004E-3</v>
      </c>
      <c r="P112">
        <v>3.3620419999999998E-2</v>
      </c>
      <c r="Q112">
        <v>1.0447608589999999</v>
      </c>
      <c r="R112">
        <v>6.3358059859999996</v>
      </c>
      <c r="S112">
        <v>1.8316011E-2</v>
      </c>
      <c r="T112">
        <v>1.6694126E-2</v>
      </c>
      <c r="U112">
        <v>0.14008680500000001</v>
      </c>
      <c r="V112">
        <v>0.13853238100000001</v>
      </c>
      <c r="W112">
        <v>0.988903851</v>
      </c>
      <c r="X112">
        <v>2.870499921</v>
      </c>
      <c r="Y112">
        <v>26.35664512</v>
      </c>
      <c r="Z112">
        <v>0.53169629699999998</v>
      </c>
      <c r="AA112">
        <v>3.8805378000000001E-2</v>
      </c>
      <c r="AB112">
        <v>0.923275191</v>
      </c>
      <c r="AC112">
        <v>2.0742193389999999</v>
      </c>
      <c r="AD112">
        <v>0.94918462699999995</v>
      </c>
      <c r="AE112">
        <v>3.0343588779999999</v>
      </c>
      <c r="AF112">
        <v>5.0077208129999997</v>
      </c>
      <c r="AG112">
        <v>15.927669659999999</v>
      </c>
      <c r="AH112">
        <v>1.2071472E-2</v>
      </c>
      <c r="AI112">
        <v>3.4002271589999999</v>
      </c>
    </row>
    <row r="113" spans="1:35" x14ac:dyDescent="0.2">
      <c r="A113">
        <v>152</v>
      </c>
      <c r="B113" t="s">
        <v>277</v>
      </c>
      <c r="C113" t="s">
        <v>182</v>
      </c>
      <c r="D113" t="s">
        <v>142</v>
      </c>
      <c r="E113" s="11">
        <v>3.2100000000000002E-6</v>
      </c>
      <c r="F113" s="11">
        <v>4.5600000000000004E-6</v>
      </c>
      <c r="G113">
        <v>1.4196418099999999</v>
      </c>
      <c r="H113">
        <v>0.26223518899999998</v>
      </c>
      <c r="I113" s="11">
        <v>7.7700000000000001E-6</v>
      </c>
      <c r="J113">
        <v>3.0951943499999999</v>
      </c>
      <c r="K113">
        <v>0</v>
      </c>
      <c r="L113">
        <v>18.571166099999999</v>
      </c>
      <c r="M113">
        <v>0</v>
      </c>
      <c r="N113">
        <v>3.9299539000000001E-2</v>
      </c>
      <c r="O113">
        <v>1.2069353E-2</v>
      </c>
      <c r="P113">
        <v>0</v>
      </c>
      <c r="Q113">
        <v>2.0248944959999999</v>
      </c>
      <c r="R113">
        <v>12.14936698</v>
      </c>
      <c r="S113">
        <v>7.5120783999999996E-2</v>
      </c>
      <c r="T113">
        <v>7.8476605000000005E-2</v>
      </c>
      <c r="U113">
        <v>0.57454817300000005</v>
      </c>
      <c r="V113">
        <v>0.65122014699999997</v>
      </c>
      <c r="W113">
        <v>1.133447425</v>
      </c>
      <c r="X113">
        <v>1.529145228</v>
      </c>
      <c r="Y113">
        <v>775.6478194</v>
      </c>
      <c r="Z113">
        <v>2.1276064880000001</v>
      </c>
      <c r="AA113">
        <v>0.48667452999999999</v>
      </c>
      <c r="AB113">
        <v>0.97605721899999998</v>
      </c>
      <c r="AC113">
        <v>1224.9004</v>
      </c>
      <c r="AD113">
        <v>1.182939494</v>
      </c>
      <c r="AE113">
        <v>66.386987349999998</v>
      </c>
      <c r="AF113">
        <v>24.20118514</v>
      </c>
      <c r="AG113">
        <v>2038.4783480000001</v>
      </c>
      <c r="AH113">
        <v>0.14673693500000001</v>
      </c>
      <c r="AI113">
        <v>21.992243500000001</v>
      </c>
    </row>
    <row r="114" spans="1:35" x14ac:dyDescent="0.2">
      <c r="A114">
        <v>153</v>
      </c>
      <c r="B114" t="s">
        <v>278</v>
      </c>
      <c r="C114" t="s">
        <v>182</v>
      </c>
      <c r="D114" t="s">
        <v>144</v>
      </c>
      <c r="E114" s="11">
        <v>1.3200000000000001E-5</v>
      </c>
      <c r="F114" s="11">
        <v>4.3499999999999999E-6</v>
      </c>
      <c r="G114">
        <v>0.33080976899999998</v>
      </c>
      <c r="H114">
        <v>0.78503442700000003</v>
      </c>
      <c r="I114" s="11">
        <v>1.7499999999999998E-5</v>
      </c>
      <c r="J114">
        <v>0.55402904500000005</v>
      </c>
      <c r="K114">
        <v>2.5402200999999999E-2</v>
      </c>
      <c r="L114">
        <v>3.3749786720000001</v>
      </c>
      <c r="M114">
        <v>1.5059846999999999E-2</v>
      </c>
      <c r="N114">
        <v>2.9602019E-2</v>
      </c>
      <c r="O114">
        <v>9.1288210000000005E-3</v>
      </c>
      <c r="P114">
        <v>7.3394619999999994E-2</v>
      </c>
      <c r="Q114">
        <v>1.6008183499999999</v>
      </c>
      <c r="R114">
        <v>9.7516993319999994</v>
      </c>
      <c r="S114">
        <v>4.7400670999999998E-2</v>
      </c>
      <c r="T114">
        <v>4.7846374999999997E-2</v>
      </c>
      <c r="U114">
        <v>0.36253573900000002</v>
      </c>
      <c r="V114">
        <v>0.39704219200000002</v>
      </c>
      <c r="W114">
        <v>1.095180831</v>
      </c>
      <c r="X114">
        <v>2.0750019040000001</v>
      </c>
      <c r="Y114">
        <v>57.000371489999999</v>
      </c>
      <c r="Z114">
        <v>0.555458228</v>
      </c>
      <c r="AA114">
        <v>0.17096318499999999</v>
      </c>
      <c r="AB114">
        <v>0.94079023399999995</v>
      </c>
      <c r="AC114">
        <v>9.1240809939999998</v>
      </c>
      <c r="AD114">
        <v>0.98989787299999998</v>
      </c>
      <c r="AE114">
        <v>6.4709704759999997</v>
      </c>
      <c r="AF114">
        <v>8.8044739520000004</v>
      </c>
      <c r="AG114">
        <v>57.774339789999999</v>
      </c>
      <c r="AH114">
        <v>5.3100021999999997E-2</v>
      </c>
      <c r="AI114">
        <v>6.062593251</v>
      </c>
    </row>
    <row r="115" spans="1:35" x14ac:dyDescent="0.2">
      <c r="A115">
        <v>154</v>
      </c>
      <c r="B115" t="s">
        <v>279</v>
      </c>
      <c r="C115" t="s">
        <v>182</v>
      </c>
      <c r="D115" t="s">
        <v>146</v>
      </c>
      <c r="E115" s="11">
        <v>1.26E-5</v>
      </c>
      <c r="F115" s="11">
        <v>4.1799999999999998E-6</v>
      </c>
      <c r="G115">
        <v>0.33249568400000001</v>
      </c>
      <c r="H115">
        <v>0.61177375899999997</v>
      </c>
      <c r="I115" s="11">
        <v>1.6799999999999998E-5</v>
      </c>
      <c r="J115">
        <v>0.949671559</v>
      </c>
      <c r="K115">
        <v>3.1789870999999997E-2</v>
      </c>
      <c r="L115">
        <v>5.7616090959999999</v>
      </c>
      <c r="M115">
        <v>1.1603829E-2</v>
      </c>
      <c r="N115">
        <v>3.680054E-2</v>
      </c>
      <c r="O115">
        <v>1.1424365000000001E-2</v>
      </c>
      <c r="P115">
        <v>8.9618519999999993E-2</v>
      </c>
      <c r="Q115">
        <v>2.6772099109999998</v>
      </c>
      <c r="R115">
        <v>16.242496500000001</v>
      </c>
      <c r="S115">
        <v>5.1921914999999999E-2</v>
      </c>
      <c r="T115">
        <v>4.7346342999999999E-2</v>
      </c>
      <c r="U115">
        <v>0.39711568200000003</v>
      </c>
      <c r="V115">
        <v>0.39289278999999999</v>
      </c>
      <c r="W115">
        <v>0.98936609099999995</v>
      </c>
      <c r="X115">
        <v>2.330599726</v>
      </c>
      <c r="Y115">
        <v>61.900815590000001</v>
      </c>
      <c r="Z115">
        <v>0.54709517799999996</v>
      </c>
      <c r="AA115">
        <v>0.106197084</v>
      </c>
      <c r="AB115">
        <v>0.90692192000000005</v>
      </c>
      <c r="AC115">
        <v>5.6686845149999998</v>
      </c>
      <c r="AD115">
        <v>0.97157178</v>
      </c>
      <c r="AE115">
        <v>7.110755825</v>
      </c>
      <c r="AF115">
        <v>10.615931870000001</v>
      </c>
      <c r="AG115">
        <v>39.384638770000002</v>
      </c>
      <c r="AH115">
        <v>3.2990420999999999E-2</v>
      </c>
      <c r="AI115">
        <v>7.2241129690000001</v>
      </c>
    </row>
    <row r="116" spans="1:35" x14ac:dyDescent="0.2">
      <c r="A116">
        <v>155</v>
      </c>
      <c r="B116" t="s">
        <v>280</v>
      </c>
      <c r="C116" t="s">
        <v>182</v>
      </c>
      <c r="D116" t="s">
        <v>200</v>
      </c>
      <c r="E116" s="11">
        <v>7.6799999999999993E-6</v>
      </c>
      <c r="F116" s="11">
        <v>2.7099999999999999E-6</v>
      </c>
      <c r="G116">
        <v>0.35323140600000003</v>
      </c>
      <c r="H116">
        <v>0.66760856999999996</v>
      </c>
      <c r="I116" s="11">
        <v>1.04E-5</v>
      </c>
      <c r="J116">
        <v>1.462192691</v>
      </c>
      <c r="K116">
        <v>4.73844E-2</v>
      </c>
      <c r="L116">
        <v>8.8679249460000005</v>
      </c>
      <c r="M116">
        <v>1.0685099E-2</v>
      </c>
      <c r="N116">
        <v>5.5166387999999997E-2</v>
      </c>
      <c r="O116">
        <v>1.7030037000000001E-2</v>
      </c>
      <c r="P116">
        <v>0.12442727000000001</v>
      </c>
      <c r="Q116">
        <v>3.8395893879999998</v>
      </c>
      <c r="R116">
        <v>23.286390860000001</v>
      </c>
      <c r="S116">
        <v>9.1514412000000003E-2</v>
      </c>
      <c r="T116">
        <v>8.2603017000000001E-2</v>
      </c>
      <c r="U116">
        <v>0.69993196599999996</v>
      </c>
      <c r="V116">
        <v>0.68546223799999995</v>
      </c>
      <c r="W116">
        <v>0.979326951</v>
      </c>
      <c r="X116">
        <v>2.1627313720000001</v>
      </c>
      <c r="Y116">
        <v>85.597051039999997</v>
      </c>
      <c r="Z116">
        <v>0.57180808299999997</v>
      </c>
      <c r="AA116">
        <v>0.14500203</v>
      </c>
      <c r="AB116">
        <v>0.89639917700000005</v>
      </c>
      <c r="AC116">
        <v>7.7489101890000001</v>
      </c>
      <c r="AD116">
        <v>0.95073386599999998</v>
      </c>
      <c r="AE116">
        <v>9.8345902390000006</v>
      </c>
      <c r="AF116">
        <v>13.85988332</v>
      </c>
      <c r="AG116">
        <v>50.812592350000003</v>
      </c>
      <c r="AH116">
        <v>4.5096850000000001E-2</v>
      </c>
      <c r="AI116">
        <v>9.4298927849999998</v>
      </c>
    </row>
    <row r="117" spans="1:35" x14ac:dyDescent="0.2">
      <c r="A117">
        <v>156</v>
      </c>
      <c r="B117" t="s">
        <v>281</v>
      </c>
      <c r="C117" t="s">
        <v>182</v>
      </c>
      <c r="D117" t="s">
        <v>148</v>
      </c>
      <c r="E117" s="11">
        <v>7.17E-6</v>
      </c>
      <c r="F117" s="11">
        <v>2.2199999999999999E-6</v>
      </c>
      <c r="G117">
        <v>0.31004187799999999</v>
      </c>
      <c r="H117">
        <v>1.211839229</v>
      </c>
      <c r="I117" s="11">
        <v>9.3999999999999998E-6</v>
      </c>
      <c r="J117">
        <v>0.21223654</v>
      </c>
      <c r="K117">
        <v>6.3627029999999999E-3</v>
      </c>
      <c r="L117">
        <v>1.286144645</v>
      </c>
      <c r="M117">
        <v>9.8594809999999998E-3</v>
      </c>
      <c r="N117">
        <v>7.3879169999999999E-3</v>
      </c>
      <c r="O117">
        <v>2.2865730000000001E-3</v>
      </c>
      <c r="P117">
        <v>1.9958790000000001E-2</v>
      </c>
      <c r="Q117">
        <v>0.66553867099999997</v>
      </c>
      <c r="R117">
        <v>4.0331496019999999</v>
      </c>
      <c r="S117">
        <v>1.6091094E-2</v>
      </c>
      <c r="T117">
        <v>1.4284622E-2</v>
      </c>
      <c r="U117">
        <v>0.123069918</v>
      </c>
      <c r="V117">
        <v>0.118537671</v>
      </c>
      <c r="W117">
        <v>0.96317339700000004</v>
      </c>
      <c r="X117">
        <v>2.8139219469999999</v>
      </c>
      <c r="Y117">
        <v>19.682588519999999</v>
      </c>
      <c r="Z117">
        <v>0.52438187199999997</v>
      </c>
      <c r="AA117">
        <v>4.3107477999999998E-2</v>
      </c>
      <c r="AB117">
        <v>0.93465571599999997</v>
      </c>
      <c r="AC117">
        <v>18.509958839999999</v>
      </c>
      <c r="AD117">
        <v>0.96096097800000002</v>
      </c>
      <c r="AE117">
        <v>1.9321129239999999</v>
      </c>
      <c r="AF117">
        <v>3.165156026</v>
      </c>
      <c r="AG117">
        <v>141.15799139999999</v>
      </c>
      <c r="AH117">
        <v>1.3412690999999999E-2</v>
      </c>
      <c r="AI117">
        <v>2.5206969309999998</v>
      </c>
    </row>
    <row r="118" spans="1:35" x14ac:dyDescent="0.2">
      <c r="A118">
        <v>157</v>
      </c>
      <c r="B118" t="s">
        <v>282</v>
      </c>
      <c r="C118" t="s">
        <v>182</v>
      </c>
      <c r="D118" t="s">
        <v>150</v>
      </c>
      <c r="E118" s="11">
        <v>1.2799999999999999E-5</v>
      </c>
      <c r="F118" s="11">
        <v>4.0999999999999997E-6</v>
      </c>
      <c r="G118">
        <v>0.32149168099999997</v>
      </c>
      <c r="H118">
        <v>0.60097643000000001</v>
      </c>
      <c r="I118" s="11">
        <v>1.6900000000000001E-5</v>
      </c>
      <c r="J118">
        <v>0.94781656999999997</v>
      </c>
      <c r="K118">
        <v>3.1750981999999997E-2</v>
      </c>
      <c r="L118">
        <v>5.7504013870000001</v>
      </c>
      <c r="M118">
        <v>1.0929024000000001E-2</v>
      </c>
      <c r="N118">
        <v>3.6802119000000001E-2</v>
      </c>
      <c r="O118">
        <v>1.1410389999999999E-2</v>
      </c>
      <c r="P118">
        <v>8.9707629999999997E-2</v>
      </c>
      <c r="Q118">
        <v>2.676836496</v>
      </c>
      <c r="R118">
        <v>16.240434230000002</v>
      </c>
      <c r="S118">
        <v>5.2750577E-2</v>
      </c>
      <c r="T118">
        <v>4.7571629999999997E-2</v>
      </c>
      <c r="U118">
        <v>0.40345355700000002</v>
      </c>
      <c r="V118">
        <v>0.39476228600000002</v>
      </c>
      <c r="W118">
        <v>0.97845781499999995</v>
      </c>
      <c r="X118">
        <v>2.3343269900000001</v>
      </c>
      <c r="Y118">
        <v>61.538109230000003</v>
      </c>
      <c r="Z118">
        <v>0.54640186199999996</v>
      </c>
      <c r="AA118">
        <v>0.105462695</v>
      </c>
      <c r="AB118">
        <v>0.90655544200000004</v>
      </c>
      <c r="AC118">
        <v>5.6294759880000003</v>
      </c>
      <c r="AD118">
        <v>0.97148710199999999</v>
      </c>
      <c r="AE118">
        <v>7.0692084929999996</v>
      </c>
      <c r="AF118">
        <v>10.56528567</v>
      </c>
      <c r="AG118">
        <v>39.154535770000003</v>
      </c>
      <c r="AH118">
        <v>3.2762237E-2</v>
      </c>
      <c r="AI118">
        <v>7.1895287400000001</v>
      </c>
    </row>
    <row r="119" spans="1:35" x14ac:dyDescent="0.2">
      <c r="A119">
        <v>158</v>
      </c>
      <c r="B119" t="s">
        <v>283</v>
      </c>
      <c r="C119" t="s">
        <v>182</v>
      </c>
      <c r="D119" t="s">
        <v>204</v>
      </c>
      <c r="E119" s="11">
        <v>3.9500000000000003E-6</v>
      </c>
      <c r="F119" s="11">
        <v>1.99E-6</v>
      </c>
      <c r="G119">
        <v>0.50442516699999995</v>
      </c>
      <c r="H119">
        <v>-1.443839042</v>
      </c>
      <c r="I119" s="11">
        <v>5.9399999999999999E-6</v>
      </c>
      <c r="J119">
        <v>2.86934998</v>
      </c>
      <c r="K119">
        <v>4.5775924000000003E-2</v>
      </c>
      <c r="L119">
        <v>17.30765173</v>
      </c>
      <c r="M119">
        <v>5.2889570000000004E-3</v>
      </c>
      <c r="N119">
        <v>5.3335911E-2</v>
      </c>
      <c r="O119">
        <v>1.6450551000000001E-2</v>
      </c>
      <c r="P119">
        <v>8.4462960000000004E-2</v>
      </c>
      <c r="Q119">
        <v>5.2943505059999998</v>
      </c>
      <c r="R119">
        <v>31.93502895</v>
      </c>
      <c r="S119">
        <v>9.9690031999999998E-2</v>
      </c>
      <c r="T119">
        <v>9.2277543000000004E-2</v>
      </c>
      <c r="U119">
        <v>0.76246176399999999</v>
      </c>
      <c r="V119">
        <v>0.76574407899999997</v>
      </c>
      <c r="W119">
        <v>1.0043048910000001</v>
      </c>
      <c r="X119">
        <v>2.9755302779999999</v>
      </c>
      <c r="Y119">
        <v>22.780941930000001</v>
      </c>
      <c r="Z119">
        <v>0.52071272899999999</v>
      </c>
      <c r="AA119">
        <v>3.1844612000000001E-2</v>
      </c>
      <c r="AB119">
        <v>0.240257414</v>
      </c>
      <c r="AC119">
        <v>1.7057469119999999</v>
      </c>
      <c r="AD119">
        <v>0.93128070500000004</v>
      </c>
      <c r="AE119">
        <v>2.624413273</v>
      </c>
      <c r="AF119">
        <v>4.4526575880000001</v>
      </c>
      <c r="AG119">
        <v>13.22335129</v>
      </c>
      <c r="AH119">
        <v>9.9270490000000003E-3</v>
      </c>
      <c r="AI119">
        <v>3.0206797660000002</v>
      </c>
    </row>
    <row r="120" spans="1:35" x14ac:dyDescent="0.2">
      <c r="A120">
        <v>159</v>
      </c>
      <c r="B120" t="s">
        <v>284</v>
      </c>
      <c r="C120" t="s">
        <v>182</v>
      </c>
      <c r="D120" t="s">
        <v>152</v>
      </c>
      <c r="E120" s="11">
        <v>3.23E-6</v>
      </c>
      <c r="F120" s="11">
        <v>4.5600000000000004E-6</v>
      </c>
      <c r="G120">
        <v>1.4150245130000001</v>
      </c>
      <c r="H120">
        <v>0.26232636300000001</v>
      </c>
      <c r="I120" s="11">
        <v>7.79E-6</v>
      </c>
      <c r="J120">
        <v>3.095570757</v>
      </c>
      <c r="K120">
        <v>0</v>
      </c>
      <c r="L120">
        <v>18.573424540000001</v>
      </c>
      <c r="M120">
        <v>0</v>
      </c>
      <c r="N120">
        <v>3.9332895999999999E-2</v>
      </c>
      <c r="O120">
        <v>1.2079731999999999E-2</v>
      </c>
      <c r="P120">
        <v>0</v>
      </c>
      <c r="Q120">
        <v>2.0263133760000001</v>
      </c>
      <c r="R120">
        <v>12.157880260000001</v>
      </c>
      <c r="S120">
        <v>7.5182927999999996E-2</v>
      </c>
      <c r="T120">
        <v>7.852837E-2</v>
      </c>
      <c r="U120">
        <v>0.57502346800000004</v>
      </c>
      <c r="V120">
        <v>0.65164971199999999</v>
      </c>
      <c r="W120">
        <v>1.133257594</v>
      </c>
      <c r="X120">
        <v>1.528796182</v>
      </c>
      <c r="Y120">
        <v>775.50862050000001</v>
      </c>
      <c r="Z120">
        <v>2.1273146669999998</v>
      </c>
      <c r="AA120">
        <v>0.48671214899999998</v>
      </c>
      <c r="AB120">
        <v>0.97605000900000005</v>
      </c>
      <c r="AC120">
        <v>1226.975553</v>
      </c>
      <c r="AD120">
        <v>1.182615768</v>
      </c>
      <c r="AE120">
        <v>66.329896079999997</v>
      </c>
      <c r="AF120">
        <v>24.205246089999999</v>
      </c>
      <c r="AG120">
        <v>2016.0318560000001</v>
      </c>
      <c r="AH120">
        <v>0.14683234100000001</v>
      </c>
      <c r="AI120">
        <v>21.93134161</v>
      </c>
    </row>
    <row r="121" spans="1:35" x14ac:dyDescent="0.2">
      <c r="A121">
        <v>160</v>
      </c>
      <c r="B121" t="s">
        <v>285</v>
      </c>
      <c r="C121" t="s">
        <v>182</v>
      </c>
      <c r="D121" t="s">
        <v>154</v>
      </c>
      <c r="E121" s="11">
        <v>4.1400000000000002E-6</v>
      </c>
      <c r="F121" s="11">
        <v>1.9599999999999999E-6</v>
      </c>
      <c r="G121">
        <v>0.47391872200000001</v>
      </c>
      <c r="H121">
        <v>-1.413727964</v>
      </c>
      <c r="I121" s="11">
        <v>6.1E-6</v>
      </c>
      <c r="J121">
        <v>2.8704155330000001</v>
      </c>
      <c r="K121">
        <v>4.8536757999999999E-2</v>
      </c>
      <c r="L121">
        <v>17.319566720000001</v>
      </c>
      <c r="M121">
        <v>5.6047060000000001E-3</v>
      </c>
      <c r="N121">
        <v>5.6541306E-2</v>
      </c>
      <c r="O121">
        <v>1.7442715000000001E-2</v>
      </c>
      <c r="P121">
        <v>9.4522010000000004E-2</v>
      </c>
      <c r="Q121">
        <v>5.5899374179999999</v>
      </c>
      <c r="R121">
        <v>33.728668519999999</v>
      </c>
      <c r="S121">
        <v>0.10563576</v>
      </c>
      <c r="T121">
        <v>9.6009688999999995E-2</v>
      </c>
      <c r="U121">
        <v>0.80793662099999997</v>
      </c>
      <c r="V121">
        <v>0.796714433</v>
      </c>
      <c r="W121">
        <v>0.98611006400000001</v>
      </c>
      <c r="X121">
        <v>3.049219248</v>
      </c>
      <c r="Y121">
        <v>21.204360189999999</v>
      </c>
      <c r="Z121">
        <v>0.52326753699999995</v>
      </c>
      <c r="AA121">
        <v>2.7771348000000001E-2</v>
      </c>
      <c r="AB121">
        <v>0.18320729499999999</v>
      </c>
      <c r="AC121">
        <v>1.4870341140000001</v>
      </c>
      <c r="AD121">
        <v>0.92716195099999998</v>
      </c>
      <c r="AE121">
        <v>2.4447692929999998</v>
      </c>
      <c r="AF121">
        <v>4.0967578910000002</v>
      </c>
      <c r="AG121">
        <v>11.59506653</v>
      </c>
      <c r="AH121">
        <v>8.6541910000000003E-3</v>
      </c>
      <c r="AI121">
        <v>2.7776182359999999</v>
      </c>
    </row>
    <row r="122" spans="1:35" x14ac:dyDescent="0.2">
      <c r="A122">
        <v>161</v>
      </c>
      <c r="B122" t="s">
        <v>286</v>
      </c>
      <c r="C122" t="s">
        <v>182</v>
      </c>
      <c r="D122" t="s">
        <v>156</v>
      </c>
      <c r="E122" s="11">
        <v>9.5100000000000004E-6</v>
      </c>
      <c r="F122" s="11">
        <v>3.0000000000000001E-6</v>
      </c>
      <c r="G122">
        <v>0.31561850899999999</v>
      </c>
      <c r="H122">
        <v>0.98504356100000001</v>
      </c>
      <c r="I122" s="11">
        <v>1.2500000000000001E-5</v>
      </c>
      <c r="J122">
        <v>0.33035726599999998</v>
      </c>
      <c r="K122">
        <v>1.3402727E-2</v>
      </c>
      <c r="L122">
        <v>2.0089490489999999</v>
      </c>
      <c r="M122">
        <v>1.3306158E-2</v>
      </c>
      <c r="N122">
        <v>1.5596118000000001E-2</v>
      </c>
      <c r="O122">
        <v>4.8165550000000001E-3</v>
      </c>
      <c r="P122">
        <v>4.0789039999999999E-2</v>
      </c>
      <c r="Q122">
        <v>1.0054908250000001</v>
      </c>
      <c r="R122">
        <v>6.1145230259999996</v>
      </c>
      <c r="S122">
        <v>2.4999989E-2</v>
      </c>
      <c r="T122">
        <v>2.2730009999999998E-2</v>
      </c>
      <c r="U122">
        <v>0.191208039</v>
      </c>
      <c r="V122">
        <v>0.18861978700000001</v>
      </c>
      <c r="W122">
        <v>0.98646368600000001</v>
      </c>
      <c r="X122">
        <v>2.1699726500000001</v>
      </c>
      <c r="Y122">
        <v>47.628155769999999</v>
      </c>
      <c r="Z122">
        <v>0.57835750399999997</v>
      </c>
      <c r="AA122">
        <v>0.14318983199999999</v>
      </c>
      <c r="AB122">
        <v>0.95782013799999999</v>
      </c>
      <c r="AC122">
        <v>7.6451229319999996</v>
      </c>
      <c r="AD122">
        <v>0.96726485299999998</v>
      </c>
      <c r="AE122">
        <v>5.4065706789999997</v>
      </c>
      <c r="AF122">
        <v>7.6447112099999996</v>
      </c>
      <c r="AG122">
        <v>50.32054892</v>
      </c>
      <c r="AH122">
        <v>4.4492830999999997E-2</v>
      </c>
      <c r="AI122">
        <v>5.2644462489999997</v>
      </c>
    </row>
    <row r="123" spans="1:35" x14ac:dyDescent="0.2">
      <c r="A123">
        <v>162</v>
      </c>
      <c r="B123" t="s">
        <v>287</v>
      </c>
      <c r="C123" t="s">
        <v>182</v>
      </c>
      <c r="D123" t="s">
        <v>158</v>
      </c>
      <c r="E123" s="11">
        <v>5.3800000000000002E-6</v>
      </c>
      <c r="F123" s="11">
        <v>1.68E-6</v>
      </c>
      <c r="G123">
        <v>0.312496406</v>
      </c>
      <c r="H123">
        <v>1.0314274320000001</v>
      </c>
      <c r="I123" s="11">
        <v>7.0600000000000002E-6</v>
      </c>
      <c r="J123">
        <v>0.30350416099999999</v>
      </c>
      <c r="K123">
        <v>8.3165010000000004E-3</v>
      </c>
      <c r="L123">
        <v>1.8376579660000001</v>
      </c>
      <c r="M123">
        <v>7.3605299999999997E-4</v>
      </c>
      <c r="N123">
        <v>9.6339660000000008E-3</v>
      </c>
      <c r="O123">
        <v>2.9887109999999998E-3</v>
      </c>
      <c r="P123">
        <v>2.5831150000000001E-2</v>
      </c>
      <c r="Q123">
        <v>0.96839270399999999</v>
      </c>
      <c r="R123">
        <v>5.862018526</v>
      </c>
      <c r="S123">
        <v>9.690845E-3</v>
      </c>
      <c r="T123">
        <v>8.5520619999999992E-3</v>
      </c>
      <c r="U123">
        <v>7.4118734000000006E-2</v>
      </c>
      <c r="V123">
        <v>7.0967331999999994E-2</v>
      </c>
      <c r="W123">
        <v>0.95748170799999999</v>
      </c>
      <c r="X123">
        <v>2.7569614919999998</v>
      </c>
      <c r="Y123">
        <v>23.519198100000001</v>
      </c>
      <c r="Z123">
        <v>0.53331340100000002</v>
      </c>
      <c r="AA123">
        <v>4.7811355E-2</v>
      </c>
      <c r="AB123">
        <v>0.92186562000000005</v>
      </c>
      <c r="AC123">
        <v>2.5625678459999999</v>
      </c>
      <c r="AD123">
        <v>0.94989358999999995</v>
      </c>
      <c r="AE123">
        <v>2.6936833189999998</v>
      </c>
      <c r="AF123">
        <v>5.7069457359999998</v>
      </c>
      <c r="AG123">
        <v>33.432991199999996</v>
      </c>
      <c r="AH123">
        <v>1.4913546999999999E-2</v>
      </c>
      <c r="AI123">
        <v>3.9183124189999998</v>
      </c>
    </row>
    <row r="124" spans="1:35" x14ac:dyDescent="0.2">
      <c r="A124">
        <v>163</v>
      </c>
      <c r="B124" t="s">
        <v>288</v>
      </c>
      <c r="C124" t="s">
        <v>182</v>
      </c>
      <c r="D124" t="s">
        <v>160</v>
      </c>
      <c r="E124" s="11">
        <v>9.7599999999999997E-6</v>
      </c>
      <c r="F124" s="11">
        <v>3.05E-6</v>
      </c>
      <c r="G124">
        <v>0.31248289600000001</v>
      </c>
      <c r="H124">
        <v>0.96406360800000002</v>
      </c>
      <c r="I124" s="11">
        <v>1.2799999999999999E-5</v>
      </c>
      <c r="J124">
        <v>0.33000515499999999</v>
      </c>
      <c r="K124">
        <v>1.337668E-2</v>
      </c>
      <c r="L124">
        <v>2.0067842900000001</v>
      </c>
      <c r="M124">
        <v>1.33472E-2</v>
      </c>
      <c r="N124">
        <v>1.5566534999999999E-2</v>
      </c>
      <c r="O124">
        <v>4.8071939999999999E-3</v>
      </c>
      <c r="P124">
        <v>4.0716719999999998E-2</v>
      </c>
      <c r="Q124">
        <v>1.004589119</v>
      </c>
      <c r="R124">
        <v>6.1089681560000004</v>
      </c>
      <c r="S124">
        <v>2.453433E-2</v>
      </c>
      <c r="T124">
        <v>2.1368046000000002E-2</v>
      </c>
      <c r="U124">
        <v>0.187646532</v>
      </c>
      <c r="V124">
        <v>0.177317841</v>
      </c>
      <c r="W124">
        <v>0.94495666499999997</v>
      </c>
      <c r="X124">
        <v>2.102774401</v>
      </c>
      <c r="Y124">
        <v>48.172647329999997</v>
      </c>
      <c r="Z124">
        <v>0.56437671</v>
      </c>
      <c r="AA124">
        <v>0.162104889</v>
      </c>
      <c r="AB124">
        <v>0.95834183100000003</v>
      </c>
      <c r="AC124">
        <v>8.6642102360000006</v>
      </c>
      <c r="AD124">
        <v>0.97237085499999998</v>
      </c>
      <c r="AE124">
        <v>5.4500387610000001</v>
      </c>
      <c r="AF124">
        <v>8.5222347680000006</v>
      </c>
      <c r="AG124">
        <v>56.317134869999997</v>
      </c>
      <c r="AH124">
        <v>5.0423681999999997E-2</v>
      </c>
      <c r="AI124">
        <v>5.8693678230000002</v>
      </c>
    </row>
    <row r="125" spans="1:35" x14ac:dyDescent="0.2">
      <c r="A125">
        <v>164</v>
      </c>
      <c r="B125" t="s">
        <v>289</v>
      </c>
      <c r="C125" t="s">
        <v>182</v>
      </c>
      <c r="D125" t="s">
        <v>162</v>
      </c>
      <c r="E125" s="11">
        <v>1.2500000000000001E-5</v>
      </c>
      <c r="F125" s="11">
        <v>4.1999999999999996E-6</v>
      </c>
      <c r="G125">
        <v>0.334935223</v>
      </c>
      <c r="H125">
        <v>0.60945254299999996</v>
      </c>
      <c r="I125" s="11">
        <v>1.6699999999999999E-5</v>
      </c>
      <c r="J125">
        <v>0.94754717200000005</v>
      </c>
      <c r="K125">
        <v>3.1739958999999998E-2</v>
      </c>
      <c r="L125">
        <v>5.7487629519999999</v>
      </c>
      <c r="M125">
        <v>1.1609861000000001E-2</v>
      </c>
      <c r="N125">
        <v>3.6743364000000001E-2</v>
      </c>
      <c r="O125">
        <v>1.1406428E-2</v>
      </c>
      <c r="P125">
        <v>8.9488509999999993E-2</v>
      </c>
      <c r="Q125">
        <v>2.6715403160000002</v>
      </c>
      <c r="R125">
        <v>16.208218909999999</v>
      </c>
      <c r="S125">
        <v>5.1889299E-2</v>
      </c>
      <c r="T125">
        <v>4.7318047000000002E-2</v>
      </c>
      <c r="U125">
        <v>0.39686622100000002</v>
      </c>
      <c r="V125">
        <v>0.39265798499999999</v>
      </c>
      <c r="W125">
        <v>0.98939633599999999</v>
      </c>
      <c r="X125">
        <v>2.3333047320000002</v>
      </c>
      <c r="Y125">
        <v>61.524970359999998</v>
      </c>
      <c r="Z125">
        <v>0.57413649300000003</v>
      </c>
      <c r="AA125">
        <v>0.105667579</v>
      </c>
      <c r="AB125">
        <v>0.906562117</v>
      </c>
      <c r="AC125">
        <v>5.6402023909999999</v>
      </c>
      <c r="AD125">
        <v>0.97288256100000003</v>
      </c>
      <c r="AE125">
        <v>7.0674643509999999</v>
      </c>
      <c r="AF125">
        <v>10.55992155</v>
      </c>
      <c r="AG125">
        <v>39.215613220000002</v>
      </c>
      <c r="AH125">
        <v>3.2824661999999998E-2</v>
      </c>
      <c r="AI125">
        <v>7.1861079879999998</v>
      </c>
    </row>
    <row r="126" spans="1:35" x14ac:dyDescent="0.2">
      <c r="A126">
        <v>165</v>
      </c>
      <c r="B126" t="s">
        <v>290</v>
      </c>
      <c r="C126" t="s">
        <v>182</v>
      </c>
      <c r="D126" t="s">
        <v>220</v>
      </c>
      <c r="E126" s="11">
        <v>1.26E-5</v>
      </c>
      <c r="F126" s="11">
        <v>4.1799999999999998E-6</v>
      </c>
      <c r="G126">
        <v>0.33175195699999999</v>
      </c>
      <c r="H126">
        <v>0.60124680200000002</v>
      </c>
      <c r="I126" s="11">
        <v>1.6799999999999998E-5</v>
      </c>
      <c r="J126">
        <v>0.94841140800000001</v>
      </c>
      <c r="K126">
        <v>3.1775322000000002E-2</v>
      </c>
      <c r="L126">
        <v>5.7540190930000001</v>
      </c>
      <c r="M126">
        <v>1.0868421E-2</v>
      </c>
      <c r="N126">
        <v>3.6835594999999999E-2</v>
      </c>
      <c r="O126">
        <v>1.1419136999999999E-2</v>
      </c>
      <c r="P126">
        <v>8.9776739999999994E-2</v>
      </c>
      <c r="Q126">
        <v>2.6785228079999999</v>
      </c>
      <c r="R126">
        <v>16.25069032</v>
      </c>
      <c r="S126">
        <v>5.2916980000000002E-2</v>
      </c>
      <c r="T126">
        <v>4.7772384000000001E-2</v>
      </c>
      <c r="U126">
        <v>0.404726264</v>
      </c>
      <c r="V126">
        <v>0.39642819400000001</v>
      </c>
      <c r="W126">
        <v>0.97949708099999999</v>
      </c>
      <c r="X126">
        <v>2.3336100540000002</v>
      </c>
      <c r="Y126">
        <v>61.528940140000003</v>
      </c>
      <c r="Z126">
        <v>0.57344833799999995</v>
      </c>
      <c r="AA126">
        <v>0.1056077</v>
      </c>
      <c r="AB126">
        <v>0.90648271999999996</v>
      </c>
      <c r="AC126">
        <v>5.6369965640000004</v>
      </c>
      <c r="AD126">
        <v>0.97453674199999996</v>
      </c>
      <c r="AE126">
        <v>7.0679906399999997</v>
      </c>
      <c r="AF126">
        <v>10.561662269999999</v>
      </c>
      <c r="AG126">
        <v>39.196857090000002</v>
      </c>
      <c r="AH126">
        <v>3.2806004999999999E-2</v>
      </c>
      <c r="AI126">
        <v>7.187221074</v>
      </c>
    </row>
    <row r="127" spans="1:35" x14ac:dyDescent="0.2">
      <c r="A127">
        <v>166</v>
      </c>
      <c r="B127" t="s">
        <v>291</v>
      </c>
      <c r="C127" t="s">
        <v>182</v>
      </c>
      <c r="D127" t="s">
        <v>164</v>
      </c>
      <c r="E127" s="11">
        <v>1.1000000000000001E-6</v>
      </c>
      <c r="F127" s="11">
        <v>2.6400000000000001E-6</v>
      </c>
      <c r="G127">
        <v>2.3989950360000001</v>
      </c>
      <c r="H127">
        <v>3.3103108999999999E-2</v>
      </c>
      <c r="I127" s="11">
        <v>3.7400000000000002E-6</v>
      </c>
      <c r="J127">
        <v>2.2629713730000001</v>
      </c>
      <c r="K127">
        <v>0</v>
      </c>
      <c r="L127">
        <v>13.577828240000001</v>
      </c>
      <c r="M127">
        <v>0</v>
      </c>
      <c r="N127">
        <v>1.308727E-2</v>
      </c>
      <c r="O127">
        <v>4.0195910000000003E-3</v>
      </c>
      <c r="P127">
        <v>0</v>
      </c>
      <c r="Q127">
        <v>0.92033795100000004</v>
      </c>
      <c r="R127">
        <v>5.5220277060000003</v>
      </c>
      <c r="S127">
        <v>2.5755257E-2</v>
      </c>
      <c r="T127">
        <v>2.8358436000000001E-2</v>
      </c>
      <c r="U127">
        <v>0.19698457899999999</v>
      </c>
      <c r="V127">
        <v>0.23532599600000001</v>
      </c>
      <c r="W127">
        <v>1.194641719</v>
      </c>
      <c r="X127">
        <v>1.9437884519999999</v>
      </c>
      <c r="Y127">
        <v>76.618194119999998</v>
      </c>
      <c r="Z127">
        <v>0.60816524100000002</v>
      </c>
      <c r="AA127">
        <v>0.21811203400000001</v>
      </c>
      <c r="AB127">
        <v>0.82278584899999996</v>
      </c>
      <c r="AC127">
        <v>11.649410809999999</v>
      </c>
      <c r="AD127">
        <v>0.96597013700000001</v>
      </c>
      <c r="AE127">
        <v>8.7101895620000001</v>
      </c>
      <c r="AF127">
        <v>11.09286663</v>
      </c>
      <c r="AG127">
        <v>69.030800319999997</v>
      </c>
      <c r="AH127">
        <v>6.7796853000000004E-2</v>
      </c>
      <c r="AI127">
        <v>7.6276800419999997</v>
      </c>
    </row>
    <row r="128" spans="1:35" x14ac:dyDescent="0.2">
      <c r="A128">
        <v>167</v>
      </c>
      <c r="B128" t="s">
        <v>292</v>
      </c>
      <c r="C128" t="s">
        <v>182</v>
      </c>
      <c r="D128" t="s">
        <v>166</v>
      </c>
      <c r="E128" s="11">
        <v>1.3200000000000001E-5</v>
      </c>
      <c r="F128" s="11">
        <v>7.6499999999999996E-6</v>
      </c>
      <c r="G128">
        <v>0.58035591900000005</v>
      </c>
      <c r="H128">
        <v>-0.16252929499999999</v>
      </c>
      <c r="I128" s="11">
        <v>2.0800000000000001E-5</v>
      </c>
      <c r="J128">
        <v>7.1235706900000002</v>
      </c>
      <c r="K128">
        <v>9.999996887</v>
      </c>
      <c r="L128">
        <v>62.741417910000003</v>
      </c>
      <c r="M128">
        <v>0.21558970299999999</v>
      </c>
      <c r="N128">
        <v>0.187047186</v>
      </c>
      <c r="O128">
        <v>5.8006514000000002E-2</v>
      </c>
      <c r="P128">
        <v>9.7003745800000001</v>
      </c>
      <c r="Q128">
        <v>9.4693643489999992</v>
      </c>
      <c r="R128">
        <v>76.216935250000006</v>
      </c>
      <c r="S128">
        <v>0.28759727499999999</v>
      </c>
      <c r="T128">
        <v>0.292481192</v>
      </c>
      <c r="U128">
        <v>2.1996374240000001</v>
      </c>
      <c r="V128">
        <v>2.427088248</v>
      </c>
      <c r="W128">
        <v>1.1034037800000001</v>
      </c>
      <c r="X128">
        <v>2.0257749619999998</v>
      </c>
      <c r="Y128">
        <v>62.74141564</v>
      </c>
      <c r="Z128">
        <v>0.58035591900000005</v>
      </c>
      <c r="AA128">
        <v>0.18736344199999999</v>
      </c>
      <c r="AB128" s="11">
        <v>-3.6099999999999999E-8</v>
      </c>
      <c r="AC128">
        <v>9.9999976680000007</v>
      </c>
      <c r="AD128">
        <v>0.99015636399999996</v>
      </c>
      <c r="AE128">
        <v>7.1235704130000004</v>
      </c>
      <c r="AF128">
        <v>9.4725633429999991</v>
      </c>
      <c r="AG128">
        <v>61.869878200000002</v>
      </c>
      <c r="AH128">
        <v>5.8197653000000002E-2</v>
      </c>
      <c r="AI128">
        <v>6.5218093929999998</v>
      </c>
    </row>
    <row r="129" spans="1:35" x14ac:dyDescent="0.2">
      <c r="A129">
        <v>168</v>
      </c>
      <c r="B129" t="s">
        <v>293</v>
      </c>
      <c r="C129" t="s">
        <v>182</v>
      </c>
      <c r="D129" t="s">
        <v>226</v>
      </c>
      <c r="E129" s="11">
        <v>7.0099999999999998E-6</v>
      </c>
      <c r="F129" s="11">
        <v>2.2000000000000001E-6</v>
      </c>
      <c r="G129">
        <v>0.313872286</v>
      </c>
      <c r="H129">
        <v>1.0253846849999999</v>
      </c>
      <c r="I129" s="11">
        <v>9.2199999999999998E-6</v>
      </c>
      <c r="J129">
        <v>0.35082736799999997</v>
      </c>
      <c r="K129">
        <v>1.0128362E-2</v>
      </c>
      <c r="L129">
        <v>2.125220932</v>
      </c>
      <c r="M129">
        <v>6.2656450000000002E-3</v>
      </c>
      <c r="N129">
        <v>1.1735311999999999E-2</v>
      </c>
      <c r="O129">
        <v>3.6398419999999999E-3</v>
      </c>
      <c r="P129">
        <v>3.1206629999999999E-2</v>
      </c>
      <c r="Q129">
        <v>1.0976806160000001</v>
      </c>
      <c r="R129">
        <v>6.6484969539999996</v>
      </c>
      <c r="S129">
        <v>1.8177740000000001E-2</v>
      </c>
      <c r="T129">
        <v>1.6964379000000002E-2</v>
      </c>
      <c r="U129">
        <v>0.13902926299999999</v>
      </c>
      <c r="V129">
        <v>0.140775014</v>
      </c>
      <c r="W129">
        <v>1.012556716</v>
      </c>
      <c r="X129">
        <v>2.8962792789999998</v>
      </c>
      <c r="Y129">
        <v>25.558259660000001</v>
      </c>
      <c r="Z129">
        <v>0.53452806200000003</v>
      </c>
      <c r="AA129">
        <v>3.6957543000000002E-2</v>
      </c>
      <c r="AB129">
        <v>0.91684797900000004</v>
      </c>
      <c r="AC129">
        <v>1.976998738</v>
      </c>
      <c r="AD129">
        <v>0.93942831000000004</v>
      </c>
      <c r="AE129">
        <v>2.9431201919999999</v>
      </c>
      <c r="AF129">
        <v>4.8669878769999997</v>
      </c>
      <c r="AG129">
        <v>15.211638840000001</v>
      </c>
      <c r="AH129">
        <v>1.1505672E-2</v>
      </c>
      <c r="AI129">
        <v>3.3039091279999999</v>
      </c>
    </row>
    <row r="130" spans="1:35" x14ac:dyDescent="0.2">
      <c r="A130">
        <v>169</v>
      </c>
      <c r="B130" t="s">
        <v>294</v>
      </c>
      <c r="C130" t="s">
        <v>182</v>
      </c>
      <c r="D130" t="s">
        <v>168</v>
      </c>
      <c r="E130" s="11">
        <v>2.9299999999999999E-6</v>
      </c>
      <c r="F130" s="11">
        <v>9.0999999999999997E-7</v>
      </c>
      <c r="G130">
        <v>0.31017752599999998</v>
      </c>
      <c r="H130">
        <v>0.23070122800000001</v>
      </c>
      <c r="I130" s="11">
        <v>3.8399999999999997E-6</v>
      </c>
      <c r="J130">
        <v>0.29194363499999998</v>
      </c>
      <c r="K130" s="11">
        <v>9.8099999999999998E-8</v>
      </c>
      <c r="L130">
        <v>1.751662005</v>
      </c>
      <c r="M130" s="11">
        <v>3.2500000000000002E-10</v>
      </c>
      <c r="N130">
        <v>9.1104759999999993E-3</v>
      </c>
      <c r="O130">
        <v>2.8455630000000002E-3</v>
      </c>
      <c r="P130" s="11">
        <v>3.1E-7</v>
      </c>
      <c r="Q130">
        <v>0.93468674500000004</v>
      </c>
      <c r="R130">
        <v>5.6081210979999998</v>
      </c>
      <c r="S130">
        <v>7.6786379999999998E-3</v>
      </c>
      <c r="T130">
        <v>7.2950940000000002E-3</v>
      </c>
      <c r="U130">
        <v>5.8728722999999997E-2</v>
      </c>
      <c r="V130">
        <v>6.0536670000000001E-2</v>
      </c>
      <c r="W130">
        <v>1.030784715</v>
      </c>
      <c r="X130">
        <v>2.5956013320000002</v>
      </c>
      <c r="Y130">
        <v>37.113962229999998</v>
      </c>
      <c r="Z130">
        <v>0.51832626999999998</v>
      </c>
      <c r="AA130">
        <v>6.4634742999999995E-2</v>
      </c>
      <c r="AB130">
        <v>0.95280315299999996</v>
      </c>
      <c r="AC130">
        <v>3.4607515549999999</v>
      </c>
      <c r="AD130">
        <v>0.95531894100000003</v>
      </c>
      <c r="AE130">
        <v>4.2621863370000002</v>
      </c>
      <c r="AF130">
        <v>7.194558089</v>
      </c>
      <c r="AG130">
        <v>38.533096290000003</v>
      </c>
      <c r="AH130">
        <v>2.0140766000000001E-2</v>
      </c>
      <c r="AI130">
        <v>4.9294413500000003</v>
      </c>
    </row>
    <row r="131" spans="1:35" x14ac:dyDescent="0.2">
      <c r="A131">
        <v>170</v>
      </c>
      <c r="B131" t="s">
        <v>295</v>
      </c>
      <c r="C131" t="s">
        <v>184</v>
      </c>
      <c r="D131" t="s">
        <v>129</v>
      </c>
      <c r="E131" s="11">
        <v>8.14E-6</v>
      </c>
      <c r="F131" s="11">
        <v>2.52E-6</v>
      </c>
      <c r="G131">
        <v>0.309648127</v>
      </c>
      <c r="H131">
        <v>-0.56698750200000003</v>
      </c>
      <c r="I131" s="11">
        <v>1.0699999999999999E-5</v>
      </c>
      <c r="J131">
        <v>0.623636364</v>
      </c>
      <c r="K131">
        <v>1.2472727269999999</v>
      </c>
      <c r="L131">
        <v>6.2363636360000001</v>
      </c>
      <c r="M131">
        <v>0.169479616</v>
      </c>
      <c r="N131">
        <v>3.3560324000000002E-2</v>
      </c>
      <c r="O131">
        <v>1.0382796E-2</v>
      </c>
      <c r="P131">
        <v>1.33965303</v>
      </c>
      <c r="Q131">
        <v>2.2437421529999999</v>
      </c>
      <c r="R131">
        <v>16.141758979999999</v>
      </c>
      <c r="S131">
        <v>2.8860357E-2</v>
      </c>
      <c r="T131">
        <v>2.5396142E-2</v>
      </c>
      <c r="U131">
        <v>0.220733391</v>
      </c>
      <c r="V131">
        <v>0.210744073</v>
      </c>
      <c r="W131">
        <v>0.95474487100000005</v>
      </c>
      <c r="X131">
        <v>3.71641464</v>
      </c>
      <c r="Y131">
        <v>4.1876319249999998</v>
      </c>
      <c r="Z131">
        <v>0.30229255799999999</v>
      </c>
      <c r="AA131">
        <v>1.9321438999999999E-2</v>
      </c>
      <c r="AB131">
        <v>-0.489233951</v>
      </c>
      <c r="AC131">
        <v>0.47264516000000001</v>
      </c>
      <c r="AD131">
        <v>0.86733571600000003</v>
      </c>
      <c r="AE131">
        <v>0.42380477100000002</v>
      </c>
      <c r="AF131">
        <v>1.7174513309999999</v>
      </c>
      <c r="AG131">
        <v>5.2186167560000003</v>
      </c>
      <c r="AH131">
        <v>5.9657219999999997E-3</v>
      </c>
      <c r="AI131">
        <v>1.120967319</v>
      </c>
    </row>
    <row r="132" spans="1:35" x14ac:dyDescent="0.2">
      <c r="A132">
        <v>171</v>
      </c>
      <c r="B132" t="s">
        <v>296</v>
      </c>
      <c r="C132" t="s">
        <v>184</v>
      </c>
      <c r="D132" t="s">
        <v>130</v>
      </c>
      <c r="E132" s="11">
        <v>8.0900000000000005E-6</v>
      </c>
      <c r="F132" s="11">
        <v>2.5399999999999998E-6</v>
      </c>
      <c r="G132">
        <v>0.31408921000000001</v>
      </c>
      <c r="H132">
        <v>0.55303594700000003</v>
      </c>
      <c r="I132" s="11">
        <v>1.06E-5</v>
      </c>
      <c r="J132">
        <v>0.36373772799999998</v>
      </c>
      <c r="K132">
        <v>5.9452280000000003E-3</v>
      </c>
      <c r="L132">
        <v>2.194316825</v>
      </c>
      <c r="M132">
        <v>5.4270120000000002E-3</v>
      </c>
      <c r="N132">
        <v>6.9078580000000002E-3</v>
      </c>
      <c r="O132">
        <v>2.1365440000000002E-3</v>
      </c>
      <c r="P132">
        <v>1.8697749999999999E-2</v>
      </c>
      <c r="Q132">
        <v>1.1439941570000001</v>
      </c>
      <c r="R132">
        <v>6.901360446</v>
      </c>
      <c r="S132">
        <v>1.1248894000000001E-2</v>
      </c>
      <c r="T132">
        <v>1.0906590000000001E-2</v>
      </c>
      <c r="U132">
        <v>8.6035197999999993E-2</v>
      </c>
      <c r="V132">
        <v>9.0505842000000003E-2</v>
      </c>
      <c r="W132">
        <v>1.051962965</v>
      </c>
      <c r="X132">
        <v>3.8876715119999998</v>
      </c>
      <c r="Y132">
        <v>3.134677377</v>
      </c>
      <c r="Z132">
        <v>0.31226741200000002</v>
      </c>
      <c r="AA132">
        <v>1.5994435000000001E-2</v>
      </c>
      <c r="AB132">
        <v>0.29998639100000002</v>
      </c>
      <c r="AC132">
        <v>1.3662962000000001E-2</v>
      </c>
      <c r="AD132">
        <v>0.87396915200000003</v>
      </c>
      <c r="AE132">
        <v>0.52056866199999996</v>
      </c>
      <c r="AF132">
        <v>1.7190757430000001</v>
      </c>
      <c r="AG132">
        <v>0.28539798</v>
      </c>
      <c r="AH132">
        <v>4.926255E-3</v>
      </c>
      <c r="AI132">
        <v>0.88537640100000004</v>
      </c>
    </row>
    <row r="133" spans="1:35" x14ac:dyDescent="0.2">
      <c r="A133">
        <v>172</v>
      </c>
      <c r="B133" t="s">
        <v>297</v>
      </c>
      <c r="C133" t="s">
        <v>184</v>
      </c>
      <c r="D133" t="s">
        <v>132</v>
      </c>
      <c r="E133" s="11">
        <v>1.9700000000000002E-6</v>
      </c>
      <c r="F133" s="11">
        <v>6.1399999999999997E-7</v>
      </c>
      <c r="G133">
        <v>0.31157896800000001</v>
      </c>
      <c r="H133">
        <v>-0.21730253499999999</v>
      </c>
      <c r="I133" s="11">
        <v>2.5799999999999999E-6</v>
      </c>
      <c r="J133">
        <v>0.36814729200000001</v>
      </c>
      <c r="K133">
        <v>2.8940720000000001E-3</v>
      </c>
      <c r="L133">
        <v>2.2146718980000002</v>
      </c>
      <c r="M133">
        <v>2.2849279999999999E-3</v>
      </c>
      <c r="N133">
        <v>3.3044239999999998E-3</v>
      </c>
      <c r="O133">
        <v>1.040046E-3</v>
      </c>
      <c r="P133">
        <v>9.0824400000000007E-3</v>
      </c>
      <c r="Q133">
        <v>1.160483098</v>
      </c>
      <c r="R133">
        <v>6.9810634580000004</v>
      </c>
      <c r="S133">
        <v>4.6504459999999999E-3</v>
      </c>
      <c r="T133">
        <v>4.1202540000000003E-3</v>
      </c>
      <c r="U133">
        <v>3.5568119000000002E-2</v>
      </c>
      <c r="V133">
        <v>3.4190988999999998E-2</v>
      </c>
      <c r="W133">
        <v>0.96128190000000002</v>
      </c>
      <c r="X133">
        <v>4.6125109750000002</v>
      </c>
      <c r="Y133">
        <v>1.5387742579999999</v>
      </c>
      <c r="Z133">
        <v>0.29729278399999998</v>
      </c>
      <c r="AA133">
        <v>7.1008140000000004E-3</v>
      </c>
      <c r="AB133">
        <v>-0.43924418199999998</v>
      </c>
      <c r="AC133">
        <v>6.0761900000000004E-3</v>
      </c>
      <c r="AD133">
        <v>0.870958652</v>
      </c>
      <c r="AE133">
        <v>0.25591777300000002</v>
      </c>
      <c r="AF133">
        <v>0.92131010499999999</v>
      </c>
      <c r="AG133">
        <v>0.138334182</v>
      </c>
      <c r="AH133">
        <v>2.1908029999999998E-3</v>
      </c>
      <c r="AI133">
        <v>0.47380214399999998</v>
      </c>
    </row>
    <row r="134" spans="1:35" x14ac:dyDescent="0.2">
      <c r="A134">
        <v>173</v>
      </c>
      <c r="B134" t="s">
        <v>298</v>
      </c>
      <c r="C134" t="s">
        <v>184</v>
      </c>
      <c r="D134" t="s">
        <v>134</v>
      </c>
      <c r="E134" s="11">
        <v>1.47E-5</v>
      </c>
      <c r="F134" s="11">
        <v>5.3700000000000003E-6</v>
      </c>
      <c r="G134">
        <v>0.36582945300000003</v>
      </c>
      <c r="H134">
        <v>-0.32106185199999998</v>
      </c>
      <c r="I134" s="11">
        <v>2.0100000000000001E-5</v>
      </c>
      <c r="J134">
        <v>0.52232190099999998</v>
      </c>
      <c r="K134">
        <v>2.1042885000000001E-2</v>
      </c>
      <c r="L134">
        <v>3.1760171779999999</v>
      </c>
      <c r="M134">
        <v>1.3232239999999999E-2</v>
      </c>
      <c r="N134">
        <v>2.4527246999999999E-2</v>
      </c>
      <c r="O134">
        <v>7.562208E-3</v>
      </c>
      <c r="P134">
        <v>5.5625639999999997E-2</v>
      </c>
      <c r="Q134">
        <v>1.3803489790000001</v>
      </c>
      <c r="R134">
        <v>8.3933451520000002</v>
      </c>
      <c r="S134">
        <v>4.2805375999999999E-2</v>
      </c>
      <c r="T134">
        <v>4.1488271E-2</v>
      </c>
      <c r="U134">
        <v>0.32738942799999998</v>
      </c>
      <c r="V134">
        <v>0.34428092599999999</v>
      </c>
      <c r="W134">
        <v>1.051594513</v>
      </c>
      <c r="X134">
        <v>3.6199083440000002</v>
      </c>
      <c r="Y134">
        <v>3.0102501519999998</v>
      </c>
      <c r="Z134">
        <v>0.40618058800000001</v>
      </c>
      <c r="AA134">
        <v>2.1583654000000001E-2</v>
      </c>
      <c r="AB134">
        <v>-5.5067524999999999E-2</v>
      </c>
      <c r="AC134">
        <v>1.8430848999999999E-2</v>
      </c>
      <c r="AD134">
        <v>0.89651372600000001</v>
      </c>
      <c r="AE134">
        <v>0.49673098900000001</v>
      </c>
      <c r="AF134">
        <v>1.2446209699999999</v>
      </c>
      <c r="AG134">
        <v>0.29214570099999998</v>
      </c>
      <c r="AH134">
        <v>6.6453420000000003E-3</v>
      </c>
      <c r="AI134">
        <v>0.64511591099999999</v>
      </c>
    </row>
    <row r="135" spans="1:35" x14ac:dyDescent="0.2">
      <c r="A135">
        <v>174</v>
      </c>
      <c r="B135" t="s">
        <v>299</v>
      </c>
      <c r="C135" t="s">
        <v>184</v>
      </c>
      <c r="D135" t="s">
        <v>136</v>
      </c>
      <c r="E135" s="11">
        <v>1.11E-5</v>
      </c>
      <c r="F135" s="11">
        <v>3.5200000000000002E-6</v>
      </c>
      <c r="G135">
        <v>0.31798415499999999</v>
      </c>
      <c r="H135">
        <v>0.144478106</v>
      </c>
      <c r="I135" s="11">
        <v>1.4600000000000001E-5</v>
      </c>
      <c r="J135">
        <v>0.34156178999999998</v>
      </c>
      <c r="K135">
        <v>1.4014735E-2</v>
      </c>
      <c r="L135">
        <v>2.0774002120000001</v>
      </c>
      <c r="M135">
        <v>1.3466225E-2</v>
      </c>
      <c r="N135">
        <v>1.6315230999999999E-2</v>
      </c>
      <c r="O135">
        <v>5.0364930000000004E-3</v>
      </c>
      <c r="P135">
        <v>4.2562799999999998E-2</v>
      </c>
      <c r="Q135">
        <v>1.0373783860000001</v>
      </c>
      <c r="R135">
        <v>6.3093959240000004</v>
      </c>
      <c r="S135">
        <v>2.7419318000000002E-2</v>
      </c>
      <c r="T135">
        <v>2.6435607999999999E-2</v>
      </c>
      <c r="U135">
        <v>0.209711857</v>
      </c>
      <c r="V135">
        <v>0.21936984300000001</v>
      </c>
      <c r="W135">
        <v>1.0460536</v>
      </c>
      <c r="X135">
        <v>3.7596672980000001</v>
      </c>
      <c r="Y135">
        <v>2.0796082810000001</v>
      </c>
      <c r="Z135">
        <v>0.321860323</v>
      </c>
      <c r="AA135">
        <v>1.8452245999999999E-2</v>
      </c>
      <c r="AB135">
        <v>1.0617720000000001E-3</v>
      </c>
      <c r="AC135">
        <v>1.5764914000000001E-2</v>
      </c>
      <c r="AD135">
        <v>0.87396996999999998</v>
      </c>
      <c r="AE135">
        <v>0.34135028000000001</v>
      </c>
      <c r="AF135">
        <v>1.1005924549999999</v>
      </c>
      <c r="AG135">
        <v>0.32148853799999999</v>
      </c>
      <c r="AH135">
        <v>5.6841249999999999E-3</v>
      </c>
      <c r="AI135">
        <v>0.57348893599999995</v>
      </c>
    </row>
    <row r="136" spans="1:35" x14ac:dyDescent="0.2">
      <c r="A136">
        <v>175</v>
      </c>
      <c r="B136" t="s">
        <v>300</v>
      </c>
      <c r="C136" t="s">
        <v>184</v>
      </c>
      <c r="D136" t="s">
        <v>138</v>
      </c>
      <c r="E136" s="11">
        <v>1.2300000000000001E-5</v>
      </c>
      <c r="F136" s="11">
        <v>3.9400000000000004E-6</v>
      </c>
      <c r="G136">
        <v>0.32102184700000003</v>
      </c>
      <c r="H136">
        <v>0.56190416799999998</v>
      </c>
      <c r="I136" s="11">
        <v>1.6200000000000001E-5</v>
      </c>
      <c r="J136">
        <v>0.84086075299999996</v>
      </c>
      <c r="K136">
        <v>2.7922194000000001E-2</v>
      </c>
      <c r="L136">
        <v>5.1010089040000004</v>
      </c>
      <c r="M136">
        <v>1.0938211E-2</v>
      </c>
      <c r="N136">
        <v>3.2531499999999998E-2</v>
      </c>
      <c r="O136">
        <v>1.0034434E-2</v>
      </c>
      <c r="P136">
        <v>7.983287E-2</v>
      </c>
      <c r="Q136">
        <v>2.4041505449999998</v>
      </c>
      <c r="R136">
        <v>14.584569</v>
      </c>
      <c r="S136">
        <v>4.8680248000000002E-2</v>
      </c>
      <c r="T136">
        <v>4.3997415999999998E-2</v>
      </c>
      <c r="U136">
        <v>0.37232235800000002</v>
      </c>
      <c r="V136">
        <v>0.36510249</v>
      </c>
      <c r="W136">
        <v>0.98060855599999996</v>
      </c>
      <c r="X136">
        <v>2.7124740709999999</v>
      </c>
      <c r="Y136">
        <v>19.265956939999999</v>
      </c>
      <c r="Z136">
        <v>0.375923811</v>
      </c>
      <c r="AA136">
        <v>5.6883448000000003E-2</v>
      </c>
      <c r="AB136">
        <v>0.73523199900000002</v>
      </c>
      <c r="AC136">
        <v>5.0828769000000003E-2</v>
      </c>
      <c r="AD136">
        <v>0.90127169600000001</v>
      </c>
      <c r="AE136">
        <v>3.2192663619999999</v>
      </c>
      <c r="AF136">
        <v>5.5029360130000002</v>
      </c>
      <c r="AG136">
        <v>0.68317909799999998</v>
      </c>
      <c r="AH136">
        <v>1.8326586999999998E-2</v>
      </c>
      <c r="AI136">
        <v>2.823137885</v>
      </c>
    </row>
    <row r="137" spans="1:35" x14ac:dyDescent="0.2">
      <c r="A137">
        <v>176</v>
      </c>
      <c r="B137" t="s">
        <v>301</v>
      </c>
      <c r="C137" t="s">
        <v>184</v>
      </c>
      <c r="D137" t="s">
        <v>182</v>
      </c>
      <c r="E137" s="11">
        <v>3.3900000000000002E-6</v>
      </c>
      <c r="F137" s="11">
        <v>1.11E-6</v>
      </c>
      <c r="G137">
        <v>0.32643351900000001</v>
      </c>
      <c r="H137">
        <v>-0.35362584699999999</v>
      </c>
      <c r="I137" s="11">
        <v>4.5000000000000001E-6</v>
      </c>
      <c r="J137">
        <v>2.2526775309999998</v>
      </c>
      <c r="K137">
        <v>0</v>
      </c>
      <c r="L137">
        <v>13.51606518</v>
      </c>
      <c r="M137">
        <v>0</v>
      </c>
      <c r="N137">
        <v>3.2617381000000001E-2</v>
      </c>
      <c r="O137">
        <v>1.0156396999999999E-2</v>
      </c>
      <c r="P137">
        <v>0</v>
      </c>
      <c r="Q137">
        <v>6.3667477799999999</v>
      </c>
      <c r="R137">
        <v>38.200486679999997</v>
      </c>
      <c r="S137">
        <v>6.5696467999999994E-2</v>
      </c>
      <c r="T137">
        <v>5.7042631000000003E-2</v>
      </c>
      <c r="U137">
        <v>0.502467938</v>
      </c>
      <c r="V137">
        <v>0.47335522200000002</v>
      </c>
      <c r="W137">
        <v>0.94206055</v>
      </c>
      <c r="X137">
        <v>2.5468783099999999</v>
      </c>
      <c r="Y137">
        <v>42.129994340000003</v>
      </c>
      <c r="Z137">
        <v>0.54493840400000004</v>
      </c>
      <c r="AA137">
        <v>7.1140017999999999E-2</v>
      </c>
      <c r="AB137">
        <v>0.67918188999999995</v>
      </c>
      <c r="AC137">
        <v>3.7894279480000002</v>
      </c>
      <c r="AD137">
        <v>0.95615934899999999</v>
      </c>
      <c r="AE137">
        <v>4.8409673</v>
      </c>
      <c r="AF137">
        <v>7.6970133409999999</v>
      </c>
      <c r="AG137">
        <v>27.809705770000001</v>
      </c>
      <c r="AH137">
        <v>2.2053586E-2</v>
      </c>
      <c r="AI137">
        <v>5.2356826810000001</v>
      </c>
    </row>
    <row r="138" spans="1:35" x14ac:dyDescent="0.2">
      <c r="A138">
        <v>177</v>
      </c>
      <c r="B138" t="s">
        <v>302</v>
      </c>
      <c r="C138" t="s">
        <v>184</v>
      </c>
      <c r="D138" t="s">
        <v>188</v>
      </c>
      <c r="E138" s="11">
        <v>9.9999999999999995E-7</v>
      </c>
      <c r="F138" s="11">
        <v>3.1600000000000002E-7</v>
      </c>
      <c r="G138">
        <v>0.31549172399999997</v>
      </c>
      <c r="H138">
        <v>0.121876939</v>
      </c>
      <c r="I138" s="11">
        <v>1.3200000000000001E-6</v>
      </c>
      <c r="J138">
        <v>0.293810609</v>
      </c>
      <c r="K138">
        <v>8.8770400000000001E-4</v>
      </c>
      <c r="L138">
        <v>1.7646390620000001</v>
      </c>
      <c r="M138">
        <v>1.0081739999999999E-3</v>
      </c>
      <c r="N138">
        <v>9.9173199999999994E-4</v>
      </c>
      <c r="O138">
        <v>3.1918099999999998E-4</v>
      </c>
      <c r="P138">
        <v>2.74646E-3</v>
      </c>
      <c r="Q138">
        <v>0.90964979000000001</v>
      </c>
      <c r="R138">
        <v>5.4633916559999998</v>
      </c>
      <c r="S138">
        <v>1.592057E-3</v>
      </c>
      <c r="T138">
        <v>1.448382E-3</v>
      </c>
      <c r="U138">
        <v>1.2176569E-2</v>
      </c>
      <c r="V138">
        <v>1.2019066E-2</v>
      </c>
      <c r="W138">
        <v>0.98706507600000004</v>
      </c>
      <c r="X138">
        <v>2.5472855559999998</v>
      </c>
      <c r="Y138">
        <v>52.260556370000003</v>
      </c>
      <c r="Z138">
        <v>0.44875377300000002</v>
      </c>
      <c r="AA138">
        <v>6.7147136999999996E-2</v>
      </c>
      <c r="AB138">
        <v>0.96623382599999996</v>
      </c>
      <c r="AC138">
        <v>3.7894281099999998</v>
      </c>
      <c r="AD138">
        <v>0.93657931500000002</v>
      </c>
      <c r="AE138">
        <v>6.5497215369999999</v>
      </c>
      <c r="AF138">
        <v>7.2887389569999996</v>
      </c>
      <c r="AG138">
        <v>28.668684729999999</v>
      </c>
      <c r="AH138">
        <v>2.2043548E-2</v>
      </c>
      <c r="AI138">
        <v>5.0698220430000003</v>
      </c>
    </row>
    <row r="139" spans="1:35" x14ac:dyDescent="0.2">
      <c r="A139">
        <v>178</v>
      </c>
      <c r="B139" t="s">
        <v>303</v>
      </c>
      <c r="C139" t="s">
        <v>184</v>
      </c>
      <c r="D139" t="s">
        <v>140</v>
      </c>
      <c r="E139" s="11">
        <v>8.9099999999999994E-6</v>
      </c>
      <c r="F139" s="11">
        <v>2.8100000000000002E-6</v>
      </c>
      <c r="G139">
        <v>0.31547070900000002</v>
      </c>
      <c r="H139">
        <v>-0.73318727400000006</v>
      </c>
      <c r="I139" s="11">
        <v>1.17E-5</v>
      </c>
      <c r="J139">
        <v>0.30202224700000002</v>
      </c>
      <c r="K139">
        <v>7.9805959999999995E-3</v>
      </c>
      <c r="L139">
        <v>1.8280946769999999</v>
      </c>
      <c r="M139">
        <v>8.7172659999999996E-3</v>
      </c>
      <c r="N139">
        <v>9.2795029999999997E-3</v>
      </c>
      <c r="O139">
        <v>2.8679970000000002E-3</v>
      </c>
      <c r="P139">
        <v>2.4882979999999999E-2</v>
      </c>
      <c r="Q139">
        <v>0.941685789</v>
      </c>
      <c r="R139">
        <v>5.6998806980000003</v>
      </c>
      <c r="S139">
        <v>1.5620191E-2</v>
      </c>
      <c r="T139">
        <v>1.5002468E-2</v>
      </c>
      <c r="U139">
        <v>0.119468293</v>
      </c>
      <c r="V139">
        <v>0.124494548</v>
      </c>
      <c r="W139">
        <v>1.0420718739999999</v>
      </c>
      <c r="X139">
        <v>4.7814671320000004</v>
      </c>
      <c r="Y139">
        <v>1.342672439</v>
      </c>
      <c r="Z139">
        <v>0.29846120900000001</v>
      </c>
      <c r="AA139">
        <v>5.8806190000000001E-3</v>
      </c>
      <c r="AB139">
        <v>-0.36153437199999999</v>
      </c>
      <c r="AC139">
        <v>5.0303969999999998E-3</v>
      </c>
      <c r="AD139">
        <v>0.85322282800000004</v>
      </c>
      <c r="AE139">
        <v>0.22346580299999999</v>
      </c>
      <c r="AF139">
        <v>0.81494966000000002</v>
      </c>
      <c r="AG139">
        <v>0.116030168</v>
      </c>
      <c r="AH139">
        <v>1.8137369999999999E-3</v>
      </c>
      <c r="AI139">
        <v>0.41880061099999999</v>
      </c>
    </row>
    <row r="140" spans="1:35" x14ac:dyDescent="0.2">
      <c r="A140">
        <v>179</v>
      </c>
      <c r="B140" t="s">
        <v>304</v>
      </c>
      <c r="C140" t="s">
        <v>184</v>
      </c>
      <c r="D140" t="s">
        <v>191</v>
      </c>
      <c r="E140" s="11">
        <v>8.7800000000000006E-6</v>
      </c>
      <c r="F140" s="11">
        <v>2.7599999999999998E-6</v>
      </c>
      <c r="G140">
        <v>0.31461516899999997</v>
      </c>
      <c r="H140">
        <v>-0.84670568499999999</v>
      </c>
      <c r="I140" s="11">
        <v>1.15E-5</v>
      </c>
      <c r="J140">
        <v>0.28255772299999998</v>
      </c>
      <c r="K140">
        <v>7.1819049999999997E-3</v>
      </c>
      <c r="L140">
        <v>1.7097101450000001</v>
      </c>
      <c r="M140">
        <v>8.3957489999999992E-3</v>
      </c>
      <c r="N140">
        <v>8.348701E-3</v>
      </c>
      <c r="O140">
        <v>2.5809700000000001E-3</v>
      </c>
      <c r="P140">
        <v>2.24694E-2</v>
      </c>
      <c r="Q140">
        <v>0.88402365599999999</v>
      </c>
      <c r="R140">
        <v>5.3490807299999998</v>
      </c>
      <c r="S140">
        <v>1.4059785E-2</v>
      </c>
      <c r="T140">
        <v>1.3483546000000001E-2</v>
      </c>
      <c r="U140">
        <v>0.107533802</v>
      </c>
      <c r="V140">
        <v>0.111890118</v>
      </c>
      <c r="W140">
        <v>1.040511132</v>
      </c>
      <c r="X140">
        <v>4.929714003</v>
      </c>
      <c r="Y140">
        <v>1.200737892</v>
      </c>
      <c r="Z140">
        <v>0.297103061</v>
      </c>
      <c r="AA140">
        <v>4.9816829999999998E-3</v>
      </c>
      <c r="AB140">
        <v>-0.42388289400000001</v>
      </c>
      <c r="AC140">
        <v>4.2621389999999999E-3</v>
      </c>
      <c r="AD140">
        <v>0.84840157599999999</v>
      </c>
      <c r="AE140">
        <v>0.19998449600000001</v>
      </c>
      <c r="AF140">
        <v>0.73594436900000004</v>
      </c>
      <c r="AG140">
        <v>9.9203079E-2</v>
      </c>
      <c r="AH140">
        <v>1.536737E-3</v>
      </c>
      <c r="AI140">
        <v>0.37793264700000001</v>
      </c>
    </row>
    <row r="141" spans="1:35" x14ac:dyDescent="0.2">
      <c r="A141">
        <v>180</v>
      </c>
      <c r="B141" t="s">
        <v>305</v>
      </c>
      <c r="C141" t="s">
        <v>184</v>
      </c>
      <c r="D141" t="s">
        <v>193</v>
      </c>
      <c r="E141" s="11">
        <v>7.79E-6</v>
      </c>
      <c r="F141" s="11">
        <v>2.4200000000000001E-6</v>
      </c>
      <c r="G141">
        <v>0.311054793</v>
      </c>
      <c r="H141">
        <v>-0.832578186</v>
      </c>
      <c r="I141" s="11">
        <v>1.0200000000000001E-5</v>
      </c>
      <c r="J141">
        <v>0.23968038</v>
      </c>
      <c r="K141">
        <v>5.4197409999999996E-3</v>
      </c>
      <c r="L141">
        <v>1.448921761</v>
      </c>
      <c r="M141">
        <v>7.4723089999999999E-3</v>
      </c>
      <c r="N141">
        <v>6.2955060000000002E-3</v>
      </c>
      <c r="O141">
        <v>1.947699E-3</v>
      </c>
      <c r="P141">
        <v>1.708165E-2</v>
      </c>
      <c r="Q141">
        <v>0.75529861099999995</v>
      </c>
      <c r="R141">
        <v>4.56595496</v>
      </c>
      <c r="S141">
        <v>1.1218621999999999E-2</v>
      </c>
      <c r="T141">
        <v>1.0225602E-2</v>
      </c>
      <c r="U141">
        <v>8.5803669999999999E-2</v>
      </c>
      <c r="V141">
        <v>8.4854814000000001E-2</v>
      </c>
      <c r="W141">
        <v>0.98894154499999998</v>
      </c>
      <c r="X141">
        <v>5.2944079520000003</v>
      </c>
      <c r="Y141">
        <v>0.94123943200000004</v>
      </c>
      <c r="Z141">
        <v>0.29268269899999999</v>
      </c>
      <c r="AA141">
        <v>3.3108930000000001E-3</v>
      </c>
      <c r="AB141">
        <v>-0.53937639299999995</v>
      </c>
      <c r="AC141">
        <v>2.8350889999999998E-3</v>
      </c>
      <c r="AD141">
        <v>0.86702447199999999</v>
      </c>
      <c r="AE141">
        <v>0.15706711700000001</v>
      </c>
      <c r="AF141">
        <v>0.58744454700000004</v>
      </c>
      <c r="AG141">
        <v>6.7076970999999999E-2</v>
      </c>
      <c r="AH141">
        <v>1.022207E-3</v>
      </c>
      <c r="AI141">
        <v>0.30109261100000001</v>
      </c>
    </row>
    <row r="142" spans="1:35" x14ac:dyDescent="0.2">
      <c r="A142">
        <v>181</v>
      </c>
      <c r="B142" t="s">
        <v>306</v>
      </c>
      <c r="C142" t="s">
        <v>184</v>
      </c>
      <c r="D142" t="s">
        <v>142</v>
      </c>
      <c r="E142" s="11">
        <v>4.5199999999999999E-6</v>
      </c>
      <c r="F142" s="11">
        <v>1.4500000000000001E-6</v>
      </c>
      <c r="G142">
        <v>0.32114728300000001</v>
      </c>
      <c r="H142">
        <v>0.29196774399999997</v>
      </c>
      <c r="I142" s="11">
        <v>5.9699999999999996E-6</v>
      </c>
      <c r="J142">
        <v>0.29191683299999999</v>
      </c>
      <c r="K142">
        <v>1.2269034999999999E-2</v>
      </c>
      <c r="L142">
        <v>1.7760390669999999</v>
      </c>
      <c r="M142">
        <v>1.2794995E-2</v>
      </c>
      <c r="N142">
        <v>1.419549E-2</v>
      </c>
      <c r="O142">
        <v>4.4091379999999999E-3</v>
      </c>
      <c r="P142">
        <v>7.2934100000000002E-2</v>
      </c>
      <c r="Q142">
        <v>0.93983156700000003</v>
      </c>
      <c r="R142">
        <v>5.784857594</v>
      </c>
      <c r="S142">
        <v>1.21878E-2</v>
      </c>
      <c r="T142">
        <v>1.1256138000000001E-2</v>
      </c>
      <c r="U142">
        <v>9.3216256999999997E-2</v>
      </c>
      <c r="V142">
        <v>9.3406484999999997E-2</v>
      </c>
      <c r="W142">
        <v>1.0020407170000001</v>
      </c>
      <c r="X142">
        <v>2.5471373800000001</v>
      </c>
      <c r="Y142">
        <v>39.51341094</v>
      </c>
      <c r="Z142">
        <v>1.194305862</v>
      </c>
      <c r="AA142">
        <v>7.3751307000000002E-2</v>
      </c>
      <c r="AB142">
        <v>0.95505224600000005</v>
      </c>
      <c r="AC142">
        <v>2.9706286390000001</v>
      </c>
      <c r="AD142">
        <v>1.0633452670000001</v>
      </c>
      <c r="AE142">
        <v>4.8890793810000002</v>
      </c>
      <c r="AF142">
        <v>3.9384678860000002</v>
      </c>
      <c r="AG142">
        <v>14.84994294</v>
      </c>
      <c r="AH142">
        <v>2.2047199999999999E-2</v>
      </c>
      <c r="AI142">
        <v>2.7087499140000002</v>
      </c>
    </row>
    <row r="143" spans="1:35" x14ac:dyDescent="0.2">
      <c r="A143">
        <v>182</v>
      </c>
      <c r="B143" t="s">
        <v>307</v>
      </c>
      <c r="C143" t="s">
        <v>184</v>
      </c>
      <c r="D143" t="s">
        <v>144</v>
      </c>
      <c r="E143" s="11">
        <v>1.33E-5</v>
      </c>
      <c r="F143" s="11">
        <v>4.2899999999999996E-6</v>
      </c>
      <c r="G143">
        <v>0.3236077</v>
      </c>
      <c r="H143">
        <v>0.33225689000000003</v>
      </c>
      <c r="I143" s="11">
        <v>1.7600000000000001E-5</v>
      </c>
      <c r="J143">
        <v>0.40742308900000002</v>
      </c>
      <c r="K143">
        <v>1.8041630999999999E-2</v>
      </c>
      <c r="L143">
        <v>2.4806217949999998</v>
      </c>
      <c r="M143">
        <v>8.6724139999999998E-3</v>
      </c>
      <c r="N143">
        <v>2.0990464E-2</v>
      </c>
      <c r="O143">
        <v>6.4836429999999999E-3</v>
      </c>
      <c r="P143">
        <v>5.5216609999999999E-2</v>
      </c>
      <c r="Q143">
        <v>1.238037491</v>
      </c>
      <c r="R143">
        <v>7.5386581660000003</v>
      </c>
      <c r="S143">
        <v>2.8032906E-2</v>
      </c>
      <c r="T143">
        <v>2.6066948999999999E-2</v>
      </c>
      <c r="U143">
        <v>0.21440477899999999</v>
      </c>
      <c r="V143">
        <v>0.21631060999999999</v>
      </c>
      <c r="W143">
        <v>1.008888939</v>
      </c>
      <c r="X143">
        <v>3.4563851859999999</v>
      </c>
      <c r="Y143">
        <v>2.9037393599999999</v>
      </c>
      <c r="Z143">
        <v>0.31179967800000002</v>
      </c>
      <c r="AA143">
        <v>2.5907988999999999E-2</v>
      </c>
      <c r="AB143">
        <v>0.14571471899999999</v>
      </c>
      <c r="AC143">
        <v>2.2127722999999998E-2</v>
      </c>
      <c r="AD143">
        <v>0.889819998</v>
      </c>
      <c r="AE143">
        <v>0.47655556599999999</v>
      </c>
      <c r="AF143">
        <v>1.432828091</v>
      </c>
      <c r="AG143">
        <v>0.42087552700000003</v>
      </c>
      <c r="AH143">
        <v>7.9782700000000008E-3</v>
      </c>
      <c r="AI143">
        <v>0.74672004000000003</v>
      </c>
    </row>
    <row r="144" spans="1:35" x14ac:dyDescent="0.2">
      <c r="A144">
        <v>183</v>
      </c>
      <c r="B144" t="s">
        <v>308</v>
      </c>
      <c r="C144" t="s">
        <v>184</v>
      </c>
      <c r="D144" t="s">
        <v>146</v>
      </c>
      <c r="E144" s="11">
        <v>1.2799999999999999E-5</v>
      </c>
      <c r="F144" s="11">
        <v>4.0600000000000001E-6</v>
      </c>
      <c r="G144">
        <v>0.31637064100000001</v>
      </c>
      <c r="H144">
        <v>-0.13939845200000001</v>
      </c>
      <c r="I144" s="11">
        <v>1.6900000000000001E-5</v>
      </c>
      <c r="J144">
        <v>0.467266022</v>
      </c>
      <c r="K144">
        <v>1.4457154999999999E-2</v>
      </c>
      <c r="L144">
        <v>2.8325104419999998</v>
      </c>
      <c r="M144">
        <v>1.021062E-2</v>
      </c>
      <c r="N144">
        <v>1.6836857E-2</v>
      </c>
      <c r="O144">
        <v>5.195486E-3</v>
      </c>
      <c r="P144">
        <v>4.3836430000000003E-2</v>
      </c>
      <c r="Q144">
        <v>1.4168740929999999</v>
      </c>
      <c r="R144">
        <v>8.5889174219999997</v>
      </c>
      <c r="S144">
        <v>2.8405805999999999E-2</v>
      </c>
      <c r="T144">
        <v>2.7421722999999999E-2</v>
      </c>
      <c r="U144">
        <v>0.21725683600000001</v>
      </c>
      <c r="V144">
        <v>0.227552897</v>
      </c>
      <c r="W144">
        <v>1.0473911950000001</v>
      </c>
      <c r="X144">
        <v>3.8821411929999998</v>
      </c>
      <c r="Y144">
        <v>3.153380056</v>
      </c>
      <c r="Z144">
        <v>0.30710518199999998</v>
      </c>
      <c r="AA144">
        <v>1.6093248000000001E-2</v>
      </c>
      <c r="AB144">
        <v>0.101754184</v>
      </c>
      <c r="AC144">
        <v>1.3747695000000001E-2</v>
      </c>
      <c r="AD144">
        <v>0.873346658</v>
      </c>
      <c r="AE144">
        <v>0.52367265100000004</v>
      </c>
      <c r="AF144">
        <v>1.727622284</v>
      </c>
      <c r="AG144">
        <v>0.28690990999999999</v>
      </c>
      <c r="AH144">
        <v>4.9568049999999999E-3</v>
      </c>
      <c r="AI144">
        <v>0.88978259000000004</v>
      </c>
    </row>
    <row r="145" spans="1:35" x14ac:dyDescent="0.2">
      <c r="A145">
        <v>184</v>
      </c>
      <c r="B145" t="s">
        <v>309</v>
      </c>
      <c r="C145" t="s">
        <v>184</v>
      </c>
      <c r="D145" t="s">
        <v>200</v>
      </c>
      <c r="E145" s="11">
        <v>6.5899999999999996E-6</v>
      </c>
      <c r="F145" s="11">
        <v>2.0499999999999999E-6</v>
      </c>
      <c r="G145">
        <v>0.31075295600000002</v>
      </c>
      <c r="H145">
        <v>0.712731683</v>
      </c>
      <c r="I145" s="11">
        <v>8.6300000000000004E-6</v>
      </c>
      <c r="J145">
        <v>0.275906808</v>
      </c>
      <c r="K145">
        <v>6.9241499999999996E-3</v>
      </c>
      <c r="L145">
        <v>1.669289145</v>
      </c>
      <c r="M145">
        <v>8.2871650000000009E-3</v>
      </c>
      <c r="N145">
        <v>8.0365279999999994E-3</v>
      </c>
      <c r="O145">
        <v>2.4883399999999999E-3</v>
      </c>
      <c r="P145">
        <v>2.165431E-2</v>
      </c>
      <c r="Q145">
        <v>0.86289899699999995</v>
      </c>
      <c r="R145">
        <v>5.2207025920000003</v>
      </c>
      <c r="S145">
        <v>1.6222073E-2</v>
      </c>
      <c r="T145">
        <v>1.4324653999999999E-2</v>
      </c>
      <c r="U145">
        <v>0.124071684</v>
      </c>
      <c r="V145">
        <v>0.11886986099999999</v>
      </c>
      <c r="W145">
        <v>0.95807405199999995</v>
      </c>
      <c r="X145">
        <v>3.6025184659999998</v>
      </c>
      <c r="Y145">
        <v>4.3605246720000004</v>
      </c>
      <c r="Z145">
        <v>0.32097746900000002</v>
      </c>
      <c r="AA145">
        <v>2.1973801000000001E-2</v>
      </c>
      <c r="AB145">
        <v>0.61718158499999998</v>
      </c>
      <c r="AC145">
        <v>1.8792658E-2</v>
      </c>
      <c r="AD145">
        <v>0.85461544</v>
      </c>
      <c r="AE145">
        <v>0.72426983499999997</v>
      </c>
      <c r="AF145">
        <v>2.2555385220000002</v>
      </c>
      <c r="AG145">
        <v>0.37016046699999999</v>
      </c>
      <c r="AH145">
        <v>6.7757939999999999E-3</v>
      </c>
      <c r="AI145">
        <v>1.161465008</v>
      </c>
    </row>
    <row r="146" spans="1:35" x14ac:dyDescent="0.2">
      <c r="A146">
        <v>185</v>
      </c>
      <c r="B146" t="s">
        <v>310</v>
      </c>
      <c r="C146" t="s">
        <v>184</v>
      </c>
      <c r="D146" t="s">
        <v>148</v>
      </c>
      <c r="E146" s="11">
        <v>8.0900000000000005E-6</v>
      </c>
      <c r="F146" s="11">
        <v>2.5299999999999999E-6</v>
      </c>
      <c r="G146">
        <v>0.31290770200000001</v>
      </c>
      <c r="H146">
        <v>-9.8530179999999995E-2</v>
      </c>
      <c r="I146" s="11">
        <v>1.06E-5</v>
      </c>
      <c r="J146">
        <v>0.227148348</v>
      </c>
      <c r="K146">
        <v>7.2497239999999999E-3</v>
      </c>
      <c r="L146">
        <v>1.3773895359999999</v>
      </c>
      <c r="M146">
        <v>1.0501157000000001E-2</v>
      </c>
      <c r="N146">
        <v>8.424763E-3</v>
      </c>
      <c r="O146">
        <v>2.6053420000000001E-3</v>
      </c>
      <c r="P146">
        <v>2.2666769999999999E-2</v>
      </c>
      <c r="Q146">
        <v>0.71000364299999996</v>
      </c>
      <c r="R146">
        <v>4.3053554060000003</v>
      </c>
      <c r="S146">
        <v>1.525395E-2</v>
      </c>
      <c r="T146">
        <v>1.3901243000000001E-2</v>
      </c>
      <c r="U146">
        <v>0.116667168</v>
      </c>
      <c r="V146">
        <v>0.115356283</v>
      </c>
      <c r="W146">
        <v>0.98876389099999995</v>
      </c>
      <c r="X146">
        <v>4.6872237139999999</v>
      </c>
      <c r="Y146">
        <v>1.002679552</v>
      </c>
      <c r="Z146">
        <v>0.29435534600000002</v>
      </c>
      <c r="AA146">
        <v>6.5325649999999997E-3</v>
      </c>
      <c r="AB146">
        <v>-0.373708612</v>
      </c>
      <c r="AC146">
        <v>4.4890355E-2</v>
      </c>
      <c r="AD146">
        <v>0.86380860000000004</v>
      </c>
      <c r="AE146">
        <v>0.142290739</v>
      </c>
      <c r="AF146">
        <v>0.51509317799999998</v>
      </c>
      <c r="AG146">
        <v>1.028310219</v>
      </c>
      <c r="AH146">
        <v>2.0152550000000001E-3</v>
      </c>
      <c r="AI146">
        <v>0.310470262</v>
      </c>
    </row>
    <row r="147" spans="1:35" x14ac:dyDescent="0.2">
      <c r="A147">
        <v>186</v>
      </c>
      <c r="B147" t="s">
        <v>311</v>
      </c>
      <c r="C147" t="s">
        <v>184</v>
      </c>
      <c r="D147" t="s">
        <v>150</v>
      </c>
      <c r="E147" s="11">
        <v>1.2799999999999999E-5</v>
      </c>
      <c r="F147" s="11">
        <v>4.0500000000000002E-6</v>
      </c>
      <c r="G147">
        <v>0.31700007600000002</v>
      </c>
      <c r="H147">
        <v>-0.14392060300000001</v>
      </c>
      <c r="I147" s="11">
        <v>1.6799999999999998E-5</v>
      </c>
      <c r="J147">
        <v>0.46577452200000002</v>
      </c>
      <c r="K147">
        <v>1.4391536E-2</v>
      </c>
      <c r="L147">
        <v>2.8234302040000001</v>
      </c>
      <c r="M147">
        <v>1.0200429E-2</v>
      </c>
      <c r="N147">
        <v>1.6758650999999999E-2</v>
      </c>
      <c r="O147">
        <v>5.1719039999999997E-3</v>
      </c>
      <c r="P147">
        <v>4.3645829999999997E-2</v>
      </c>
      <c r="Q147">
        <v>1.4126702170000001</v>
      </c>
      <c r="R147">
        <v>8.5633129540000006</v>
      </c>
      <c r="S147">
        <v>2.8244111999999998E-2</v>
      </c>
      <c r="T147">
        <v>2.7250781000000002E-2</v>
      </c>
      <c r="U147">
        <v>0.216020144</v>
      </c>
      <c r="V147">
        <v>0.226134372</v>
      </c>
      <c r="W147">
        <v>1.0468207629999999</v>
      </c>
      <c r="X147">
        <v>3.8883497949999999</v>
      </c>
      <c r="Y147">
        <v>3.1349029000000002</v>
      </c>
      <c r="Z147">
        <v>0.30671599700000002</v>
      </c>
      <c r="AA147">
        <v>1.5981957000000001E-2</v>
      </c>
      <c r="AB147">
        <v>9.9356409000000007E-2</v>
      </c>
      <c r="AC147">
        <v>1.3652605999999999E-2</v>
      </c>
      <c r="AD147">
        <v>0.87327054100000001</v>
      </c>
      <c r="AE147">
        <v>0.52061289200000005</v>
      </c>
      <c r="AF147">
        <v>1.7193801909999999</v>
      </c>
      <c r="AG147">
        <v>0.28523365099999998</v>
      </c>
      <c r="AH147">
        <v>4.922521E-3</v>
      </c>
      <c r="AI147">
        <v>0.88552290499999997</v>
      </c>
    </row>
    <row r="148" spans="1:35" x14ac:dyDescent="0.2">
      <c r="A148">
        <v>187</v>
      </c>
      <c r="B148" t="s">
        <v>312</v>
      </c>
      <c r="C148" t="s">
        <v>184</v>
      </c>
      <c r="D148" t="s">
        <v>204</v>
      </c>
      <c r="E148" s="11">
        <v>3.98E-6</v>
      </c>
      <c r="F148" s="11">
        <v>1.24E-6</v>
      </c>
      <c r="G148">
        <v>0.31176747999999999</v>
      </c>
      <c r="H148">
        <v>-0.79364000099999998</v>
      </c>
      <c r="I148" s="11">
        <v>5.22E-6</v>
      </c>
      <c r="J148">
        <v>0.257563031</v>
      </c>
      <c r="K148">
        <v>4.2606249999999997E-3</v>
      </c>
      <c r="L148">
        <v>1.553899436</v>
      </c>
      <c r="M148">
        <v>5.4939100000000003E-3</v>
      </c>
      <c r="N148">
        <v>4.9238700000000003E-3</v>
      </c>
      <c r="O148">
        <v>1.5311459999999999E-3</v>
      </c>
      <c r="P148">
        <v>1.343105E-2</v>
      </c>
      <c r="Q148">
        <v>0.811839333</v>
      </c>
      <c r="R148">
        <v>4.8978980959999996</v>
      </c>
      <c r="S148">
        <v>8.1134510000000007E-3</v>
      </c>
      <c r="T148">
        <v>7.6904180000000001E-3</v>
      </c>
      <c r="U148">
        <v>6.2054310000000001E-2</v>
      </c>
      <c r="V148">
        <v>6.3817176000000003E-2</v>
      </c>
      <c r="W148">
        <v>1.028408438</v>
      </c>
      <c r="X148">
        <v>4.9564189570000003</v>
      </c>
      <c r="Y148">
        <v>1.1605173090000001</v>
      </c>
      <c r="Z148">
        <v>0.29229571700000001</v>
      </c>
      <c r="AA148">
        <v>4.825775E-3</v>
      </c>
      <c r="AB148">
        <v>-0.33897135699999997</v>
      </c>
      <c r="AC148">
        <v>4.1367779999999998E-3</v>
      </c>
      <c r="AD148">
        <v>0.83712897799999997</v>
      </c>
      <c r="AE148">
        <v>0.19327529900000001</v>
      </c>
      <c r="AF148">
        <v>0.72461942700000004</v>
      </c>
      <c r="AG148">
        <v>9.6329702000000003E-2</v>
      </c>
      <c r="AH148">
        <v>1.491537E-3</v>
      </c>
      <c r="AI148">
        <v>0.37205235800000003</v>
      </c>
    </row>
    <row r="149" spans="1:35" x14ac:dyDescent="0.2">
      <c r="A149">
        <v>188</v>
      </c>
      <c r="B149" t="s">
        <v>313</v>
      </c>
      <c r="C149" t="s">
        <v>184</v>
      </c>
      <c r="D149" t="s">
        <v>152</v>
      </c>
      <c r="E149" s="11">
        <v>4.5399999999999997E-6</v>
      </c>
      <c r="F149" s="11">
        <v>1.42E-6</v>
      </c>
      <c r="G149">
        <v>0.31191287699999998</v>
      </c>
      <c r="H149">
        <v>0.29266218100000002</v>
      </c>
      <c r="I149" s="11">
        <v>5.9599999999999997E-6</v>
      </c>
      <c r="J149">
        <v>0.291916852</v>
      </c>
      <c r="K149">
        <v>1.2269408000000001E-2</v>
      </c>
      <c r="L149">
        <v>1.776039929</v>
      </c>
      <c r="M149">
        <v>1.2795427999999999E-2</v>
      </c>
      <c r="N149">
        <v>1.4196613E-2</v>
      </c>
      <c r="O149">
        <v>4.4092719999999997E-3</v>
      </c>
      <c r="P149">
        <v>7.2939859999999995E-2</v>
      </c>
      <c r="Q149">
        <v>0.93987733500000004</v>
      </c>
      <c r="R149">
        <v>5.7851437280000004</v>
      </c>
      <c r="S149">
        <v>1.2138733000000001E-2</v>
      </c>
      <c r="T149">
        <v>1.1292435E-2</v>
      </c>
      <c r="U149">
        <v>9.2840971999999994E-2</v>
      </c>
      <c r="V149">
        <v>9.3707689999999996E-2</v>
      </c>
      <c r="W149">
        <v>1.009335512</v>
      </c>
      <c r="X149">
        <v>2.546555965</v>
      </c>
      <c r="Y149">
        <v>39.5063198</v>
      </c>
      <c r="Z149">
        <v>1.1941420519999999</v>
      </c>
      <c r="AA149">
        <v>7.3757007999999999E-2</v>
      </c>
      <c r="AB149">
        <v>0.955044157</v>
      </c>
      <c r="AC149">
        <v>2.9756613019999998</v>
      </c>
      <c r="AD149">
        <v>1.0630542700000001</v>
      </c>
      <c r="AE149">
        <v>4.8848748850000003</v>
      </c>
      <c r="AF149">
        <v>3.9391287579999998</v>
      </c>
      <c r="AG149">
        <v>14.68642434</v>
      </c>
      <c r="AH149">
        <v>2.2061535E-2</v>
      </c>
      <c r="AI149">
        <v>2.7012487250000001</v>
      </c>
    </row>
    <row r="150" spans="1:35" x14ac:dyDescent="0.2">
      <c r="A150">
        <v>189</v>
      </c>
      <c r="B150" t="s">
        <v>314</v>
      </c>
      <c r="C150" t="s">
        <v>184</v>
      </c>
      <c r="D150" t="s">
        <v>207</v>
      </c>
      <c r="E150" s="11">
        <v>8.1999999999999994E-6</v>
      </c>
      <c r="F150" s="11">
        <v>2.5799999999999999E-6</v>
      </c>
      <c r="G150">
        <v>0.31439108799999999</v>
      </c>
      <c r="H150">
        <v>-0.456590887</v>
      </c>
      <c r="I150" s="11">
        <v>1.08E-5</v>
      </c>
      <c r="J150">
        <v>0.34387276700000002</v>
      </c>
      <c r="K150">
        <v>9.6516280000000006E-3</v>
      </c>
      <c r="L150">
        <v>2.0825398609999999</v>
      </c>
      <c r="M150">
        <v>9.2739640000000009E-3</v>
      </c>
      <c r="N150">
        <v>1.1219181E-2</v>
      </c>
      <c r="O150">
        <v>3.4685179999999999E-3</v>
      </c>
      <c r="P150">
        <v>2.9854309999999998E-2</v>
      </c>
      <c r="Q150">
        <v>1.0637201169999999</v>
      </c>
      <c r="R150">
        <v>6.4420293239999999</v>
      </c>
      <c r="S150">
        <v>1.8800615999999999E-2</v>
      </c>
      <c r="T150">
        <v>1.8037421000000001E-2</v>
      </c>
      <c r="U150">
        <v>0.14379322</v>
      </c>
      <c r="V150">
        <v>0.14967940800000001</v>
      </c>
      <c r="W150">
        <v>1.040935087</v>
      </c>
      <c r="X150">
        <v>4.4996454799999999</v>
      </c>
      <c r="Y150">
        <v>1.7028213999999999</v>
      </c>
      <c r="Z150">
        <v>0.29590756299999998</v>
      </c>
      <c r="AA150">
        <v>8.0580549999999997E-3</v>
      </c>
      <c r="AB150">
        <v>-0.22299370900000001</v>
      </c>
      <c r="AC150">
        <v>6.893316E-3</v>
      </c>
      <c r="AD150">
        <v>0.85318533200000002</v>
      </c>
      <c r="AE150">
        <v>0.28309967000000003</v>
      </c>
      <c r="AF150">
        <v>1.009739189</v>
      </c>
      <c r="AG150">
        <v>0.15550515200000001</v>
      </c>
      <c r="AH150">
        <v>2.4854220000000002E-3</v>
      </c>
      <c r="AI150">
        <v>0.51946515100000001</v>
      </c>
    </row>
    <row r="151" spans="1:35" x14ac:dyDescent="0.2">
      <c r="A151">
        <v>190</v>
      </c>
      <c r="B151" t="s">
        <v>315</v>
      </c>
      <c r="C151" t="s">
        <v>184</v>
      </c>
      <c r="D151" t="s">
        <v>209</v>
      </c>
      <c r="E151" s="11">
        <v>8.2900000000000002E-6</v>
      </c>
      <c r="F151" s="11">
        <v>2.5900000000000002E-6</v>
      </c>
      <c r="G151">
        <v>0.31190964199999999</v>
      </c>
      <c r="H151">
        <v>-0.80124605699999996</v>
      </c>
      <c r="I151" s="11">
        <v>1.0900000000000001E-5</v>
      </c>
      <c r="J151">
        <v>0.414480183</v>
      </c>
      <c r="K151">
        <v>1.2703114999999999E-2</v>
      </c>
      <c r="L151">
        <v>2.5122873289999998</v>
      </c>
      <c r="M151">
        <v>9.7372840000000006E-3</v>
      </c>
      <c r="N151">
        <v>1.4728902E-2</v>
      </c>
      <c r="O151">
        <v>4.5651340000000002E-3</v>
      </c>
      <c r="P151">
        <v>3.9589579999999999E-2</v>
      </c>
      <c r="Q151">
        <v>1.2850158119999999</v>
      </c>
      <c r="R151">
        <v>7.7892740280000003</v>
      </c>
      <c r="S151">
        <v>2.2060712999999999E-2</v>
      </c>
      <c r="T151">
        <v>2.1595848000000001E-2</v>
      </c>
      <c r="U151">
        <v>0.168727501</v>
      </c>
      <c r="V151">
        <v>0.17920820600000001</v>
      </c>
      <c r="W151">
        <v>1.062116163</v>
      </c>
      <c r="X151">
        <v>4.3344465840000002</v>
      </c>
      <c r="Y151">
        <v>1.9425785259999999</v>
      </c>
      <c r="Z151">
        <v>0.304873956</v>
      </c>
      <c r="AA151">
        <v>9.6704289999999995E-3</v>
      </c>
      <c r="AB151">
        <v>-0.29327452900000001</v>
      </c>
      <c r="AC151">
        <v>8.2915009999999997E-3</v>
      </c>
      <c r="AD151">
        <v>0.85439993000000003</v>
      </c>
      <c r="AE151">
        <v>0.32270447000000002</v>
      </c>
      <c r="AF151">
        <v>1.1576922789999999</v>
      </c>
      <c r="AG151">
        <v>0.18916096399999999</v>
      </c>
      <c r="AH151">
        <v>2.9895450000000001E-3</v>
      </c>
      <c r="AI151">
        <v>0.59610125999999997</v>
      </c>
    </row>
    <row r="152" spans="1:35" x14ac:dyDescent="0.2">
      <c r="A152">
        <v>191</v>
      </c>
      <c r="B152" t="s">
        <v>316</v>
      </c>
      <c r="C152" t="s">
        <v>184</v>
      </c>
      <c r="D152" t="s">
        <v>154</v>
      </c>
      <c r="E152" s="11">
        <v>4.0300000000000004E-6</v>
      </c>
      <c r="F152" s="11">
        <v>1.26E-6</v>
      </c>
      <c r="G152">
        <v>0.31182521200000002</v>
      </c>
      <c r="H152">
        <v>-0.78855078300000003</v>
      </c>
      <c r="I152" s="11">
        <v>5.2800000000000003E-6</v>
      </c>
      <c r="J152">
        <v>0.25355666999999998</v>
      </c>
      <c r="K152">
        <v>4.1455499999999996E-3</v>
      </c>
      <c r="L152">
        <v>1.5296311220000001</v>
      </c>
      <c r="M152">
        <v>5.415535E-3</v>
      </c>
      <c r="N152">
        <v>4.7912989999999997E-3</v>
      </c>
      <c r="O152">
        <v>1.4897910000000001E-3</v>
      </c>
      <c r="P152">
        <v>1.307644E-2</v>
      </c>
      <c r="Q152">
        <v>0.79969518399999995</v>
      </c>
      <c r="R152">
        <v>4.8243239920000001</v>
      </c>
      <c r="S152">
        <v>7.9053109999999999E-3</v>
      </c>
      <c r="T152">
        <v>7.4902689999999999E-3</v>
      </c>
      <c r="U152">
        <v>6.0462385E-2</v>
      </c>
      <c r="V152">
        <v>6.2156281000000001E-2</v>
      </c>
      <c r="W152">
        <v>1.028015699</v>
      </c>
      <c r="X152">
        <v>5.0791646100000003</v>
      </c>
      <c r="Y152">
        <v>1.0802023510000001</v>
      </c>
      <c r="Z152">
        <v>0.293729827</v>
      </c>
      <c r="AA152">
        <v>4.2085070000000002E-3</v>
      </c>
      <c r="AB152">
        <v>-0.41605979799999998</v>
      </c>
      <c r="AC152">
        <v>3.6063549999999999E-3</v>
      </c>
      <c r="AD152">
        <v>0.83342662700000003</v>
      </c>
      <c r="AE152">
        <v>0.180045392</v>
      </c>
      <c r="AF152">
        <v>0.66670079599999998</v>
      </c>
      <c r="AG152">
        <v>8.4467945000000003E-2</v>
      </c>
      <c r="AH152">
        <v>1.3002910000000001E-3</v>
      </c>
      <c r="AI152">
        <v>0.342114853</v>
      </c>
    </row>
    <row r="153" spans="1:35" x14ac:dyDescent="0.2">
      <c r="A153">
        <v>192</v>
      </c>
      <c r="B153" t="s">
        <v>317</v>
      </c>
      <c r="C153" t="s">
        <v>184</v>
      </c>
      <c r="D153" t="s">
        <v>156</v>
      </c>
      <c r="E153" s="11">
        <v>1.0699999999999999E-5</v>
      </c>
      <c r="F153" s="11">
        <v>3.4000000000000001E-6</v>
      </c>
      <c r="G153">
        <v>0.3176735</v>
      </c>
      <c r="H153">
        <v>0.29165456200000001</v>
      </c>
      <c r="I153" s="11">
        <v>1.4100000000000001E-5</v>
      </c>
      <c r="J153">
        <v>0.336911929</v>
      </c>
      <c r="K153">
        <v>1.3746797E-2</v>
      </c>
      <c r="L153">
        <v>2.0489651649999998</v>
      </c>
      <c r="M153">
        <v>1.3401701E-2</v>
      </c>
      <c r="N153">
        <v>1.6000482999999999E-2</v>
      </c>
      <c r="O153">
        <v>4.9402029999999998E-3</v>
      </c>
      <c r="P153">
        <v>4.179211E-2</v>
      </c>
      <c r="Q153">
        <v>1.0243136610000001</v>
      </c>
      <c r="R153">
        <v>6.229466188</v>
      </c>
      <c r="S153">
        <v>2.7046331999999999E-2</v>
      </c>
      <c r="T153">
        <v>2.5905193E-2</v>
      </c>
      <c r="U153">
        <v>0.20685914</v>
      </c>
      <c r="V153">
        <v>0.21496831799999999</v>
      </c>
      <c r="W153">
        <v>1.0392014490000001</v>
      </c>
      <c r="X153">
        <v>3.6145804529999999</v>
      </c>
      <c r="Y153">
        <v>2.4262956</v>
      </c>
      <c r="Z153">
        <v>0.32465390599999999</v>
      </c>
      <c r="AA153">
        <v>2.1699178E-2</v>
      </c>
      <c r="AB153">
        <v>0.155517091</v>
      </c>
      <c r="AC153">
        <v>1.8540952999999999E-2</v>
      </c>
      <c r="AD153">
        <v>0.86947515799999997</v>
      </c>
      <c r="AE153">
        <v>0.39816768699999999</v>
      </c>
      <c r="AF153">
        <v>1.244089883</v>
      </c>
      <c r="AG153">
        <v>0.36657602</v>
      </c>
      <c r="AH153">
        <v>6.6850410000000001E-3</v>
      </c>
      <c r="AI153">
        <v>0.64841353400000001</v>
      </c>
    </row>
    <row r="154" spans="1:35" x14ac:dyDescent="0.2">
      <c r="A154">
        <v>193</v>
      </c>
      <c r="B154" t="s">
        <v>318</v>
      </c>
      <c r="C154" t="s">
        <v>184</v>
      </c>
      <c r="D154" t="s">
        <v>158</v>
      </c>
      <c r="E154" s="11">
        <v>5.48E-6</v>
      </c>
      <c r="F154" s="11">
        <v>1.7099999999999999E-6</v>
      </c>
      <c r="G154">
        <v>0.31206003100000002</v>
      </c>
      <c r="H154">
        <v>-0.31315858600000002</v>
      </c>
      <c r="I154" s="11">
        <v>7.1899999999999998E-6</v>
      </c>
      <c r="J154">
        <v>0.204929745</v>
      </c>
      <c r="K154">
        <v>3.9662940000000004E-3</v>
      </c>
      <c r="L154">
        <v>1.237511059</v>
      </c>
      <c r="M154">
        <v>6.3939970000000002E-3</v>
      </c>
      <c r="N154">
        <v>4.5955830000000003E-3</v>
      </c>
      <c r="O154">
        <v>1.4253720000000001E-3</v>
      </c>
      <c r="P154">
        <v>1.2553659999999999E-2</v>
      </c>
      <c r="Q154">
        <v>0.64842586800000002</v>
      </c>
      <c r="R154">
        <v>3.9156625300000001</v>
      </c>
      <c r="S154">
        <v>8.6547689999999997E-3</v>
      </c>
      <c r="T154">
        <v>7.7942970000000004E-3</v>
      </c>
      <c r="U154">
        <v>6.6194481999999999E-2</v>
      </c>
      <c r="V154">
        <v>6.4679190999999997E-2</v>
      </c>
      <c r="W154">
        <v>0.97710850000000005</v>
      </c>
      <c r="X154">
        <v>4.5923431880000001</v>
      </c>
      <c r="Y154">
        <v>1.1981258969999999</v>
      </c>
      <c r="Z154">
        <v>0.29936895099999999</v>
      </c>
      <c r="AA154">
        <v>7.2453960000000003E-3</v>
      </c>
      <c r="AB154">
        <v>-3.2872307000000003E-2</v>
      </c>
      <c r="AC154">
        <v>6.2147399999999998E-3</v>
      </c>
      <c r="AD154">
        <v>0.85386011500000003</v>
      </c>
      <c r="AE154">
        <v>0.19837670099999999</v>
      </c>
      <c r="AF154">
        <v>0.92874057099999996</v>
      </c>
      <c r="AG154">
        <v>0.243553243</v>
      </c>
      <c r="AH154">
        <v>2.2407579999999998E-3</v>
      </c>
      <c r="AI154">
        <v>0.48261235499999999</v>
      </c>
    </row>
    <row r="155" spans="1:35" x14ac:dyDescent="0.2">
      <c r="A155">
        <v>194</v>
      </c>
      <c r="B155" t="s">
        <v>319</v>
      </c>
      <c r="C155" t="s">
        <v>184</v>
      </c>
      <c r="D155" t="s">
        <v>214</v>
      </c>
      <c r="E155" s="11">
        <v>6.0700000000000003E-6</v>
      </c>
      <c r="F155" s="11">
        <v>1.9E-6</v>
      </c>
      <c r="G155">
        <v>0.31346138400000001</v>
      </c>
      <c r="H155">
        <v>-0.63657453399999997</v>
      </c>
      <c r="I155" s="11">
        <v>7.9699999999999999E-6</v>
      </c>
      <c r="J155">
        <v>0.29191387899999999</v>
      </c>
      <c r="K155">
        <v>9.2021729999999993E-3</v>
      </c>
      <c r="L155">
        <v>1.769887623</v>
      </c>
      <c r="M155">
        <v>7.3507090000000004E-3</v>
      </c>
      <c r="N155">
        <v>1.0670397E-2</v>
      </c>
      <c r="O155">
        <v>3.306996E-3</v>
      </c>
      <c r="P155">
        <v>5.2781519999999998E-2</v>
      </c>
      <c r="Q155">
        <v>1.0267690279999999</v>
      </c>
      <c r="R155">
        <v>6.2661772100000004</v>
      </c>
      <c r="S155">
        <v>9.6937640000000005E-3</v>
      </c>
      <c r="T155">
        <v>9.003657E-3</v>
      </c>
      <c r="U155">
        <v>7.4141058999999995E-2</v>
      </c>
      <c r="V155">
        <v>7.4714791000000003E-2</v>
      </c>
      <c r="W155">
        <v>1.007738384</v>
      </c>
      <c r="X155">
        <v>4.5273558400000002</v>
      </c>
      <c r="Y155">
        <v>1.199785584</v>
      </c>
      <c r="Z155">
        <v>0.29571830100000002</v>
      </c>
      <c r="AA155">
        <v>7.7942430000000002E-3</v>
      </c>
      <c r="AB155">
        <v>-0.47516993600000001</v>
      </c>
      <c r="AC155">
        <v>6.6830489999999999E-3</v>
      </c>
      <c r="AD155">
        <v>0.85577753400000001</v>
      </c>
      <c r="AE155">
        <v>0.19837670099999999</v>
      </c>
      <c r="AF155">
        <v>0.97705473300000001</v>
      </c>
      <c r="AG155">
        <v>0.25355159199999999</v>
      </c>
      <c r="AH155">
        <v>2.4096090000000001E-3</v>
      </c>
      <c r="AI155">
        <v>0.50759038099999998</v>
      </c>
    </row>
    <row r="156" spans="1:35" x14ac:dyDescent="0.2">
      <c r="A156">
        <v>195</v>
      </c>
      <c r="B156" t="s">
        <v>320</v>
      </c>
      <c r="C156" t="s">
        <v>184</v>
      </c>
      <c r="D156" t="s">
        <v>160</v>
      </c>
      <c r="E156" s="11">
        <v>1.17E-5</v>
      </c>
      <c r="F156" s="11">
        <v>3.7400000000000002E-6</v>
      </c>
      <c r="G156">
        <v>0.31908108699999999</v>
      </c>
      <c r="H156">
        <v>-0.26143514299999998</v>
      </c>
      <c r="I156" s="11">
        <v>1.5500000000000001E-5</v>
      </c>
      <c r="J156">
        <v>0.45985010300000001</v>
      </c>
      <c r="K156">
        <v>2.0966495000000002E-2</v>
      </c>
      <c r="L156">
        <v>2.801033608</v>
      </c>
      <c r="M156">
        <v>1.6002129E-2</v>
      </c>
      <c r="N156">
        <v>2.4410874999999999E-2</v>
      </c>
      <c r="O156">
        <v>7.5347549999999998E-3</v>
      </c>
      <c r="P156">
        <v>6.1914940000000002E-2</v>
      </c>
      <c r="Q156">
        <v>1.377323807</v>
      </c>
      <c r="R156">
        <v>8.3877727160000006</v>
      </c>
      <c r="S156">
        <v>3.8585556999999999E-2</v>
      </c>
      <c r="T156">
        <v>3.6317452E-2</v>
      </c>
      <c r="U156">
        <v>0.29511488200000002</v>
      </c>
      <c r="V156">
        <v>0.30137206300000002</v>
      </c>
      <c r="W156">
        <v>1.0212025259999999</v>
      </c>
      <c r="X156">
        <v>3.502646564</v>
      </c>
      <c r="Y156">
        <v>2.4540333419999998</v>
      </c>
      <c r="Z156">
        <v>0.316805958</v>
      </c>
      <c r="AA156">
        <v>2.4565591000000001E-2</v>
      </c>
      <c r="AB156">
        <v>-0.14139998000000001</v>
      </c>
      <c r="AC156">
        <v>2.1012444000000002E-2</v>
      </c>
      <c r="AD156">
        <v>0.87406494700000004</v>
      </c>
      <c r="AE156">
        <v>0.401368901</v>
      </c>
      <c r="AF156">
        <v>1.386896871</v>
      </c>
      <c r="AG156">
        <v>0.41026005500000001</v>
      </c>
      <c r="AH156">
        <v>7.5761500000000002E-3</v>
      </c>
      <c r="AI156">
        <v>0.72292076900000002</v>
      </c>
    </row>
    <row r="157" spans="1:35" x14ac:dyDescent="0.2">
      <c r="A157">
        <v>196</v>
      </c>
      <c r="B157" t="s">
        <v>321</v>
      </c>
      <c r="C157" t="s">
        <v>184</v>
      </c>
      <c r="D157" t="s">
        <v>162</v>
      </c>
      <c r="E157" s="11">
        <v>1.2799999999999999E-5</v>
      </c>
      <c r="F157" s="11">
        <v>4.0600000000000001E-6</v>
      </c>
      <c r="G157">
        <v>0.31780904100000001</v>
      </c>
      <c r="H157">
        <v>-0.14246094100000001</v>
      </c>
      <c r="I157" s="11">
        <v>1.6799999999999998E-5</v>
      </c>
      <c r="J157">
        <v>0.46631669599999997</v>
      </c>
      <c r="K157">
        <v>1.4436414999999999E-2</v>
      </c>
      <c r="L157">
        <v>2.8267730059999998</v>
      </c>
      <c r="M157">
        <v>1.0196068000000001E-2</v>
      </c>
      <c r="N157">
        <v>1.6810968999999999E-2</v>
      </c>
      <c r="O157">
        <v>5.1880320000000004E-3</v>
      </c>
      <c r="P157">
        <v>4.3773199999999998E-2</v>
      </c>
      <c r="Q157">
        <v>1.4140325170000001</v>
      </c>
      <c r="R157">
        <v>8.5717415020000001</v>
      </c>
      <c r="S157">
        <v>2.8354676999999998E-2</v>
      </c>
      <c r="T157">
        <v>2.7369681999999999E-2</v>
      </c>
      <c r="U157">
        <v>0.21686578100000001</v>
      </c>
      <c r="V157">
        <v>0.22712104299999999</v>
      </c>
      <c r="W157">
        <v>1.047288521</v>
      </c>
      <c r="X157">
        <v>3.8866469920000002</v>
      </c>
      <c r="Y157">
        <v>3.134233574</v>
      </c>
      <c r="Z157">
        <v>0.32228449399999998</v>
      </c>
      <c r="AA157">
        <v>1.6013006E-2</v>
      </c>
      <c r="AB157">
        <v>9.8097529000000003E-2</v>
      </c>
      <c r="AC157">
        <v>1.3678620000000001E-2</v>
      </c>
      <c r="AD157">
        <v>0.87452492000000004</v>
      </c>
      <c r="AE157">
        <v>0.52048444400000005</v>
      </c>
      <c r="AF157">
        <v>1.7185072400000001</v>
      </c>
      <c r="AG157">
        <v>0.28567858899999998</v>
      </c>
      <c r="AH157">
        <v>4.9319000000000003E-3</v>
      </c>
      <c r="AI157">
        <v>0.88510157700000003</v>
      </c>
    </row>
    <row r="158" spans="1:35" x14ac:dyDescent="0.2">
      <c r="A158">
        <v>197</v>
      </c>
      <c r="B158" t="s">
        <v>322</v>
      </c>
      <c r="C158" t="s">
        <v>184</v>
      </c>
      <c r="D158" t="s">
        <v>218</v>
      </c>
      <c r="E158" s="11">
        <v>1.0900000000000001E-5</v>
      </c>
      <c r="F158" s="11">
        <v>3.5300000000000001E-6</v>
      </c>
      <c r="G158">
        <v>0.32327607400000002</v>
      </c>
      <c r="H158">
        <v>-3.8627000000000002E-3</v>
      </c>
      <c r="I158" s="11">
        <v>1.45E-5</v>
      </c>
      <c r="J158">
        <v>0.74276202400000002</v>
      </c>
      <c r="K158">
        <v>2.4521946999999999E-2</v>
      </c>
      <c r="L158">
        <v>4.5056160360000002</v>
      </c>
      <c r="M158">
        <v>1.0871561E-2</v>
      </c>
      <c r="N158">
        <v>2.8561659999999999E-2</v>
      </c>
      <c r="O158">
        <v>8.8124829999999994E-3</v>
      </c>
      <c r="P158">
        <v>7.1098610000000007E-2</v>
      </c>
      <c r="Q158">
        <v>2.1533419249999999</v>
      </c>
      <c r="R158">
        <v>13.06224877</v>
      </c>
      <c r="S158">
        <v>5.0494879999999999E-2</v>
      </c>
      <c r="T158">
        <v>4.8549926E-2</v>
      </c>
      <c r="U158">
        <v>0.38620125199999999</v>
      </c>
      <c r="V158">
        <v>0.40288045500000003</v>
      </c>
      <c r="W158">
        <v>1.0431878530000001</v>
      </c>
      <c r="X158">
        <v>3.3780299540000001</v>
      </c>
      <c r="Y158">
        <v>5.7658296419999999</v>
      </c>
      <c r="Z158">
        <v>0.332441977</v>
      </c>
      <c r="AA158">
        <v>2.8264535E-2</v>
      </c>
      <c r="AB158">
        <v>0.21856587599999999</v>
      </c>
      <c r="AC158">
        <v>2.4153417999999999E-2</v>
      </c>
      <c r="AD158">
        <v>0.86360463099999996</v>
      </c>
      <c r="AE158">
        <v>0.95810258299999995</v>
      </c>
      <c r="AF158">
        <v>2.8170115139999998</v>
      </c>
      <c r="AG158">
        <v>0.44916705400000001</v>
      </c>
      <c r="AH158">
        <v>8.7086449999999992E-3</v>
      </c>
      <c r="AI158">
        <v>1.4499598119999999</v>
      </c>
    </row>
    <row r="159" spans="1:35" x14ac:dyDescent="0.2">
      <c r="A159">
        <v>198</v>
      </c>
      <c r="B159" t="s">
        <v>323</v>
      </c>
      <c r="C159" t="s">
        <v>184</v>
      </c>
      <c r="D159" t="s">
        <v>220</v>
      </c>
      <c r="E159" s="11">
        <v>1.2799999999999999E-5</v>
      </c>
      <c r="F159" s="11">
        <v>4.0400000000000003E-6</v>
      </c>
      <c r="G159">
        <v>0.31478075599999999</v>
      </c>
      <c r="H159">
        <v>-0.14354035100000001</v>
      </c>
      <c r="I159" s="11">
        <v>1.6900000000000001E-5</v>
      </c>
      <c r="J159">
        <v>0.46643591099999998</v>
      </c>
      <c r="K159">
        <v>1.4446283000000001E-2</v>
      </c>
      <c r="L159">
        <v>2.8275080309999998</v>
      </c>
      <c r="M159">
        <v>1.0202984999999999E-2</v>
      </c>
      <c r="N159">
        <v>1.6824441999999998E-2</v>
      </c>
      <c r="O159">
        <v>5.191579E-3</v>
      </c>
      <c r="P159">
        <v>4.3806270000000001E-2</v>
      </c>
      <c r="Q159">
        <v>1.414447435</v>
      </c>
      <c r="R159">
        <v>8.5742971580000003</v>
      </c>
      <c r="S159">
        <v>2.8343237E-2</v>
      </c>
      <c r="T159">
        <v>2.7351982E-2</v>
      </c>
      <c r="U159">
        <v>0.21677828699999999</v>
      </c>
      <c r="V159">
        <v>0.226974167</v>
      </c>
      <c r="W159">
        <v>1.0470336769999999</v>
      </c>
      <c r="X159">
        <v>3.887155575</v>
      </c>
      <c r="Y159">
        <v>3.1344358040000002</v>
      </c>
      <c r="Z159">
        <v>0.32189820600000002</v>
      </c>
      <c r="AA159">
        <v>1.6003931999999998E-2</v>
      </c>
      <c r="AB159">
        <v>9.7921218000000004E-2</v>
      </c>
      <c r="AC159">
        <v>1.3670844999999999E-2</v>
      </c>
      <c r="AD159">
        <v>0.87601186499999995</v>
      </c>
      <c r="AE159">
        <v>0.52052320299999999</v>
      </c>
      <c r="AF159">
        <v>1.718790523</v>
      </c>
      <c r="AG159">
        <v>0.28554195399999999</v>
      </c>
      <c r="AH159">
        <v>4.9290970000000003E-3</v>
      </c>
      <c r="AI159">
        <v>0.885238674</v>
      </c>
    </row>
    <row r="160" spans="1:35" x14ac:dyDescent="0.2">
      <c r="A160">
        <v>199</v>
      </c>
      <c r="B160" t="s">
        <v>324</v>
      </c>
      <c r="C160" t="s">
        <v>184</v>
      </c>
      <c r="D160" t="s">
        <v>164</v>
      </c>
      <c r="E160" s="11">
        <v>1.7799999999999999E-6</v>
      </c>
      <c r="F160" s="11">
        <v>1.6899999999999999E-6</v>
      </c>
      <c r="G160">
        <v>0.95100427300000001</v>
      </c>
      <c r="H160">
        <v>-0.419901886</v>
      </c>
      <c r="I160" s="11">
        <v>3.4699999999999998E-6</v>
      </c>
      <c r="J160">
        <v>6.7571508000000002E-2</v>
      </c>
      <c r="K160">
        <v>3.195363408</v>
      </c>
      <c r="L160">
        <v>6.7961558650000002</v>
      </c>
      <c r="M160">
        <v>0.93981276700000005</v>
      </c>
      <c r="N160">
        <v>1.3075846E-2</v>
      </c>
      <c r="O160">
        <v>4.0250980000000004E-3</v>
      </c>
      <c r="P160">
        <v>3.2539106200000001</v>
      </c>
      <c r="Q160">
        <v>6.8809593000000002E-2</v>
      </c>
      <c r="R160">
        <v>6.9206788020000003</v>
      </c>
      <c r="S160">
        <v>2.5796947000000001E-2</v>
      </c>
      <c r="T160">
        <v>2.5683305E-2</v>
      </c>
      <c r="U160">
        <v>0.197303432</v>
      </c>
      <c r="V160">
        <v>0.21312703199999999</v>
      </c>
      <c r="W160">
        <v>1.080199315</v>
      </c>
      <c r="X160">
        <v>3.2378194910000002</v>
      </c>
      <c r="Y160">
        <v>3.9031195790000002</v>
      </c>
      <c r="Z160">
        <v>0.34138611400000002</v>
      </c>
      <c r="AA160">
        <v>3.3052987999999998E-2</v>
      </c>
      <c r="AB160">
        <v>-0.74121128700000005</v>
      </c>
      <c r="AC160">
        <v>2.8252152999999999E-2</v>
      </c>
      <c r="AD160">
        <v>0.86831133699999996</v>
      </c>
      <c r="AE160">
        <v>0.64146318300000005</v>
      </c>
      <c r="AF160">
        <v>1.8052379970000001</v>
      </c>
      <c r="AG160">
        <v>0.50287678899999999</v>
      </c>
      <c r="AH160">
        <v>1.0186466E-2</v>
      </c>
      <c r="AI160">
        <v>0.93948930900000005</v>
      </c>
    </row>
    <row r="161" spans="1:35" x14ac:dyDescent="0.2">
      <c r="A161">
        <v>200</v>
      </c>
      <c r="B161" t="s">
        <v>325</v>
      </c>
      <c r="C161" t="s">
        <v>184</v>
      </c>
      <c r="D161" t="s">
        <v>166</v>
      </c>
      <c r="E161" s="11">
        <v>1.5500000000000001E-5</v>
      </c>
      <c r="F161" s="11">
        <v>5.0599999999999998E-6</v>
      </c>
      <c r="G161">
        <v>0.32577567699999999</v>
      </c>
      <c r="H161">
        <v>-5.3629000000000003E-2</v>
      </c>
      <c r="I161" s="11">
        <v>2.0599999999999999E-5</v>
      </c>
      <c r="J161">
        <v>0.52461543399999999</v>
      </c>
      <c r="K161">
        <v>2.4251923000000002E-2</v>
      </c>
      <c r="L161">
        <v>3.1961964479999998</v>
      </c>
      <c r="M161">
        <v>1.4879191999999999E-2</v>
      </c>
      <c r="N161">
        <v>2.8345324000000002E-2</v>
      </c>
      <c r="O161">
        <v>8.7154439999999993E-3</v>
      </c>
      <c r="P161">
        <v>7.0665240000000004E-2</v>
      </c>
      <c r="Q161">
        <v>1.54102904</v>
      </c>
      <c r="R161">
        <v>9.3875047180000006</v>
      </c>
      <c r="S161">
        <v>4.8489250999999997E-2</v>
      </c>
      <c r="T161">
        <v>4.5386669999999997E-2</v>
      </c>
      <c r="U161">
        <v>0.37086154799999999</v>
      </c>
      <c r="V161">
        <v>0.37663089700000002</v>
      </c>
      <c r="W161">
        <v>1.0155566110000001</v>
      </c>
      <c r="X161">
        <v>3.3743865749999999</v>
      </c>
      <c r="Y161">
        <v>3.1962022939999999</v>
      </c>
      <c r="Z161">
        <v>0.32577569200000001</v>
      </c>
      <c r="AA161">
        <v>2.8393306E-2</v>
      </c>
      <c r="AB161" s="11">
        <v>1.8300000000000001E-6</v>
      </c>
      <c r="AC161">
        <v>2.4251996000000001E-2</v>
      </c>
      <c r="AD161">
        <v>0.89005235599999999</v>
      </c>
      <c r="AE161">
        <v>0.52461638399999999</v>
      </c>
      <c r="AF161">
        <v>1.541552048</v>
      </c>
      <c r="AG161">
        <v>0.45071077700000001</v>
      </c>
      <c r="AH161">
        <v>8.744188E-3</v>
      </c>
      <c r="AI161">
        <v>0.80328096699999996</v>
      </c>
    </row>
    <row r="162" spans="1:35" x14ac:dyDescent="0.2">
      <c r="A162">
        <v>201</v>
      </c>
      <c r="B162" t="s">
        <v>326</v>
      </c>
      <c r="C162" t="s">
        <v>184</v>
      </c>
      <c r="D162" t="s">
        <v>226</v>
      </c>
      <c r="E162" s="11">
        <v>7.4599999999999997E-6</v>
      </c>
      <c r="F162" s="11">
        <v>2.3300000000000001E-6</v>
      </c>
      <c r="G162">
        <v>0.31217010499999998</v>
      </c>
      <c r="H162">
        <v>-0.54678043600000004</v>
      </c>
      <c r="I162" s="11">
        <v>9.7799999999999995E-6</v>
      </c>
      <c r="J162">
        <v>0.29707992700000002</v>
      </c>
      <c r="K162">
        <v>7.7440529999999999E-3</v>
      </c>
      <c r="L162">
        <v>1.79796767</v>
      </c>
      <c r="M162">
        <v>8.5991720000000004E-3</v>
      </c>
      <c r="N162">
        <v>8.99492E-3</v>
      </c>
      <c r="O162">
        <v>2.7829899999999999E-3</v>
      </c>
      <c r="P162">
        <v>2.4145690000000001E-2</v>
      </c>
      <c r="Q162">
        <v>0.92638979499999996</v>
      </c>
      <c r="R162">
        <v>5.6066301479999998</v>
      </c>
      <c r="S162">
        <v>1.5043773999999999E-2</v>
      </c>
      <c r="T162">
        <v>1.4418975000000001E-2</v>
      </c>
      <c r="U162">
        <v>0.115059672</v>
      </c>
      <c r="V162">
        <v>0.119652562</v>
      </c>
      <c r="W162">
        <v>1.0399174609999999</v>
      </c>
      <c r="X162">
        <v>4.8244084850000002</v>
      </c>
      <c r="Y162">
        <v>1.3020007170000001</v>
      </c>
      <c r="Z162">
        <v>0.30005078600000001</v>
      </c>
      <c r="AA162">
        <v>5.6005949999999999E-3</v>
      </c>
      <c r="AB162">
        <v>-0.38092679000000002</v>
      </c>
      <c r="AC162">
        <v>4.7946179999999996E-3</v>
      </c>
      <c r="AD162">
        <v>0.844452867</v>
      </c>
      <c r="AE162">
        <v>0.216746516</v>
      </c>
      <c r="AF162">
        <v>0.79204697400000001</v>
      </c>
      <c r="AG162">
        <v>0.110814014</v>
      </c>
      <c r="AH162">
        <v>1.728725E-3</v>
      </c>
      <c r="AI162">
        <v>0.40693727200000002</v>
      </c>
    </row>
    <row r="163" spans="1:35" x14ac:dyDescent="0.2">
      <c r="A163">
        <v>202</v>
      </c>
      <c r="B163" t="s">
        <v>327</v>
      </c>
      <c r="C163" t="s">
        <v>184</v>
      </c>
      <c r="D163" t="s">
        <v>168</v>
      </c>
      <c r="E163" s="11">
        <v>4.1300000000000003E-6</v>
      </c>
      <c r="F163" s="11">
        <v>1.3E-6</v>
      </c>
      <c r="G163">
        <v>0.31451788899999999</v>
      </c>
      <c r="H163">
        <v>-0.53603321800000003</v>
      </c>
      <c r="I163" s="11">
        <v>5.4299999999999997E-6</v>
      </c>
      <c r="J163">
        <v>0.29192963799999999</v>
      </c>
      <c r="K163">
        <v>8.0965180000000005E-3</v>
      </c>
      <c r="L163">
        <v>1.767770863</v>
      </c>
      <c r="M163">
        <v>8.6691509999999999E-3</v>
      </c>
      <c r="N163">
        <v>9.3578410000000004E-3</v>
      </c>
      <c r="O163">
        <v>2.909656E-3</v>
      </c>
      <c r="P163">
        <v>4.9349469999999999E-2</v>
      </c>
      <c r="Q163">
        <v>0.93887225100000005</v>
      </c>
      <c r="R163">
        <v>5.7319324519999997</v>
      </c>
      <c r="S163">
        <v>8.2825950000000002E-3</v>
      </c>
      <c r="T163">
        <v>7.2508140000000004E-3</v>
      </c>
      <c r="U163">
        <v>6.3347975000000001E-2</v>
      </c>
      <c r="V163">
        <v>6.0169223000000001E-2</v>
      </c>
      <c r="W163">
        <v>0.94982078000000003</v>
      </c>
      <c r="X163">
        <v>4.3235613290000003</v>
      </c>
      <c r="Y163">
        <v>1.8906766770000001</v>
      </c>
      <c r="Z163">
        <v>0.29095610799999999</v>
      </c>
      <c r="AA163">
        <v>9.794835E-3</v>
      </c>
      <c r="AB163">
        <v>6.5006256999999998E-2</v>
      </c>
      <c r="AC163">
        <v>8.3930150000000002E-3</v>
      </c>
      <c r="AD163">
        <v>0.85873696799999999</v>
      </c>
      <c r="AE163">
        <v>0.31388933499999999</v>
      </c>
      <c r="AF163">
        <v>1.170832578</v>
      </c>
      <c r="AG163">
        <v>0.28070657799999998</v>
      </c>
      <c r="AH163">
        <v>3.0261469999999999E-3</v>
      </c>
      <c r="AI163">
        <v>0.60715150900000003</v>
      </c>
    </row>
    <row r="164" spans="1:35" x14ac:dyDescent="0.2">
      <c r="A164">
        <v>203</v>
      </c>
      <c r="B164" t="s">
        <v>328</v>
      </c>
      <c r="C164" t="s">
        <v>186</v>
      </c>
      <c r="D164" t="s">
        <v>129</v>
      </c>
      <c r="E164" s="11">
        <v>7.7000000000000008E-6</v>
      </c>
      <c r="F164" s="11">
        <v>2.3800000000000001E-6</v>
      </c>
      <c r="G164">
        <v>0.308716571</v>
      </c>
      <c r="H164">
        <v>-0.69440816000000005</v>
      </c>
      <c r="I164" s="11">
        <v>1.01E-5</v>
      </c>
      <c r="J164">
        <v>0.623636364</v>
      </c>
      <c r="K164">
        <v>1.2472727269999999</v>
      </c>
      <c r="L164">
        <v>6.2363636360000001</v>
      </c>
      <c r="M164">
        <v>0.39976313699999999</v>
      </c>
      <c r="N164">
        <v>3.5128608999999998E-2</v>
      </c>
      <c r="O164">
        <v>1.0871924E-2</v>
      </c>
      <c r="P164">
        <v>1.59947332</v>
      </c>
      <c r="Q164">
        <v>2.3175705880000002</v>
      </c>
      <c r="R164">
        <v>17.10437018</v>
      </c>
      <c r="S164">
        <v>2.9340941999999998E-2</v>
      </c>
      <c r="T164">
        <v>2.6720877000000001E-2</v>
      </c>
      <c r="U164">
        <v>0.22440906299999999</v>
      </c>
      <c r="V164">
        <v>0.221737084</v>
      </c>
      <c r="W164">
        <v>0.98809326600000003</v>
      </c>
      <c r="X164">
        <v>3.9447607809999998</v>
      </c>
      <c r="Y164">
        <v>3.3186981389999999</v>
      </c>
      <c r="Z164">
        <v>0.29223558599999999</v>
      </c>
      <c r="AA164">
        <v>1.4378775E-2</v>
      </c>
      <c r="AB164">
        <v>-0.87915965100000004</v>
      </c>
      <c r="AC164">
        <v>1.9883832299999999</v>
      </c>
      <c r="AD164">
        <v>0.86339480599999996</v>
      </c>
      <c r="AE164">
        <v>0.31356716299999998</v>
      </c>
      <c r="AF164">
        <v>1.351309809</v>
      </c>
      <c r="AG164">
        <v>22.504720089999999</v>
      </c>
      <c r="AH164">
        <v>4.4576820000000001E-3</v>
      </c>
      <c r="AI164">
        <v>0.94148858999999996</v>
      </c>
    </row>
    <row r="165" spans="1:35" x14ac:dyDescent="0.2">
      <c r="A165">
        <v>204</v>
      </c>
      <c r="B165" t="s">
        <v>329</v>
      </c>
      <c r="C165" t="s">
        <v>186</v>
      </c>
      <c r="D165" t="s">
        <v>130</v>
      </c>
      <c r="E165" s="11">
        <v>7.7200000000000006E-6</v>
      </c>
      <c r="F165" s="11">
        <v>2.4200000000000001E-6</v>
      </c>
      <c r="G165">
        <v>0.31307853600000002</v>
      </c>
      <c r="H165">
        <v>8.8484752999999999E-2</v>
      </c>
      <c r="I165" s="11">
        <v>1.01E-5</v>
      </c>
      <c r="J165">
        <v>0.36491564300000001</v>
      </c>
      <c r="K165">
        <v>3.3441894E-2</v>
      </c>
      <c r="L165">
        <v>2.256377649</v>
      </c>
      <c r="M165">
        <v>2.9580741000000001E-2</v>
      </c>
      <c r="N165">
        <v>6.8998760000000001E-3</v>
      </c>
      <c r="O165">
        <v>2.134595E-3</v>
      </c>
      <c r="P165">
        <v>0.10515141</v>
      </c>
      <c r="Q165">
        <v>1.1474452820000001</v>
      </c>
      <c r="R165">
        <v>7.094974508</v>
      </c>
      <c r="S165">
        <v>1.1585405999999999E-2</v>
      </c>
      <c r="T165">
        <v>1.1104836999999999E-2</v>
      </c>
      <c r="U165">
        <v>8.8608952000000005E-2</v>
      </c>
      <c r="V165">
        <v>9.2150949999999995E-2</v>
      </c>
      <c r="W165">
        <v>1.039973365</v>
      </c>
      <c r="X165">
        <v>4.1265401190000004</v>
      </c>
      <c r="Y165">
        <v>2.4842317</v>
      </c>
      <c r="Z165">
        <v>0.30187858699999998</v>
      </c>
      <c r="AA165">
        <v>1.1902859999999999E-2</v>
      </c>
      <c r="AB165">
        <v>9.1720128999999997E-2</v>
      </c>
      <c r="AC165">
        <v>5.7479071E-2</v>
      </c>
      <c r="AD165">
        <v>0.86999810099999997</v>
      </c>
      <c r="AE165">
        <v>0.38516139900000002</v>
      </c>
      <c r="AF165">
        <v>1.352587915</v>
      </c>
      <c r="AG165">
        <v>1.2307479079999999</v>
      </c>
      <c r="AH165">
        <v>3.6809759999999999E-3</v>
      </c>
      <c r="AI165">
        <v>0.743618271</v>
      </c>
    </row>
    <row r="166" spans="1:35" x14ac:dyDescent="0.2">
      <c r="A166">
        <v>205</v>
      </c>
      <c r="B166" t="s">
        <v>330</v>
      </c>
      <c r="C166" t="s">
        <v>186</v>
      </c>
      <c r="D166" t="s">
        <v>132</v>
      </c>
      <c r="E166" s="11">
        <v>1.4699999999999999E-6</v>
      </c>
      <c r="F166" s="11">
        <v>4.5999999999999999E-7</v>
      </c>
      <c r="G166">
        <v>0.31389067300000001</v>
      </c>
      <c r="H166">
        <v>-0.23321276699999999</v>
      </c>
      <c r="I166" s="11">
        <v>1.9300000000000002E-6</v>
      </c>
      <c r="J166">
        <v>0.301481359</v>
      </c>
      <c r="K166">
        <v>0.132585653</v>
      </c>
      <c r="L166">
        <v>2.0740594579999998</v>
      </c>
      <c r="M166">
        <v>0.51637614600000004</v>
      </c>
      <c r="N166">
        <v>2.4730440000000002E-3</v>
      </c>
      <c r="O166">
        <v>7.8460699999999999E-4</v>
      </c>
      <c r="P166">
        <v>0.80300521999999996</v>
      </c>
      <c r="Q166">
        <v>0.945344301</v>
      </c>
      <c r="R166">
        <v>7.278076252</v>
      </c>
      <c r="S166">
        <v>2.473238E-3</v>
      </c>
      <c r="T166">
        <v>2.1864599999999999E-3</v>
      </c>
      <c r="U166">
        <v>1.8916128000000001E-2</v>
      </c>
      <c r="V166">
        <v>1.8143835000000001E-2</v>
      </c>
      <c r="W166">
        <v>0.95917277599999995</v>
      </c>
      <c r="X166">
        <v>4.8959155970000001</v>
      </c>
      <c r="Y166">
        <v>1.2194785400000001</v>
      </c>
      <c r="Z166">
        <v>0.28740215000000002</v>
      </c>
      <c r="AA166">
        <v>5.2843380000000004E-3</v>
      </c>
      <c r="AB166">
        <v>-0.70077569200000001</v>
      </c>
      <c r="AC166">
        <v>2.5562083999999999E-2</v>
      </c>
      <c r="AD166">
        <v>0.86700127999999999</v>
      </c>
      <c r="AE166">
        <v>0.18934994499999999</v>
      </c>
      <c r="AF166">
        <v>0.72489703800000005</v>
      </c>
      <c r="AG166">
        <v>0.59655119000000001</v>
      </c>
      <c r="AH166">
        <v>1.6370029999999999E-3</v>
      </c>
      <c r="AI166">
        <v>0.39794140700000002</v>
      </c>
    </row>
    <row r="167" spans="1:35" x14ac:dyDescent="0.2">
      <c r="A167">
        <v>206</v>
      </c>
      <c r="B167" t="s">
        <v>331</v>
      </c>
      <c r="C167" t="s">
        <v>186</v>
      </c>
      <c r="D167" t="s">
        <v>134</v>
      </c>
      <c r="E167" s="11">
        <v>1.13E-5</v>
      </c>
      <c r="F167" s="11">
        <v>3.8E-6</v>
      </c>
      <c r="G167">
        <v>0.33577738800000001</v>
      </c>
      <c r="H167">
        <v>-0.31529065499999998</v>
      </c>
      <c r="I167" s="11">
        <v>1.5099999999999999E-5</v>
      </c>
      <c r="J167">
        <v>0.34754457900000002</v>
      </c>
      <c r="K167">
        <v>6.2136037999999998E-2</v>
      </c>
      <c r="L167">
        <v>2.209539549</v>
      </c>
      <c r="M167">
        <v>5.9134830999999999E-2</v>
      </c>
      <c r="N167">
        <v>1.6745797E-2</v>
      </c>
      <c r="O167">
        <v>3.9661410000000003E-3</v>
      </c>
      <c r="P167">
        <v>0.18220138</v>
      </c>
      <c r="Q167">
        <v>1.0273218099999999</v>
      </c>
      <c r="R167">
        <v>6.5283336199999997</v>
      </c>
      <c r="S167">
        <v>2.1825226E-2</v>
      </c>
      <c r="T167">
        <v>1.9447890999999998E-2</v>
      </c>
      <c r="U167">
        <v>0.16692642399999999</v>
      </c>
      <c r="V167">
        <v>0.16138387000000001</v>
      </c>
      <c r="W167">
        <v>0.96679642499999996</v>
      </c>
      <c r="X167">
        <v>3.8423248889999999</v>
      </c>
      <c r="Y167">
        <v>2.3856231289999998</v>
      </c>
      <c r="Z167">
        <v>0.39266736600000002</v>
      </c>
      <c r="AA167">
        <v>1.6062287000000001E-2</v>
      </c>
      <c r="AB167">
        <v>7.3810309000000004E-2</v>
      </c>
      <c r="AC167">
        <v>7.7537219000000004E-2</v>
      </c>
      <c r="AD167">
        <v>0.89244024</v>
      </c>
      <c r="AE167">
        <v>0.36752424099999997</v>
      </c>
      <c r="AF167">
        <v>0.97928162200000002</v>
      </c>
      <c r="AG167">
        <v>1.2598467259999999</v>
      </c>
      <c r="AH167">
        <v>4.9655050000000003E-3</v>
      </c>
      <c r="AI167">
        <v>0.54182602700000004</v>
      </c>
    </row>
    <row r="168" spans="1:35" x14ac:dyDescent="0.2">
      <c r="A168">
        <v>207</v>
      </c>
      <c r="B168" t="s">
        <v>332</v>
      </c>
      <c r="C168" t="s">
        <v>186</v>
      </c>
      <c r="D168" t="s">
        <v>136</v>
      </c>
      <c r="E168" s="11">
        <v>1.9599999999999999E-6</v>
      </c>
      <c r="F168" s="11">
        <v>2.0999999999999998E-6</v>
      </c>
      <c r="G168">
        <v>1.0700051070000001</v>
      </c>
      <c r="H168">
        <v>-1.7347132439999999</v>
      </c>
      <c r="I168" s="11">
        <v>4.0600000000000001E-6</v>
      </c>
      <c r="J168">
        <v>0</v>
      </c>
      <c r="K168">
        <v>3.83625434</v>
      </c>
      <c r="L168">
        <v>7.67250868</v>
      </c>
      <c r="M168">
        <v>1</v>
      </c>
      <c r="N168">
        <v>1.3201945E-2</v>
      </c>
      <c r="O168">
        <v>4.0633470000000001E-3</v>
      </c>
      <c r="P168">
        <v>3.4883953299999999</v>
      </c>
      <c r="Q168">
        <v>0.58382979999999995</v>
      </c>
      <c r="R168">
        <v>10.479769449999999</v>
      </c>
      <c r="S168">
        <v>2.6038182999999999E-2</v>
      </c>
      <c r="T168">
        <v>2.6254207000000002E-2</v>
      </c>
      <c r="U168">
        <v>0.19914848800000001</v>
      </c>
      <c r="V168">
        <v>0.21786453</v>
      </c>
      <c r="W168">
        <v>1.0939803370000001</v>
      </c>
      <c r="X168">
        <v>3.9906709949999999</v>
      </c>
      <c r="Y168">
        <v>1.6480894829999999</v>
      </c>
      <c r="Z168">
        <v>0.31115235099999999</v>
      </c>
      <c r="AA168">
        <v>1.3731932000000001E-2</v>
      </c>
      <c r="AB168">
        <v>-1</v>
      </c>
      <c r="AC168">
        <v>6.6321827999999999E-2</v>
      </c>
      <c r="AD168">
        <v>0.86999891500000004</v>
      </c>
      <c r="AE168">
        <v>0.25256024999999999</v>
      </c>
      <c r="AF168">
        <v>0.86595838400000003</v>
      </c>
      <c r="AG168">
        <v>1.3863845349999999</v>
      </c>
      <c r="AH168">
        <v>4.2472689999999997E-3</v>
      </c>
      <c r="AI168">
        <v>0.481667289</v>
      </c>
    </row>
    <row r="169" spans="1:35" x14ac:dyDescent="0.2">
      <c r="A169">
        <v>208</v>
      </c>
      <c r="B169" t="s">
        <v>333</v>
      </c>
      <c r="C169" t="s">
        <v>186</v>
      </c>
      <c r="D169" t="s">
        <v>138</v>
      </c>
      <c r="E169" s="11">
        <v>1.24E-5</v>
      </c>
      <c r="F169" s="11">
        <v>4.1099999999999996E-6</v>
      </c>
      <c r="G169">
        <v>0.33147053599999998</v>
      </c>
      <c r="H169">
        <v>-0.87721483200000006</v>
      </c>
      <c r="I169" s="11">
        <v>1.6500000000000001E-5</v>
      </c>
      <c r="J169">
        <v>2.7984233280000002</v>
      </c>
      <c r="K169">
        <v>0.52745651199999999</v>
      </c>
      <c r="L169">
        <v>17.845452989999998</v>
      </c>
      <c r="M169">
        <v>5.3840498000000001E-2</v>
      </c>
      <c r="N169">
        <v>0.107856522</v>
      </c>
      <c r="O169">
        <v>3.3667528000000002E-2</v>
      </c>
      <c r="P169">
        <v>1.29343611</v>
      </c>
      <c r="Q169">
        <v>6.883559344</v>
      </c>
      <c r="R169">
        <v>43.888228269999999</v>
      </c>
      <c r="S169">
        <v>0.11913718199999999</v>
      </c>
      <c r="T169">
        <v>0.110598341</v>
      </c>
      <c r="U169">
        <v>0.91119988699999999</v>
      </c>
      <c r="V169">
        <v>0.91777503000000005</v>
      </c>
      <c r="W169">
        <v>1.0072159169999999</v>
      </c>
      <c r="X169">
        <v>2.8791355040000002</v>
      </c>
      <c r="Y169">
        <v>15.26827014</v>
      </c>
      <c r="Z169">
        <v>0.36341720100000002</v>
      </c>
      <c r="AA169">
        <v>4.2331955999999997E-2</v>
      </c>
      <c r="AB169">
        <v>-0.168793375</v>
      </c>
      <c r="AC169">
        <v>0.21383287300000001</v>
      </c>
      <c r="AD169">
        <v>0.89717659100000002</v>
      </c>
      <c r="AE169">
        <v>2.3818897020000001</v>
      </c>
      <c r="AF169">
        <v>4.3297712600000002</v>
      </c>
      <c r="AG169">
        <v>2.9461359370000002</v>
      </c>
      <c r="AH169">
        <v>1.3693917999999999E-2</v>
      </c>
      <c r="AI169">
        <v>2.3711236370000002</v>
      </c>
    </row>
    <row r="170" spans="1:35" x14ac:dyDescent="0.2">
      <c r="A170">
        <v>209</v>
      </c>
      <c r="B170" t="s">
        <v>334</v>
      </c>
      <c r="C170" t="s">
        <v>186</v>
      </c>
      <c r="D170" t="s">
        <v>182</v>
      </c>
      <c r="E170" s="11">
        <v>3.3299999999999999E-6</v>
      </c>
      <c r="F170" s="11">
        <v>1.2899999999999999E-6</v>
      </c>
      <c r="G170">
        <v>0.38670410799999999</v>
      </c>
      <c r="H170">
        <v>-1.27434947</v>
      </c>
      <c r="I170" s="11">
        <v>4.6199999999999998E-6</v>
      </c>
      <c r="J170">
        <v>2.7365806309999998</v>
      </c>
      <c r="K170">
        <v>0</v>
      </c>
      <c r="L170">
        <v>16.41948378</v>
      </c>
      <c r="M170">
        <v>0</v>
      </c>
      <c r="N170">
        <v>3.9109030000000003E-2</v>
      </c>
      <c r="O170">
        <v>1.2088049999999999E-2</v>
      </c>
      <c r="P170">
        <v>0</v>
      </c>
      <c r="Q170">
        <v>6.5756586080000003</v>
      </c>
      <c r="R170">
        <v>39.45395165</v>
      </c>
      <c r="S170">
        <v>7.4418309000000002E-2</v>
      </c>
      <c r="T170">
        <v>6.6231544000000003E-2</v>
      </c>
      <c r="U170">
        <v>0.56917541500000002</v>
      </c>
      <c r="V170">
        <v>0.54960731299999999</v>
      </c>
      <c r="W170">
        <v>0.96562026099999998</v>
      </c>
      <c r="X170">
        <v>2.70336511</v>
      </c>
      <c r="Y170">
        <v>33.388018889999998</v>
      </c>
      <c r="Z170">
        <v>0.52680884699999997</v>
      </c>
      <c r="AA170">
        <v>5.2941518E-2</v>
      </c>
      <c r="AB170">
        <v>0.508222281</v>
      </c>
      <c r="AC170">
        <v>15.9418431</v>
      </c>
      <c r="AD170">
        <v>0.95181485099999996</v>
      </c>
      <c r="AE170">
        <v>3.5817633170000001</v>
      </c>
      <c r="AF170">
        <v>6.0560957049999997</v>
      </c>
      <c r="AG170">
        <v>119.92634700000001</v>
      </c>
      <c r="AH170">
        <v>1.6478791E-2</v>
      </c>
      <c r="AI170">
        <v>4.3973944820000002</v>
      </c>
    </row>
    <row r="171" spans="1:35" x14ac:dyDescent="0.2">
      <c r="A171">
        <v>210</v>
      </c>
      <c r="B171" t="s">
        <v>335</v>
      </c>
      <c r="C171" t="s">
        <v>186</v>
      </c>
      <c r="D171" t="s">
        <v>184</v>
      </c>
      <c r="E171" s="11">
        <v>3.32E-6</v>
      </c>
      <c r="F171" s="11">
        <v>1.0300000000000001E-6</v>
      </c>
      <c r="G171">
        <v>0.311005853</v>
      </c>
      <c r="H171">
        <v>-0.35234555699999998</v>
      </c>
      <c r="I171" s="11">
        <v>4.3599999999999998E-6</v>
      </c>
      <c r="J171">
        <v>0.30083445800000003</v>
      </c>
      <c r="K171">
        <v>1.8747781000000002E-2</v>
      </c>
      <c r="L171">
        <v>1.8425023089999999</v>
      </c>
      <c r="M171">
        <v>2.0365254999999999E-2</v>
      </c>
      <c r="N171">
        <v>3.8387159999999998E-3</v>
      </c>
      <c r="O171">
        <v>1.1966699999999999E-3</v>
      </c>
      <c r="P171">
        <v>5.9208209999999997E-2</v>
      </c>
      <c r="Q171">
        <v>0.950247544</v>
      </c>
      <c r="R171">
        <v>5.8199016859999997</v>
      </c>
      <c r="S171">
        <v>6.2996789999999999E-3</v>
      </c>
      <c r="T171">
        <v>5.9447730000000004E-3</v>
      </c>
      <c r="U171">
        <v>4.8181991E-2</v>
      </c>
      <c r="V171">
        <v>4.9331341000000001E-2</v>
      </c>
      <c r="W171">
        <v>1.023854348</v>
      </c>
      <c r="X171">
        <v>4.5030662860000001</v>
      </c>
      <c r="Y171">
        <v>1.700867943</v>
      </c>
      <c r="Z171">
        <v>0.295717699</v>
      </c>
      <c r="AA171">
        <v>8.0228279999999992E-3</v>
      </c>
      <c r="AB171">
        <v>-8.3271817999999997E-2</v>
      </c>
      <c r="AC171">
        <v>3.8662160000000001E-2</v>
      </c>
      <c r="AD171">
        <v>0.85558713799999997</v>
      </c>
      <c r="AE171">
        <v>0.26377948299999998</v>
      </c>
      <c r="AF171">
        <v>0.98556076100000001</v>
      </c>
      <c r="AG171">
        <v>0.87364156299999995</v>
      </c>
      <c r="AH171">
        <v>2.4759360000000002E-3</v>
      </c>
      <c r="AI171">
        <v>0.54162013600000003</v>
      </c>
    </row>
    <row r="172" spans="1:35" x14ac:dyDescent="0.2">
      <c r="A172">
        <v>211</v>
      </c>
      <c r="B172" t="s">
        <v>336</v>
      </c>
      <c r="C172" t="s">
        <v>186</v>
      </c>
      <c r="D172" t="s">
        <v>188</v>
      </c>
      <c r="E172" s="11">
        <v>7.7800000000000001E-7</v>
      </c>
      <c r="F172" s="11">
        <v>2.4699999999999998E-7</v>
      </c>
      <c r="G172">
        <v>0.31750194399999998</v>
      </c>
      <c r="H172">
        <v>0.116899638</v>
      </c>
      <c r="I172" s="11">
        <v>1.02E-6</v>
      </c>
      <c r="J172">
        <v>0.29459332900000001</v>
      </c>
      <c r="K172">
        <v>9.9083611000000002E-2</v>
      </c>
      <c r="L172">
        <v>1.9657271949999999</v>
      </c>
      <c r="M172">
        <v>0.28774865900000002</v>
      </c>
      <c r="N172">
        <v>1.040678E-3</v>
      </c>
      <c r="O172">
        <v>3.3959099999999998E-4</v>
      </c>
      <c r="P172">
        <v>0.58422642000000002</v>
      </c>
      <c r="Q172">
        <v>0.90109428300000005</v>
      </c>
      <c r="R172">
        <v>6.5750185459999999</v>
      </c>
      <c r="S172">
        <v>1.0809190000000001E-3</v>
      </c>
      <c r="T172">
        <v>8.9700999999999995E-4</v>
      </c>
      <c r="U172">
        <v>8.2672209999999999E-3</v>
      </c>
      <c r="V172">
        <v>7.4436349999999997E-3</v>
      </c>
      <c r="W172">
        <v>0.90037934100000006</v>
      </c>
      <c r="X172">
        <v>2.703797378</v>
      </c>
      <c r="Y172">
        <v>41.416488909999998</v>
      </c>
      <c r="Z172">
        <v>0.43382418299999997</v>
      </c>
      <c r="AA172">
        <v>4.9970066E-2</v>
      </c>
      <c r="AB172">
        <v>0.95253756999999994</v>
      </c>
      <c r="AC172">
        <v>15.941843779999999</v>
      </c>
      <c r="AD172">
        <v>0.93232378299999996</v>
      </c>
      <c r="AE172">
        <v>4.846046436</v>
      </c>
      <c r="AF172">
        <v>5.7348608790000002</v>
      </c>
      <c r="AG172">
        <v>123.6306008</v>
      </c>
      <c r="AH172">
        <v>1.6471290999999999E-2</v>
      </c>
      <c r="AI172">
        <v>4.2580898879999998</v>
      </c>
    </row>
    <row r="173" spans="1:35" x14ac:dyDescent="0.2">
      <c r="A173">
        <v>212</v>
      </c>
      <c r="B173" t="s">
        <v>337</v>
      </c>
      <c r="C173" t="s">
        <v>186</v>
      </c>
      <c r="D173" t="s">
        <v>140</v>
      </c>
      <c r="E173" s="11">
        <v>8.6300000000000004E-6</v>
      </c>
      <c r="F173" s="11">
        <v>2.7599999999999998E-6</v>
      </c>
      <c r="G173">
        <v>0.31979405</v>
      </c>
      <c r="H173">
        <v>-0.83852296900000001</v>
      </c>
      <c r="I173" s="11">
        <v>1.1399999999999999E-5</v>
      </c>
      <c r="J173">
        <v>0.3171136</v>
      </c>
      <c r="K173">
        <v>5.0807392E-2</v>
      </c>
      <c r="L173">
        <v>2.0042963839999999</v>
      </c>
      <c r="M173">
        <v>4.9264354000000003E-2</v>
      </c>
      <c r="N173">
        <v>1.0473384000000001E-2</v>
      </c>
      <c r="O173">
        <v>3.2430340000000001E-3</v>
      </c>
      <c r="P173">
        <v>0.15817239</v>
      </c>
      <c r="Q173">
        <v>0.98508182</v>
      </c>
      <c r="R173">
        <v>6.2268357019999998</v>
      </c>
      <c r="S173">
        <v>1.6571915999999999E-2</v>
      </c>
      <c r="T173">
        <v>1.5864592E-2</v>
      </c>
      <c r="U173">
        <v>0.12674739900000001</v>
      </c>
      <c r="V173">
        <v>0.13164868599999999</v>
      </c>
      <c r="W173">
        <v>1.038669724</v>
      </c>
      <c r="X173">
        <v>5.0752528569999997</v>
      </c>
      <c r="Y173">
        <v>1.0640678560000001</v>
      </c>
      <c r="Z173">
        <v>0.28853170299999997</v>
      </c>
      <c r="AA173">
        <v>4.3762829999999999E-3</v>
      </c>
      <c r="AB173">
        <v>-0.88361707599999995</v>
      </c>
      <c r="AC173">
        <v>2.1162508E-2</v>
      </c>
      <c r="AD173">
        <v>0.84934604300000005</v>
      </c>
      <c r="AE173">
        <v>0.165339191</v>
      </c>
      <c r="AF173">
        <v>0.64121145700000004</v>
      </c>
      <c r="AG173">
        <v>0.500367546</v>
      </c>
      <c r="AH173">
        <v>1.3552530000000001E-3</v>
      </c>
      <c r="AI173">
        <v>0.35174620200000001</v>
      </c>
    </row>
    <row r="174" spans="1:35" x14ac:dyDescent="0.2">
      <c r="A174">
        <v>213</v>
      </c>
      <c r="B174" t="s">
        <v>338</v>
      </c>
      <c r="C174" t="s">
        <v>186</v>
      </c>
      <c r="D174" t="s">
        <v>191</v>
      </c>
      <c r="E174" s="11">
        <v>8.8400000000000001E-6</v>
      </c>
      <c r="F174" s="11">
        <v>2.7800000000000001E-6</v>
      </c>
      <c r="G174">
        <v>0.31450041699999998</v>
      </c>
      <c r="H174">
        <v>-0.84188051900000005</v>
      </c>
      <c r="I174" s="11">
        <v>1.1600000000000001E-5</v>
      </c>
      <c r="J174">
        <v>0.29675586799999998</v>
      </c>
      <c r="K174">
        <v>4.6060358000000003E-2</v>
      </c>
      <c r="L174">
        <v>1.8726559270000001</v>
      </c>
      <c r="M174">
        <v>4.9180740000000001E-2</v>
      </c>
      <c r="N174">
        <v>9.5122580000000009E-3</v>
      </c>
      <c r="O174">
        <v>2.9400310000000001E-3</v>
      </c>
      <c r="P174">
        <v>0.14344771000000001</v>
      </c>
      <c r="Q174">
        <v>0.92428074100000002</v>
      </c>
      <c r="R174">
        <v>5.83257987</v>
      </c>
      <c r="S174">
        <v>1.5222227E-2</v>
      </c>
      <c r="T174">
        <v>1.4679947E-2</v>
      </c>
      <c r="U174">
        <v>0.11642453899999999</v>
      </c>
      <c r="V174">
        <v>0.121818178</v>
      </c>
      <c r="W174">
        <v>1.046327338</v>
      </c>
      <c r="X174">
        <v>5.2326084000000002</v>
      </c>
      <c r="Y174">
        <v>0.95158473300000002</v>
      </c>
      <c r="Z174">
        <v>0.287218739</v>
      </c>
      <c r="AA174">
        <v>3.707307E-3</v>
      </c>
      <c r="AB174">
        <v>-0.967933975</v>
      </c>
      <c r="AC174">
        <v>1.7930503E-2</v>
      </c>
      <c r="AD174">
        <v>0.84454669599999999</v>
      </c>
      <c r="AE174">
        <v>0.147965703</v>
      </c>
      <c r="AF174">
        <v>0.57904921499999995</v>
      </c>
      <c r="AG174">
        <v>0.42780254499999998</v>
      </c>
      <c r="AH174">
        <v>1.1482739999999999E-3</v>
      </c>
      <c r="AI174">
        <v>0.31742163099999998</v>
      </c>
    </row>
    <row r="175" spans="1:35" x14ac:dyDescent="0.2">
      <c r="A175">
        <v>214</v>
      </c>
      <c r="B175" t="s">
        <v>339</v>
      </c>
      <c r="C175" t="s">
        <v>186</v>
      </c>
      <c r="D175" t="s">
        <v>193</v>
      </c>
      <c r="E175" s="11">
        <v>7.6499999999999996E-6</v>
      </c>
      <c r="F175" s="11">
        <v>2.39E-6</v>
      </c>
      <c r="G175">
        <v>0.313088545</v>
      </c>
      <c r="H175">
        <v>-0.81548391899999995</v>
      </c>
      <c r="I175" s="11">
        <v>1.0000000000000001E-5</v>
      </c>
      <c r="J175">
        <v>0.238465078</v>
      </c>
      <c r="K175">
        <v>3.1918359E-2</v>
      </c>
      <c r="L175">
        <v>1.4946271870000001</v>
      </c>
      <c r="M175">
        <v>4.2823970000000003E-2</v>
      </c>
      <c r="N175">
        <v>6.5848579999999999E-3</v>
      </c>
      <c r="O175">
        <v>2.037348E-3</v>
      </c>
      <c r="P175">
        <v>0.10047608</v>
      </c>
      <c r="Q175">
        <v>0.75054191999999997</v>
      </c>
      <c r="R175">
        <v>4.70420368</v>
      </c>
      <c r="S175">
        <v>1.1101420000000001E-2</v>
      </c>
      <c r="T175">
        <v>1.0621976999999999E-2</v>
      </c>
      <c r="U175">
        <v>8.4907267999999994E-2</v>
      </c>
      <c r="V175">
        <v>8.8144045000000004E-2</v>
      </c>
      <c r="W175">
        <v>1.038121318</v>
      </c>
      <c r="X175">
        <v>5.6197100899999999</v>
      </c>
      <c r="Y175">
        <v>0.74593221300000001</v>
      </c>
      <c r="Z175">
        <v>0.28294543799999999</v>
      </c>
      <c r="AA175">
        <v>2.4639250000000001E-3</v>
      </c>
      <c r="AB175">
        <v>-1</v>
      </c>
      <c r="AC175">
        <v>1.192701E-2</v>
      </c>
      <c r="AD175">
        <v>0.863084976</v>
      </c>
      <c r="AE175">
        <v>0.11621174099999999</v>
      </c>
      <c r="AF175">
        <v>0.46220790299999998</v>
      </c>
      <c r="AG175">
        <v>0.28926217999999998</v>
      </c>
      <c r="AH175">
        <v>7.6380899999999995E-4</v>
      </c>
      <c r="AI175">
        <v>0.25288449800000001</v>
      </c>
    </row>
    <row r="176" spans="1:35" x14ac:dyDescent="0.2">
      <c r="A176">
        <v>215</v>
      </c>
      <c r="B176" t="s">
        <v>340</v>
      </c>
      <c r="C176" t="s">
        <v>186</v>
      </c>
      <c r="D176" t="s">
        <v>142</v>
      </c>
      <c r="E176" s="11">
        <v>3.89E-6</v>
      </c>
      <c r="F176" s="11">
        <v>1.2100000000000001E-6</v>
      </c>
      <c r="G176">
        <v>0.31159024800000001</v>
      </c>
      <c r="H176">
        <v>0.20328094899999999</v>
      </c>
      <c r="I176" s="11">
        <v>5.1100000000000002E-6</v>
      </c>
      <c r="J176">
        <v>0.29191708300000002</v>
      </c>
      <c r="K176">
        <v>0.35475087199999999</v>
      </c>
      <c r="L176">
        <v>2.461004242</v>
      </c>
      <c r="M176">
        <v>0.22813762300000001</v>
      </c>
      <c r="N176">
        <v>1.3471509E-2</v>
      </c>
      <c r="O176">
        <v>4.1895780000000002E-3</v>
      </c>
      <c r="P176">
        <v>1.5938422000000001</v>
      </c>
      <c r="Q176">
        <v>0.92750874999999999</v>
      </c>
      <c r="R176">
        <v>8.7527368939999999</v>
      </c>
      <c r="S176">
        <v>1.0940510000000001E-2</v>
      </c>
      <c r="T176">
        <v>1.0571110999999999E-2</v>
      </c>
      <c r="U176">
        <v>8.3676573000000004E-2</v>
      </c>
      <c r="V176">
        <v>8.7721948999999994E-2</v>
      </c>
      <c r="W176">
        <v>1.048345383</v>
      </c>
      <c r="X176">
        <v>2.7036400980000002</v>
      </c>
      <c r="Y176">
        <v>31.31437665</v>
      </c>
      <c r="Z176">
        <v>1.1545724980000001</v>
      </c>
      <c r="AA176">
        <v>5.4884807000000001E-2</v>
      </c>
      <c r="AB176">
        <v>0.92140976399999996</v>
      </c>
      <c r="AC176">
        <v>12.49721497</v>
      </c>
      <c r="AD176">
        <v>1.0585137490000001</v>
      </c>
      <c r="AE176">
        <v>3.6173607649999999</v>
      </c>
      <c r="AF176">
        <v>3.0988303369999999</v>
      </c>
      <c r="AG176">
        <v>64.038772089999995</v>
      </c>
      <c r="AH176">
        <v>1.6474018999999999E-2</v>
      </c>
      <c r="AI176">
        <v>2.2750503900000001</v>
      </c>
    </row>
    <row r="177" spans="1:35" x14ac:dyDescent="0.2">
      <c r="A177">
        <v>216</v>
      </c>
      <c r="B177" t="s">
        <v>341</v>
      </c>
      <c r="C177" t="s">
        <v>186</v>
      </c>
      <c r="D177" t="s">
        <v>144</v>
      </c>
      <c r="E177" s="11">
        <v>1.1800000000000001E-5</v>
      </c>
      <c r="F177" s="11">
        <v>3.6899999999999998E-6</v>
      </c>
      <c r="G177">
        <v>0.313956611</v>
      </c>
      <c r="H177">
        <v>-1.3109038999999999E-2</v>
      </c>
      <c r="I177" s="11">
        <v>1.5400000000000002E-5</v>
      </c>
      <c r="J177">
        <v>0.35810138899999999</v>
      </c>
      <c r="K177">
        <v>8.9774734999999994E-2</v>
      </c>
      <c r="L177">
        <v>2.3281578029999999</v>
      </c>
      <c r="M177">
        <v>0.141253931</v>
      </c>
      <c r="N177">
        <v>1.8556781000000001E-2</v>
      </c>
      <c r="O177">
        <v>5.7303179999999999E-3</v>
      </c>
      <c r="P177">
        <v>0.27284101999999999</v>
      </c>
      <c r="Q177">
        <v>1.117234184</v>
      </c>
      <c r="R177">
        <v>7.2490871439999998</v>
      </c>
      <c r="S177">
        <v>2.1623746999999999E-2</v>
      </c>
      <c r="T177">
        <v>2.0507445999999999E-2</v>
      </c>
      <c r="U177">
        <v>0.16538544499999999</v>
      </c>
      <c r="V177">
        <v>0.17017634600000001</v>
      </c>
      <c r="W177">
        <v>1.028968093</v>
      </c>
      <c r="X177">
        <v>3.6687544440000002</v>
      </c>
      <c r="Y177">
        <v>2.301213331</v>
      </c>
      <c r="Z177">
        <v>0.30142641399999998</v>
      </c>
      <c r="AA177">
        <v>1.9280404000000001E-2</v>
      </c>
      <c r="AB177">
        <v>-1.1708811E-2</v>
      </c>
      <c r="AC177">
        <v>9.3089693000000001E-2</v>
      </c>
      <c r="AD177">
        <v>0.88577692500000005</v>
      </c>
      <c r="AE177">
        <v>0.352596731</v>
      </c>
      <c r="AF177">
        <v>1.127365078</v>
      </c>
      <c r="AG177">
        <v>1.8149801699999999</v>
      </c>
      <c r="AH177">
        <v>5.9614899999999998E-3</v>
      </c>
      <c r="AI177">
        <v>0.62716225999999997</v>
      </c>
    </row>
    <row r="178" spans="1:35" x14ac:dyDescent="0.2">
      <c r="A178">
        <v>217</v>
      </c>
      <c r="B178" t="s">
        <v>342</v>
      </c>
      <c r="C178" t="s">
        <v>186</v>
      </c>
      <c r="D178" t="s">
        <v>146</v>
      </c>
      <c r="E178" s="11">
        <v>9.9699999999999994E-6</v>
      </c>
      <c r="F178" s="11">
        <v>3.1300000000000001E-6</v>
      </c>
      <c r="G178">
        <v>0.313845967</v>
      </c>
      <c r="H178">
        <v>-0.38529979600000003</v>
      </c>
      <c r="I178" s="11">
        <v>1.31E-5</v>
      </c>
      <c r="J178">
        <v>0.36688830700000002</v>
      </c>
      <c r="K178">
        <v>6.2009788000000003E-2</v>
      </c>
      <c r="L178">
        <v>2.3253494140000002</v>
      </c>
      <c r="M178">
        <v>7.3092535E-2</v>
      </c>
      <c r="N178">
        <v>1.2795208000000001E-2</v>
      </c>
      <c r="O178">
        <v>3.9580819999999999E-3</v>
      </c>
      <c r="P178">
        <v>0.19294702</v>
      </c>
      <c r="Q178">
        <v>1.1424222559999999</v>
      </c>
      <c r="R178">
        <v>7.2404275719999998</v>
      </c>
      <c r="S178">
        <v>1.7643973E-2</v>
      </c>
      <c r="T178">
        <v>1.68354E-2</v>
      </c>
      <c r="U178">
        <v>0.13494683699999999</v>
      </c>
      <c r="V178">
        <v>0.139704719</v>
      </c>
      <c r="W178">
        <v>1.035257455</v>
      </c>
      <c r="X178">
        <v>4.1206700029999999</v>
      </c>
      <c r="Y178">
        <v>2.4990535729999999</v>
      </c>
      <c r="Z178">
        <v>0.29688809900000002</v>
      </c>
      <c r="AA178">
        <v>1.1976395000000001E-2</v>
      </c>
      <c r="AB178">
        <v>6.9507976999999999E-2</v>
      </c>
      <c r="AC178">
        <v>5.7835534000000001E-2</v>
      </c>
      <c r="AD178">
        <v>0.86937843599999998</v>
      </c>
      <c r="AE178">
        <v>0.387457997</v>
      </c>
      <c r="AF178">
        <v>1.359312428</v>
      </c>
      <c r="AG178">
        <v>1.23726794</v>
      </c>
      <c r="AH178">
        <v>3.7038040000000002E-3</v>
      </c>
      <c r="AI178">
        <v>0.74731898200000002</v>
      </c>
    </row>
    <row r="179" spans="1:35" x14ac:dyDescent="0.2">
      <c r="A179">
        <v>218</v>
      </c>
      <c r="B179" t="s">
        <v>343</v>
      </c>
      <c r="C179" t="s">
        <v>186</v>
      </c>
      <c r="D179" t="s">
        <v>200</v>
      </c>
      <c r="E179" s="11">
        <v>7.2699999999999999E-6</v>
      </c>
      <c r="F179" s="11">
        <v>2.3300000000000001E-6</v>
      </c>
      <c r="G179">
        <v>0.32033264700000003</v>
      </c>
      <c r="H179">
        <v>2.5807388000000001E-2</v>
      </c>
      <c r="I179" s="11">
        <v>9.5899999999999997E-6</v>
      </c>
      <c r="J179">
        <v>0.41311282999999999</v>
      </c>
      <c r="K179">
        <v>7.3375308E-2</v>
      </c>
      <c r="L179">
        <v>2.6254275969999998</v>
      </c>
      <c r="M179">
        <v>5.5851728000000003E-2</v>
      </c>
      <c r="N179">
        <v>1.5149703E-2</v>
      </c>
      <c r="O179">
        <v>4.6835430000000001E-3</v>
      </c>
      <c r="P179">
        <v>0.22342512</v>
      </c>
      <c r="Q179">
        <v>1.2580437099999999</v>
      </c>
      <c r="R179">
        <v>7.9951124939999998</v>
      </c>
      <c r="S179">
        <v>2.0683289000000001E-2</v>
      </c>
      <c r="T179">
        <v>1.8637547000000001E-2</v>
      </c>
      <c r="U179">
        <v>0.158192519</v>
      </c>
      <c r="V179">
        <v>0.15465942099999999</v>
      </c>
      <c r="W179">
        <v>0.97766583399999996</v>
      </c>
      <c r="X179">
        <v>3.8238665319999998</v>
      </c>
      <c r="Y179">
        <v>3.4557156340000001</v>
      </c>
      <c r="Z179">
        <v>0.31029886899999998</v>
      </c>
      <c r="AA179">
        <v>1.635263E-2</v>
      </c>
      <c r="AB179">
        <v>0.24026515100000001</v>
      </c>
      <c r="AC179">
        <v>7.9059323000000001E-2</v>
      </c>
      <c r="AD179">
        <v>0.85073232700000001</v>
      </c>
      <c r="AE179">
        <v>0.53587701899999995</v>
      </c>
      <c r="AF179">
        <v>1.774682796</v>
      </c>
      <c r="AG179">
        <v>1.59627696</v>
      </c>
      <c r="AH179">
        <v>5.0629810000000003E-3</v>
      </c>
      <c r="AI179">
        <v>0.97550216999999995</v>
      </c>
    </row>
    <row r="180" spans="1:35" x14ac:dyDescent="0.2">
      <c r="A180">
        <v>219</v>
      </c>
      <c r="B180" t="s">
        <v>344</v>
      </c>
      <c r="C180" t="s">
        <v>186</v>
      </c>
      <c r="D180" t="s">
        <v>148</v>
      </c>
      <c r="E180" s="11">
        <v>7.8299999999999996E-6</v>
      </c>
      <c r="F180" s="11">
        <v>2.4700000000000001E-6</v>
      </c>
      <c r="G180">
        <v>0.31532536900000002</v>
      </c>
      <c r="H180">
        <v>-0.57477915999999996</v>
      </c>
      <c r="I180" s="11">
        <v>1.03E-5</v>
      </c>
      <c r="J180">
        <v>0.29191489399999998</v>
      </c>
      <c r="K180">
        <v>8.0978702E-2</v>
      </c>
      <c r="L180">
        <v>1.913446765</v>
      </c>
      <c r="M180">
        <v>6.7635778999999993E-2</v>
      </c>
      <c r="N180">
        <v>1.6704063000000002E-2</v>
      </c>
      <c r="O180">
        <v>5.1688669999999997E-3</v>
      </c>
      <c r="P180">
        <v>0.44688016000000003</v>
      </c>
      <c r="Q180">
        <v>0.94335448200000005</v>
      </c>
      <c r="R180">
        <v>6.5538872079999999</v>
      </c>
      <c r="S180">
        <v>1.3475205000000001E-2</v>
      </c>
      <c r="T180">
        <v>1.2693045E-2</v>
      </c>
      <c r="U180">
        <v>0.10306274999999999</v>
      </c>
      <c r="V180">
        <v>0.105330326</v>
      </c>
      <c r="W180">
        <v>1.022001897</v>
      </c>
      <c r="X180">
        <v>4.9752188799999999</v>
      </c>
      <c r="Y180">
        <v>0.79462350699999995</v>
      </c>
      <c r="Z180">
        <v>0.284562437</v>
      </c>
      <c r="AA180">
        <v>4.8614540000000003E-3</v>
      </c>
      <c r="AB180">
        <v>-1</v>
      </c>
      <c r="AC180">
        <v>0.188850403</v>
      </c>
      <c r="AD180">
        <v>0.85988371500000005</v>
      </c>
      <c r="AE180">
        <v>0.105278907</v>
      </c>
      <c r="AF180">
        <v>0.40528104100000001</v>
      </c>
      <c r="AG180">
        <v>4.4344765539999997</v>
      </c>
      <c r="AH180">
        <v>1.5058300000000001E-3</v>
      </c>
      <c r="AI180">
        <v>0.26076068800000002</v>
      </c>
    </row>
    <row r="181" spans="1:35" x14ac:dyDescent="0.2">
      <c r="A181">
        <v>220</v>
      </c>
      <c r="B181" t="s">
        <v>345</v>
      </c>
      <c r="C181" t="s">
        <v>186</v>
      </c>
      <c r="D181" t="s">
        <v>150</v>
      </c>
      <c r="E181" s="11">
        <v>9.9299999999999998E-6</v>
      </c>
      <c r="F181" s="11">
        <v>3.14E-6</v>
      </c>
      <c r="G181">
        <v>0.31583935800000001</v>
      </c>
      <c r="H181">
        <v>-0.39195206399999999</v>
      </c>
      <c r="I181" s="11">
        <v>1.31E-5</v>
      </c>
      <c r="J181">
        <v>0.36673710500000001</v>
      </c>
      <c r="K181">
        <v>6.1902974999999999E-2</v>
      </c>
      <c r="L181">
        <v>2.324228578</v>
      </c>
      <c r="M181">
        <v>7.2411562999999998E-2</v>
      </c>
      <c r="N181">
        <v>1.277796E-2</v>
      </c>
      <c r="O181">
        <v>3.9512640000000003E-3</v>
      </c>
      <c r="P181">
        <v>0.19264669000000001</v>
      </c>
      <c r="Q181">
        <v>1.141865065</v>
      </c>
      <c r="R181">
        <v>7.236483776</v>
      </c>
      <c r="S181">
        <v>1.7559590999999999E-2</v>
      </c>
      <c r="T181">
        <v>1.6837412E-2</v>
      </c>
      <c r="U181">
        <v>0.13430145499999999</v>
      </c>
      <c r="V181">
        <v>0.13972140899999999</v>
      </c>
      <c r="W181">
        <v>1.0403566289999999</v>
      </c>
      <c r="X181">
        <v>4.1272600769999999</v>
      </c>
      <c r="Y181">
        <v>2.4844104269999998</v>
      </c>
      <c r="Z181">
        <v>0.29651186200000001</v>
      </c>
      <c r="AA181">
        <v>1.1893574000000001E-2</v>
      </c>
      <c r="AB181">
        <v>6.4474794000000002E-2</v>
      </c>
      <c r="AC181">
        <v>5.7435503999999998E-2</v>
      </c>
      <c r="AD181">
        <v>0.86930266499999997</v>
      </c>
      <c r="AE181">
        <v>0.38519412400000003</v>
      </c>
      <c r="AF181">
        <v>1.3528274570000001</v>
      </c>
      <c r="AG181">
        <v>1.2300392570000001</v>
      </c>
      <c r="AH181">
        <v>3.678186E-3</v>
      </c>
      <c r="AI181">
        <v>0.74374131799999998</v>
      </c>
    </row>
    <row r="182" spans="1:35" x14ac:dyDescent="0.2">
      <c r="A182">
        <v>221</v>
      </c>
      <c r="B182" t="s">
        <v>346</v>
      </c>
      <c r="C182" t="s">
        <v>186</v>
      </c>
      <c r="D182" t="s">
        <v>204</v>
      </c>
      <c r="E182" s="11">
        <v>3.5599999999999998E-6</v>
      </c>
      <c r="F182" s="11">
        <v>1.11E-6</v>
      </c>
      <c r="G182">
        <v>0.31205185099999999</v>
      </c>
      <c r="H182">
        <v>-1.426104321</v>
      </c>
      <c r="I182" s="11">
        <v>4.6600000000000003E-6</v>
      </c>
      <c r="J182">
        <v>0.29191489399999998</v>
      </c>
      <c r="K182">
        <v>0.17178768699999999</v>
      </c>
      <c r="L182">
        <v>2.0950647359999999</v>
      </c>
      <c r="M182">
        <v>0.11746356199999999</v>
      </c>
      <c r="N182">
        <v>8.9704090000000004E-3</v>
      </c>
      <c r="O182">
        <v>2.7947810000000001E-3</v>
      </c>
      <c r="P182">
        <v>0.90379916000000005</v>
      </c>
      <c r="Q182">
        <v>0.94388022599999999</v>
      </c>
      <c r="R182">
        <v>7.470879676</v>
      </c>
      <c r="S182">
        <v>6.7340209999999998E-3</v>
      </c>
      <c r="T182">
        <v>6.4945350000000001E-3</v>
      </c>
      <c r="U182">
        <v>5.1503978999999998E-2</v>
      </c>
      <c r="V182">
        <v>5.3893414000000001E-2</v>
      </c>
      <c r="W182">
        <v>1.0463932119999999</v>
      </c>
      <c r="X182">
        <v>5.2609541760000003</v>
      </c>
      <c r="Y182">
        <v>0.91970992299999998</v>
      </c>
      <c r="Z182">
        <v>0.28257133099999998</v>
      </c>
      <c r="AA182">
        <v>3.5912819999999999E-3</v>
      </c>
      <c r="AB182">
        <v>-1</v>
      </c>
      <c r="AC182">
        <v>1.7403117999999999E-2</v>
      </c>
      <c r="AD182">
        <v>0.83332531799999998</v>
      </c>
      <c r="AE182">
        <v>0.143001663</v>
      </c>
      <c r="AF182">
        <v>0.57013862500000001</v>
      </c>
      <c r="AG182">
        <v>0.41541141700000001</v>
      </c>
      <c r="AH182">
        <v>1.1145009999999999E-3</v>
      </c>
      <c r="AI182">
        <v>0.31248283900000001</v>
      </c>
    </row>
    <row r="183" spans="1:35" x14ac:dyDescent="0.2">
      <c r="A183">
        <v>222</v>
      </c>
      <c r="B183" t="s">
        <v>347</v>
      </c>
      <c r="C183" t="s">
        <v>186</v>
      </c>
      <c r="D183" t="s">
        <v>152</v>
      </c>
      <c r="E183" s="11">
        <v>3.89E-6</v>
      </c>
      <c r="F183" s="11">
        <v>1.2300000000000001E-6</v>
      </c>
      <c r="G183">
        <v>0.31544530599999998</v>
      </c>
      <c r="H183">
        <v>0.20340977399999999</v>
      </c>
      <c r="I183" s="11">
        <v>5.1200000000000001E-6</v>
      </c>
      <c r="J183">
        <v>0.29191709199999999</v>
      </c>
      <c r="K183">
        <v>0.35441513400000002</v>
      </c>
      <c r="L183">
        <v>2.4603328210000002</v>
      </c>
      <c r="M183">
        <v>0.22792873</v>
      </c>
      <c r="N183">
        <v>1.3469347E-2</v>
      </c>
      <c r="O183">
        <v>4.1893169999999997E-3</v>
      </c>
      <c r="P183">
        <v>1.5921950899999999</v>
      </c>
      <c r="Q183">
        <v>0.92741778600000002</v>
      </c>
      <c r="R183">
        <v>8.7488968919999994</v>
      </c>
      <c r="S183">
        <v>1.0945804E-2</v>
      </c>
      <c r="T183">
        <v>1.0604667E-2</v>
      </c>
      <c r="U183">
        <v>8.3717062999999994E-2</v>
      </c>
      <c r="V183">
        <v>8.8000404000000004E-2</v>
      </c>
      <c r="W183">
        <v>1.0511644920000001</v>
      </c>
      <c r="X183">
        <v>2.7030229600000002</v>
      </c>
      <c r="Y183">
        <v>31.30875692</v>
      </c>
      <c r="Z183">
        <v>1.1544141379999999</v>
      </c>
      <c r="AA183">
        <v>5.4889050000000002E-2</v>
      </c>
      <c r="AB183">
        <v>0.92141710300000002</v>
      </c>
      <c r="AC183">
        <v>12.51838701</v>
      </c>
      <c r="AD183">
        <v>1.0582240730000001</v>
      </c>
      <c r="AE183">
        <v>3.6142499180000001</v>
      </c>
      <c r="AF183">
        <v>3.099350319</v>
      </c>
      <c r="AG183">
        <v>63.33361584</v>
      </c>
      <c r="AH183">
        <v>1.6484730999999999E-2</v>
      </c>
      <c r="AI183">
        <v>2.2687502209999999</v>
      </c>
    </row>
    <row r="184" spans="1:35" x14ac:dyDescent="0.2">
      <c r="A184">
        <v>223</v>
      </c>
      <c r="B184" t="s">
        <v>348</v>
      </c>
      <c r="C184" t="s">
        <v>186</v>
      </c>
      <c r="D184" t="s">
        <v>207</v>
      </c>
      <c r="E184" s="11">
        <v>7.3200000000000002E-6</v>
      </c>
      <c r="F184" s="11">
        <v>2.3E-6</v>
      </c>
      <c r="G184">
        <v>0.313999572</v>
      </c>
      <c r="H184">
        <v>-0.79815785100000003</v>
      </c>
      <c r="I184" s="11">
        <v>9.6199999999999994E-6</v>
      </c>
      <c r="J184">
        <v>0.32315576800000001</v>
      </c>
      <c r="K184">
        <v>5.1982348999999997E-2</v>
      </c>
      <c r="L184">
        <v>2.042899303</v>
      </c>
      <c r="M184">
        <v>3.1608201000000002E-2</v>
      </c>
      <c r="N184">
        <v>1.0721079999999999E-2</v>
      </c>
      <c r="O184">
        <v>3.3180309999999999E-3</v>
      </c>
      <c r="P184">
        <v>0.16146208000000001</v>
      </c>
      <c r="Q184">
        <v>1.0136346979999999</v>
      </c>
      <c r="R184">
        <v>6.4047323519999999</v>
      </c>
      <c r="S184">
        <v>1.6248718999999998E-2</v>
      </c>
      <c r="T184">
        <v>1.5028336E-2</v>
      </c>
      <c r="U184">
        <v>0.12427548200000001</v>
      </c>
      <c r="V184">
        <v>0.124709206</v>
      </c>
      <c r="W184">
        <v>1.003490021</v>
      </c>
      <c r="X184">
        <v>4.7761153529999998</v>
      </c>
      <c r="Y184">
        <v>1.3494858940000001</v>
      </c>
      <c r="Z184">
        <v>0.28606301299999998</v>
      </c>
      <c r="AA184">
        <v>5.9967049999999997E-3</v>
      </c>
      <c r="AB184">
        <v>-0.51383524000000003</v>
      </c>
      <c r="AC184">
        <v>2.8999671000000001E-2</v>
      </c>
      <c r="AD184">
        <v>0.84930871699999999</v>
      </c>
      <c r="AE184">
        <v>0.209461446</v>
      </c>
      <c r="AF184">
        <v>0.794474024</v>
      </c>
      <c r="AG184">
        <v>0.67059913999999998</v>
      </c>
      <c r="AH184">
        <v>1.857147E-3</v>
      </c>
      <c r="AI184">
        <v>0.436293284</v>
      </c>
    </row>
    <row r="185" spans="1:35" x14ac:dyDescent="0.2">
      <c r="A185">
        <v>224</v>
      </c>
      <c r="B185" t="s">
        <v>349</v>
      </c>
      <c r="C185" t="s">
        <v>186</v>
      </c>
      <c r="D185" t="s">
        <v>209</v>
      </c>
      <c r="E185" s="11">
        <v>6.7599999999999997E-6</v>
      </c>
      <c r="F185" s="11">
        <v>2.12E-6</v>
      </c>
      <c r="G185">
        <v>0.31409062300000001</v>
      </c>
      <c r="H185">
        <v>-0.82575591999999998</v>
      </c>
      <c r="I185" s="11">
        <v>8.8899999999999996E-6</v>
      </c>
      <c r="J185">
        <v>0.36126513500000001</v>
      </c>
      <c r="K185">
        <v>6.2019322000000002E-2</v>
      </c>
      <c r="L185">
        <v>2.291629452</v>
      </c>
      <c r="M185">
        <v>6.6892109000000005E-2</v>
      </c>
      <c r="N185">
        <v>1.276508E-2</v>
      </c>
      <c r="O185">
        <v>3.9586910000000003E-3</v>
      </c>
      <c r="P185">
        <v>0.32730633999999997</v>
      </c>
      <c r="Q185">
        <v>1.129597586</v>
      </c>
      <c r="R185">
        <v>7.4321982020000004</v>
      </c>
      <c r="S185">
        <v>1.2763376999999999E-2</v>
      </c>
      <c r="T185">
        <v>1.1557593999999999E-2</v>
      </c>
      <c r="U185">
        <v>9.7618458000000005E-2</v>
      </c>
      <c r="V185">
        <v>9.5908049999999995E-2</v>
      </c>
      <c r="W185">
        <v>0.98247864100000004</v>
      </c>
      <c r="X185">
        <v>4.6007662079999996</v>
      </c>
      <c r="Y185">
        <v>1.5394934069999999</v>
      </c>
      <c r="Z185">
        <v>0.29473110400000002</v>
      </c>
      <c r="AA185">
        <v>7.1966130000000001E-3</v>
      </c>
      <c r="AB185">
        <v>-0.48856074399999999</v>
      </c>
      <c r="AC185">
        <v>3.4881730999999999E-2</v>
      </c>
      <c r="AD185">
        <v>0.85051779599999999</v>
      </c>
      <c r="AE185">
        <v>0.238764478</v>
      </c>
      <c r="AF185">
        <v>0.91088516100000005</v>
      </c>
      <c r="AG185">
        <v>0.81573618800000003</v>
      </c>
      <c r="AH185">
        <v>2.2338359999999999E-3</v>
      </c>
      <c r="AI185">
        <v>0.50065914099999997</v>
      </c>
    </row>
    <row r="186" spans="1:35" x14ac:dyDescent="0.2">
      <c r="A186">
        <v>225</v>
      </c>
      <c r="B186" t="s">
        <v>350</v>
      </c>
      <c r="C186" t="s">
        <v>186</v>
      </c>
      <c r="D186" t="s">
        <v>154</v>
      </c>
      <c r="E186" s="11">
        <v>3.6200000000000001E-6</v>
      </c>
      <c r="F186" s="11">
        <v>1.13E-6</v>
      </c>
      <c r="G186">
        <v>0.31362003700000002</v>
      </c>
      <c r="H186">
        <v>-1.393760297</v>
      </c>
      <c r="I186" s="11">
        <v>4.7500000000000003E-6</v>
      </c>
      <c r="J186">
        <v>0.29191489399999998</v>
      </c>
      <c r="K186">
        <v>0.15946759899999999</v>
      </c>
      <c r="L186">
        <v>2.0704245600000002</v>
      </c>
      <c r="M186">
        <v>0.11114835100000001</v>
      </c>
      <c r="N186">
        <v>8.8541269999999998E-3</v>
      </c>
      <c r="O186">
        <v>2.7574850000000001E-3</v>
      </c>
      <c r="P186">
        <v>0.84427494999999997</v>
      </c>
      <c r="Q186">
        <v>0.94917426199999999</v>
      </c>
      <c r="R186">
        <v>7.3835954800000003</v>
      </c>
      <c r="S186">
        <v>6.785541E-3</v>
      </c>
      <c r="T186">
        <v>6.4074029999999999E-3</v>
      </c>
      <c r="U186">
        <v>5.1898023000000001E-2</v>
      </c>
      <c r="V186">
        <v>5.3170371000000001E-2</v>
      </c>
      <c r="W186">
        <v>1.0245163100000001</v>
      </c>
      <c r="X186">
        <v>5.3912416390000004</v>
      </c>
      <c r="Y186">
        <v>0.85606032099999996</v>
      </c>
      <c r="Z186">
        <v>0.28395772899999999</v>
      </c>
      <c r="AA186">
        <v>3.1319189999999999E-3</v>
      </c>
      <c r="AB186">
        <v>-1</v>
      </c>
      <c r="AC186">
        <v>1.517167E-2</v>
      </c>
      <c r="AD186">
        <v>0.82963978999999999</v>
      </c>
      <c r="AE186">
        <v>0.133213042</v>
      </c>
      <c r="AF186">
        <v>0.52456760099999999</v>
      </c>
      <c r="AG186">
        <v>0.36425887200000001</v>
      </c>
      <c r="AH186">
        <v>9.7159799999999995E-4</v>
      </c>
      <c r="AI186">
        <v>0.287338645</v>
      </c>
    </row>
    <row r="187" spans="1:35" x14ac:dyDescent="0.2">
      <c r="A187">
        <v>226</v>
      </c>
      <c r="B187" t="s">
        <v>351</v>
      </c>
      <c r="C187" t="s">
        <v>186</v>
      </c>
      <c r="D187" t="s">
        <v>156</v>
      </c>
      <c r="E187" s="11">
        <v>8.7099999999999996E-6</v>
      </c>
      <c r="F187" s="11">
        <v>2.74E-6</v>
      </c>
      <c r="G187">
        <v>0.314878983</v>
      </c>
      <c r="H187">
        <v>0.102247614</v>
      </c>
      <c r="I187" s="11">
        <v>1.15E-5</v>
      </c>
      <c r="J187">
        <v>0.30890266</v>
      </c>
      <c r="K187">
        <v>9.5398522999999999E-2</v>
      </c>
      <c r="L187">
        <v>2.044213005</v>
      </c>
      <c r="M187">
        <v>3.0345964999999999E-2</v>
      </c>
      <c r="N187">
        <v>1.9690323999999999E-2</v>
      </c>
      <c r="O187">
        <v>6.0892840000000004E-3</v>
      </c>
      <c r="P187">
        <v>0.48758449999999998</v>
      </c>
      <c r="Q187">
        <v>1.124575865</v>
      </c>
      <c r="R187">
        <v>7.7226241800000004</v>
      </c>
      <c r="S187">
        <v>1.6937352999999999E-2</v>
      </c>
      <c r="T187">
        <v>1.5392759000000001E-2</v>
      </c>
      <c r="U187">
        <v>0.12954238400000001</v>
      </c>
      <c r="V187">
        <v>0.127733292</v>
      </c>
      <c r="W187">
        <v>0.98603474800000002</v>
      </c>
      <c r="X187">
        <v>3.836669638</v>
      </c>
      <c r="Y187">
        <v>1.922839169</v>
      </c>
      <c r="Z187">
        <v>0.31385299500000002</v>
      </c>
      <c r="AA187">
        <v>1.6148259000000002E-2</v>
      </c>
      <c r="AB187">
        <v>-6.3122198000000004E-2</v>
      </c>
      <c r="AC187">
        <v>7.8000419000000001E-2</v>
      </c>
      <c r="AD187">
        <v>0.86552452700000004</v>
      </c>
      <c r="AE187">
        <v>0.29459864699999999</v>
      </c>
      <c r="AF187">
        <v>0.97886375699999995</v>
      </c>
      <c r="AG187">
        <v>1.580819422</v>
      </c>
      <c r="AH187">
        <v>4.9951689999999998E-3</v>
      </c>
      <c r="AI187">
        <v>0.54459566599999998</v>
      </c>
    </row>
    <row r="188" spans="1:35" x14ac:dyDescent="0.2">
      <c r="A188">
        <v>227</v>
      </c>
      <c r="B188" t="s">
        <v>352</v>
      </c>
      <c r="C188" t="s">
        <v>186</v>
      </c>
      <c r="D188" t="s">
        <v>158</v>
      </c>
      <c r="E188" s="11">
        <v>5.4E-6</v>
      </c>
      <c r="F188" s="11">
        <v>1.6899999999999999E-6</v>
      </c>
      <c r="G188">
        <v>0.31205203799999998</v>
      </c>
      <c r="H188">
        <v>-0.650904916</v>
      </c>
      <c r="I188" s="11">
        <v>7.0899999999999999E-6</v>
      </c>
      <c r="J188">
        <v>0.20285795200000001</v>
      </c>
      <c r="K188">
        <v>2.307826E-2</v>
      </c>
      <c r="L188">
        <v>1.2633042290000001</v>
      </c>
      <c r="M188">
        <v>3.6614846E-2</v>
      </c>
      <c r="N188">
        <v>4.7497249999999998E-3</v>
      </c>
      <c r="O188">
        <v>1.4730839999999999E-3</v>
      </c>
      <c r="P188">
        <v>7.3001369999999996E-2</v>
      </c>
      <c r="Q188">
        <v>0.64144422599999995</v>
      </c>
      <c r="R188">
        <v>3.994668098</v>
      </c>
      <c r="S188">
        <v>8.0781589999999997E-3</v>
      </c>
      <c r="T188">
        <v>7.5352470000000001E-3</v>
      </c>
      <c r="U188">
        <v>6.1784385999999997E-2</v>
      </c>
      <c r="V188">
        <v>6.2529519000000006E-2</v>
      </c>
      <c r="W188">
        <v>1.012060215</v>
      </c>
      <c r="X188">
        <v>4.8745086479999999</v>
      </c>
      <c r="Y188">
        <v>0.94951472699999995</v>
      </c>
      <c r="Z188">
        <v>0.28940924400000001</v>
      </c>
      <c r="AA188">
        <v>5.3919340000000001E-3</v>
      </c>
      <c r="AB188">
        <v>-0.33047354899999998</v>
      </c>
      <c r="AC188">
        <v>2.6144951E-2</v>
      </c>
      <c r="AD188">
        <v>0.84998043400000001</v>
      </c>
      <c r="AE188">
        <v>0.14677611900000001</v>
      </c>
      <c r="AF188">
        <v>0.73074341099999995</v>
      </c>
      <c r="AG188">
        <v>1.050297005</v>
      </c>
      <c r="AH188">
        <v>1.6743299999999999E-3</v>
      </c>
      <c r="AI188">
        <v>0.40534101</v>
      </c>
    </row>
    <row r="189" spans="1:35" x14ac:dyDescent="0.2">
      <c r="A189">
        <v>228</v>
      </c>
      <c r="B189" t="s">
        <v>353</v>
      </c>
      <c r="C189" t="s">
        <v>186</v>
      </c>
      <c r="D189" t="s">
        <v>214</v>
      </c>
      <c r="E189" s="11">
        <v>5.4E-6</v>
      </c>
      <c r="F189" s="11">
        <v>1.6700000000000001E-6</v>
      </c>
      <c r="G189">
        <v>0.31002186100000001</v>
      </c>
      <c r="H189">
        <v>-0.64841325400000005</v>
      </c>
      <c r="I189" s="11">
        <v>7.08E-6</v>
      </c>
      <c r="J189">
        <v>0.200471917</v>
      </c>
      <c r="K189">
        <v>2.2493168000000001E-2</v>
      </c>
      <c r="L189">
        <v>1.2478178369999999</v>
      </c>
      <c r="M189">
        <v>3.5972464000000003E-2</v>
      </c>
      <c r="N189">
        <v>4.6286690000000002E-3</v>
      </c>
      <c r="O189">
        <v>1.435738E-3</v>
      </c>
      <c r="P189">
        <v>7.1175139999999998E-2</v>
      </c>
      <c r="Q189">
        <v>0.63415527500000002</v>
      </c>
      <c r="R189">
        <v>3.9472819299999999</v>
      </c>
      <c r="S189">
        <v>7.9232320000000005E-3</v>
      </c>
      <c r="T189">
        <v>7.3433880000000002E-3</v>
      </c>
      <c r="U189">
        <v>6.0599449999999999E-2</v>
      </c>
      <c r="V189">
        <v>6.0937427000000002E-2</v>
      </c>
      <c r="W189">
        <v>1.005577229</v>
      </c>
      <c r="X189">
        <v>4.8055283089999996</v>
      </c>
      <c r="Y189">
        <v>0.95083002900000002</v>
      </c>
      <c r="Z189">
        <v>0.28588004900000002</v>
      </c>
      <c r="AA189">
        <v>5.8003789999999996E-3</v>
      </c>
      <c r="AB189">
        <v>-0.31234584399999998</v>
      </c>
      <c r="AC189">
        <v>2.8115093000000001E-2</v>
      </c>
      <c r="AD189">
        <v>0.85188914100000002</v>
      </c>
      <c r="AE189">
        <v>0.14677611900000001</v>
      </c>
      <c r="AF189">
        <v>0.76875753099999999</v>
      </c>
      <c r="AG189">
        <v>1.0934138069999999</v>
      </c>
      <c r="AH189">
        <v>1.8004989999999999E-3</v>
      </c>
      <c r="AI189">
        <v>0.42631978999999998</v>
      </c>
    </row>
    <row r="190" spans="1:35" x14ac:dyDescent="0.2">
      <c r="A190">
        <v>229</v>
      </c>
      <c r="B190" t="s">
        <v>354</v>
      </c>
      <c r="C190" t="s">
        <v>186</v>
      </c>
      <c r="D190" t="s">
        <v>160</v>
      </c>
      <c r="E190" s="11">
        <v>8.5199999999999997E-6</v>
      </c>
      <c r="F190" s="11">
        <v>2.7E-6</v>
      </c>
      <c r="G190">
        <v>0.31642200100000001</v>
      </c>
      <c r="H190">
        <v>3.8385316000000003E-2</v>
      </c>
      <c r="I190" s="11">
        <v>1.1199999999999999E-5</v>
      </c>
      <c r="J190">
        <v>0.31006397000000002</v>
      </c>
      <c r="K190">
        <v>7.1278140000000004E-2</v>
      </c>
      <c r="L190">
        <v>2.0029401</v>
      </c>
      <c r="M190">
        <v>1.1912598999999999E-2</v>
      </c>
      <c r="N190">
        <v>1.4715582E-2</v>
      </c>
      <c r="O190">
        <v>4.5496809999999999E-3</v>
      </c>
      <c r="P190">
        <v>0.42757107</v>
      </c>
      <c r="Q190">
        <v>0.97132985800000005</v>
      </c>
      <c r="R190">
        <v>6.6831212940000002</v>
      </c>
      <c r="S190">
        <v>1.5635359000000001E-2</v>
      </c>
      <c r="T190">
        <v>1.3980747999999999E-2</v>
      </c>
      <c r="U190">
        <v>0.119584309</v>
      </c>
      <c r="V190">
        <v>0.11601604</v>
      </c>
      <c r="W190">
        <v>0.97016106000000002</v>
      </c>
      <c r="X190">
        <v>3.7178582410000001</v>
      </c>
      <c r="Y190">
        <v>1.944821329</v>
      </c>
      <c r="Z190">
        <v>0.30626614000000002</v>
      </c>
      <c r="AA190">
        <v>1.8281407999999999E-2</v>
      </c>
      <c r="AB190">
        <v>-2.9883862000000001E-2</v>
      </c>
      <c r="AC190">
        <v>8.8397798E-2</v>
      </c>
      <c r="AD190">
        <v>0.87009346099999996</v>
      </c>
      <c r="AE190">
        <v>0.29696717900000003</v>
      </c>
      <c r="AF190">
        <v>1.0912258829999999</v>
      </c>
      <c r="AG190">
        <v>1.769202095</v>
      </c>
      <c r="AH190">
        <v>5.6610200000000001E-3</v>
      </c>
      <c r="AI190">
        <v>0.60717350400000003</v>
      </c>
    </row>
    <row r="191" spans="1:35" x14ac:dyDescent="0.2">
      <c r="A191">
        <v>230</v>
      </c>
      <c r="B191" t="s">
        <v>355</v>
      </c>
      <c r="C191" t="s">
        <v>186</v>
      </c>
      <c r="D191" t="s">
        <v>162</v>
      </c>
      <c r="E191" s="11">
        <v>9.9299999999999998E-6</v>
      </c>
      <c r="F191" s="11">
        <v>3.1300000000000001E-6</v>
      </c>
      <c r="G191">
        <v>0.31501016900000001</v>
      </c>
      <c r="H191">
        <v>-0.38850645099999997</v>
      </c>
      <c r="I191" s="11">
        <v>1.31E-5</v>
      </c>
      <c r="J191">
        <v>0.36434790500000003</v>
      </c>
      <c r="K191">
        <v>6.1299719000000003E-2</v>
      </c>
      <c r="L191">
        <v>2.3086868699999998</v>
      </c>
      <c r="M191">
        <v>3.0866968000000002E-2</v>
      </c>
      <c r="N191">
        <v>1.2654491E-2</v>
      </c>
      <c r="O191">
        <v>3.912759E-3</v>
      </c>
      <c r="P191">
        <v>0.19132650000000001</v>
      </c>
      <c r="Q191">
        <v>1.133516295</v>
      </c>
      <c r="R191">
        <v>7.1837507599999997</v>
      </c>
      <c r="S191">
        <v>1.7607307999999999E-2</v>
      </c>
      <c r="T191">
        <v>1.6772789999999999E-2</v>
      </c>
      <c r="U191">
        <v>0.13466641200000001</v>
      </c>
      <c r="V191">
        <v>0.139185164</v>
      </c>
      <c r="W191">
        <v>1.033555153</v>
      </c>
      <c r="X191">
        <v>4.1254526499999997</v>
      </c>
      <c r="Y191">
        <v>2.4838799869999999</v>
      </c>
      <c r="Z191">
        <v>0.31156241000000001</v>
      </c>
      <c r="AA191">
        <v>1.1916680000000001E-2</v>
      </c>
      <c r="AB191">
        <v>7.0532038000000005E-2</v>
      </c>
      <c r="AC191">
        <v>5.7544941000000002E-2</v>
      </c>
      <c r="AD191">
        <v>0.870551344</v>
      </c>
      <c r="AE191">
        <v>0.38509908799999998</v>
      </c>
      <c r="AF191">
        <v>1.35214061</v>
      </c>
      <c r="AG191">
        <v>1.231958004</v>
      </c>
      <c r="AH191">
        <v>3.6851940000000001E-3</v>
      </c>
      <c r="AI191">
        <v>0.74338744899999998</v>
      </c>
    </row>
    <row r="192" spans="1:35" x14ac:dyDescent="0.2">
      <c r="A192">
        <v>231</v>
      </c>
      <c r="B192" t="s">
        <v>356</v>
      </c>
      <c r="C192" t="s">
        <v>186</v>
      </c>
      <c r="D192" t="s">
        <v>218</v>
      </c>
      <c r="E192" s="11">
        <v>8.4999999999999999E-6</v>
      </c>
      <c r="F192" s="11">
        <v>2.6599999999999999E-6</v>
      </c>
      <c r="G192">
        <v>0.31232432700000001</v>
      </c>
      <c r="H192">
        <v>0.24986323199999999</v>
      </c>
      <c r="I192" s="11">
        <v>1.1199999999999999E-5</v>
      </c>
      <c r="J192">
        <v>0.46888374999999999</v>
      </c>
      <c r="K192">
        <v>8.6728341E-2</v>
      </c>
      <c r="L192">
        <v>2.9867591849999999</v>
      </c>
      <c r="M192">
        <v>4.9566679000000002E-2</v>
      </c>
      <c r="N192">
        <v>1.7898773999999999E-2</v>
      </c>
      <c r="O192">
        <v>5.5358669999999999E-3</v>
      </c>
      <c r="P192">
        <v>0.26365385000000002</v>
      </c>
      <c r="Q192">
        <v>1.4557548069999999</v>
      </c>
      <c r="R192">
        <v>9.2618365340000004</v>
      </c>
      <c r="S192">
        <v>2.0383688000000001E-2</v>
      </c>
      <c r="T192">
        <v>1.8208556000000001E-2</v>
      </c>
      <c r="U192">
        <v>0.155901071</v>
      </c>
      <c r="V192">
        <v>0.151099539</v>
      </c>
      <c r="W192">
        <v>0.96920141699999995</v>
      </c>
      <c r="X192">
        <v>3.5855848639999999</v>
      </c>
      <c r="Y192">
        <v>4.5694197689999996</v>
      </c>
      <c r="Z192">
        <v>0.32138196400000002</v>
      </c>
      <c r="AA192">
        <v>2.1034115999999999E-2</v>
      </c>
      <c r="AB192">
        <v>0.34635920199999998</v>
      </c>
      <c r="AC192">
        <v>0.101611645</v>
      </c>
      <c r="AD192">
        <v>0.85968067299999995</v>
      </c>
      <c r="AE192">
        <v>0.708886566</v>
      </c>
      <c r="AF192">
        <v>2.21645599</v>
      </c>
      <c r="AG192">
        <v>1.9369843200000001</v>
      </c>
      <c r="AH192">
        <v>6.5072380000000003E-3</v>
      </c>
      <c r="AI192">
        <v>1.2178059029999999</v>
      </c>
    </row>
    <row r="193" spans="1:35" x14ac:dyDescent="0.2">
      <c r="A193">
        <v>232</v>
      </c>
      <c r="B193" t="s">
        <v>357</v>
      </c>
      <c r="C193" t="s">
        <v>186</v>
      </c>
      <c r="D193" t="s">
        <v>220</v>
      </c>
      <c r="E193" s="11">
        <v>9.9000000000000001E-6</v>
      </c>
      <c r="F193" s="11">
        <v>3.1300000000000001E-6</v>
      </c>
      <c r="G193">
        <v>0.316243159</v>
      </c>
      <c r="H193">
        <v>-0.38612363900000002</v>
      </c>
      <c r="I193" s="11">
        <v>1.2999999999999999E-5</v>
      </c>
      <c r="J193">
        <v>0.36421621300000001</v>
      </c>
      <c r="K193">
        <v>6.1292020000000003E-2</v>
      </c>
      <c r="L193">
        <v>2.307881321</v>
      </c>
      <c r="M193">
        <v>3.0810847999999998E-2</v>
      </c>
      <c r="N193">
        <v>1.2652974000000001E-2</v>
      </c>
      <c r="O193">
        <v>3.9122669999999997E-3</v>
      </c>
      <c r="P193">
        <v>0.19130306</v>
      </c>
      <c r="Q193">
        <v>1.133146692</v>
      </c>
      <c r="R193">
        <v>7.181486262</v>
      </c>
      <c r="S193">
        <v>1.7553856E-2</v>
      </c>
      <c r="T193">
        <v>1.6726616999999999E-2</v>
      </c>
      <c r="U193">
        <v>0.13425759700000001</v>
      </c>
      <c r="V193">
        <v>0.13880200500000001</v>
      </c>
      <c r="W193">
        <v>1.033848423</v>
      </c>
      <c r="X193">
        <v>4.125992482</v>
      </c>
      <c r="Y193">
        <v>2.4840402539999999</v>
      </c>
      <c r="Z193">
        <v>0.31118897400000001</v>
      </c>
      <c r="AA193">
        <v>1.1909927000000001E-2</v>
      </c>
      <c r="AB193">
        <v>7.0916296000000004E-2</v>
      </c>
      <c r="AC193">
        <v>5.7512234000000002E-2</v>
      </c>
      <c r="AD193">
        <v>0.87203153200000005</v>
      </c>
      <c r="AE193">
        <v>0.38512776399999998</v>
      </c>
      <c r="AF193">
        <v>1.3523635000000001</v>
      </c>
      <c r="AG193">
        <v>1.231368781</v>
      </c>
      <c r="AH193">
        <v>3.6830999999999999E-3</v>
      </c>
      <c r="AI193">
        <v>0.74350259500000004</v>
      </c>
    </row>
    <row r="194" spans="1:35" x14ac:dyDescent="0.2">
      <c r="A194">
        <v>233</v>
      </c>
      <c r="B194" t="s">
        <v>358</v>
      </c>
      <c r="C194" t="s">
        <v>186</v>
      </c>
      <c r="D194" t="s">
        <v>164</v>
      </c>
      <c r="E194" s="11">
        <v>9.9999999999999995E-7</v>
      </c>
      <c r="F194" s="11">
        <v>5.9599999999999997E-6</v>
      </c>
      <c r="G194">
        <v>5.9493432320000004</v>
      </c>
      <c r="H194">
        <v>-0.95605995700000002</v>
      </c>
      <c r="I194" s="11">
        <v>6.9600000000000003E-6</v>
      </c>
      <c r="J194">
        <v>3.5620588020000001</v>
      </c>
      <c r="K194">
        <v>8.0057059170000002</v>
      </c>
      <c r="L194">
        <v>37.383764640000003</v>
      </c>
      <c r="M194">
        <v>0.428341676</v>
      </c>
      <c r="N194">
        <v>1.3125044000000001E-2</v>
      </c>
      <c r="O194">
        <v>4.0250980000000004E-3</v>
      </c>
      <c r="P194">
        <v>1.3080968100000001</v>
      </c>
      <c r="Q194">
        <v>0.58202459500000003</v>
      </c>
      <c r="R194">
        <v>6.1083411820000002</v>
      </c>
      <c r="S194">
        <v>2.5789474E-2</v>
      </c>
      <c r="T194">
        <v>4.5100317000000001E-2</v>
      </c>
      <c r="U194">
        <v>0.197246278</v>
      </c>
      <c r="V194">
        <v>0.37425466000000002</v>
      </c>
      <c r="W194">
        <v>1.8973978309999999</v>
      </c>
      <c r="X194">
        <v>3.4367595070000001</v>
      </c>
      <c r="Y194">
        <v>3.0932221160000002</v>
      </c>
      <c r="Z194">
        <v>0.33002853900000001</v>
      </c>
      <c r="AA194">
        <v>2.4597623999999998E-2</v>
      </c>
      <c r="AB194">
        <v>-1</v>
      </c>
      <c r="AC194">
        <v>0.118854718</v>
      </c>
      <c r="AD194">
        <v>0.86436599400000003</v>
      </c>
      <c r="AE194">
        <v>0.47460954700000002</v>
      </c>
      <c r="AF194">
        <v>1.420381334</v>
      </c>
      <c r="AG194">
        <v>2.168601738</v>
      </c>
      <c r="AH194">
        <v>7.6114900000000003E-3</v>
      </c>
      <c r="AI194">
        <v>0.78906712999999995</v>
      </c>
    </row>
    <row r="195" spans="1:35" x14ac:dyDescent="0.2">
      <c r="A195">
        <v>234</v>
      </c>
      <c r="B195" t="s">
        <v>359</v>
      </c>
      <c r="C195" t="s">
        <v>186</v>
      </c>
      <c r="D195" t="s">
        <v>166</v>
      </c>
      <c r="E195" s="11">
        <v>1.2500000000000001E-5</v>
      </c>
      <c r="F195" s="11">
        <v>3.9600000000000002E-6</v>
      </c>
      <c r="G195">
        <v>0.31554175499999998</v>
      </c>
      <c r="H195">
        <v>1.3165665E-2</v>
      </c>
      <c r="I195" s="11">
        <v>1.6500000000000001E-5</v>
      </c>
      <c r="J195">
        <v>0.38815758700000003</v>
      </c>
      <c r="K195">
        <v>0.102027033</v>
      </c>
      <c r="L195">
        <v>2.5329995850000002</v>
      </c>
      <c r="M195">
        <v>3.6778114000000001E-2</v>
      </c>
      <c r="N195">
        <v>2.1094486999999999E-2</v>
      </c>
      <c r="O195">
        <v>6.5123810000000002E-3</v>
      </c>
      <c r="P195">
        <v>0.30473997000000003</v>
      </c>
      <c r="Q195">
        <v>1.2125091059999999</v>
      </c>
      <c r="R195">
        <v>7.8845345660000001</v>
      </c>
      <c r="S195">
        <v>2.3266680000000001E-2</v>
      </c>
      <c r="T195">
        <v>2.3489187000000002E-2</v>
      </c>
      <c r="U195">
        <v>0.17795112900000001</v>
      </c>
      <c r="V195">
        <v>0.19491963900000001</v>
      </c>
      <c r="W195">
        <v>1.0953548879999999</v>
      </c>
      <c r="X195">
        <v>3.5817176270000002</v>
      </c>
      <c r="Y195">
        <v>2.5329901939999999</v>
      </c>
      <c r="Z195">
        <v>0.31493746</v>
      </c>
      <c r="AA195">
        <v>2.1129946E-2</v>
      </c>
      <c r="AB195" s="11">
        <v>-3.7100000000000001E-6</v>
      </c>
      <c r="AC195">
        <v>0.102026353</v>
      </c>
      <c r="AD195">
        <v>0.88600822800000001</v>
      </c>
      <c r="AE195">
        <v>0.38815625100000001</v>
      </c>
      <c r="AF195">
        <v>1.2129102970000001</v>
      </c>
      <c r="AG195">
        <v>1.9436414580000001</v>
      </c>
      <c r="AH195">
        <v>6.533797E-3</v>
      </c>
      <c r="AI195">
        <v>0.674667185</v>
      </c>
    </row>
    <row r="196" spans="1:35" x14ac:dyDescent="0.2">
      <c r="A196">
        <v>235</v>
      </c>
      <c r="B196" t="s">
        <v>360</v>
      </c>
      <c r="C196" t="s">
        <v>186</v>
      </c>
      <c r="D196" t="s">
        <v>226</v>
      </c>
      <c r="E196" s="11">
        <v>7.3300000000000001E-6</v>
      </c>
      <c r="F196" s="11">
        <v>2.3E-6</v>
      </c>
      <c r="G196">
        <v>0.31392472500000002</v>
      </c>
      <c r="H196">
        <v>-0.58130214800000002</v>
      </c>
      <c r="I196" s="11">
        <v>9.6299999999999993E-6</v>
      </c>
      <c r="J196">
        <v>0.29915781699999999</v>
      </c>
      <c r="K196">
        <v>4.6534536000000001E-2</v>
      </c>
      <c r="L196">
        <v>1.888015971</v>
      </c>
      <c r="M196">
        <v>4.9209816000000003E-2</v>
      </c>
      <c r="N196">
        <v>9.6013390000000004E-3</v>
      </c>
      <c r="O196">
        <v>2.9702980000000001E-3</v>
      </c>
      <c r="P196">
        <v>0.14476095999999999</v>
      </c>
      <c r="Q196">
        <v>0.930684544</v>
      </c>
      <c r="R196">
        <v>5.8736291759999997</v>
      </c>
      <c r="S196">
        <v>1.6054033999999998E-2</v>
      </c>
      <c r="T196">
        <v>1.5370787E-2</v>
      </c>
      <c r="U196">
        <v>0.122786468</v>
      </c>
      <c r="V196">
        <v>0.12755095799999999</v>
      </c>
      <c r="W196">
        <v>1.0388030539999999</v>
      </c>
      <c r="X196">
        <v>5.1208326380000004</v>
      </c>
      <c r="Y196">
        <v>1.0318355180000001</v>
      </c>
      <c r="Z196">
        <v>0.29006839600000001</v>
      </c>
      <c r="AA196">
        <v>4.1678929999999998E-3</v>
      </c>
      <c r="AB196">
        <v>-0.82976447099999995</v>
      </c>
      <c r="AC196">
        <v>2.0170601999999999E-2</v>
      </c>
      <c r="AD196">
        <v>0.84061593000000001</v>
      </c>
      <c r="AE196">
        <v>0.16036768600000001</v>
      </c>
      <c r="AF196">
        <v>0.62319136799999997</v>
      </c>
      <c r="AG196">
        <v>0.47787344599999998</v>
      </c>
      <c r="AH196">
        <v>1.291731E-3</v>
      </c>
      <c r="AI196">
        <v>0.34178230799999998</v>
      </c>
    </row>
    <row r="197" spans="1:35" x14ac:dyDescent="0.2">
      <c r="A197">
        <v>236</v>
      </c>
      <c r="B197" t="s">
        <v>361</v>
      </c>
      <c r="C197" t="s">
        <v>186</v>
      </c>
      <c r="D197" t="s">
        <v>168</v>
      </c>
      <c r="E197" s="11">
        <v>4.1099999999999996E-6</v>
      </c>
      <c r="F197" s="11">
        <v>1.28E-6</v>
      </c>
      <c r="G197">
        <v>0.31189066900000001</v>
      </c>
      <c r="H197">
        <v>-1.343944284</v>
      </c>
      <c r="I197" s="11">
        <v>5.3900000000000001E-6</v>
      </c>
      <c r="J197">
        <v>0.29192987799999998</v>
      </c>
      <c r="K197">
        <v>5.0715573E-2</v>
      </c>
      <c r="L197">
        <v>1.8530104140000001</v>
      </c>
      <c r="M197">
        <v>4.6860713999999998E-2</v>
      </c>
      <c r="N197">
        <v>1.0409217E-2</v>
      </c>
      <c r="O197">
        <v>3.2371729999999999E-3</v>
      </c>
      <c r="P197">
        <v>0.29311490000000001</v>
      </c>
      <c r="Q197">
        <v>0.93869601999999996</v>
      </c>
      <c r="R197">
        <v>6.2184059280000001</v>
      </c>
      <c r="S197">
        <v>8.2965690000000002E-3</v>
      </c>
      <c r="T197">
        <v>7.9379269999999991E-3</v>
      </c>
      <c r="U197">
        <v>6.3454854000000005E-2</v>
      </c>
      <c r="V197">
        <v>6.5871068000000005E-2</v>
      </c>
      <c r="W197">
        <v>1.0380776860000001</v>
      </c>
      <c r="X197">
        <v>4.5892121360000004</v>
      </c>
      <c r="Y197">
        <v>1.498361193</v>
      </c>
      <c r="Z197">
        <v>0.28127628799999999</v>
      </c>
      <c r="AA197">
        <v>7.289195E-3</v>
      </c>
      <c r="AB197">
        <v>-0.23669140799999999</v>
      </c>
      <c r="AC197">
        <v>3.5308793999999998E-2</v>
      </c>
      <c r="AD197">
        <v>0.85483512699999997</v>
      </c>
      <c r="AE197">
        <v>0.23224228499999999</v>
      </c>
      <c r="AF197">
        <v>0.92122409400000005</v>
      </c>
      <c r="AG197">
        <v>1.2105167429999999</v>
      </c>
      <c r="AH197">
        <v>2.2611850000000002E-3</v>
      </c>
      <c r="AI197">
        <v>0.50994012799999999</v>
      </c>
    </row>
    <row r="198" spans="1:35" x14ac:dyDescent="0.2">
      <c r="A198">
        <v>237</v>
      </c>
      <c r="B198" t="s">
        <v>362</v>
      </c>
      <c r="C198" t="s">
        <v>188</v>
      </c>
      <c r="D198" t="s">
        <v>129</v>
      </c>
      <c r="E198" s="11">
        <v>8.8000000000000004E-6</v>
      </c>
      <c r="F198" s="11">
        <v>2.8899999999999999E-6</v>
      </c>
      <c r="G198">
        <v>0.328303242</v>
      </c>
      <c r="H198">
        <v>0.92285786599999997</v>
      </c>
      <c r="I198" s="11">
        <v>1.17E-5</v>
      </c>
      <c r="J198">
        <v>0.61199166699999996</v>
      </c>
      <c r="K198">
        <v>0.19365512900000001</v>
      </c>
      <c r="L198">
        <v>4.059260257</v>
      </c>
      <c r="M198">
        <v>9.5135568000000004E-2</v>
      </c>
      <c r="N198">
        <v>2.4452521000000001E-2</v>
      </c>
      <c r="O198">
        <v>7.5501159999999999E-3</v>
      </c>
      <c r="P198">
        <v>0.56744178999999995</v>
      </c>
      <c r="Q198">
        <v>1.8009506689999999</v>
      </c>
      <c r="R198">
        <v>11.940587600000001</v>
      </c>
      <c r="S198">
        <v>4.5179915000000001E-2</v>
      </c>
      <c r="T198">
        <v>3.9974411000000001E-2</v>
      </c>
      <c r="U198">
        <v>0.34555067299999997</v>
      </c>
      <c r="V198">
        <v>0.33171850000000003</v>
      </c>
      <c r="W198">
        <v>0.95997063800000004</v>
      </c>
      <c r="X198">
        <v>2.2314644110000001</v>
      </c>
      <c r="Y198">
        <v>101.96971019999999</v>
      </c>
      <c r="Z198">
        <v>0.443469642</v>
      </c>
      <c r="AA198">
        <v>0.120343293</v>
      </c>
      <c r="AB198">
        <v>0.96019150900000005</v>
      </c>
      <c r="AC198">
        <v>194.88914320000001</v>
      </c>
      <c r="AD198">
        <v>0.94512607699999995</v>
      </c>
      <c r="AE198">
        <v>7.7859641699999997</v>
      </c>
      <c r="AF198">
        <v>9.9936450800000003</v>
      </c>
      <c r="AG198">
        <v>738.49591480000004</v>
      </c>
      <c r="AH198">
        <v>3.9687274000000002E-2</v>
      </c>
      <c r="AI198">
        <v>8.8127809250000002</v>
      </c>
    </row>
    <row r="199" spans="1:35" x14ac:dyDescent="0.2">
      <c r="A199">
        <v>238</v>
      </c>
      <c r="B199" t="s">
        <v>363</v>
      </c>
      <c r="C199" t="s">
        <v>188</v>
      </c>
      <c r="D199" t="s">
        <v>130</v>
      </c>
      <c r="E199" s="11">
        <v>1.5699999999999999E-5</v>
      </c>
      <c r="F199" s="11">
        <v>5.0900000000000004E-6</v>
      </c>
      <c r="G199">
        <v>0.323966747</v>
      </c>
      <c r="H199">
        <v>0.42775175399999998</v>
      </c>
      <c r="I199" s="11">
        <v>2.0800000000000001E-5</v>
      </c>
      <c r="J199">
        <v>1.6151324789999999</v>
      </c>
      <c r="K199">
        <v>5.4975797999999999E-2</v>
      </c>
      <c r="L199">
        <v>9.8007464669999997</v>
      </c>
      <c r="M199">
        <v>1.0839288000000001E-2</v>
      </c>
      <c r="N199">
        <v>6.3226141999999999E-2</v>
      </c>
      <c r="O199">
        <v>1.9756721000000001E-2</v>
      </c>
      <c r="P199">
        <v>0.14786537999999999</v>
      </c>
      <c r="Q199">
        <v>4.3441330049999998</v>
      </c>
      <c r="R199">
        <v>26.36052879</v>
      </c>
      <c r="S199">
        <v>7.8880943999999995E-2</v>
      </c>
      <c r="T199">
        <v>7.2565358999999996E-2</v>
      </c>
      <c r="U199">
        <v>0.60330709199999999</v>
      </c>
      <c r="V199">
        <v>0.60216702899999996</v>
      </c>
      <c r="W199">
        <v>0.99811031100000003</v>
      </c>
      <c r="X199">
        <v>2.3342929840000002</v>
      </c>
      <c r="Y199">
        <v>76.330047460000003</v>
      </c>
      <c r="Z199">
        <v>0.458102966</v>
      </c>
      <c r="AA199">
        <v>9.9621098000000005E-2</v>
      </c>
      <c r="AB199">
        <v>0.87160041399999999</v>
      </c>
      <c r="AC199">
        <v>5.633746446</v>
      </c>
      <c r="AD199">
        <v>0.95235445799999996</v>
      </c>
      <c r="AE199">
        <v>9.5636699459999992</v>
      </c>
      <c r="AF199">
        <v>10.00309734</v>
      </c>
      <c r="AG199">
        <v>40.387185369999997</v>
      </c>
      <c r="AH199">
        <v>3.2772164999999999E-2</v>
      </c>
      <c r="AI199">
        <v>6.9606206400000001</v>
      </c>
    </row>
    <row r="200" spans="1:35" x14ac:dyDescent="0.2">
      <c r="A200">
        <v>239</v>
      </c>
      <c r="B200" t="s">
        <v>364</v>
      </c>
      <c r="C200" t="s">
        <v>188</v>
      </c>
      <c r="D200" t="s">
        <v>132</v>
      </c>
      <c r="E200" s="11">
        <v>1.04E-6</v>
      </c>
      <c r="F200" s="11">
        <v>3.2800000000000003E-7</v>
      </c>
      <c r="G200">
        <v>0.314691677</v>
      </c>
      <c r="H200">
        <v>0.184166951</v>
      </c>
      <c r="I200" s="11">
        <v>1.37E-6</v>
      </c>
      <c r="J200">
        <v>0.290485879</v>
      </c>
      <c r="K200">
        <v>1.1590529999999999E-3</v>
      </c>
      <c r="L200">
        <v>1.7452333790000001</v>
      </c>
      <c r="M200">
        <v>1.106304E-3</v>
      </c>
      <c r="N200">
        <v>1.2987459999999999E-3</v>
      </c>
      <c r="O200">
        <v>4.1653000000000003E-4</v>
      </c>
      <c r="P200">
        <v>3.5985000000000001E-3</v>
      </c>
      <c r="Q200">
        <v>0.90239270299999996</v>
      </c>
      <c r="R200">
        <v>5.4215532140000002</v>
      </c>
      <c r="S200">
        <v>2.2023310000000001E-3</v>
      </c>
      <c r="T200">
        <v>1.86678E-3</v>
      </c>
      <c r="U200">
        <v>1.6844142999999999E-2</v>
      </c>
      <c r="V200">
        <v>1.5491049E-2</v>
      </c>
      <c r="W200">
        <v>0.91966976300000003</v>
      </c>
      <c r="X200">
        <v>2.7695117699999998</v>
      </c>
      <c r="Y200">
        <v>37.469473899999997</v>
      </c>
      <c r="Z200">
        <v>0.43613486699999998</v>
      </c>
      <c r="AA200">
        <v>4.4227315000000003E-2</v>
      </c>
      <c r="AB200">
        <v>0.95342252800000005</v>
      </c>
      <c r="AC200">
        <v>2.5054388589999999</v>
      </c>
      <c r="AD200">
        <v>0.94907395000000006</v>
      </c>
      <c r="AE200">
        <v>4.7016143860000001</v>
      </c>
      <c r="AF200">
        <v>5.3609939539999996</v>
      </c>
      <c r="AG200">
        <v>19.575920740000001</v>
      </c>
      <c r="AH200">
        <v>1.4574432E-2</v>
      </c>
      <c r="AI200">
        <v>3.72492081</v>
      </c>
    </row>
    <row r="201" spans="1:35" x14ac:dyDescent="0.2">
      <c r="A201">
        <v>240</v>
      </c>
      <c r="B201" t="s">
        <v>365</v>
      </c>
      <c r="C201" t="s">
        <v>188</v>
      </c>
      <c r="D201" t="s">
        <v>134</v>
      </c>
      <c r="E201" s="11">
        <v>1.6399999999999999E-5</v>
      </c>
      <c r="F201" s="11">
        <v>7.5499999999999997E-6</v>
      </c>
      <c r="G201">
        <v>0.46042544600000002</v>
      </c>
      <c r="H201">
        <v>0.41034284300000001</v>
      </c>
      <c r="I201" s="11">
        <v>2.3900000000000002E-5</v>
      </c>
      <c r="J201">
        <v>1.8075982589999999</v>
      </c>
      <c r="K201">
        <v>6.2307108999999999E-2</v>
      </c>
      <c r="L201">
        <v>10.970203769999999</v>
      </c>
      <c r="M201">
        <v>1.1350285999999999E-2</v>
      </c>
      <c r="N201">
        <v>7.2706722000000001E-2</v>
      </c>
      <c r="O201">
        <v>2.2391383000000001E-2</v>
      </c>
      <c r="P201">
        <v>0.1175407</v>
      </c>
      <c r="Q201">
        <v>3.4089805439999998</v>
      </c>
      <c r="R201">
        <v>20.688964670000001</v>
      </c>
      <c r="S201">
        <v>9.8509068000000005E-2</v>
      </c>
      <c r="T201">
        <v>0.11093916299999999</v>
      </c>
      <c r="U201">
        <v>0.75342936199999999</v>
      </c>
      <c r="V201">
        <v>0.92060325799999998</v>
      </c>
      <c r="W201">
        <v>1.2218839669999999</v>
      </c>
      <c r="X201">
        <v>2.1735186799999999</v>
      </c>
      <c r="Y201">
        <v>73.30021859</v>
      </c>
      <c r="Z201">
        <v>0.59587560299999998</v>
      </c>
      <c r="AA201">
        <v>0.134433464</v>
      </c>
      <c r="AB201">
        <v>0.85033873000000004</v>
      </c>
      <c r="AC201">
        <v>7.599723236</v>
      </c>
      <c r="AD201">
        <v>0.97692102999999997</v>
      </c>
      <c r="AE201">
        <v>9.1257341749999998</v>
      </c>
      <c r="AF201">
        <v>7.2423014290000003</v>
      </c>
      <c r="AG201">
        <v>41.342067669999999</v>
      </c>
      <c r="AH201">
        <v>4.4208482E-2</v>
      </c>
      <c r="AI201">
        <v>5.0717492789999996</v>
      </c>
    </row>
    <row r="202" spans="1:35" x14ac:dyDescent="0.2">
      <c r="A202">
        <v>241</v>
      </c>
      <c r="B202" t="s">
        <v>366</v>
      </c>
      <c r="C202" t="s">
        <v>188</v>
      </c>
      <c r="D202" t="s">
        <v>136</v>
      </c>
      <c r="E202" s="11">
        <v>1.08E-5</v>
      </c>
      <c r="F202" s="11">
        <v>3.4300000000000002E-6</v>
      </c>
      <c r="G202">
        <v>0.31888928900000002</v>
      </c>
      <c r="H202">
        <v>0.97461630899999996</v>
      </c>
      <c r="I202" s="11">
        <v>1.42E-5</v>
      </c>
      <c r="J202">
        <v>0.31011050099999998</v>
      </c>
      <c r="K202">
        <v>1.2260228999999999E-2</v>
      </c>
      <c r="L202">
        <v>1.885183466</v>
      </c>
      <c r="M202">
        <v>1.3018539000000001E-2</v>
      </c>
      <c r="N202">
        <v>1.4273719000000001E-2</v>
      </c>
      <c r="O202">
        <v>4.405974E-3</v>
      </c>
      <c r="P202">
        <v>3.752664E-2</v>
      </c>
      <c r="Q202">
        <v>0.94919960699999995</v>
      </c>
      <c r="R202">
        <v>5.7702509180000003</v>
      </c>
      <c r="S202">
        <v>2.4286393E-2</v>
      </c>
      <c r="T202">
        <v>2.2480422E-2</v>
      </c>
      <c r="U202">
        <v>0.18575022599999999</v>
      </c>
      <c r="V202">
        <v>0.18654864099999999</v>
      </c>
      <c r="W202">
        <v>1.004298326</v>
      </c>
      <c r="X202">
        <v>2.2574348089999998</v>
      </c>
      <c r="Y202">
        <v>50.638895079999998</v>
      </c>
      <c r="Z202">
        <v>0.472175972</v>
      </c>
      <c r="AA202">
        <v>0.114929538</v>
      </c>
      <c r="AB202">
        <v>0.962772026</v>
      </c>
      <c r="AC202">
        <v>6.500459276</v>
      </c>
      <c r="AD202">
        <v>0.95235534899999996</v>
      </c>
      <c r="AE202">
        <v>6.2711447209999998</v>
      </c>
      <c r="AF202">
        <v>6.4042166250000001</v>
      </c>
      <c r="AG202">
        <v>45.494425669999998</v>
      </c>
      <c r="AH202">
        <v>3.7813935E-2</v>
      </c>
      <c r="AI202">
        <v>4.5086348799999998</v>
      </c>
    </row>
    <row r="203" spans="1:35" x14ac:dyDescent="0.2">
      <c r="A203">
        <v>242</v>
      </c>
      <c r="B203" t="s">
        <v>367</v>
      </c>
      <c r="C203" t="s">
        <v>188</v>
      </c>
      <c r="D203" t="s">
        <v>138</v>
      </c>
      <c r="E203" s="11">
        <v>1.29E-5</v>
      </c>
      <c r="F203" s="11">
        <v>5.0000000000000004E-6</v>
      </c>
      <c r="G203">
        <v>0.38816720799999999</v>
      </c>
      <c r="H203">
        <v>0.67801881500000005</v>
      </c>
      <c r="I203" s="11">
        <v>1.7900000000000001E-5</v>
      </c>
      <c r="J203">
        <v>5.6846071440000001</v>
      </c>
      <c r="K203">
        <v>0.178004464</v>
      </c>
      <c r="L203">
        <v>34.46365179</v>
      </c>
      <c r="M203">
        <v>6.1702900000000001E-3</v>
      </c>
      <c r="N203">
        <v>9.9539214000000001E-2</v>
      </c>
      <c r="O203">
        <v>3.6295577000000002E-2</v>
      </c>
      <c r="P203">
        <v>0.48141140999999998</v>
      </c>
      <c r="Q203">
        <v>6.6969037990000002</v>
      </c>
      <c r="R203">
        <v>41.144245609999999</v>
      </c>
      <c r="S203">
        <v>0.19973031599999999</v>
      </c>
      <c r="T203">
        <v>0.17535278300000001</v>
      </c>
      <c r="U203">
        <v>1.527602364</v>
      </c>
      <c r="V203">
        <v>1.455124949</v>
      </c>
      <c r="W203">
        <v>0.95255478999999998</v>
      </c>
      <c r="X203">
        <v>1.6286636290000001</v>
      </c>
      <c r="Y203">
        <v>469.13006710000002</v>
      </c>
      <c r="Z203">
        <v>0.55148826399999995</v>
      </c>
      <c r="AA203">
        <v>0.35429770900000002</v>
      </c>
      <c r="AB203">
        <v>0.92653710700000003</v>
      </c>
      <c r="AC203">
        <v>20.958588299999999</v>
      </c>
      <c r="AD203">
        <v>0.98210573700000003</v>
      </c>
      <c r="AE203">
        <v>59.143016439999997</v>
      </c>
      <c r="AF203">
        <v>32.020930319999998</v>
      </c>
      <c r="AG203">
        <v>96.677912250000006</v>
      </c>
      <c r="AH203">
        <v>0.121918571</v>
      </c>
      <c r="AI203">
        <v>22.19484482</v>
      </c>
    </row>
    <row r="204" spans="1:35" x14ac:dyDescent="0.2">
      <c r="A204">
        <v>243</v>
      </c>
      <c r="B204" t="s">
        <v>368</v>
      </c>
      <c r="C204" t="s">
        <v>188</v>
      </c>
      <c r="D204" t="s">
        <v>182</v>
      </c>
      <c r="E204" s="11">
        <v>1.0100000000000001E-6</v>
      </c>
      <c r="F204" s="11">
        <v>4.1899999999999998E-7</v>
      </c>
      <c r="G204">
        <v>0.41369865900000002</v>
      </c>
      <c r="H204">
        <v>8.2194488999999996E-2</v>
      </c>
      <c r="I204" s="11">
        <v>1.4300000000000001E-6</v>
      </c>
      <c r="J204">
        <v>2.450722479</v>
      </c>
      <c r="K204">
        <v>0</v>
      </c>
      <c r="L204">
        <v>14.70433487</v>
      </c>
      <c r="M204">
        <v>0</v>
      </c>
      <c r="N204">
        <v>1.2779248999999999E-2</v>
      </c>
      <c r="O204">
        <v>4.0195910000000003E-3</v>
      </c>
      <c r="P204">
        <v>0</v>
      </c>
      <c r="Q204">
        <v>5.6771032229999996</v>
      </c>
      <c r="R204">
        <v>34.062619339999998</v>
      </c>
      <c r="S204">
        <v>2.5655686E-2</v>
      </c>
      <c r="T204">
        <v>2.1771417000000001E-2</v>
      </c>
      <c r="U204">
        <v>0.19622302599999999</v>
      </c>
      <c r="V204">
        <v>0.18066512100000001</v>
      </c>
      <c r="W204">
        <v>0.92071315300000001</v>
      </c>
      <c r="X204">
        <v>1.5292341840000001</v>
      </c>
      <c r="Y204">
        <v>1025.874143</v>
      </c>
      <c r="Z204">
        <v>0.799436284</v>
      </c>
      <c r="AA204">
        <v>0.44309453799999998</v>
      </c>
      <c r="AB204">
        <v>0.98566653100000001</v>
      </c>
      <c r="AC204">
        <v>1562.5217990000001</v>
      </c>
      <c r="AD204">
        <v>1.041916201</v>
      </c>
      <c r="AE204">
        <v>88.936228470000003</v>
      </c>
      <c r="AF204">
        <v>44.788005409999997</v>
      </c>
      <c r="AG204">
        <v>3935.4018620000002</v>
      </c>
      <c r="AH204">
        <v>0.14671263100000001</v>
      </c>
      <c r="AI204">
        <v>41.161703520000003</v>
      </c>
    </row>
    <row r="205" spans="1:35" x14ac:dyDescent="0.2">
      <c r="A205">
        <v>244</v>
      </c>
      <c r="B205" t="s">
        <v>369</v>
      </c>
      <c r="C205" t="s">
        <v>188</v>
      </c>
      <c r="D205" t="s">
        <v>140</v>
      </c>
      <c r="E205" s="11">
        <v>9.2799999999999992E-6</v>
      </c>
      <c r="F205" s="11">
        <v>2.9100000000000001E-6</v>
      </c>
      <c r="G205">
        <v>0.31390362900000002</v>
      </c>
      <c r="H205">
        <v>0.73014319999999999</v>
      </c>
      <c r="I205" s="11">
        <v>1.22E-5</v>
      </c>
      <c r="J205">
        <v>0.35002021100000003</v>
      </c>
      <c r="K205">
        <v>1.0094799999999999E-2</v>
      </c>
      <c r="L205">
        <v>2.1203108629999998</v>
      </c>
      <c r="M205">
        <v>9.2564280000000006E-3</v>
      </c>
      <c r="N205">
        <v>1.1716386000000001E-2</v>
      </c>
      <c r="O205">
        <v>3.6277810000000001E-3</v>
      </c>
      <c r="P205">
        <v>3.1138849999999999E-2</v>
      </c>
      <c r="Q205">
        <v>1.0930695500000001</v>
      </c>
      <c r="R205">
        <v>6.6206949980000003</v>
      </c>
      <c r="S205">
        <v>1.8754874000000001E-2</v>
      </c>
      <c r="T205">
        <v>1.7004787E-2</v>
      </c>
      <c r="U205">
        <v>0.14344336999999999</v>
      </c>
      <c r="V205">
        <v>0.141110337</v>
      </c>
      <c r="W205">
        <v>0.98373551199999998</v>
      </c>
      <c r="X205">
        <v>2.870958914</v>
      </c>
      <c r="Y205">
        <v>32.694353739999997</v>
      </c>
      <c r="Z205">
        <v>0.437848972</v>
      </c>
      <c r="AA205">
        <v>3.6627345999999998E-2</v>
      </c>
      <c r="AB205">
        <v>0.93514749100000005</v>
      </c>
      <c r="AC205">
        <v>2.0742194280000001</v>
      </c>
      <c r="AD205">
        <v>0.92974742099999996</v>
      </c>
      <c r="AE205">
        <v>4.1054203539999996</v>
      </c>
      <c r="AF205">
        <v>4.7420951679999996</v>
      </c>
      <c r="AG205">
        <v>16.41963938</v>
      </c>
      <c r="AH205">
        <v>1.2065978E-2</v>
      </c>
      <c r="AI205">
        <v>3.292511722</v>
      </c>
    </row>
    <row r="206" spans="1:35" x14ac:dyDescent="0.2">
      <c r="A206">
        <v>245</v>
      </c>
      <c r="B206" t="s">
        <v>370</v>
      </c>
      <c r="C206" t="s">
        <v>188</v>
      </c>
      <c r="D206" t="s">
        <v>142</v>
      </c>
      <c r="E206" s="11">
        <v>3.8099999999999999E-6</v>
      </c>
      <c r="F206" s="11">
        <v>7.9300000000000003E-6</v>
      </c>
      <c r="G206">
        <v>2.078527953</v>
      </c>
      <c r="H206">
        <v>0.26744080199999998</v>
      </c>
      <c r="I206" s="11">
        <v>1.17E-5</v>
      </c>
      <c r="J206">
        <v>4.4887674730000002</v>
      </c>
      <c r="K206">
        <v>3.3564424000000002E-2</v>
      </c>
      <c r="L206">
        <v>26.999733679999999</v>
      </c>
      <c r="M206">
        <v>2.4862539999999998E-3</v>
      </c>
      <c r="N206">
        <v>3.9313438999999999E-2</v>
      </c>
      <c r="O206">
        <v>1.2062088E-2</v>
      </c>
      <c r="P206">
        <v>1.5095280000000001E-2</v>
      </c>
      <c r="Q206">
        <v>2.0187809040000002</v>
      </c>
      <c r="R206">
        <v>12.14287599</v>
      </c>
      <c r="S206">
        <v>7.5136973999999995E-2</v>
      </c>
      <c r="T206">
        <v>8.1068136999999998E-2</v>
      </c>
      <c r="U206">
        <v>0.57467199599999996</v>
      </c>
      <c r="V206">
        <v>0.67272538199999998</v>
      </c>
      <c r="W206">
        <v>1.170624959</v>
      </c>
      <c r="X206">
        <v>1.5293897380000001</v>
      </c>
      <c r="Y206">
        <v>962.15979189999996</v>
      </c>
      <c r="Z206">
        <v>1.752072222</v>
      </c>
      <c r="AA206">
        <v>0.45935891400000001</v>
      </c>
      <c r="AB206">
        <v>0.97193841000000003</v>
      </c>
      <c r="AC206">
        <v>1224.9004520000001</v>
      </c>
      <c r="AD206">
        <v>1.1587155039999999</v>
      </c>
      <c r="AE206">
        <v>89.820123510000002</v>
      </c>
      <c r="AF206">
        <v>22.917476319999999</v>
      </c>
      <c r="AG206">
        <v>2101.442337</v>
      </c>
      <c r="AH206">
        <v>0.146670146</v>
      </c>
      <c r="AI206">
        <v>21.29555354</v>
      </c>
    </row>
    <row r="207" spans="1:35" x14ac:dyDescent="0.2">
      <c r="A207">
        <v>246</v>
      </c>
      <c r="B207" t="s">
        <v>371</v>
      </c>
      <c r="C207" t="s">
        <v>188</v>
      </c>
      <c r="D207" t="s">
        <v>144</v>
      </c>
      <c r="E207" s="11">
        <v>1.6699999999999999E-5</v>
      </c>
      <c r="F207" s="11">
        <v>5.3900000000000001E-6</v>
      </c>
      <c r="G207">
        <v>0.323482942</v>
      </c>
      <c r="H207">
        <v>0.68503350600000001</v>
      </c>
      <c r="I207" s="11">
        <v>2.1999999999999999E-5</v>
      </c>
      <c r="J207">
        <v>0.778496831</v>
      </c>
      <c r="K207">
        <v>3.6278614000000001E-2</v>
      </c>
      <c r="L207">
        <v>4.7435382160000001</v>
      </c>
      <c r="M207">
        <v>1.5291051E-2</v>
      </c>
      <c r="N207">
        <v>4.2297596999999999E-2</v>
      </c>
      <c r="O207">
        <v>1.3037491E-2</v>
      </c>
      <c r="P207">
        <v>0.10001752</v>
      </c>
      <c r="Q207">
        <v>2.1463101710000001</v>
      </c>
      <c r="R207">
        <v>13.07789606</v>
      </c>
      <c r="S207">
        <v>7.1510761000000006E-2</v>
      </c>
      <c r="T207">
        <v>6.5373421000000001E-2</v>
      </c>
      <c r="U207">
        <v>0.54693753599999995</v>
      </c>
      <c r="V207">
        <v>0.54248637899999996</v>
      </c>
      <c r="W207">
        <v>0.99186167199999997</v>
      </c>
      <c r="X207">
        <v>2.075333697</v>
      </c>
      <c r="Y207">
        <v>70.706658619999999</v>
      </c>
      <c r="Z207">
        <v>0.45741679000000002</v>
      </c>
      <c r="AA207">
        <v>0.16136752300000001</v>
      </c>
      <c r="AB207">
        <v>0.93291242600000002</v>
      </c>
      <c r="AC207">
        <v>9.1240813840000001</v>
      </c>
      <c r="AD207">
        <v>0.96962694900000002</v>
      </c>
      <c r="AE207">
        <v>8.7550797310000004</v>
      </c>
      <c r="AF207">
        <v>8.3374562890000004</v>
      </c>
      <c r="AG207">
        <v>59.558858579999999</v>
      </c>
      <c r="AH207">
        <v>5.3075852999999999E-2</v>
      </c>
      <c r="AI207">
        <v>5.8705370009999998</v>
      </c>
    </row>
    <row r="208" spans="1:35" x14ac:dyDescent="0.2">
      <c r="A208">
        <v>247</v>
      </c>
      <c r="B208" t="s">
        <v>372</v>
      </c>
      <c r="C208" t="s">
        <v>188</v>
      </c>
      <c r="D208" t="s">
        <v>146</v>
      </c>
      <c r="E208" s="11">
        <v>1.5299999999999999E-5</v>
      </c>
      <c r="F208" s="11">
        <v>5.2399999999999998E-6</v>
      </c>
      <c r="G208">
        <v>0.34193008699999999</v>
      </c>
      <c r="H208">
        <v>0.42946141100000002</v>
      </c>
      <c r="I208" s="11">
        <v>2.0599999999999999E-5</v>
      </c>
      <c r="J208">
        <v>1.627730414</v>
      </c>
      <c r="K208">
        <v>5.5395705000000003E-2</v>
      </c>
      <c r="L208">
        <v>9.8771738920000001</v>
      </c>
      <c r="M208">
        <v>1.0839448999999999E-2</v>
      </c>
      <c r="N208">
        <v>6.3721443000000003E-2</v>
      </c>
      <c r="O208">
        <v>1.9907622999999999E-2</v>
      </c>
      <c r="P208">
        <v>0.14888762</v>
      </c>
      <c r="Q208">
        <v>4.374868158</v>
      </c>
      <c r="R208">
        <v>26.546984179999999</v>
      </c>
      <c r="S208">
        <v>7.9232732E-2</v>
      </c>
      <c r="T208">
        <v>7.3095252999999999E-2</v>
      </c>
      <c r="U208">
        <v>0.60599768300000001</v>
      </c>
      <c r="V208">
        <v>0.60656423500000001</v>
      </c>
      <c r="W208">
        <v>1.0009349080000001</v>
      </c>
      <c r="X208">
        <v>2.3309723889999998</v>
      </c>
      <c r="Y208">
        <v>76.785461600000005</v>
      </c>
      <c r="Z208">
        <v>0.45052986499999997</v>
      </c>
      <c r="AA208">
        <v>0.10023655300000001</v>
      </c>
      <c r="AB208">
        <v>0.87136661400000004</v>
      </c>
      <c r="AC208">
        <v>5.6686847570000003</v>
      </c>
      <c r="AD208">
        <v>0.95167613399999995</v>
      </c>
      <c r="AE208">
        <v>9.6206951370000002</v>
      </c>
      <c r="AF208">
        <v>10.05282865</v>
      </c>
      <c r="AG208">
        <v>40.601141249999998</v>
      </c>
      <c r="AH208">
        <v>3.2975404999999999E-2</v>
      </c>
      <c r="AI208">
        <v>6.9952610589999997</v>
      </c>
    </row>
    <row r="209" spans="1:35" x14ac:dyDescent="0.2">
      <c r="A209">
        <v>248</v>
      </c>
      <c r="B209" t="s">
        <v>373</v>
      </c>
      <c r="C209" t="s">
        <v>188</v>
      </c>
      <c r="D209" t="s">
        <v>200</v>
      </c>
      <c r="E209" s="11">
        <v>7.3000000000000004E-6</v>
      </c>
      <c r="F209" s="11">
        <v>5.4500000000000003E-6</v>
      </c>
      <c r="G209">
        <v>0.74643574999999995</v>
      </c>
      <c r="H209">
        <v>0.13481388399999999</v>
      </c>
      <c r="I209" s="11">
        <v>1.2799999999999999E-5</v>
      </c>
      <c r="J209">
        <v>7.348598075</v>
      </c>
      <c r="K209">
        <v>0.239059086</v>
      </c>
      <c r="L209">
        <v>44.569706619999998</v>
      </c>
      <c r="M209">
        <v>4.9022099999999999E-4</v>
      </c>
      <c r="N209">
        <v>0.12611714299999999</v>
      </c>
      <c r="O209">
        <v>3.8175302000000001E-2</v>
      </c>
      <c r="P209">
        <v>0.13435717999999999</v>
      </c>
      <c r="Q209">
        <v>8.3888054539999999</v>
      </c>
      <c r="R209">
        <v>50.601547089999997</v>
      </c>
      <c r="S209">
        <v>0.19730876</v>
      </c>
      <c r="T209">
        <v>0.213199676</v>
      </c>
      <c r="U209">
        <v>1.5090815200000001</v>
      </c>
      <c r="V209">
        <v>1.7691887239999999</v>
      </c>
      <c r="W209">
        <v>1.172361268</v>
      </c>
      <c r="X209">
        <v>2.1630771929999999</v>
      </c>
      <c r="Y209">
        <v>106.1796846</v>
      </c>
      <c r="Z209">
        <v>0.47088080599999999</v>
      </c>
      <c r="AA209">
        <v>0.136863491</v>
      </c>
      <c r="AB209">
        <v>0.58024261600000004</v>
      </c>
      <c r="AC209">
        <v>7.7489105199999999</v>
      </c>
      <c r="AD209">
        <v>0.93126493399999999</v>
      </c>
      <c r="AE209">
        <v>13.30598277</v>
      </c>
      <c r="AF209">
        <v>13.124710459999999</v>
      </c>
      <c r="AG209">
        <v>52.382078489999998</v>
      </c>
      <c r="AH209">
        <v>4.5076323000000001E-2</v>
      </c>
      <c r="AI209">
        <v>9.1311642089999996</v>
      </c>
    </row>
    <row r="210" spans="1:35" x14ac:dyDescent="0.2">
      <c r="A210">
        <v>249</v>
      </c>
      <c r="B210" t="s">
        <v>374</v>
      </c>
      <c r="C210" t="s">
        <v>188</v>
      </c>
      <c r="D210" t="s">
        <v>148</v>
      </c>
      <c r="E210" s="11">
        <v>8.2300000000000008E-6</v>
      </c>
      <c r="F210" s="11">
        <v>2.5900000000000002E-6</v>
      </c>
      <c r="G210">
        <v>0.31408813600000002</v>
      </c>
      <c r="H210">
        <v>1.3480237690000001</v>
      </c>
      <c r="I210" s="11">
        <v>1.08E-5</v>
      </c>
      <c r="J210">
        <v>0.22962318500000001</v>
      </c>
      <c r="K210">
        <v>7.4849399999999998E-3</v>
      </c>
      <c r="L210">
        <v>1.39270899</v>
      </c>
      <c r="M210">
        <v>1.075214E-2</v>
      </c>
      <c r="N210">
        <v>8.6997979999999999E-3</v>
      </c>
      <c r="O210">
        <v>2.6898719999999998E-3</v>
      </c>
      <c r="P210">
        <v>2.3376950000000001E-2</v>
      </c>
      <c r="Q210">
        <v>0.71723962299999999</v>
      </c>
      <c r="R210">
        <v>4.3501916380000001</v>
      </c>
      <c r="S210">
        <v>1.6637638999999999E-2</v>
      </c>
      <c r="T210">
        <v>1.4718836000000001E-2</v>
      </c>
      <c r="U210">
        <v>0.127250066</v>
      </c>
      <c r="V210">
        <v>0.122140894</v>
      </c>
      <c r="W210">
        <v>0.95984935699999996</v>
      </c>
      <c r="X210">
        <v>2.8143718930000001</v>
      </c>
      <c r="Y210">
        <v>24.415456079999998</v>
      </c>
      <c r="Z210">
        <v>0.43182558300000001</v>
      </c>
      <c r="AA210">
        <v>4.0687980999999998E-2</v>
      </c>
      <c r="AB210">
        <v>0.94295789600000002</v>
      </c>
      <c r="AC210">
        <v>18.509959630000001</v>
      </c>
      <c r="AD210">
        <v>0.94128261800000002</v>
      </c>
      <c r="AE210">
        <v>2.6141059929999999</v>
      </c>
      <c r="AF210">
        <v>2.997265954</v>
      </c>
      <c r="AG210">
        <v>145.5180427</v>
      </c>
      <c r="AH210">
        <v>1.3406586E-2</v>
      </c>
      <c r="AI210">
        <v>2.44084404</v>
      </c>
    </row>
    <row r="211" spans="1:35" x14ac:dyDescent="0.2">
      <c r="A211">
        <v>250</v>
      </c>
      <c r="B211" t="s">
        <v>375</v>
      </c>
      <c r="C211" t="s">
        <v>188</v>
      </c>
      <c r="D211" t="s">
        <v>150</v>
      </c>
      <c r="E211" s="11">
        <v>1.52E-5</v>
      </c>
      <c r="F211" s="11">
        <v>5.2900000000000002E-6</v>
      </c>
      <c r="G211">
        <v>0.34696885399999999</v>
      </c>
      <c r="H211">
        <v>0.42263142999999997</v>
      </c>
      <c r="I211" s="11">
        <v>2.05E-5</v>
      </c>
      <c r="J211">
        <v>1.6147643389999999</v>
      </c>
      <c r="K211">
        <v>5.4961857000000003E-2</v>
      </c>
      <c r="L211">
        <v>9.7985097470000007</v>
      </c>
      <c r="M211">
        <v>1.0492E-2</v>
      </c>
      <c r="N211">
        <v>6.3238420000000004E-2</v>
      </c>
      <c r="O211">
        <v>1.9751711000000002E-2</v>
      </c>
      <c r="P211">
        <v>0.14784130000000001</v>
      </c>
      <c r="Q211">
        <v>4.3435370579999999</v>
      </c>
      <c r="R211">
        <v>26.356904950000001</v>
      </c>
      <c r="S211">
        <v>7.9324689000000004E-2</v>
      </c>
      <c r="T211">
        <v>7.3335910000000004E-2</v>
      </c>
      <c r="U211">
        <v>0.60670099799999999</v>
      </c>
      <c r="V211">
        <v>0.60856126600000005</v>
      </c>
      <c r="W211">
        <v>1.0030662020000001</v>
      </c>
      <c r="X211">
        <v>2.3347002489999999</v>
      </c>
      <c r="Y211">
        <v>76.335538999999997</v>
      </c>
      <c r="Z211">
        <v>0.44995892300000001</v>
      </c>
      <c r="AA211">
        <v>9.9543382999999999E-2</v>
      </c>
      <c r="AB211">
        <v>0.87163895300000005</v>
      </c>
      <c r="AC211">
        <v>5.6294762289999998</v>
      </c>
      <c r="AD211">
        <v>0.95159318999999998</v>
      </c>
      <c r="AE211">
        <v>9.5644825180000002</v>
      </c>
      <c r="AF211">
        <v>10.00486888</v>
      </c>
      <c r="AG211">
        <v>40.363930879999998</v>
      </c>
      <c r="AH211">
        <v>3.2747325000000001E-2</v>
      </c>
      <c r="AI211">
        <v>6.96177242</v>
      </c>
    </row>
    <row r="212" spans="1:35" x14ac:dyDescent="0.2">
      <c r="A212">
        <v>251</v>
      </c>
      <c r="B212" t="s">
        <v>376</v>
      </c>
      <c r="C212" t="s">
        <v>188</v>
      </c>
      <c r="D212" t="s">
        <v>204</v>
      </c>
      <c r="E212" s="11">
        <v>4.7999999999999998E-6</v>
      </c>
      <c r="F212" s="11">
        <v>3.01E-6</v>
      </c>
      <c r="G212">
        <v>0.62701572800000005</v>
      </c>
      <c r="H212">
        <v>-1.443216426</v>
      </c>
      <c r="I212" s="11">
        <v>7.7999999999999999E-6</v>
      </c>
      <c r="J212">
        <v>3.6338725109999999</v>
      </c>
      <c r="K212">
        <v>4.5749012999999998E-2</v>
      </c>
      <c r="L212">
        <v>21.894733089999999</v>
      </c>
      <c r="M212">
        <v>4.1799009999999998E-3</v>
      </c>
      <c r="N212">
        <v>5.3362992999999997E-2</v>
      </c>
      <c r="O212">
        <v>1.6440880000000001E-2</v>
      </c>
      <c r="P212">
        <v>6.6642460000000001E-2</v>
      </c>
      <c r="Q212">
        <v>5.2934516919999997</v>
      </c>
      <c r="R212">
        <v>31.893995069999999</v>
      </c>
      <c r="S212">
        <v>0.10023494199999999</v>
      </c>
      <c r="T212">
        <v>9.5222017000000006E-2</v>
      </c>
      <c r="U212">
        <v>0.76662940800000001</v>
      </c>
      <c r="V212">
        <v>0.79017812099999996</v>
      </c>
      <c r="W212">
        <v>1.030717205</v>
      </c>
      <c r="X212">
        <v>2.976006065</v>
      </c>
      <c r="Y212">
        <v>28.258838359999999</v>
      </c>
      <c r="Z212">
        <v>0.42880406399999998</v>
      </c>
      <c r="AA212">
        <v>3.0057266999999999E-2</v>
      </c>
      <c r="AB212">
        <v>0.22520760400000001</v>
      </c>
      <c r="AC212">
        <v>1.705746985</v>
      </c>
      <c r="AD212">
        <v>0.91221013100000004</v>
      </c>
      <c r="AE212">
        <v>3.5507730309999999</v>
      </c>
      <c r="AF212">
        <v>4.2164742850000003</v>
      </c>
      <c r="AG212">
        <v>13.631790730000001</v>
      </c>
      <c r="AH212">
        <v>9.9225310000000001E-3</v>
      </c>
      <c r="AI212">
        <v>2.9249879719999998</v>
      </c>
    </row>
    <row r="213" spans="1:35" x14ac:dyDescent="0.2">
      <c r="A213">
        <v>252</v>
      </c>
      <c r="B213" t="s">
        <v>377</v>
      </c>
      <c r="C213" t="s">
        <v>188</v>
      </c>
      <c r="D213" t="s">
        <v>152</v>
      </c>
      <c r="E213" s="11">
        <v>3.8099999999999999E-6</v>
      </c>
      <c r="F213" s="11">
        <v>7.9500000000000001E-6</v>
      </c>
      <c r="G213">
        <v>2.0846176569999999</v>
      </c>
      <c r="H213">
        <v>0.26755237199999998</v>
      </c>
      <c r="I213" s="11">
        <v>1.1800000000000001E-5</v>
      </c>
      <c r="J213">
        <v>4.4887490989999996</v>
      </c>
      <c r="K213">
        <v>3.3593288999999998E-2</v>
      </c>
      <c r="L213">
        <v>26.999681169999999</v>
      </c>
      <c r="M213">
        <v>2.4883919999999999E-3</v>
      </c>
      <c r="N213">
        <v>3.9346694000000002E-2</v>
      </c>
      <c r="O213">
        <v>1.2072462000000001E-2</v>
      </c>
      <c r="P213">
        <v>1.511885E-2</v>
      </c>
      <c r="Q213">
        <v>2.020186813</v>
      </c>
      <c r="R213">
        <v>12.15135858</v>
      </c>
      <c r="S213">
        <v>7.5189536000000001E-2</v>
      </c>
      <c r="T213">
        <v>8.1122217999999996E-2</v>
      </c>
      <c r="U213">
        <v>0.57507401000000002</v>
      </c>
      <c r="V213">
        <v>0.67317416600000002</v>
      </c>
      <c r="W213">
        <v>1.17058701</v>
      </c>
      <c r="X213">
        <v>1.529040637</v>
      </c>
      <c r="Y213">
        <v>961.98712120000005</v>
      </c>
      <c r="Z213">
        <v>1.751831908</v>
      </c>
      <c r="AA213">
        <v>0.45939442200000002</v>
      </c>
      <c r="AB213">
        <v>0.97193342800000004</v>
      </c>
      <c r="AC213">
        <v>1226.975606</v>
      </c>
      <c r="AD213">
        <v>1.158398407</v>
      </c>
      <c r="AE213">
        <v>89.742880270000001</v>
      </c>
      <c r="AF213">
        <v>22.921321859999999</v>
      </c>
      <c r="AG213">
        <v>2078.3025240000002</v>
      </c>
      <c r="AH213">
        <v>0.14676550899999999</v>
      </c>
      <c r="AI213">
        <v>21.236580960000001</v>
      </c>
    </row>
    <row r="214" spans="1:35" x14ac:dyDescent="0.2">
      <c r="A214">
        <v>253</v>
      </c>
      <c r="B214" t="s">
        <v>378</v>
      </c>
      <c r="C214" t="s">
        <v>188</v>
      </c>
      <c r="D214" t="s">
        <v>154</v>
      </c>
      <c r="E214" s="11">
        <v>5.0100000000000003E-6</v>
      </c>
      <c r="F214" s="11">
        <v>2.9299999999999999E-6</v>
      </c>
      <c r="G214">
        <v>0.58581783200000004</v>
      </c>
      <c r="H214">
        <v>-1.411390972</v>
      </c>
      <c r="I214" s="11">
        <v>7.9400000000000002E-6</v>
      </c>
      <c r="J214">
        <v>3.5335454469999998</v>
      </c>
      <c r="K214">
        <v>4.8508376999999998E-2</v>
      </c>
      <c r="L214">
        <v>21.298289430000001</v>
      </c>
      <c r="M214">
        <v>4.5547770000000003E-3</v>
      </c>
      <c r="N214">
        <v>5.6571278000000003E-2</v>
      </c>
      <c r="O214">
        <v>1.7432515999999999E-2</v>
      </c>
      <c r="P214">
        <v>7.6722879999999993E-2</v>
      </c>
      <c r="Q214">
        <v>5.5888029750000001</v>
      </c>
      <c r="R214">
        <v>33.686263599999997</v>
      </c>
      <c r="S214">
        <v>0.10536707400000001</v>
      </c>
      <c r="T214">
        <v>0.100271086</v>
      </c>
      <c r="U214">
        <v>0.80588162100000005</v>
      </c>
      <c r="V214">
        <v>0.83207666599999996</v>
      </c>
      <c r="W214">
        <v>1.0325048299999999</v>
      </c>
      <c r="X214">
        <v>3.0497068180000002</v>
      </c>
      <c r="Y214">
        <v>26.30315238</v>
      </c>
      <c r="Z214">
        <v>0.43090793399999999</v>
      </c>
      <c r="AA214">
        <v>2.6212624E-2</v>
      </c>
      <c r="AB214">
        <v>0.190276164</v>
      </c>
      <c r="AC214">
        <v>1.487034178</v>
      </c>
      <c r="AD214">
        <v>0.90817572099999999</v>
      </c>
      <c r="AE214">
        <v>3.3077187050000001</v>
      </c>
      <c r="AF214">
        <v>3.8794526540000001</v>
      </c>
      <c r="AG214">
        <v>11.95321193</v>
      </c>
      <c r="AH214">
        <v>8.6502520000000006E-3</v>
      </c>
      <c r="AI214">
        <v>2.6896263619999998</v>
      </c>
    </row>
    <row r="215" spans="1:35" x14ac:dyDescent="0.2">
      <c r="A215">
        <v>254</v>
      </c>
      <c r="B215" t="s">
        <v>379</v>
      </c>
      <c r="C215" t="s">
        <v>188</v>
      </c>
      <c r="D215" t="s">
        <v>156</v>
      </c>
      <c r="E215" s="11">
        <v>1.15E-5</v>
      </c>
      <c r="F215" s="11">
        <v>3.76E-6</v>
      </c>
      <c r="G215">
        <v>0.32673422600000002</v>
      </c>
      <c r="H215">
        <v>0.94878748700000004</v>
      </c>
      <c r="I215" s="11">
        <v>1.5299999999999999E-5</v>
      </c>
      <c r="J215">
        <v>0.43364951000000002</v>
      </c>
      <c r="K215">
        <v>1.9193095E-2</v>
      </c>
      <c r="L215">
        <v>2.6402832479999998</v>
      </c>
      <c r="M215">
        <v>1.4503459E-2</v>
      </c>
      <c r="N215">
        <v>2.2355073E-2</v>
      </c>
      <c r="O215">
        <v>6.8974459999999998E-3</v>
      </c>
      <c r="P215">
        <v>5.6961600000000001E-2</v>
      </c>
      <c r="Q215">
        <v>1.2870977770000001</v>
      </c>
      <c r="R215">
        <v>7.8365098680000003</v>
      </c>
      <c r="S215">
        <v>3.2468342999999997E-2</v>
      </c>
      <c r="T215">
        <v>3.0448763E-2</v>
      </c>
      <c r="U215">
        <v>0.24832843800000001</v>
      </c>
      <c r="V215">
        <v>0.25267209600000001</v>
      </c>
      <c r="W215">
        <v>1.0174915849999999</v>
      </c>
      <c r="X215">
        <v>2.1703196290000002</v>
      </c>
      <c r="Y215">
        <v>59.080803549999999</v>
      </c>
      <c r="Z215">
        <v>0.47627421800000003</v>
      </c>
      <c r="AA215">
        <v>0.13515300599999999</v>
      </c>
      <c r="AB215">
        <v>0.95531064099999996</v>
      </c>
      <c r="AC215">
        <v>7.6451232579999999</v>
      </c>
      <c r="AD215">
        <v>0.947457404</v>
      </c>
      <c r="AE215">
        <v>7.3149703800000001</v>
      </c>
      <c r="AF215">
        <v>7.2392110990000003</v>
      </c>
      <c r="AG215">
        <v>51.874836950000002</v>
      </c>
      <c r="AH215">
        <v>4.4472579999999998E-2</v>
      </c>
      <c r="AI215">
        <v>5.0976744140000001</v>
      </c>
    </row>
    <row r="216" spans="1:35" x14ac:dyDescent="0.2">
      <c r="A216">
        <v>255</v>
      </c>
      <c r="B216" t="s">
        <v>380</v>
      </c>
      <c r="C216" t="s">
        <v>188</v>
      </c>
      <c r="D216" t="s">
        <v>158</v>
      </c>
      <c r="E216" s="11">
        <v>5.8499999999999999E-6</v>
      </c>
      <c r="F216" s="11">
        <v>1.8199999999999999E-6</v>
      </c>
      <c r="G216">
        <v>0.31123371</v>
      </c>
      <c r="H216">
        <v>1.12640549</v>
      </c>
      <c r="I216" s="11">
        <v>7.6699999999999994E-6</v>
      </c>
      <c r="J216">
        <v>0.29467444700000001</v>
      </c>
      <c r="K216">
        <v>8.008144E-3</v>
      </c>
      <c r="L216">
        <v>1.7840629690000001</v>
      </c>
      <c r="M216">
        <v>1.7759782000000002E-2</v>
      </c>
      <c r="N216">
        <v>9.2832520000000005E-3</v>
      </c>
      <c r="O216">
        <v>2.8777970000000001E-3</v>
      </c>
      <c r="P216">
        <v>2.4897909999999999E-2</v>
      </c>
      <c r="Q216">
        <v>0.943998844</v>
      </c>
      <c r="R216">
        <v>5.7137888820000002</v>
      </c>
      <c r="S216">
        <v>9.8285130000000005E-3</v>
      </c>
      <c r="T216">
        <v>8.8446400000000008E-3</v>
      </c>
      <c r="U216">
        <v>7.5171661000000001E-2</v>
      </c>
      <c r="V216">
        <v>7.3395220999999997E-2</v>
      </c>
      <c r="W216">
        <v>0.97636822199999995</v>
      </c>
      <c r="X216">
        <v>2.7574023300000001</v>
      </c>
      <c r="Y216">
        <v>29.17461531</v>
      </c>
      <c r="Z216">
        <v>0.43918064800000001</v>
      </c>
      <c r="AA216">
        <v>4.5127843000000001E-2</v>
      </c>
      <c r="AB216">
        <v>0.93884879200000004</v>
      </c>
      <c r="AC216">
        <v>2.562567955</v>
      </c>
      <c r="AD216">
        <v>0.93044186500000003</v>
      </c>
      <c r="AE216">
        <v>3.6444938690000002</v>
      </c>
      <c r="AF216">
        <v>5.4042309489999996</v>
      </c>
      <c r="AG216">
        <v>34.465660739999997</v>
      </c>
      <c r="AH216">
        <v>1.4906758000000001E-2</v>
      </c>
      <c r="AI216">
        <v>3.7941846140000002</v>
      </c>
    </row>
    <row r="217" spans="1:35" x14ac:dyDescent="0.2">
      <c r="A217">
        <v>256</v>
      </c>
      <c r="B217" t="s">
        <v>381</v>
      </c>
      <c r="C217" t="s">
        <v>188</v>
      </c>
      <c r="D217" t="s">
        <v>160</v>
      </c>
      <c r="E217" s="11">
        <v>1.19E-5</v>
      </c>
      <c r="F217" s="11">
        <v>3.8299999999999998E-6</v>
      </c>
      <c r="G217">
        <v>0.320773164</v>
      </c>
      <c r="H217">
        <v>0.921492965</v>
      </c>
      <c r="I217" s="11">
        <v>1.5800000000000001E-5</v>
      </c>
      <c r="J217">
        <v>0.43297987900000001</v>
      </c>
      <c r="K217">
        <v>1.9148628000000001E-2</v>
      </c>
      <c r="L217">
        <v>2.6361765309999998</v>
      </c>
      <c r="M217">
        <v>1.4526386000000001E-2</v>
      </c>
      <c r="N217">
        <v>2.2305259000000001E-2</v>
      </c>
      <c r="O217">
        <v>6.8814660000000001E-3</v>
      </c>
      <c r="P217">
        <v>5.6846880000000002E-2</v>
      </c>
      <c r="Q217">
        <v>1.285496279</v>
      </c>
      <c r="R217">
        <v>7.8266714400000001</v>
      </c>
      <c r="S217">
        <v>3.2125250000000001E-2</v>
      </c>
      <c r="T217">
        <v>3.0414361000000001E-2</v>
      </c>
      <c r="U217">
        <v>0.24570434999999999</v>
      </c>
      <c r="V217">
        <v>0.25238661600000001</v>
      </c>
      <c r="W217">
        <v>1.027196368</v>
      </c>
      <c r="X217">
        <v>2.1031106350000002</v>
      </c>
      <c r="Y217">
        <v>59.756223349999999</v>
      </c>
      <c r="Z217">
        <v>0.464761111</v>
      </c>
      <c r="AA217">
        <v>0.15300641600000001</v>
      </c>
      <c r="AB217">
        <v>0.95588448599999998</v>
      </c>
      <c r="AC217">
        <v>8.6642106059999993</v>
      </c>
      <c r="AD217">
        <v>0.952458845</v>
      </c>
      <c r="AE217">
        <v>7.3737817320000003</v>
      </c>
      <c r="AF217">
        <v>8.0701879810000001</v>
      </c>
      <c r="AG217">
        <v>58.056643880000003</v>
      </c>
      <c r="AH217">
        <v>5.0400730999999997E-2</v>
      </c>
      <c r="AI217">
        <v>5.6834327399999998</v>
      </c>
    </row>
    <row r="218" spans="1:35" x14ac:dyDescent="0.2">
      <c r="A218">
        <v>257</v>
      </c>
      <c r="B218" t="s">
        <v>382</v>
      </c>
      <c r="C218" t="s">
        <v>188</v>
      </c>
      <c r="D218" t="s">
        <v>162</v>
      </c>
      <c r="E218" s="11">
        <v>1.5400000000000002E-5</v>
      </c>
      <c r="F218" s="11">
        <v>5.2299999999999999E-6</v>
      </c>
      <c r="G218">
        <v>0.33956829999999999</v>
      </c>
      <c r="H218">
        <v>0.42652859300000001</v>
      </c>
      <c r="I218" s="11">
        <v>2.0599999999999999E-5</v>
      </c>
      <c r="J218">
        <v>1.62473216</v>
      </c>
      <c r="K218">
        <v>5.5341542000000001E-2</v>
      </c>
      <c r="L218">
        <v>9.8590760409999998</v>
      </c>
      <c r="M218">
        <v>1.0846543E-2</v>
      </c>
      <c r="N218">
        <v>6.3658023999999994E-2</v>
      </c>
      <c r="O218">
        <v>1.9888158E-2</v>
      </c>
      <c r="P218">
        <v>0.14875694</v>
      </c>
      <c r="Q218">
        <v>4.3672469520000003</v>
      </c>
      <c r="R218">
        <v>26.500995589999999</v>
      </c>
      <c r="S218">
        <v>7.9194990000000007E-2</v>
      </c>
      <c r="T218">
        <v>7.3047902999999997E-2</v>
      </c>
      <c r="U218">
        <v>0.60570902199999999</v>
      </c>
      <c r="V218">
        <v>0.60617131099999999</v>
      </c>
      <c r="W218">
        <v>1.0007632200000001</v>
      </c>
      <c r="X218">
        <v>2.3336778269999998</v>
      </c>
      <c r="Y218">
        <v>76.319240769999993</v>
      </c>
      <c r="Z218">
        <v>0.47279823900000001</v>
      </c>
      <c r="AA218">
        <v>9.9736768000000003E-2</v>
      </c>
      <c r="AB218">
        <v>0.87081794899999998</v>
      </c>
      <c r="AC218">
        <v>5.6402026320000003</v>
      </c>
      <c r="AD218">
        <v>0.95296007299999996</v>
      </c>
      <c r="AE218">
        <v>9.5621227320000006</v>
      </c>
      <c r="AF218">
        <v>9.9997892900000007</v>
      </c>
      <c r="AG218">
        <v>40.426894879999999</v>
      </c>
      <c r="AH218">
        <v>3.2809721999999999E-2</v>
      </c>
      <c r="AI218">
        <v>6.9584600339999998</v>
      </c>
    </row>
    <row r="219" spans="1:35" x14ac:dyDescent="0.2">
      <c r="A219">
        <v>258</v>
      </c>
      <c r="B219" t="s">
        <v>383</v>
      </c>
      <c r="C219" t="s">
        <v>188</v>
      </c>
      <c r="D219" t="s">
        <v>220</v>
      </c>
      <c r="E219" s="11">
        <v>1.5400000000000002E-5</v>
      </c>
      <c r="F219" s="11">
        <v>5.3000000000000001E-6</v>
      </c>
      <c r="G219">
        <v>0.34510914500000001</v>
      </c>
      <c r="H219">
        <v>0.42411389700000002</v>
      </c>
      <c r="I219" s="11">
        <v>2.0699999999999998E-5</v>
      </c>
      <c r="J219">
        <v>1.6170610459999999</v>
      </c>
      <c r="K219">
        <v>5.5049341000000002E-2</v>
      </c>
      <c r="L219">
        <v>9.8124649579999996</v>
      </c>
      <c r="M219">
        <v>1.0490144999999999E-2</v>
      </c>
      <c r="N219">
        <v>6.3340221000000002E-2</v>
      </c>
      <c r="O219">
        <v>1.9783149999999999E-2</v>
      </c>
      <c r="P219">
        <v>0.14805995999999999</v>
      </c>
      <c r="Q219">
        <v>4.3492255430000002</v>
      </c>
      <c r="R219">
        <v>26.391473179999998</v>
      </c>
      <c r="S219">
        <v>7.9423797000000004E-2</v>
      </c>
      <c r="T219">
        <v>7.3435844E-2</v>
      </c>
      <c r="U219">
        <v>0.60745900900000005</v>
      </c>
      <c r="V219">
        <v>0.60939054800000003</v>
      </c>
      <c r="W219">
        <v>1.003179703</v>
      </c>
      <c r="X219">
        <v>2.3339831979999999</v>
      </c>
      <c r="Y219">
        <v>76.324165120000004</v>
      </c>
      <c r="Z219">
        <v>0.47223154699999997</v>
      </c>
      <c r="AA219">
        <v>9.9680249999999998E-2</v>
      </c>
      <c r="AB219">
        <v>0.87143698300000005</v>
      </c>
      <c r="AC219">
        <v>5.6369968049999999</v>
      </c>
      <c r="AD219">
        <v>0.95458038000000001</v>
      </c>
      <c r="AE219">
        <v>9.5628347890000001</v>
      </c>
      <c r="AF219">
        <v>10.00143768</v>
      </c>
      <c r="AG219">
        <v>40.407559419999998</v>
      </c>
      <c r="AH219">
        <v>3.2791072999999997E-2</v>
      </c>
      <c r="AI219">
        <v>6.959537858</v>
      </c>
    </row>
    <row r="220" spans="1:35" x14ac:dyDescent="0.2">
      <c r="A220">
        <v>259</v>
      </c>
      <c r="B220" t="s">
        <v>384</v>
      </c>
      <c r="C220" t="s">
        <v>188</v>
      </c>
      <c r="D220" t="s">
        <v>164</v>
      </c>
      <c r="E220" s="11">
        <v>1.0899999999999999E-6</v>
      </c>
      <c r="F220" s="11">
        <v>3.5100000000000001E-7</v>
      </c>
      <c r="G220">
        <v>0.32191689099999998</v>
      </c>
      <c r="H220">
        <v>9.4360479999999997E-2</v>
      </c>
      <c r="I220" s="11">
        <v>1.44E-6</v>
      </c>
      <c r="J220">
        <v>0.460687705</v>
      </c>
      <c r="K220">
        <v>1.58751E-4</v>
      </c>
      <c r="L220">
        <v>2.7644437329999998</v>
      </c>
      <c r="M220" s="11">
        <v>2.7999999999999999E-8</v>
      </c>
      <c r="N220">
        <v>2.5137356E-2</v>
      </c>
      <c r="O220">
        <v>4.0167470000000002E-3</v>
      </c>
      <c r="P220">
        <v>4.9644999999999995E-4</v>
      </c>
      <c r="Q220">
        <v>1.440689938</v>
      </c>
      <c r="R220">
        <v>8.6451325360000002</v>
      </c>
      <c r="S220">
        <v>1.0770127000000001E-2</v>
      </c>
      <c r="T220">
        <v>1.0505733999999999E-2</v>
      </c>
      <c r="U220">
        <v>8.2373432999999996E-2</v>
      </c>
      <c r="V220">
        <v>8.7179427000000004E-2</v>
      </c>
      <c r="W220">
        <v>1.0583439809999999</v>
      </c>
      <c r="X220">
        <v>1.944099263</v>
      </c>
      <c r="Y220">
        <v>95.041775240000007</v>
      </c>
      <c r="Z220">
        <v>0.50082072499999997</v>
      </c>
      <c r="AA220">
        <v>0.205870044</v>
      </c>
      <c r="AB220">
        <v>0.97091338299999996</v>
      </c>
      <c r="AC220">
        <v>11.64941131</v>
      </c>
      <c r="AD220">
        <v>0.94618919999999995</v>
      </c>
      <c r="AE220">
        <v>11.784693559999999</v>
      </c>
      <c r="AF220">
        <v>10.504465250000001</v>
      </c>
      <c r="AG220">
        <v>71.163005729999995</v>
      </c>
      <c r="AH220">
        <v>6.7765993999999996E-2</v>
      </c>
      <c r="AI220">
        <v>7.3860435730000003</v>
      </c>
    </row>
    <row r="221" spans="1:35" x14ac:dyDescent="0.2">
      <c r="A221">
        <v>260</v>
      </c>
      <c r="B221" t="s">
        <v>385</v>
      </c>
      <c r="C221" t="s">
        <v>188</v>
      </c>
      <c r="D221" t="s">
        <v>166</v>
      </c>
      <c r="E221" s="11">
        <v>1.6799999999999998E-5</v>
      </c>
      <c r="F221" s="11">
        <v>8.0399999999999993E-6</v>
      </c>
      <c r="G221">
        <v>0.47791990200000001</v>
      </c>
      <c r="H221">
        <v>-0.104189088</v>
      </c>
      <c r="I221" s="11">
        <v>2.48E-5</v>
      </c>
      <c r="J221">
        <v>9.6380333660000002</v>
      </c>
      <c r="K221">
        <v>9.9999973139999998</v>
      </c>
      <c r="L221">
        <v>77.828194819999993</v>
      </c>
      <c r="M221">
        <v>0.14738108</v>
      </c>
      <c r="N221">
        <v>0.17654877499999999</v>
      </c>
      <c r="O221">
        <v>5.7980112E-2</v>
      </c>
      <c r="P221">
        <v>9.9999973099999995</v>
      </c>
      <c r="Q221">
        <v>8.9670787569999995</v>
      </c>
      <c r="R221">
        <v>73.80246717</v>
      </c>
      <c r="S221">
        <v>0.28318417699999998</v>
      </c>
      <c r="T221">
        <v>0.27919245199999998</v>
      </c>
      <c r="U221">
        <v>2.1658846170000001</v>
      </c>
      <c r="V221">
        <v>2.316814682</v>
      </c>
      <c r="W221">
        <v>1.069685183</v>
      </c>
      <c r="X221">
        <v>2.026098883</v>
      </c>
      <c r="Y221">
        <v>77.828192009999995</v>
      </c>
      <c r="Z221">
        <v>0.47791990200000001</v>
      </c>
      <c r="AA221">
        <v>0.176847281</v>
      </c>
      <c r="AB221" s="11">
        <v>-3.6099999999999999E-8</v>
      </c>
      <c r="AC221">
        <v>9.9999980950000005</v>
      </c>
      <c r="AD221">
        <v>0.96988014700000003</v>
      </c>
      <c r="AE221">
        <v>9.6380329909999993</v>
      </c>
      <c r="AF221">
        <v>8.970108067</v>
      </c>
      <c r="AG221">
        <v>63.780898899999997</v>
      </c>
      <c r="AH221">
        <v>5.8171163999999997E-2</v>
      </c>
      <c r="AI221">
        <v>6.3152056840000004</v>
      </c>
    </row>
    <row r="222" spans="1:35" x14ac:dyDescent="0.2">
      <c r="A222">
        <v>261</v>
      </c>
      <c r="B222" t="s">
        <v>386</v>
      </c>
      <c r="C222" t="s">
        <v>188</v>
      </c>
      <c r="D222" t="s">
        <v>226</v>
      </c>
      <c r="E222" s="11">
        <v>7.7400000000000004E-6</v>
      </c>
      <c r="F222" s="11">
        <v>2.43E-6</v>
      </c>
      <c r="G222">
        <v>0.31431130400000001</v>
      </c>
      <c r="H222">
        <v>1.1189488759999999</v>
      </c>
      <c r="I222" s="11">
        <v>1.0200000000000001E-5</v>
      </c>
      <c r="J222">
        <v>0.33304481699999999</v>
      </c>
      <c r="K222">
        <v>9.3540359999999996E-3</v>
      </c>
      <c r="L222">
        <v>2.016976976</v>
      </c>
      <c r="M222">
        <v>1.0397834999999999E-2</v>
      </c>
      <c r="N222">
        <v>1.0850346E-2</v>
      </c>
      <c r="O222">
        <v>3.3615709999999998E-3</v>
      </c>
      <c r="P222">
        <v>2.892983E-2</v>
      </c>
      <c r="Q222">
        <v>1.038082666</v>
      </c>
      <c r="R222">
        <v>6.2863556599999999</v>
      </c>
      <c r="S222">
        <v>1.9115202000000001E-2</v>
      </c>
      <c r="T222">
        <v>1.6891422999999999E-2</v>
      </c>
      <c r="U222">
        <v>0.14619927899999999</v>
      </c>
      <c r="V222">
        <v>0.140169612</v>
      </c>
      <c r="W222">
        <v>0.95875720399999997</v>
      </c>
      <c r="X222">
        <v>2.8967423939999999</v>
      </c>
      <c r="Y222">
        <v>31.703988819999999</v>
      </c>
      <c r="Z222">
        <v>0.44018091500000001</v>
      </c>
      <c r="AA222">
        <v>3.4883223999999997E-2</v>
      </c>
      <c r="AB222">
        <v>0.93638097099999995</v>
      </c>
      <c r="AC222">
        <v>1.9769988220000001</v>
      </c>
      <c r="AD222">
        <v>0.92019089200000004</v>
      </c>
      <c r="AE222">
        <v>3.9819764339999999</v>
      </c>
      <c r="AF222">
        <v>4.6088271599999997</v>
      </c>
      <c r="AG222">
        <v>15.68149199</v>
      </c>
      <c r="AH222">
        <v>1.1500435E-2</v>
      </c>
      <c r="AI222">
        <v>3.1992449399999998</v>
      </c>
    </row>
    <row r="223" spans="1:35" x14ac:dyDescent="0.2">
      <c r="A223">
        <v>262</v>
      </c>
      <c r="B223" t="s">
        <v>387</v>
      </c>
      <c r="C223" t="s">
        <v>188</v>
      </c>
      <c r="D223" t="s">
        <v>168</v>
      </c>
      <c r="E223" s="11">
        <v>4.1500000000000001E-6</v>
      </c>
      <c r="F223" s="11">
        <v>1.2899999999999999E-6</v>
      </c>
      <c r="G223">
        <v>0.31173450800000002</v>
      </c>
      <c r="H223">
        <v>0.42371525399999999</v>
      </c>
      <c r="I223" s="11">
        <v>5.4399999999999996E-6</v>
      </c>
      <c r="J223">
        <v>0.291932362</v>
      </c>
      <c r="K223">
        <v>8.1393219999999992E-3</v>
      </c>
      <c r="L223">
        <v>1.7678728159999999</v>
      </c>
      <c r="M223">
        <v>8.7160150000000006E-3</v>
      </c>
      <c r="N223">
        <v>9.4046000000000008E-3</v>
      </c>
      <c r="O223">
        <v>2.925038E-3</v>
      </c>
      <c r="P223">
        <v>4.958887E-2</v>
      </c>
      <c r="Q223">
        <v>0.93861010899999997</v>
      </c>
      <c r="R223">
        <v>5.7308383879999996</v>
      </c>
      <c r="S223">
        <v>8.0215779999999997E-3</v>
      </c>
      <c r="T223">
        <v>7.5676500000000004E-3</v>
      </c>
      <c r="U223">
        <v>6.1351637000000001E-2</v>
      </c>
      <c r="V223">
        <v>6.2798408E-2</v>
      </c>
      <c r="W223">
        <v>1.0235816200000001</v>
      </c>
      <c r="X223">
        <v>2.5960163679999999</v>
      </c>
      <c r="Y223">
        <v>46.038371130000002</v>
      </c>
      <c r="Z223">
        <v>0.426838828</v>
      </c>
      <c r="AA223">
        <v>6.1006985E-2</v>
      </c>
      <c r="AB223">
        <v>0.96160001399999995</v>
      </c>
      <c r="AC223">
        <v>3.4607517030000001</v>
      </c>
      <c r="AD223">
        <v>0.93575611700000005</v>
      </c>
      <c r="AE223">
        <v>5.7666437119999996</v>
      </c>
      <c r="AF223">
        <v>6.8129355499999997</v>
      </c>
      <c r="AG223">
        <v>39.723296550000001</v>
      </c>
      <c r="AH223">
        <v>2.0131599E-2</v>
      </c>
      <c r="AI223">
        <v>4.7732820990000002</v>
      </c>
    </row>
    <row r="224" spans="1:35" x14ac:dyDescent="0.2">
      <c r="A224">
        <v>263</v>
      </c>
      <c r="B224" t="s">
        <v>388</v>
      </c>
      <c r="C224" t="s">
        <v>140</v>
      </c>
      <c r="D224" t="s">
        <v>130</v>
      </c>
      <c r="E224" s="11">
        <v>6.55E-6</v>
      </c>
      <c r="F224" s="11">
        <v>2.04E-6</v>
      </c>
      <c r="G224">
        <v>0.31095814700000002</v>
      </c>
      <c r="H224">
        <v>0.40915268599999999</v>
      </c>
      <c r="I224" s="11">
        <v>8.5799999999999992E-6</v>
      </c>
      <c r="J224">
        <v>0.30293252500000001</v>
      </c>
      <c r="K224">
        <v>3.9614630000000001E-3</v>
      </c>
      <c r="L224">
        <v>1.8255180769999999</v>
      </c>
      <c r="M224">
        <v>4.327839E-3</v>
      </c>
      <c r="N224">
        <v>4.5959540000000002E-3</v>
      </c>
      <c r="O224">
        <v>1.423636E-3</v>
      </c>
      <c r="P224">
        <v>1.2554630000000001E-2</v>
      </c>
      <c r="Q224">
        <v>0.96011778800000003</v>
      </c>
      <c r="R224">
        <v>5.7858159919999999</v>
      </c>
      <c r="S224">
        <v>7.7116190000000003E-3</v>
      </c>
      <c r="T224">
        <v>7.3469169999999997E-3</v>
      </c>
      <c r="U224">
        <v>5.8980966000000003E-2</v>
      </c>
      <c r="V224">
        <v>6.0966708000000001E-2</v>
      </c>
      <c r="W224">
        <v>1.033667506</v>
      </c>
      <c r="X224">
        <v>4.3816623369999999</v>
      </c>
      <c r="Y224">
        <v>1.961063145</v>
      </c>
      <c r="Z224">
        <v>0.30467925499999998</v>
      </c>
      <c r="AA224">
        <v>8.7246270000000004E-3</v>
      </c>
      <c r="AB224">
        <v>6.9118156E-2</v>
      </c>
      <c r="AC224">
        <v>7.478696E-3</v>
      </c>
      <c r="AD224">
        <v>0.86759396799999999</v>
      </c>
      <c r="AE224">
        <v>0.32629680100000003</v>
      </c>
      <c r="AF224">
        <v>1.1184404910000001</v>
      </c>
      <c r="AG224">
        <v>0.16345821099999999</v>
      </c>
      <c r="AH224">
        <v>2.6964839999999999E-3</v>
      </c>
      <c r="AI224">
        <v>0.574992999</v>
      </c>
    </row>
    <row r="225" spans="1:35" x14ac:dyDescent="0.2">
      <c r="A225">
        <v>264</v>
      </c>
      <c r="B225" t="s">
        <v>389</v>
      </c>
      <c r="C225" t="s">
        <v>140</v>
      </c>
      <c r="D225" t="s">
        <v>132</v>
      </c>
      <c r="E225" s="11">
        <v>7.7300000000000005E-6</v>
      </c>
      <c r="F225" s="11">
        <v>2.4200000000000001E-6</v>
      </c>
      <c r="G225">
        <v>0.31372170900000002</v>
      </c>
      <c r="H225">
        <v>-0.86867689100000001</v>
      </c>
      <c r="I225" s="11">
        <v>1.01E-5</v>
      </c>
      <c r="J225">
        <v>0.39597322499999998</v>
      </c>
      <c r="K225">
        <v>1.2018799E-2</v>
      </c>
      <c r="L225">
        <v>2.3998769499999999</v>
      </c>
      <c r="M225">
        <v>2.3234497E-2</v>
      </c>
      <c r="N225">
        <v>1.3960254E-2</v>
      </c>
      <c r="O225">
        <v>4.3192109999999999E-3</v>
      </c>
      <c r="P225">
        <v>3.7465789999999999E-2</v>
      </c>
      <c r="Q225">
        <v>1.2411714949999999</v>
      </c>
      <c r="R225">
        <v>7.521960548</v>
      </c>
      <c r="S225">
        <v>1.6776356999999999E-2</v>
      </c>
      <c r="T225">
        <v>1.5410521E-2</v>
      </c>
      <c r="U225">
        <v>0.12831102899999999</v>
      </c>
      <c r="V225">
        <v>0.12788068</v>
      </c>
      <c r="W225">
        <v>0.99664604800000001</v>
      </c>
      <c r="X225">
        <v>5.1986042430000001</v>
      </c>
      <c r="Y225">
        <v>0.96266158300000004</v>
      </c>
      <c r="Z225">
        <v>0.29006851299999997</v>
      </c>
      <c r="AA225">
        <v>3.8733439999999999E-3</v>
      </c>
      <c r="AB225">
        <v>-1</v>
      </c>
      <c r="AC225">
        <v>3.325925E-3</v>
      </c>
      <c r="AD225">
        <v>0.86460542900000004</v>
      </c>
      <c r="AE225">
        <v>0.16041140500000001</v>
      </c>
      <c r="AF225">
        <v>0.59940961299999995</v>
      </c>
      <c r="AG225">
        <v>7.9229215000000006E-2</v>
      </c>
      <c r="AH225">
        <v>1.19918E-3</v>
      </c>
      <c r="AI225">
        <v>0.30770293300000001</v>
      </c>
    </row>
    <row r="226" spans="1:35" x14ac:dyDescent="0.2">
      <c r="A226">
        <v>265</v>
      </c>
      <c r="B226" t="s">
        <v>390</v>
      </c>
      <c r="C226" t="s">
        <v>140</v>
      </c>
      <c r="D226" t="s">
        <v>150</v>
      </c>
      <c r="E226" s="11">
        <v>1.1E-5</v>
      </c>
      <c r="F226" s="11">
        <v>3.45E-6</v>
      </c>
      <c r="G226">
        <v>0.312199701</v>
      </c>
      <c r="H226">
        <v>-0.29884157300000003</v>
      </c>
      <c r="I226" s="11">
        <v>1.45E-5</v>
      </c>
      <c r="J226">
        <v>0.31557382099999998</v>
      </c>
      <c r="K226">
        <v>8.5069289999999999E-3</v>
      </c>
      <c r="L226">
        <v>1.910456782</v>
      </c>
      <c r="M226">
        <v>8.9037360000000006E-3</v>
      </c>
      <c r="N226">
        <v>9.8980809999999995E-3</v>
      </c>
      <c r="O226">
        <v>3.0571460000000002E-3</v>
      </c>
      <c r="P226">
        <v>2.6478189999999999E-2</v>
      </c>
      <c r="Q226">
        <v>0.98231347300000005</v>
      </c>
      <c r="R226">
        <v>5.9468372159999996</v>
      </c>
      <c r="S226">
        <v>1.6727970000000002E-2</v>
      </c>
      <c r="T226">
        <v>1.6107494E-2</v>
      </c>
      <c r="U226">
        <v>0.127940947</v>
      </c>
      <c r="V226">
        <v>0.13366435500000001</v>
      </c>
      <c r="W226">
        <v>1.0447347629999999</v>
      </c>
      <c r="X226">
        <v>4.3824268059999998</v>
      </c>
      <c r="Y226">
        <v>1.9612042329999999</v>
      </c>
      <c r="Z226">
        <v>0.299262741</v>
      </c>
      <c r="AA226">
        <v>8.7178199999999994E-3</v>
      </c>
      <c r="AB226">
        <v>2.5875657999999999E-2</v>
      </c>
      <c r="AC226">
        <v>7.4730279999999996E-3</v>
      </c>
      <c r="AD226">
        <v>0.86690045400000004</v>
      </c>
      <c r="AE226">
        <v>0.326324524</v>
      </c>
      <c r="AF226">
        <v>1.118638566</v>
      </c>
      <c r="AG226">
        <v>0.16336409299999999</v>
      </c>
      <c r="AH226">
        <v>2.6944400000000002E-3</v>
      </c>
      <c r="AI226">
        <v>0.575088143</v>
      </c>
    </row>
    <row r="227" spans="1:35" x14ac:dyDescent="0.2">
      <c r="A227">
        <v>266</v>
      </c>
      <c r="B227" t="s">
        <v>391</v>
      </c>
      <c r="C227" t="s">
        <v>140</v>
      </c>
      <c r="D227" t="s">
        <v>158</v>
      </c>
      <c r="E227" s="11">
        <v>6.1700000000000002E-6</v>
      </c>
      <c r="F227" s="11">
        <v>1.9599999999999999E-6</v>
      </c>
      <c r="G227">
        <v>0.31745631800000002</v>
      </c>
      <c r="H227">
        <v>-0.63277545800000001</v>
      </c>
      <c r="I227" s="11">
        <v>8.1200000000000002E-6</v>
      </c>
      <c r="J227">
        <v>0.29191489399999998</v>
      </c>
      <c r="K227">
        <v>1.0459928E-2</v>
      </c>
      <c r="L227">
        <v>1.772409218</v>
      </c>
      <c r="M227">
        <v>8.589078E-3</v>
      </c>
      <c r="N227">
        <v>1.2126461E-2</v>
      </c>
      <c r="O227">
        <v>3.758997E-3</v>
      </c>
      <c r="P227">
        <v>5.6472290000000001E-2</v>
      </c>
      <c r="Q227">
        <v>1.113903882</v>
      </c>
      <c r="R227">
        <v>6.7963678779999999</v>
      </c>
      <c r="S227">
        <v>1.0147097000000001E-2</v>
      </c>
      <c r="T227">
        <v>8.995701E-3</v>
      </c>
      <c r="U227">
        <v>7.7608298000000006E-2</v>
      </c>
      <c r="V227">
        <v>7.4648769000000004E-2</v>
      </c>
      <c r="W227">
        <v>0.96186581699999996</v>
      </c>
      <c r="X227">
        <v>5.1758738160000002</v>
      </c>
      <c r="Y227">
        <v>0.74955099300000005</v>
      </c>
      <c r="Z227">
        <v>0.29209422800000001</v>
      </c>
      <c r="AA227">
        <v>3.9522109999999997E-3</v>
      </c>
      <c r="AB227">
        <v>-1</v>
      </c>
      <c r="AC227">
        <v>3.401762E-3</v>
      </c>
      <c r="AD227">
        <v>0.84763161799999998</v>
      </c>
      <c r="AE227">
        <v>0.124344179</v>
      </c>
      <c r="AF227">
        <v>0.60424391700000002</v>
      </c>
      <c r="AG227">
        <v>0.13949214800000001</v>
      </c>
      <c r="AH227">
        <v>1.2265240000000001E-3</v>
      </c>
      <c r="AI227">
        <v>0.31342457800000001</v>
      </c>
    </row>
    <row r="228" spans="1:35" x14ac:dyDescent="0.2">
      <c r="A228">
        <v>267</v>
      </c>
      <c r="B228" t="s">
        <v>392</v>
      </c>
      <c r="C228" t="s">
        <v>140</v>
      </c>
      <c r="D228" t="s">
        <v>168</v>
      </c>
      <c r="E228" s="11">
        <v>4.8199999999999996E-6</v>
      </c>
      <c r="F228" s="11">
        <v>1.5200000000000001E-6</v>
      </c>
      <c r="G228">
        <v>0.31610930599999998</v>
      </c>
      <c r="H228">
        <v>-1.207464042</v>
      </c>
      <c r="I228" s="11">
        <v>6.3400000000000003E-6</v>
      </c>
      <c r="J228">
        <v>0.29192469500000001</v>
      </c>
      <c r="K228">
        <v>8.0980329999999993E-3</v>
      </c>
      <c r="L228">
        <v>1.767744234</v>
      </c>
      <c r="M228">
        <v>8.6719080000000007E-3</v>
      </c>
      <c r="N228">
        <v>9.3730129999999995E-3</v>
      </c>
      <c r="O228">
        <v>2.9101999999999999E-3</v>
      </c>
      <c r="P228">
        <v>4.9431919999999997E-2</v>
      </c>
      <c r="Q228">
        <v>0.94020264200000003</v>
      </c>
      <c r="R228">
        <v>5.74007969</v>
      </c>
      <c r="S228">
        <v>9.125836E-3</v>
      </c>
      <c r="T228">
        <v>8.0676759999999993E-3</v>
      </c>
      <c r="U228">
        <v>6.9797361000000002E-2</v>
      </c>
      <c r="V228">
        <v>6.6947765000000006E-2</v>
      </c>
      <c r="W228">
        <v>0.95917329900000003</v>
      </c>
      <c r="X228">
        <v>4.8729389249999997</v>
      </c>
      <c r="Y228">
        <v>1.182812744</v>
      </c>
      <c r="Z228">
        <v>0.28388581899999998</v>
      </c>
      <c r="AA228">
        <v>5.3428759999999999E-3</v>
      </c>
      <c r="AB228">
        <v>-0.49452586100000001</v>
      </c>
      <c r="AC228">
        <v>4.5940850000000004E-3</v>
      </c>
      <c r="AD228">
        <v>0.85247289599999998</v>
      </c>
      <c r="AE228">
        <v>0.19674846600000001</v>
      </c>
      <c r="AF228">
        <v>0.76175035800000002</v>
      </c>
      <c r="AG228">
        <v>0.160771267</v>
      </c>
      <c r="AH228">
        <v>1.6564220000000001E-3</v>
      </c>
      <c r="AI228">
        <v>0.39430446400000002</v>
      </c>
    </row>
    <row r="229" spans="1:35" x14ac:dyDescent="0.2">
      <c r="A229">
        <v>268</v>
      </c>
      <c r="B229" t="s">
        <v>393</v>
      </c>
      <c r="C229" t="s">
        <v>191</v>
      </c>
      <c r="D229" t="s">
        <v>129</v>
      </c>
      <c r="E229" s="11">
        <v>5.2399999999999998E-6</v>
      </c>
      <c r="F229" s="11">
        <v>1.6199999999999999E-6</v>
      </c>
      <c r="G229">
        <v>0.309139581</v>
      </c>
      <c r="H229">
        <v>-1.1023501790000001</v>
      </c>
      <c r="I229" s="11">
        <v>6.8600000000000004E-6</v>
      </c>
      <c r="J229">
        <v>0.623636364</v>
      </c>
      <c r="K229">
        <v>1.2472727269999999</v>
      </c>
      <c r="L229">
        <v>6.2363636360000001</v>
      </c>
      <c r="M229">
        <v>0.39976267500000001</v>
      </c>
      <c r="N229">
        <v>2.0452517999999999E-2</v>
      </c>
      <c r="O229">
        <v>6.3473469999999997E-3</v>
      </c>
      <c r="P229">
        <v>1.98089559</v>
      </c>
      <c r="Q229">
        <v>2.0097231579999999</v>
      </c>
      <c r="R229">
        <v>16.020130129999998</v>
      </c>
      <c r="S229">
        <v>1.8195657E-2</v>
      </c>
      <c r="T229">
        <v>1.6641145E-2</v>
      </c>
      <c r="U229">
        <v>0.13916629899999999</v>
      </c>
      <c r="V229">
        <v>0.138092732</v>
      </c>
      <c r="W229">
        <v>0.99228572599999998</v>
      </c>
      <c r="X229">
        <v>4.3185112600000002</v>
      </c>
      <c r="Y229">
        <v>2.3428547910000002</v>
      </c>
      <c r="Z229">
        <v>0.29360463599999997</v>
      </c>
      <c r="AA229">
        <v>8.9283350000000008E-3</v>
      </c>
      <c r="AB229">
        <v>-1</v>
      </c>
      <c r="AC229">
        <v>0.21920051199999999</v>
      </c>
      <c r="AD229">
        <v>0.85614367099999999</v>
      </c>
      <c r="AE229">
        <v>0.237731041</v>
      </c>
      <c r="AF229">
        <v>1.0090588869999999</v>
      </c>
      <c r="AG229">
        <v>2.5554387790000002</v>
      </c>
      <c r="AH229">
        <v>2.766746E-3</v>
      </c>
      <c r="AI229">
        <v>0.65695355600000005</v>
      </c>
    </row>
    <row r="230" spans="1:35" x14ac:dyDescent="0.2">
      <c r="A230">
        <v>269</v>
      </c>
      <c r="B230" t="s">
        <v>394</v>
      </c>
      <c r="C230" t="s">
        <v>191</v>
      </c>
      <c r="D230" t="s">
        <v>130</v>
      </c>
      <c r="E230" s="11">
        <v>6.5799999999999997E-6</v>
      </c>
      <c r="F230" s="11">
        <v>2.0499999999999999E-6</v>
      </c>
      <c r="G230">
        <v>0.31163186700000001</v>
      </c>
      <c r="H230">
        <v>0.288121391</v>
      </c>
      <c r="I230" s="11">
        <v>8.6400000000000003E-6</v>
      </c>
      <c r="J230">
        <v>0.29272218799999999</v>
      </c>
      <c r="K230">
        <v>3.8366519999999999E-3</v>
      </c>
      <c r="L230">
        <v>1.76400643</v>
      </c>
      <c r="M230">
        <v>4.358247E-3</v>
      </c>
      <c r="N230">
        <v>4.4514690000000004E-3</v>
      </c>
      <c r="O230">
        <v>1.3787820000000001E-3</v>
      </c>
      <c r="P230">
        <v>1.2167000000000001E-2</v>
      </c>
      <c r="Q230">
        <v>0.92832864599999998</v>
      </c>
      <c r="R230">
        <v>5.5943058680000002</v>
      </c>
      <c r="S230">
        <v>7.4586330000000001E-3</v>
      </c>
      <c r="T230">
        <v>7.1300720000000003E-3</v>
      </c>
      <c r="U230">
        <v>5.7046046000000003E-2</v>
      </c>
      <c r="V230">
        <v>5.9167272999999999E-2</v>
      </c>
      <c r="W230">
        <v>1.0371844699999999</v>
      </c>
      <c r="X230">
        <v>4.517513471</v>
      </c>
      <c r="Y230">
        <v>1.7537582199999999</v>
      </c>
      <c r="Z230">
        <v>0.303292811</v>
      </c>
      <c r="AA230">
        <v>7.390944E-3</v>
      </c>
      <c r="AB230">
        <v>-5.8435709999999997E-3</v>
      </c>
      <c r="AC230">
        <v>6.3365260000000003E-3</v>
      </c>
      <c r="AD230">
        <v>0.86269150999999999</v>
      </c>
      <c r="AE230">
        <v>0.29201023300000001</v>
      </c>
      <c r="AF230">
        <v>1.0100132829999999</v>
      </c>
      <c r="AG230">
        <v>0.13975294599999999</v>
      </c>
      <c r="AH230">
        <v>2.284669E-3</v>
      </c>
      <c r="AI230">
        <v>0.51888325899999999</v>
      </c>
    </row>
    <row r="231" spans="1:35" x14ac:dyDescent="0.2">
      <c r="A231">
        <v>270</v>
      </c>
      <c r="B231" t="s">
        <v>395</v>
      </c>
      <c r="C231" t="s">
        <v>191</v>
      </c>
      <c r="D231" t="s">
        <v>132</v>
      </c>
      <c r="E231" s="11">
        <v>7.8399999999999995E-6</v>
      </c>
      <c r="F231" s="11">
        <v>2.4899999999999999E-6</v>
      </c>
      <c r="G231">
        <v>0.31804086399999998</v>
      </c>
      <c r="H231">
        <v>-0.87277634299999995</v>
      </c>
      <c r="I231" s="11">
        <v>1.03E-5</v>
      </c>
      <c r="J231">
        <v>0.39614448400000002</v>
      </c>
      <c r="K231">
        <v>1.2013549E-2</v>
      </c>
      <c r="L231">
        <v>2.4008940050000001</v>
      </c>
      <c r="M231">
        <v>2.1491040000000002E-3</v>
      </c>
      <c r="N231">
        <v>1.3959996000000001E-2</v>
      </c>
      <c r="O231">
        <v>4.317324E-3</v>
      </c>
      <c r="P231">
        <v>3.7427780000000001E-2</v>
      </c>
      <c r="Q231">
        <v>1.242082398</v>
      </c>
      <c r="R231">
        <v>7.5273499399999997</v>
      </c>
      <c r="S231">
        <v>1.6583791000000001E-2</v>
      </c>
      <c r="T231">
        <v>1.5153781999999999E-2</v>
      </c>
      <c r="U231">
        <v>0.126838221</v>
      </c>
      <c r="V231">
        <v>0.12575019000000001</v>
      </c>
      <c r="W231">
        <v>0.99142189999999997</v>
      </c>
      <c r="X231">
        <v>5.3597842309999999</v>
      </c>
      <c r="Y231">
        <v>0.86089816600000002</v>
      </c>
      <c r="Z231">
        <v>0.28874855599999999</v>
      </c>
      <c r="AA231">
        <v>3.281249E-3</v>
      </c>
      <c r="AB231">
        <v>-1</v>
      </c>
      <c r="AC231">
        <v>2.817979E-3</v>
      </c>
      <c r="AD231">
        <v>0.85971985699999998</v>
      </c>
      <c r="AE231">
        <v>0.143555719</v>
      </c>
      <c r="AF231">
        <v>0.541299851</v>
      </c>
      <c r="AG231">
        <v>6.7739124999999997E-2</v>
      </c>
      <c r="AH231">
        <v>1.016037E-3</v>
      </c>
      <c r="AI231">
        <v>0.27767625200000001</v>
      </c>
    </row>
    <row r="232" spans="1:35" x14ac:dyDescent="0.2">
      <c r="A232">
        <v>271</v>
      </c>
      <c r="B232" t="s">
        <v>396</v>
      </c>
      <c r="C232" t="s">
        <v>191</v>
      </c>
      <c r="D232" t="s">
        <v>134</v>
      </c>
      <c r="E232" s="11">
        <v>1.3499999999999999E-5</v>
      </c>
      <c r="F232" s="11">
        <v>4.2899999999999996E-6</v>
      </c>
      <c r="G232">
        <v>0.31786053399999997</v>
      </c>
      <c r="H232">
        <v>-0.58789314100000001</v>
      </c>
      <c r="I232" s="11">
        <v>1.7799999999999999E-5</v>
      </c>
      <c r="J232">
        <v>0.29593860599999999</v>
      </c>
      <c r="K232">
        <v>1.9128666999999999E-2</v>
      </c>
      <c r="L232">
        <v>1.813888969</v>
      </c>
      <c r="M232">
        <v>3.6312480000000001E-3</v>
      </c>
      <c r="N232">
        <v>1.299792E-2</v>
      </c>
      <c r="O232">
        <v>6.8742930000000001E-3</v>
      </c>
      <c r="P232">
        <v>5.7844960000000001E-2</v>
      </c>
      <c r="Q232">
        <v>0.90076606699999995</v>
      </c>
      <c r="R232">
        <v>5.5202863139999998</v>
      </c>
      <c r="S232">
        <v>2.2172194999999999E-2</v>
      </c>
      <c r="T232">
        <v>2.1126691999999999E-2</v>
      </c>
      <c r="U232">
        <v>0.16958015200000001</v>
      </c>
      <c r="V232">
        <v>0.17531501799999999</v>
      </c>
      <c r="W232">
        <v>1.0338180260000001</v>
      </c>
      <c r="X232">
        <v>4.2063699720000001</v>
      </c>
      <c r="Y232">
        <v>1.6841449100000001</v>
      </c>
      <c r="Z232">
        <v>0.39450691300000001</v>
      </c>
      <c r="AA232">
        <v>9.9736919999999993E-3</v>
      </c>
      <c r="AB232">
        <v>-7.7038537000000004E-2</v>
      </c>
      <c r="AC232">
        <v>8.5477480000000008E-3</v>
      </c>
      <c r="AD232">
        <v>0.88494516999999995</v>
      </c>
      <c r="AE232">
        <v>0.27863861600000001</v>
      </c>
      <c r="AF232">
        <v>0.73125556899999999</v>
      </c>
      <c r="AG232">
        <v>0.14305715299999999</v>
      </c>
      <c r="AH232">
        <v>3.081936E-3</v>
      </c>
      <c r="AI232">
        <v>0.37807631400000002</v>
      </c>
    </row>
    <row r="233" spans="1:35" x14ac:dyDescent="0.2">
      <c r="A233">
        <v>272</v>
      </c>
      <c r="B233" t="s">
        <v>397</v>
      </c>
      <c r="C233" t="s">
        <v>191</v>
      </c>
      <c r="D233" t="s">
        <v>136</v>
      </c>
      <c r="E233" s="11">
        <v>9.5100000000000004E-6</v>
      </c>
      <c r="F233" s="11">
        <v>2.9799999999999998E-6</v>
      </c>
      <c r="G233">
        <v>0.31389404799999998</v>
      </c>
      <c r="H233">
        <v>-0.20214395600000001</v>
      </c>
      <c r="I233" s="11">
        <v>1.2500000000000001E-5</v>
      </c>
      <c r="J233">
        <v>0.23018344099999999</v>
      </c>
      <c r="K233">
        <v>7.4201900000000001E-3</v>
      </c>
      <c r="L233">
        <v>1.3959410249999999</v>
      </c>
      <c r="M233">
        <v>1.0595343E-2</v>
      </c>
      <c r="N233">
        <v>8.6290989999999995E-3</v>
      </c>
      <c r="O233">
        <v>2.666603E-3</v>
      </c>
      <c r="P233">
        <v>2.3198779999999999E-2</v>
      </c>
      <c r="Q233">
        <v>0.71949759999999996</v>
      </c>
      <c r="R233">
        <v>4.363383164</v>
      </c>
      <c r="S233">
        <v>1.5704673999999998E-2</v>
      </c>
      <c r="T233">
        <v>1.4337033000000001E-2</v>
      </c>
      <c r="U233">
        <v>0.120114452</v>
      </c>
      <c r="V233">
        <v>0.118972589</v>
      </c>
      <c r="W233">
        <v>0.99049354199999995</v>
      </c>
      <c r="X233">
        <v>4.3687712840000001</v>
      </c>
      <c r="Y233">
        <v>1.163478623</v>
      </c>
      <c r="Z233">
        <v>0.31261002100000002</v>
      </c>
      <c r="AA233">
        <v>8.5266850000000009E-3</v>
      </c>
      <c r="AB233">
        <v>-0.19979946100000001</v>
      </c>
      <c r="AC233">
        <v>7.3113559999999998E-3</v>
      </c>
      <c r="AD233">
        <v>0.86269231700000004</v>
      </c>
      <c r="AE233">
        <v>0.19147863100000001</v>
      </c>
      <c r="AF233">
        <v>0.64663410099999996</v>
      </c>
      <c r="AG233">
        <v>0.15742567700000001</v>
      </c>
      <c r="AH233">
        <v>2.636149E-3</v>
      </c>
      <c r="AI233">
        <v>0.336098644</v>
      </c>
    </row>
    <row r="234" spans="1:35" x14ac:dyDescent="0.2">
      <c r="A234">
        <v>273</v>
      </c>
      <c r="B234" t="s">
        <v>398</v>
      </c>
      <c r="C234" t="s">
        <v>191</v>
      </c>
      <c r="D234" t="s">
        <v>138</v>
      </c>
      <c r="E234" s="11">
        <v>1.19E-5</v>
      </c>
      <c r="F234" s="11">
        <v>3.7799999999999998E-6</v>
      </c>
      <c r="G234">
        <v>0.31728679399999998</v>
      </c>
      <c r="H234">
        <v>0.24754743600000001</v>
      </c>
      <c r="I234" s="11">
        <v>1.5699999999999999E-5</v>
      </c>
      <c r="J234">
        <v>0.51805228299999995</v>
      </c>
      <c r="K234">
        <v>1.6394239000000001E-2</v>
      </c>
      <c r="L234">
        <v>3.1411021749999999</v>
      </c>
      <c r="M234">
        <v>1.0420443999999999E-2</v>
      </c>
      <c r="N234">
        <v>1.9089473999999999E-2</v>
      </c>
      <c r="O234">
        <v>5.8916180000000004E-3</v>
      </c>
      <c r="P234">
        <v>4.9257809999999999E-2</v>
      </c>
      <c r="Q234">
        <v>1.5567140580000001</v>
      </c>
      <c r="R234">
        <v>9.4387999639999993</v>
      </c>
      <c r="S234">
        <v>3.2835888000000001E-2</v>
      </c>
      <c r="T234">
        <v>3.0646924999999998E-2</v>
      </c>
      <c r="U234">
        <v>0.25113954599999999</v>
      </c>
      <c r="V234">
        <v>0.254316494</v>
      </c>
      <c r="W234">
        <v>1.0126501299999999</v>
      </c>
      <c r="X234">
        <v>3.1519222029999998</v>
      </c>
      <c r="Y234">
        <v>10.778726580000001</v>
      </c>
      <c r="Z234">
        <v>0.36511971799999998</v>
      </c>
      <c r="AA234">
        <v>2.6285540999999999E-2</v>
      </c>
      <c r="AB234">
        <v>0.70858318399999998</v>
      </c>
      <c r="AC234">
        <v>2.3573059E-2</v>
      </c>
      <c r="AD234">
        <v>0.88964174399999996</v>
      </c>
      <c r="AE234">
        <v>1.805830407</v>
      </c>
      <c r="AF234">
        <v>3.2331550770000002</v>
      </c>
      <c r="AG234">
        <v>0.33453737700000002</v>
      </c>
      <c r="AH234">
        <v>8.4993929999999992E-3</v>
      </c>
      <c r="AI234">
        <v>1.6545268019999999</v>
      </c>
    </row>
    <row r="235" spans="1:35" x14ac:dyDescent="0.2">
      <c r="A235">
        <v>274</v>
      </c>
      <c r="B235" t="s">
        <v>399</v>
      </c>
      <c r="C235" t="s">
        <v>191</v>
      </c>
      <c r="D235" t="s">
        <v>182</v>
      </c>
      <c r="E235" s="11">
        <v>8.3299999999999999E-6</v>
      </c>
      <c r="F235" s="11">
        <v>2.6199999999999999E-6</v>
      </c>
      <c r="G235">
        <v>0.31427419699999998</v>
      </c>
      <c r="H235">
        <v>0.62745368000000001</v>
      </c>
      <c r="I235" s="11">
        <v>1.0900000000000001E-5</v>
      </c>
      <c r="J235">
        <v>0.34143152300000001</v>
      </c>
      <c r="K235">
        <v>9.6803240000000006E-3</v>
      </c>
      <c r="L235">
        <v>2.0679497869999999</v>
      </c>
      <c r="M235">
        <v>8.7368600000000008E-3</v>
      </c>
      <c r="N235">
        <v>1.125052E-2</v>
      </c>
      <c r="O235">
        <v>3.47883E-3</v>
      </c>
      <c r="P235">
        <v>3.2321460000000003E-2</v>
      </c>
      <c r="Q235">
        <v>1.065849689</v>
      </c>
      <c r="R235">
        <v>6.4597410599999998</v>
      </c>
      <c r="S235">
        <v>1.8579645999999998E-2</v>
      </c>
      <c r="T235">
        <v>1.6806367999999999E-2</v>
      </c>
      <c r="U235">
        <v>0.142103168</v>
      </c>
      <c r="V235">
        <v>0.139463795</v>
      </c>
      <c r="W235">
        <v>0.98142636100000002</v>
      </c>
      <c r="X235">
        <v>2.9594982600000002</v>
      </c>
      <c r="Y235">
        <v>23.57047154</v>
      </c>
      <c r="Z235">
        <v>0.52927681299999996</v>
      </c>
      <c r="AA235">
        <v>3.2873426999999997E-2</v>
      </c>
      <c r="AB235">
        <v>0.91226523500000001</v>
      </c>
      <c r="AC235">
        <v>1.757437959</v>
      </c>
      <c r="AD235">
        <v>0.94382112900000004</v>
      </c>
      <c r="AE235">
        <v>2.7155149559999998</v>
      </c>
      <c r="AF235">
        <v>4.5222473430000001</v>
      </c>
      <c r="AG235">
        <v>13.61778492</v>
      </c>
      <c r="AH235">
        <v>1.0227879E-2</v>
      </c>
      <c r="AI235">
        <v>3.068421619</v>
      </c>
    </row>
    <row r="236" spans="1:35" x14ac:dyDescent="0.2">
      <c r="A236">
        <v>275</v>
      </c>
      <c r="B236" t="s">
        <v>400</v>
      </c>
      <c r="C236" t="s">
        <v>191</v>
      </c>
      <c r="D236" t="s">
        <v>188</v>
      </c>
      <c r="E236" s="11">
        <v>9.4599999999999992E-6</v>
      </c>
      <c r="F236" s="11">
        <v>2.9699999999999999E-6</v>
      </c>
      <c r="G236">
        <v>0.31397942400000001</v>
      </c>
      <c r="H236">
        <v>0.64529256800000001</v>
      </c>
      <c r="I236" s="11">
        <v>1.24E-5</v>
      </c>
      <c r="J236">
        <v>0.34187878599999999</v>
      </c>
      <c r="K236">
        <v>9.7356270000000002E-3</v>
      </c>
      <c r="L236">
        <v>2.070743969</v>
      </c>
      <c r="M236">
        <v>9.2637899999999992E-3</v>
      </c>
      <c r="N236">
        <v>1.1299361000000001E-2</v>
      </c>
      <c r="O236">
        <v>3.4987040000000001E-3</v>
      </c>
      <c r="P236">
        <v>3.007814E-2</v>
      </c>
      <c r="Q236">
        <v>1.0671936660000001</v>
      </c>
      <c r="R236">
        <v>6.4633182659999999</v>
      </c>
      <c r="S236">
        <v>1.8608356999999999E-2</v>
      </c>
      <c r="T236">
        <v>1.688079E-2</v>
      </c>
      <c r="U236">
        <v>0.14232276299999999</v>
      </c>
      <c r="V236">
        <v>0.14008137600000001</v>
      </c>
      <c r="W236">
        <v>0.98425138099999998</v>
      </c>
      <c r="X236">
        <v>2.9599714829999999</v>
      </c>
      <c r="Y236">
        <v>29.238217939999998</v>
      </c>
      <c r="Z236">
        <v>0.43585653899999999</v>
      </c>
      <c r="AA236">
        <v>3.1028337999999999E-2</v>
      </c>
      <c r="AB236">
        <v>0.92917680599999997</v>
      </c>
      <c r="AC236">
        <v>1.757438034</v>
      </c>
      <c r="AD236">
        <v>0.92449375499999997</v>
      </c>
      <c r="AE236">
        <v>3.6740315899999998</v>
      </c>
      <c r="AF236">
        <v>4.2823727749999998</v>
      </c>
      <c r="AG236">
        <v>14.03840752</v>
      </c>
      <c r="AH236">
        <v>1.0223223E-2</v>
      </c>
      <c r="AI236">
        <v>2.9712174149999999</v>
      </c>
    </row>
    <row r="237" spans="1:35" x14ac:dyDescent="0.2">
      <c r="A237">
        <v>277</v>
      </c>
      <c r="B237" t="s">
        <v>401</v>
      </c>
      <c r="C237" t="s">
        <v>191</v>
      </c>
      <c r="D237" t="s">
        <v>142</v>
      </c>
      <c r="E237" s="11">
        <v>1.01E-5</v>
      </c>
      <c r="F237" s="11">
        <v>3.2399999999999999E-6</v>
      </c>
      <c r="G237">
        <v>0.319651609</v>
      </c>
      <c r="H237">
        <v>0.58534036599999995</v>
      </c>
      <c r="I237" s="11">
        <v>1.34E-5</v>
      </c>
      <c r="J237">
        <v>0.36402047700000001</v>
      </c>
      <c r="K237">
        <v>1.5737373999999998E-2</v>
      </c>
      <c r="L237">
        <v>2.2155976110000002</v>
      </c>
      <c r="M237">
        <v>6.7777330000000002E-3</v>
      </c>
      <c r="N237">
        <v>1.8313487E-2</v>
      </c>
      <c r="O237">
        <v>5.6555590000000001E-3</v>
      </c>
      <c r="P237">
        <v>4.7639899999999999E-2</v>
      </c>
      <c r="Q237">
        <v>1.129299383</v>
      </c>
      <c r="R237">
        <v>6.871076092</v>
      </c>
      <c r="S237">
        <v>2.4124514E-2</v>
      </c>
      <c r="T237">
        <v>2.2921029999999998E-2</v>
      </c>
      <c r="U237">
        <v>0.184512125</v>
      </c>
      <c r="V237">
        <v>0.190204926</v>
      </c>
      <c r="W237">
        <v>1.0308532619999999</v>
      </c>
      <c r="X237">
        <v>2.959799302</v>
      </c>
      <c r="Y237">
        <v>22.1065714</v>
      </c>
      <c r="Z237">
        <v>1.159981377</v>
      </c>
      <c r="AA237">
        <v>3.408009E-2</v>
      </c>
      <c r="AB237">
        <v>0.89977651599999997</v>
      </c>
      <c r="AC237">
        <v>1.3777001719999999</v>
      </c>
      <c r="AD237">
        <v>1.0496239279999999</v>
      </c>
      <c r="AE237">
        <v>2.7425031729999998</v>
      </c>
      <c r="AF237">
        <v>2.313978831</v>
      </c>
      <c r="AG237">
        <v>7.2716817149999997</v>
      </c>
      <c r="AH237">
        <v>1.0224917E-2</v>
      </c>
      <c r="AI237">
        <v>1.5874886429999999</v>
      </c>
    </row>
    <row r="238" spans="1:35" x14ac:dyDescent="0.2">
      <c r="A238">
        <v>278</v>
      </c>
      <c r="B238" t="s">
        <v>402</v>
      </c>
      <c r="C238" t="s">
        <v>191</v>
      </c>
      <c r="D238" t="s">
        <v>144</v>
      </c>
      <c r="E238" s="11">
        <v>1.36E-5</v>
      </c>
      <c r="F238" s="11">
        <v>4.2799999999999997E-6</v>
      </c>
      <c r="G238">
        <v>0.31473907899999998</v>
      </c>
      <c r="H238">
        <v>-0.24935469099999999</v>
      </c>
      <c r="I238" s="11">
        <v>1.7900000000000001E-5</v>
      </c>
      <c r="J238">
        <v>0.29338186700000002</v>
      </c>
      <c r="K238">
        <v>1.1195043999999999E-2</v>
      </c>
      <c r="L238">
        <v>1.782681293</v>
      </c>
      <c r="M238">
        <v>1.2572803E-2</v>
      </c>
      <c r="N238">
        <v>1.3036226E-2</v>
      </c>
      <c r="O238">
        <v>4.0231770000000002E-3</v>
      </c>
      <c r="P238">
        <v>3.4447680000000001E-2</v>
      </c>
      <c r="Q238">
        <v>0.90282560999999995</v>
      </c>
      <c r="R238">
        <v>5.4858490160000004</v>
      </c>
      <c r="S238">
        <v>2.2110721E-2</v>
      </c>
      <c r="T238">
        <v>2.1335979000000001E-2</v>
      </c>
      <c r="U238">
        <v>0.16910998299999999</v>
      </c>
      <c r="V238">
        <v>0.17705174100000001</v>
      </c>
      <c r="W238">
        <v>1.046962089</v>
      </c>
      <c r="X238">
        <v>4.0163544140000003</v>
      </c>
      <c r="Y238">
        <v>1.6245553079999999</v>
      </c>
      <c r="Z238">
        <v>0.30283852</v>
      </c>
      <c r="AA238">
        <v>1.1971944999999999E-2</v>
      </c>
      <c r="AB238">
        <v>-9.7334934999999997E-2</v>
      </c>
      <c r="AC238">
        <v>1.0262261E-2</v>
      </c>
      <c r="AD238">
        <v>0.87833781700000002</v>
      </c>
      <c r="AE238">
        <v>0.26732131999999997</v>
      </c>
      <c r="AF238">
        <v>0.84183341499999997</v>
      </c>
      <c r="AG238">
        <v>0.20609324100000001</v>
      </c>
      <c r="AH238">
        <v>3.700114E-3</v>
      </c>
      <c r="AI238">
        <v>0.43762237999999998</v>
      </c>
    </row>
    <row r="239" spans="1:35" x14ac:dyDescent="0.2">
      <c r="A239">
        <v>279</v>
      </c>
      <c r="B239" t="s">
        <v>403</v>
      </c>
      <c r="C239" t="s">
        <v>191</v>
      </c>
      <c r="D239" t="s">
        <v>146</v>
      </c>
      <c r="E239" s="11">
        <v>4.34E-6</v>
      </c>
      <c r="F239" s="11">
        <v>1.35E-6</v>
      </c>
      <c r="G239">
        <v>0.311094806</v>
      </c>
      <c r="H239">
        <v>0.57222311999999997</v>
      </c>
      <c r="I239" s="11">
        <v>5.6799999999999998E-6</v>
      </c>
      <c r="J239">
        <v>0.29313117999999999</v>
      </c>
      <c r="K239">
        <v>2.331035E-3</v>
      </c>
      <c r="L239">
        <v>1.763449152</v>
      </c>
      <c r="M239">
        <v>2.6480000000000002E-3</v>
      </c>
      <c r="N239">
        <v>2.6949779999999998E-3</v>
      </c>
      <c r="O239">
        <v>8.3770700000000003E-4</v>
      </c>
      <c r="P239">
        <v>7.4176800000000003E-3</v>
      </c>
      <c r="Q239">
        <v>0.93281555800000004</v>
      </c>
      <c r="R239">
        <v>5.6117287119999997</v>
      </c>
      <c r="S239">
        <v>4.4673780000000001E-3</v>
      </c>
      <c r="T239">
        <v>4.2374709999999996E-3</v>
      </c>
      <c r="U239">
        <v>3.4167955E-2</v>
      </c>
      <c r="V239">
        <v>3.5163686E-2</v>
      </c>
      <c r="W239">
        <v>1.029142247</v>
      </c>
      <c r="X239">
        <v>4.511087184</v>
      </c>
      <c r="Y239">
        <v>1.7642218089999999</v>
      </c>
      <c r="Z239">
        <v>0.29827894399999999</v>
      </c>
      <c r="AA239">
        <v>7.4366049999999998E-3</v>
      </c>
      <c r="AB239">
        <v>4.3795900000000003E-4</v>
      </c>
      <c r="AC239">
        <v>6.3758230000000001E-3</v>
      </c>
      <c r="AD239">
        <v>0.86207704900000004</v>
      </c>
      <c r="AE239">
        <v>0.29375139900000002</v>
      </c>
      <c r="AF239">
        <v>1.015034655</v>
      </c>
      <c r="AG239">
        <v>0.14049330400000001</v>
      </c>
      <c r="AH239">
        <v>2.2988370000000002E-3</v>
      </c>
      <c r="AI239">
        <v>0.521465548</v>
      </c>
    </row>
    <row r="240" spans="1:35" x14ac:dyDescent="0.2">
      <c r="A240">
        <v>280</v>
      </c>
      <c r="B240" t="s">
        <v>404</v>
      </c>
      <c r="C240" t="s">
        <v>191</v>
      </c>
      <c r="D240" t="s">
        <v>200</v>
      </c>
      <c r="E240" s="11">
        <v>7.0400000000000004E-6</v>
      </c>
      <c r="F240" s="11">
        <v>2.21E-6</v>
      </c>
      <c r="G240">
        <v>0.31380724399999999</v>
      </c>
      <c r="H240">
        <v>-3.7640288000000001E-2</v>
      </c>
      <c r="I240" s="11">
        <v>9.2399999999999996E-6</v>
      </c>
      <c r="J240">
        <v>0.35185649899999999</v>
      </c>
      <c r="K240">
        <v>1.0162859E-2</v>
      </c>
      <c r="L240">
        <v>2.1314647139999998</v>
      </c>
      <c r="M240">
        <v>8.3349930000000006E-3</v>
      </c>
      <c r="N240">
        <v>1.1775657E-2</v>
      </c>
      <c r="O240">
        <v>3.6522389999999998E-3</v>
      </c>
      <c r="P240">
        <v>3.1296280000000003E-2</v>
      </c>
      <c r="Q240">
        <v>1.1009825099999999</v>
      </c>
      <c r="R240">
        <v>6.6684876219999998</v>
      </c>
      <c r="S240">
        <v>1.8037421000000001E-2</v>
      </c>
      <c r="T240">
        <v>1.6074042E-2</v>
      </c>
      <c r="U240">
        <v>0.13795605399999999</v>
      </c>
      <c r="V240">
        <v>0.13338675699999999</v>
      </c>
      <c r="W240">
        <v>0.966878605</v>
      </c>
      <c r="X240">
        <v>4.186162758</v>
      </c>
      <c r="Y240">
        <v>2.4395831110000001</v>
      </c>
      <c r="Z240">
        <v>0.31175254000000002</v>
      </c>
      <c r="AA240">
        <v>1.0153977E-2</v>
      </c>
      <c r="AB240">
        <v>0.12629961100000001</v>
      </c>
      <c r="AC240">
        <v>8.7155449999999999E-3</v>
      </c>
      <c r="AD240">
        <v>0.843587537</v>
      </c>
      <c r="AE240">
        <v>0.40627532599999999</v>
      </c>
      <c r="AF240">
        <v>1.3252027289999999</v>
      </c>
      <c r="AG240">
        <v>0.181259222</v>
      </c>
      <c r="AH240">
        <v>3.1424370000000001E-3</v>
      </c>
      <c r="AI240">
        <v>0.68068761200000005</v>
      </c>
    </row>
    <row r="241" spans="1:35" x14ac:dyDescent="0.2">
      <c r="A241">
        <v>281</v>
      </c>
      <c r="B241" t="s">
        <v>405</v>
      </c>
      <c r="C241" t="s">
        <v>191</v>
      </c>
      <c r="D241" t="s">
        <v>148</v>
      </c>
      <c r="E241" s="11">
        <v>8.7099999999999996E-6</v>
      </c>
      <c r="F241" s="11">
        <v>2.7E-6</v>
      </c>
      <c r="G241">
        <v>0.31035130399999999</v>
      </c>
      <c r="H241">
        <v>-0.52290964799999995</v>
      </c>
      <c r="I241" s="11">
        <v>1.1399999999999999E-5</v>
      </c>
      <c r="J241">
        <v>0.29191489399999998</v>
      </c>
      <c r="K241">
        <v>1.6144722E-2</v>
      </c>
      <c r="L241">
        <v>1.7837788059999999</v>
      </c>
      <c r="M241">
        <v>1.2614805999999999E-2</v>
      </c>
      <c r="N241">
        <v>1.8753593999999998E-2</v>
      </c>
      <c r="O241">
        <v>5.8019489999999998E-3</v>
      </c>
      <c r="P241">
        <v>8.4198040000000002E-2</v>
      </c>
      <c r="Q241">
        <v>1.131205851</v>
      </c>
      <c r="R241">
        <v>6.9556311839999996</v>
      </c>
      <c r="S241">
        <v>1.5359141999999999E-2</v>
      </c>
      <c r="T241">
        <v>1.3949613E-2</v>
      </c>
      <c r="U241">
        <v>0.117471706</v>
      </c>
      <c r="V241">
        <v>0.115757674</v>
      </c>
      <c r="W241">
        <v>0.98540897999999999</v>
      </c>
      <c r="X241">
        <v>5.4466011869999997</v>
      </c>
      <c r="Y241">
        <v>0.56096921499999997</v>
      </c>
      <c r="Z241">
        <v>0.28589554</v>
      </c>
      <c r="AA241">
        <v>3.0186639999999999E-3</v>
      </c>
      <c r="AB241">
        <v>-1</v>
      </c>
      <c r="AC241">
        <v>2.0818976999999999E-2</v>
      </c>
      <c r="AD241">
        <v>0.85266206899999997</v>
      </c>
      <c r="AE241">
        <v>7.9817236E-2</v>
      </c>
      <c r="AF241">
        <v>0.30263410600000001</v>
      </c>
      <c r="AG241">
        <v>0.50354029300000003</v>
      </c>
      <c r="AH241">
        <v>9.3462299999999999E-4</v>
      </c>
      <c r="AI241">
        <v>0.18195404900000001</v>
      </c>
    </row>
    <row r="242" spans="1:35" x14ac:dyDescent="0.2">
      <c r="A242">
        <v>282</v>
      </c>
      <c r="B242" t="s">
        <v>406</v>
      </c>
      <c r="C242" t="s">
        <v>191</v>
      </c>
      <c r="D242" t="s">
        <v>150</v>
      </c>
      <c r="E242" s="11">
        <v>1.0699999999999999E-5</v>
      </c>
      <c r="F242" s="11">
        <v>3.3799999999999998E-6</v>
      </c>
      <c r="G242">
        <v>0.314545823</v>
      </c>
      <c r="H242">
        <v>-0.42648439599999999</v>
      </c>
      <c r="I242" s="11">
        <v>1.4100000000000001E-5</v>
      </c>
      <c r="J242">
        <v>0.29351546099999998</v>
      </c>
      <c r="K242">
        <v>7.6090740000000004E-3</v>
      </c>
      <c r="L242">
        <v>1.776310914</v>
      </c>
      <c r="M242">
        <v>8.5459160000000006E-3</v>
      </c>
      <c r="N242">
        <v>8.8528259999999994E-3</v>
      </c>
      <c r="O242">
        <v>2.7344819999999999E-3</v>
      </c>
      <c r="P242">
        <v>2.3779829999999998E-2</v>
      </c>
      <c r="Q242">
        <v>0.91732803299999999</v>
      </c>
      <c r="R242">
        <v>5.5515278500000003</v>
      </c>
      <c r="S242">
        <v>1.4974164999999999E-2</v>
      </c>
      <c r="T242">
        <v>1.4422248E-2</v>
      </c>
      <c r="U242">
        <v>0.11452728199999999</v>
      </c>
      <c r="V242">
        <v>0.119679723</v>
      </c>
      <c r="W242">
        <v>1.044988765</v>
      </c>
      <c r="X242">
        <v>4.518301643</v>
      </c>
      <c r="Y242">
        <v>1.7538843930000001</v>
      </c>
      <c r="Z242">
        <v>0.29790094499999997</v>
      </c>
      <c r="AA242">
        <v>7.3851780000000001E-3</v>
      </c>
      <c r="AB242">
        <v>-1.2786772E-2</v>
      </c>
      <c r="AC242">
        <v>6.331723E-3</v>
      </c>
      <c r="AD242">
        <v>0.86200191400000004</v>
      </c>
      <c r="AE242">
        <v>0.29203504299999999</v>
      </c>
      <c r="AF242">
        <v>1.010192156</v>
      </c>
      <c r="AG242">
        <v>0.13967247799999999</v>
      </c>
      <c r="AH242">
        <v>2.2829370000000001E-3</v>
      </c>
      <c r="AI242">
        <v>0.51896911899999998</v>
      </c>
    </row>
    <row r="243" spans="1:35" x14ac:dyDescent="0.2">
      <c r="A243">
        <v>283</v>
      </c>
      <c r="B243" t="s">
        <v>407</v>
      </c>
      <c r="C243" t="s">
        <v>191</v>
      </c>
      <c r="D243" t="s">
        <v>204</v>
      </c>
      <c r="E243" s="11">
        <v>6.1199999999999999E-6</v>
      </c>
      <c r="F243" s="11">
        <v>1.9099999999999999E-6</v>
      </c>
      <c r="G243">
        <v>0.31235231600000002</v>
      </c>
      <c r="H243">
        <v>-0.68574347599999996</v>
      </c>
      <c r="I243" s="11">
        <v>8.0299999999999994E-6</v>
      </c>
      <c r="J243">
        <v>0.223181719</v>
      </c>
      <c r="K243">
        <v>4.7254510000000003E-3</v>
      </c>
      <c r="L243">
        <v>1.3485412189999999</v>
      </c>
      <c r="M243">
        <v>6.9973329999999997E-3</v>
      </c>
      <c r="N243">
        <v>5.4810409999999999E-3</v>
      </c>
      <c r="O243">
        <v>1.6981909999999999E-3</v>
      </c>
      <c r="P243">
        <v>1.491936E-2</v>
      </c>
      <c r="Q243">
        <v>0.70445983300000004</v>
      </c>
      <c r="R243">
        <v>4.2565977139999998</v>
      </c>
      <c r="S243">
        <v>1.0075092000000001E-2</v>
      </c>
      <c r="T243">
        <v>9.0853129999999994E-3</v>
      </c>
      <c r="U243">
        <v>7.7057579000000001E-2</v>
      </c>
      <c r="V243">
        <v>7.5392391000000003E-2</v>
      </c>
      <c r="W243">
        <v>0.978390341</v>
      </c>
      <c r="X243">
        <v>5.7594087719999996</v>
      </c>
      <c r="Y243">
        <v>0.64927471800000003</v>
      </c>
      <c r="Z243">
        <v>0.28389510600000001</v>
      </c>
      <c r="AA243">
        <v>2.229965E-3</v>
      </c>
      <c r="AB243">
        <v>-1</v>
      </c>
      <c r="AC243">
        <v>1.9185300000000001E-3</v>
      </c>
      <c r="AD243">
        <v>0.82632671899999999</v>
      </c>
      <c r="AE243">
        <v>0.108416755</v>
      </c>
      <c r="AF243">
        <v>0.42573763799999997</v>
      </c>
      <c r="AG243">
        <v>4.7170480000000001E-2</v>
      </c>
      <c r="AH243">
        <v>6.9173599999999998E-4</v>
      </c>
      <c r="AI243">
        <v>0.218044822</v>
      </c>
    </row>
    <row r="244" spans="1:35" x14ac:dyDescent="0.2">
      <c r="A244">
        <v>284</v>
      </c>
      <c r="B244" t="s">
        <v>408</v>
      </c>
      <c r="C244" t="s">
        <v>191</v>
      </c>
      <c r="D244" t="s">
        <v>152</v>
      </c>
      <c r="E244" s="11">
        <v>1.0200000000000001E-5</v>
      </c>
      <c r="F244" s="11">
        <v>3.2100000000000002E-6</v>
      </c>
      <c r="G244">
        <v>0.31444480000000002</v>
      </c>
      <c r="H244">
        <v>0.58465506300000003</v>
      </c>
      <c r="I244" s="11">
        <v>1.34E-5</v>
      </c>
      <c r="J244">
        <v>0.36395321800000002</v>
      </c>
      <c r="K244">
        <v>1.5733752E-2</v>
      </c>
      <c r="L244">
        <v>2.2151868119999998</v>
      </c>
      <c r="M244">
        <v>6.7786069999999999E-3</v>
      </c>
      <c r="N244">
        <v>1.8310151E-2</v>
      </c>
      <c r="O244">
        <v>5.6542579999999997E-3</v>
      </c>
      <c r="P244">
        <v>4.7631529999999998E-2</v>
      </c>
      <c r="Q244">
        <v>1.1291571410000001</v>
      </c>
      <c r="R244">
        <v>6.8702059039999996</v>
      </c>
      <c r="S244">
        <v>2.4159499000000001E-2</v>
      </c>
      <c r="T244">
        <v>2.2925312E-2</v>
      </c>
      <c r="U244">
        <v>0.18477970299999999</v>
      </c>
      <c r="V244">
        <v>0.190240455</v>
      </c>
      <c r="W244">
        <v>1.02955277</v>
      </c>
      <c r="X244">
        <v>2.9591236919999999</v>
      </c>
      <c r="Y244">
        <v>22.102604119999999</v>
      </c>
      <c r="Z244">
        <v>1.159822275</v>
      </c>
      <c r="AA244">
        <v>3.4082724000000002E-2</v>
      </c>
      <c r="AB244">
        <v>0.89977711199999999</v>
      </c>
      <c r="AC244">
        <v>1.3800341890000001</v>
      </c>
      <c r="AD244">
        <v>1.0493366850000001</v>
      </c>
      <c r="AE244">
        <v>2.740144683</v>
      </c>
      <c r="AF244">
        <v>2.314367115</v>
      </c>
      <c r="AG244">
        <v>7.1916103519999997</v>
      </c>
      <c r="AH244">
        <v>1.0231565E-2</v>
      </c>
      <c r="AI244">
        <v>1.5830925</v>
      </c>
    </row>
    <row r="245" spans="1:35" x14ac:dyDescent="0.2">
      <c r="A245">
        <v>285</v>
      </c>
      <c r="B245" t="s">
        <v>409</v>
      </c>
      <c r="C245" t="s">
        <v>191</v>
      </c>
      <c r="D245" t="s">
        <v>154</v>
      </c>
      <c r="E245" s="11">
        <v>6.0100000000000001E-6</v>
      </c>
      <c r="F245" s="11">
        <v>1.86E-6</v>
      </c>
      <c r="G245">
        <v>0.30963335800000003</v>
      </c>
      <c r="H245">
        <v>-0.67217702300000004</v>
      </c>
      <c r="I245" s="11">
        <v>7.8699999999999992E-6</v>
      </c>
      <c r="J245">
        <v>0.21861841600000001</v>
      </c>
      <c r="K245">
        <v>4.5348419999999999E-3</v>
      </c>
      <c r="L245">
        <v>1.320780179</v>
      </c>
      <c r="M245">
        <v>6.8677699999999996E-3</v>
      </c>
      <c r="N245">
        <v>5.2585360000000003E-3</v>
      </c>
      <c r="O245">
        <v>1.6296920000000001E-3</v>
      </c>
      <c r="P245">
        <v>1.432631E-2</v>
      </c>
      <c r="Q245">
        <v>0.69050585399999997</v>
      </c>
      <c r="R245">
        <v>4.1716877480000001</v>
      </c>
      <c r="S245">
        <v>9.7529209999999995E-3</v>
      </c>
      <c r="T245">
        <v>8.7979600000000005E-3</v>
      </c>
      <c r="U245">
        <v>7.4593509000000002E-2</v>
      </c>
      <c r="V245">
        <v>7.3007856999999995E-2</v>
      </c>
      <c r="W245">
        <v>0.97874276199999999</v>
      </c>
      <c r="X245">
        <v>5.902040457</v>
      </c>
      <c r="Y245">
        <v>0.60434090100000004</v>
      </c>
      <c r="Z245">
        <v>0.28528799900000001</v>
      </c>
      <c r="AA245">
        <v>1.9447290000000001E-3</v>
      </c>
      <c r="AB245">
        <v>-1</v>
      </c>
      <c r="AC245">
        <v>1.672534E-3</v>
      </c>
      <c r="AD245">
        <v>0.82267214300000002</v>
      </c>
      <c r="AE245">
        <v>0.100995508</v>
      </c>
      <c r="AF245">
        <v>0.39170854599999999</v>
      </c>
      <c r="AG245">
        <v>4.1362045E-2</v>
      </c>
      <c r="AH245">
        <v>6.0304100000000002E-4</v>
      </c>
      <c r="AI245">
        <v>0.20049966299999999</v>
      </c>
    </row>
    <row r="246" spans="1:35" x14ac:dyDescent="0.2">
      <c r="A246">
        <v>286</v>
      </c>
      <c r="B246" t="s">
        <v>410</v>
      </c>
      <c r="C246" t="s">
        <v>191</v>
      </c>
      <c r="D246" t="s">
        <v>156</v>
      </c>
      <c r="E246" s="11">
        <v>9.2499999999999995E-6</v>
      </c>
      <c r="F246" s="11">
        <v>2.8899999999999999E-6</v>
      </c>
      <c r="G246">
        <v>0.31192859099999998</v>
      </c>
      <c r="H246">
        <v>-4.3881329999999998E-3</v>
      </c>
      <c r="I246" s="11">
        <v>1.2099999999999999E-5</v>
      </c>
      <c r="J246">
        <v>0.22887632699999999</v>
      </c>
      <c r="K246">
        <v>7.3401450000000002E-3</v>
      </c>
      <c r="L246">
        <v>1.387938254</v>
      </c>
      <c r="M246">
        <v>1.0556371E-2</v>
      </c>
      <c r="N246">
        <v>8.5341189999999997E-3</v>
      </c>
      <c r="O246">
        <v>2.6378370000000001E-3</v>
      </c>
      <c r="P246">
        <v>2.2951829999999999E-2</v>
      </c>
      <c r="Q246">
        <v>0.71554820299999999</v>
      </c>
      <c r="R246">
        <v>4.339192884</v>
      </c>
      <c r="S246">
        <v>1.5610983E-2</v>
      </c>
      <c r="T246">
        <v>1.4275451E-2</v>
      </c>
      <c r="U246">
        <v>0.119397874</v>
      </c>
      <c r="V246">
        <v>0.118461568</v>
      </c>
      <c r="W246">
        <v>0.99215810199999999</v>
      </c>
      <c r="X246">
        <v>4.2001789089999999</v>
      </c>
      <c r="Y246">
        <v>1.357439807</v>
      </c>
      <c r="Z246">
        <v>0.31532331600000002</v>
      </c>
      <c r="AA246">
        <v>1.0027075999999999E-2</v>
      </c>
      <c r="AB246">
        <v>-2.2467623999999999E-2</v>
      </c>
      <c r="AC246">
        <v>8.5988109999999996E-3</v>
      </c>
      <c r="AD246">
        <v>0.858255506</v>
      </c>
      <c r="AE246">
        <v>0.22335005399999999</v>
      </c>
      <c r="AF246">
        <v>0.73094353899999998</v>
      </c>
      <c r="AG246">
        <v>0.179503999</v>
      </c>
      <c r="AH246">
        <v>3.1003480000000002E-3</v>
      </c>
      <c r="AI246">
        <v>0.380008917</v>
      </c>
    </row>
    <row r="247" spans="1:35" x14ac:dyDescent="0.2">
      <c r="A247">
        <v>287</v>
      </c>
      <c r="B247" t="s">
        <v>411</v>
      </c>
      <c r="C247" t="s">
        <v>191</v>
      </c>
      <c r="D247" t="s">
        <v>158</v>
      </c>
      <c r="E247" s="11">
        <v>6.2099999999999998E-6</v>
      </c>
      <c r="F247" s="11">
        <v>1.95E-6</v>
      </c>
      <c r="G247">
        <v>0.31442185499999997</v>
      </c>
      <c r="H247">
        <v>-0.62509551500000005</v>
      </c>
      <c r="I247" s="11">
        <v>8.1599999999999998E-6</v>
      </c>
      <c r="J247">
        <v>0.29191489399999998</v>
      </c>
      <c r="K247">
        <v>9.5724420000000005E-3</v>
      </c>
      <c r="L247">
        <v>1.7706342450000001</v>
      </c>
      <c r="M247">
        <v>8.6082239999999994E-3</v>
      </c>
      <c r="N247">
        <v>1.1096933E-2</v>
      </c>
      <c r="O247">
        <v>3.44006E-3</v>
      </c>
      <c r="P247">
        <v>5.3838660000000003E-2</v>
      </c>
      <c r="Q247">
        <v>1.0502267439999999</v>
      </c>
      <c r="R247">
        <v>6.4090377739999997</v>
      </c>
      <c r="S247">
        <v>9.6932770000000001E-3</v>
      </c>
      <c r="T247">
        <v>8.5562350000000006E-3</v>
      </c>
      <c r="U247">
        <v>7.4137334999999999E-2</v>
      </c>
      <c r="V247">
        <v>7.1001957000000004E-2</v>
      </c>
      <c r="W247">
        <v>0.95770851499999998</v>
      </c>
      <c r="X247">
        <v>5.3363490599999999</v>
      </c>
      <c r="Y247">
        <v>0.67031559799999996</v>
      </c>
      <c r="Z247">
        <v>0.290765053</v>
      </c>
      <c r="AA247">
        <v>3.348059E-3</v>
      </c>
      <c r="AB247">
        <v>-1</v>
      </c>
      <c r="AC247">
        <v>2.882234E-3</v>
      </c>
      <c r="AD247">
        <v>0.84284195900000003</v>
      </c>
      <c r="AE247">
        <v>0.11127836000000001</v>
      </c>
      <c r="AF247">
        <v>0.545665493</v>
      </c>
      <c r="AG247">
        <v>0.119262523</v>
      </c>
      <c r="AH247">
        <v>1.0392050000000001E-3</v>
      </c>
      <c r="AI247">
        <v>0.28283955999999999</v>
      </c>
    </row>
    <row r="248" spans="1:35" x14ac:dyDescent="0.2">
      <c r="A248">
        <v>288</v>
      </c>
      <c r="B248" t="s">
        <v>412</v>
      </c>
      <c r="C248" t="s">
        <v>191</v>
      </c>
      <c r="D248" t="s">
        <v>160</v>
      </c>
      <c r="E248" s="11">
        <v>1.0499999999999999E-5</v>
      </c>
      <c r="F248" s="11">
        <v>3.32E-6</v>
      </c>
      <c r="G248">
        <v>0.31547518099999999</v>
      </c>
      <c r="H248">
        <v>-0.44986918100000001</v>
      </c>
      <c r="I248" s="11">
        <v>1.38E-5</v>
      </c>
      <c r="J248">
        <v>0.26871556699999999</v>
      </c>
      <c r="K248">
        <v>9.7290910000000005E-3</v>
      </c>
      <c r="L248">
        <v>1.6317515849999999</v>
      </c>
      <c r="M248">
        <v>1.1931047E-2</v>
      </c>
      <c r="N248">
        <v>1.1320238999999999E-2</v>
      </c>
      <c r="O248">
        <v>3.4963559999999999E-3</v>
      </c>
      <c r="P248">
        <v>3.0113379999999999E-2</v>
      </c>
      <c r="Q248">
        <v>0.83168196999999999</v>
      </c>
      <c r="R248">
        <v>5.0503185840000002</v>
      </c>
      <c r="S248">
        <v>1.8687098999999999E-2</v>
      </c>
      <c r="T248">
        <v>1.8368718999999999E-2</v>
      </c>
      <c r="U248">
        <v>0.14292500699999999</v>
      </c>
      <c r="V248">
        <v>0.15242861399999999</v>
      </c>
      <c r="W248">
        <v>1.066493661</v>
      </c>
      <c r="X248">
        <v>4.0701106019999997</v>
      </c>
      <c r="Y248">
        <v>1.372958243</v>
      </c>
      <c r="Z248">
        <v>0.30770091999999999</v>
      </c>
      <c r="AA248">
        <v>1.135163E-2</v>
      </c>
      <c r="AB248">
        <v>-0.18849323600000001</v>
      </c>
      <c r="AC248">
        <v>9.7450239999999997E-3</v>
      </c>
      <c r="AD248">
        <v>0.86278606899999999</v>
      </c>
      <c r="AE248">
        <v>0.225145758</v>
      </c>
      <c r="AF248">
        <v>0.81484732000000004</v>
      </c>
      <c r="AG248">
        <v>0.200895084</v>
      </c>
      <c r="AH248">
        <v>3.5136210000000002E-3</v>
      </c>
      <c r="AI248">
        <v>0.42367459099999999</v>
      </c>
    </row>
    <row r="249" spans="1:35" x14ac:dyDescent="0.2">
      <c r="A249">
        <v>289</v>
      </c>
      <c r="B249" t="s">
        <v>413</v>
      </c>
      <c r="C249" t="s">
        <v>191</v>
      </c>
      <c r="D249" t="s">
        <v>162</v>
      </c>
      <c r="E249" s="11">
        <v>1.08E-5</v>
      </c>
      <c r="F249" s="11">
        <v>3.3699999999999999E-6</v>
      </c>
      <c r="G249">
        <v>0.31155490600000002</v>
      </c>
      <c r="H249">
        <v>-0.42148943100000003</v>
      </c>
      <c r="I249" s="11">
        <v>1.42E-5</v>
      </c>
      <c r="J249">
        <v>0.29351822700000002</v>
      </c>
      <c r="K249">
        <v>7.6222249999999998E-3</v>
      </c>
      <c r="L249">
        <v>1.7763538139999999</v>
      </c>
      <c r="M249">
        <v>8.5606620000000001E-3</v>
      </c>
      <c r="N249">
        <v>8.8679859999999996E-3</v>
      </c>
      <c r="O249">
        <v>2.7392079999999999E-3</v>
      </c>
      <c r="P249">
        <v>2.3819099999999999E-2</v>
      </c>
      <c r="Q249">
        <v>0.91726654699999999</v>
      </c>
      <c r="R249">
        <v>5.551237478</v>
      </c>
      <c r="S249">
        <v>1.4998831000000001E-2</v>
      </c>
      <c r="T249">
        <v>1.4447135999999999E-2</v>
      </c>
      <c r="U249">
        <v>0.11471592999999999</v>
      </c>
      <c r="V249">
        <v>0.11988625</v>
      </c>
      <c r="W249">
        <v>1.045070637</v>
      </c>
      <c r="X249">
        <v>4.5163229679999999</v>
      </c>
      <c r="Y249">
        <v>1.753509926</v>
      </c>
      <c r="Z249">
        <v>0.31302200099999999</v>
      </c>
      <c r="AA249">
        <v>7.3995249999999997E-3</v>
      </c>
      <c r="AB249">
        <v>-1.3027522E-2</v>
      </c>
      <c r="AC249">
        <v>6.343787E-3</v>
      </c>
      <c r="AD249">
        <v>0.86324010699999998</v>
      </c>
      <c r="AE249">
        <v>0.29196299100000001</v>
      </c>
      <c r="AF249">
        <v>1.009679269</v>
      </c>
      <c r="AG249">
        <v>0.13989035399999999</v>
      </c>
      <c r="AH249">
        <v>2.2872869999999998E-3</v>
      </c>
      <c r="AI249">
        <v>0.51872219500000005</v>
      </c>
    </row>
    <row r="250" spans="1:35" x14ac:dyDescent="0.2">
      <c r="A250">
        <v>290</v>
      </c>
      <c r="B250" t="s">
        <v>414</v>
      </c>
      <c r="C250" t="s">
        <v>191</v>
      </c>
      <c r="D250" t="s">
        <v>220</v>
      </c>
      <c r="E250" s="11">
        <v>1.08E-5</v>
      </c>
      <c r="F250" s="11">
        <v>3.3799999999999998E-6</v>
      </c>
      <c r="G250">
        <v>0.31425109400000001</v>
      </c>
      <c r="H250">
        <v>-0.42424827700000001</v>
      </c>
      <c r="I250" s="11">
        <v>1.4100000000000001E-5</v>
      </c>
      <c r="J250">
        <v>0.29351886500000002</v>
      </c>
      <c r="K250">
        <v>7.6252560000000004E-3</v>
      </c>
      <c r="L250">
        <v>1.776363702</v>
      </c>
      <c r="M250">
        <v>8.5640809999999994E-3</v>
      </c>
      <c r="N250">
        <v>8.8716460000000004E-3</v>
      </c>
      <c r="O250">
        <v>2.740298E-3</v>
      </c>
      <c r="P250">
        <v>2.382861E-2</v>
      </c>
      <c r="Q250">
        <v>0.91726971599999996</v>
      </c>
      <c r="R250">
        <v>5.5512755059999996</v>
      </c>
      <c r="S250">
        <v>1.5007987E-2</v>
      </c>
      <c r="T250">
        <v>1.4457948999999999E-2</v>
      </c>
      <c r="U250">
        <v>0.11478596000000001</v>
      </c>
      <c r="V250">
        <v>0.11997598600000001</v>
      </c>
      <c r="W250">
        <v>1.045214815</v>
      </c>
      <c r="X250">
        <v>4.516913948</v>
      </c>
      <c r="Y250">
        <v>1.7536230669999999</v>
      </c>
      <c r="Z250">
        <v>0.31264681500000002</v>
      </c>
      <c r="AA250">
        <v>7.3953320000000001E-3</v>
      </c>
      <c r="AB250">
        <v>-1.2967800999999999E-2</v>
      </c>
      <c r="AC250">
        <v>6.3401819999999998E-3</v>
      </c>
      <c r="AD250">
        <v>0.86470786300000002</v>
      </c>
      <c r="AE250">
        <v>0.291984733</v>
      </c>
      <c r="AF250">
        <v>1.0098457059999999</v>
      </c>
      <c r="AG250">
        <v>0.13982344699999999</v>
      </c>
      <c r="AH250">
        <v>2.2859870000000002E-3</v>
      </c>
      <c r="AI250">
        <v>0.51880254199999998</v>
      </c>
    </row>
    <row r="251" spans="1:35" x14ac:dyDescent="0.2">
      <c r="A251">
        <v>291</v>
      </c>
      <c r="B251" t="s">
        <v>415</v>
      </c>
      <c r="C251" t="s">
        <v>191</v>
      </c>
      <c r="D251" t="s">
        <v>164</v>
      </c>
      <c r="E251" s="11">
        <v>8.6999999999999997E-6</v>
      </c>
      <c r="F251" s="11">
        <v>2.7199999999999998E-6</v>
      </c>
      <c r="G251">
        <v>0.31256994700000001</v>
      </c>
      <c r="H251">
        <v>4.3730994000000002E-2</v>
      </c>
      <c r="I251" s="11">
        <v>1.1399999999999999E-5</v>
      </c>
      <c r="J251">
        <v>0.34805304799999998</v>
      </c>
      <c r="K251">
        <v>1.4358179E-2</v>
      </c>
      <c r="L251">
        <v>2.1170346489999998</v>
      </c>
      <c r="M251">
        <v>1.0817092E-2</v>
      </c>
      <c r="N251">
        <v>1.6644887000000001E-2</v>
      </c>
      <c r="O251">
        <v>5.159917E-3</v>
      </c>
      <c r="P251">
        <v>4.423415E-2</v>
      </c>
      <c r="Q251">
        <v>1.0877324399999999</v>
      </c>
      <c r="R251">
        <v>6.6148629300000001</v>
      </c>
      <c r="S251">
        <v>2.1528187000000001E-2</v>
      </c>
      <c r="T251">
        <v>1.9834705000000001E-2</v>
      </c>
      <c r="U251">
        <v>0.164654571</v>
      </c>
      <c r="V251">
        <v>0.16459376100000001</v>
      </c>
      <c r="W251">
        <v>0.99963068099999997</v>
      </c>
      <c r="X251">
        <v>3.7623788739999999</v>
      </c>
      <c r="Y251">
        <v>2.183678644</v>
      </c>
      <c r="Z251">
        <v>0.331574639</v>
      </c>
      <c r="AA251">
        <v>1.5273610999999999E-2</v>
      </c>
      <c r="AB251">
        <v>3.051914E-2</v>
      </c>
      <c r="AC251">
        <v>1.3102612E-2</v>
      </c>
      <c r="AD251">
        <v>0.85710670300000003</v>
      </c>
      <c r="AE251">
        <v>0.359825373</v>
      </c>
      <c r="AF251">
        <v>1.060636428</v>
      </c>
      <c r="AG251">
        <v>0.246247408</v>
      </c>
      <c r="AH251">
        <v>4.7242179999999996E-3</v>
      </c>
      <c r="AI251">
        <v>0.550596643</v>
      </c>
    </row>
    <row r="252" spans="1:35" x14ac:dyDescent="0.2">
      <c r="A252">
        <v>292</v>
      </c>
      <c r="B252" t="s">
        <v>416</v>
      </c>
      <c r="C252" t="s">
        <v>191</v>
      </c>
      <c r="D252" t="s">
        <v>166</v>
      </c>
      <c r="E252" s="11">
        <v>1.3699999999999999E-5</v>
      </c>
      <c r="F252" s="11">
        <v>4.33E-6</v>
      </c>
      <c r="G252">
        <v>0.31641286299999999</v>
      </c>
      <c r="H252">
        <v>-0.13852595500000001</v>
      </c>
      <c r="I252" s="11">
        <v>1.8E-5</v>
      </c>
      <c r="J252">
        <v>0.29428079200000001</v>
      </c>
      <c r="K252">
        <v>1.1247442999999999E-2</v>
      </c>
      <c r="L252">
        <v>1.7881796350000001</v>
      </c>
      <c r="M252">
        <v>1.2560979999999999E-2</v>
      </c>
      <c r="N252">
        <v>1.3098250000000001E-2</v>
      </c>
      <c r="O252">
        <v>4.0420079999999997E-3</v>
      </c>
      <c r="P252">
        <v>3.460328E-2</v>
      </c>
      <c r="Q252">
        <v>0.90540642599999999</v>
      </c>
      <c r="R252">
        <v>5.5016451059999998</v>
      </c>
      <c r="S252">
        <v>2.2229380999999999E-2</v>
      </c>
      <c r="T252">
        <v>2.1464064000000001E-2</v>
      </c>
      <c r="U252">
        <v>0.17001753</v>
      </c>
      <c r="V252">
        <v>0.178114622</v>
      </c>
      <c r="W252">
        <v>1.047625042</v>
      </c>
      <c r="X252">
        <v>3.9210712029999999</v>
      </c>
      <c r="Y252">
        <v>1.7881795700000001</v>
      </c>
      <c r="Z252">
        <v>0.31641286200000002</v>
      </c>
      <c r="AA252">
        <v>1.3120397000000001E-2</v>
      </c>
      <c r="AB252" s="11">
        <v>-3.6099999999999999E-8</v>
      </c>
      <c r="AC252">
        <v>1.1247444000000001E-2</v>
      </c>
      <c r="AD252">
        <v>0.87856717699999998</v>
      </c>
      <c r="AE252">
        <v>0.29428078099999999</v>
      </c>
      <c r="AF252">
        <v>0.90571230000000003</v>
      </c>
      <c r="AG252">
        <v>0.22070289000000001</v>
      </c>
      <c r="AH252">
        <v>4.0553259999999997E-3</v>
      </c>
      <c r="AI252">
        <v>0.47077044899999998</v>
      </c>
    </row>
    <row r="253" spans="1:35" x14ac:dyDescent="0.2">
      <c r="A253">
        <v>293</v>
      </c>
      <c r="B253" t="s">
        <v>417</v>
      </c>
      <c r="C253" t="s">
        <v>191</v>
      </c>
      <c r="D253" t="s">
        <v>226</v>
      </c>
      <c r="E253" s="11">
        <v>3.8399999999999997E-6</v>
      </c>
      <c r="F253" s="11">
        <v>1.19E-6</v>
      </c>
      <c r="G253">
        <v>0.31072416800000002</v>
      </c>
      <c r="H253">
        <v>0.10836641599999999</v>
      </c>
      <c r="I253" s="11">
        <v>5.0300000000000001E-6</v>
      </c>
      <c r="J253">
        <v>0.269545174</v>
      </c>
      <c r="K253">
        <v>2.3043389999999999E-3</v>
      </c>
      <c r="L253">
        <v>1.6218797229999999</v>
      </c>
      <c r="M253">
        <v>2.8437829999999999E-3</v>
      </c>
      <c r="N253">
        <v>2.6603550000000001E-3</v>
      </c>
      <c r="O253">
        <v>8.28113E-4</v>
      </c>
      <c r="P253">
        <v>7.32324E-3</v>
      </c>
      <c r="Q253">
        <v>0.85666869199999995</v>
      </c>
      <c r="R253">
        <v>5.1546586339999996</v>
      </c>
      <c r="S253">
        <v>4.4884800000000004E-3</v>
      </c>
      <c r="T253">
        <v>4.1576190000000004E-3</v>
      </c>
      <c r="U253">
        <v>3.4329353E-2</v>
      </c>
      <c r="V253">
        <v>3.4501046E-2</v>
      </c>
      <c r="W253">
        <v>1.0050013470000001</v>
      </c>
      <c r="X253">
        <v>5.606011273</v>
      </c>
      <c r="Y253">
        <v>0.72843045200000001</v>
      </c>
      <c r="Z253">
        <v>0.291427292</v>
      </c>
      <c r="AA253">
        <v>2.5880059999999999E-3</v>
      </c>
      <c r="AB253">
        <v>-1</v>
      </c>
      <c r="AC253">
        <v>2.223619E-3</v>
      </c>
      <c r="AD253">
        <v>0.83355610199999997</v>
      </c>
      <c r="AE253">
        <v>0.12158281</v>
      </c>
      <c r="AF253">
        <v>0.46535352899999999</v>
      </c>
      <c r="AG253">
        <v>5.4263119999999998E-2</v>
      </c>
      <c r="AH253">
        <v>8.0173799999999997E-4</v>
      </c>
      <c r="AI253">
        <v>0.23848945699999999</v>
      </c>
    </row>
    <row r="254" spans="1:35" x14ac:dyDescent="0.2">
      <c r="A254">
        <v>294</v>
      </c>
      <c r="B254" t="s">
        <v>418</v>
      </c>
      <c r="C254" t="s">
        <v>191</v>
      </c>
      <c r="D254" t="s">
        <v>168</v>
      </c>
      <c r="E254" s="11">
        <v>5.0300000000000001E-6</v>
      </c>
      <c r="F254" s="11">
        <v>1.59E-6</v>
      </c>
      <c r="G254">
        <v>0.31636048700000002</v>
      </c>
      <c r="H254">
        <v>-1.182889898</v>
      </c>
      <c r="I254" s="11">
        <v>6.63E-6</v>
      </c>
      <c r="J254">
        <v>0.291923814</v>
      </c>
      <c r="K254">
        <v>8.0900030000000001E-3</v>
      </c>
      <c r="L254">
        <v>1.767722888</v>
      </c>
      <c r="M254">
        <v>8.6640529999999997E-3</v>
      </c>
      <c r="N254">
        <v>9.3671829999999994E-3</v>
      </c>
      <c r="O254">
        <v>2.9073139999999998E-3</v>
      </c>
      <c r="P254">
        <v>4.9404400000000001E-2</v>
      </c>
      <c r="Q254">
        <v>0.940547613</v>
      </c>
      <c r="R254">
        <v>5.7420944819999997</v>
      </c>
      <c r="S254">
        <v>9.5333580000000005E-3</v>
      </c>
      <c r="T254">
        <v>8.4540919999999999E-3</v>
      </c>
      <c r="U254">
        <v>7.2914219000000002E-2</v>
      </c>
      <c r="V254">
        <v>7.0154350000000004E-2</v>
      </c>
      <c r="W254">
        <v>0.96214909699999995</v>
      </c>
      <c r="X254">
        <v>5.0240218309999998</v>
      </c>
      <c r="Y254">
        <v>1.0577770419999999</v>
      </c>
      <c r="Z254">
        <v>0.28259399600000001</v>
      </c>
      <c r="AA254">
        <v>4.5261420000000004E-3</v>
      </c>
      <c r="AB254">
        <v>-0.67116775799999995</v>
      </c>
      <c r="AC254">
        <v>3.8924620000000002E-3</v>
      </c>
      <c r="AD254">
        <v>0.847655881</v>
      </c>
      <c r="AE254">
        <v>0.17607455899999999</v>
      </c>
      <c r="AF254">
        <v>0.68790247299999996</v>
      </c>
      <c r="AG254">
        <v>0.137455672</v>
      </c>
      <c r="AH254">
        <v>1.4034480000000001E-3</v>
      </c>
      <c r="AI254">
        <v>0.35582691500000002</v>
      </c>
    </row>
    <row r="255" spans="1:35" x14ac:dyDescent="0.2">
      <c r="A255">
        <v>295</v>
      </c>
      <c r="B255" t="s">
        <v>419</v>
      </c>
      <c r="C255" t="s">
        <v>193</v>
      </c>
      <c r="D255" t="s">
        <v>129</v>
      </c>
      <c r="E255" s="11">
        <v>8.3699999999999995E-6</v>
      </c>
      <c r="F255" s="11">
        <v>2.5900000000000002E-6</v>
      </c>
      <c r="G255">
        <v>0.30933377499999998</v>
      </c>
      <c r="H255">
        <v>-0.689980763</v>
      </c>
      <c r="I255" s="11">
        <v>1.1E-5</v>
      </c>
      <c r="J255">
        <v>0.623636364</v>
      </c>
      <c r="K255">
        <v>1.2472727269999999</v>
      </c>
      <c r="L255">
        <v>6.2363636360000001</v>
      </c>
      <c r="M255">
        <v>0.39976307100000003</v>
      </c>
      <c r="N255">
        <v>3.0077079999999999E-2</v>
      </c>
      <c r="O255">
        <v>9.3018949999999993E-3</v>
      </c>
      <c r="P255">
        <v>1.38655102</v>
      </c>
      <c r="Q255">
        <v>2.0164329630000002</v>
      </c>
      <c r="R255">
        <v>14.87169982</v>
      </c>
      <c r="S255">
        <v>2.6969857E-2</v>
      </c>
      <c r="T255">
        <v>2.4002367E-2</v>
      </c>
      <c r="U255">
        <v>0.206274231</v>
      </c>
      <c r="V255">
        <v>0.199178147</v>
      </c>
      <c r="W255">
        <v>0.96559878600000004</v>
      </c>
      <c r="X255">
        <v>4.6379892109999998</v>
      </c>
      <c r="Y255">
        <v>1.8365267940000001</v>
      </c>
      <c r="Z255">
        <v>0.28923632399999999</v>
      </c>
      <c r="AA255">
        <v>5.9338899999999998E-3</v>
      </c>
      <c r="AB255">
        <v>-1</v>
      </c>
      <c r="AC255">
        <v>0.145807774</v>
      </c>
      <c r="AD255">
        <v>0.87493651100000003</v>
      </c>
      <c r="AE255">
        <v>0.18671312000000001</v>
      </c>
      <c r="AF255">
        <v>0.80544965800000001</v>
      </c>
      <c r="AG255">
        <v>1.7278807730000001</v>
      </c>
      <c r="AH255">
        <v>1.840384E-3</v>
      </c>
      <c r="AI255">
        <v>0.52338389699999999</v>
      </c>
    </row>
    <row r="256" spans="1:35" x14ac:dyDescent="0.2">
      <c r="A256">
        <v>296</v>
      </c>
      <c r="B256" t="s">
        <v>420</v>
      </c>
      <c r="C256" t="s">
        <v>193</v>
      </c>
      <c r="D256" t="s">
        <v>130</v>
      </c>
      <c r="E256" s="11">
        <v>5.8300000000000001E-6</v>
      </c>
      <c r="F256" s="11">
        <v>1.81E-6</v>
      </c>
      <c r="G256">
        <v>0.311001264</v>
      </c>
      <c r="H256">
        <v>0.312606369</v>
      </c>
      <c r="I256" s="11">
        <v>7.6499999999999996E-6</v>
      </c>
      <c r="J256">
        <v>0.26623239799999998</v>
      </c>
      <c r="K256">
        <v>3.160468E-3</v>
      </c>
      <c r="L256">
        <v>1.603715325</v>
      </c>
      <c r="M256">
        <v>3.949241E-3</v>
      </c>
      <c r="N256">
        <v>3.6636220000000001E-3</v>
      </c>
      <c r="O256">
        <v>1.135781E-3</v>
      </c>
      <c r="P256">
        <v>1.004506E-2</v>
      </c>
      <c r="Q256">
        <v>0.84615155900000005</v>
      </c>
      <c r="R256">
        <v>5.0969994779999999</v>
      </c>
      <c r="S256">
        <v>5.9675689999999998E-3</v>
      </c>
      <c r="T256">
        <v>5.8368409999999997E-3</v>
      </c>
      <c r="U256">
        <v>4.5641907000000002E-2</v>
      </c>
      <c r="V256">
        <v>4.8435688999999997E-2</v>
      </c>
      <c r="W256">
        <v>1.061210896</v>
      </c>
      <c r="X256">
        <v>4.8517133509999999</v>
      </c>
      <c r="Y256">
        <v>1.374743314</v>
      </c>
      <c r="Z256">
        <v>0.298780357</v>
      </c>
      <c r="AA256">
        <v>4.9121199999999999E-3</v>
      </c>
      <c r="AB256">
        <v>-0.16655619099999999</v>
      </c>
      <c r="AC256">
        <v>4.2149300000000004E-3</v>
      </c>
      <c r="AD256">
        <v>0.88162807799999998</v>
      </c>
      <c r="AE256">
        <v>0.22934380600000001</v>
      </c>
      <c r="AF256">
        <v>0.80621147400000004</v>
      </c>
      <c r="AG256">
        <v>9.4495094000000002E-2</v>
      </c>
      <c r="AH256">
        <v>1.5197159999999999E-3</v>
      </c>
      <c r="AI256">
        <v>0.41338560299999999</v>
      </c>
    </row>
    <row r="257" spans="1:35" x14ac:dyDescent="0.2">
      <c r="A257">
        <v>297</v>
      </c>
      <c r="B257" t="s">
        <v>421</v>
      </c>
      <c r="C257" t="s">
        <v>193</v>
      </c>
      <c r="D257" t="s">
        <v>132</v>
      </c>
      <c r="E257" s="11">
        <v>8.2900000000000002E-6</v>
      </c>
      <c r="F257" s="11">
        <v>2.5600000000000001E-6</v>
      </c>
      <c r="G257">
        <v>0.30892898200000002</v>
      </c>
      <c r="H257">
        <v>-0.84530348700000002</v>
      </c>
      <c r="I257" s="11">
        <v>1.08E-5</v>
      </c>
      <c r="J257">
        <v>0.46614984900000001</v>
      </c>
      <c r="K257">
        <v>1.5032624E-2</v>
      </c>
      <c r="L257">
        <v>2.8269643420000001</v>
      </c>
      <c r="M257">
        <v>1.1863891E-2</v>
      </c>
      <c r="N257">
        <v>1.7470320000000001E-2</v>
      </c>
      <c r="O257">
        <v>5.4022929999999999E-3</v>
      </c>
      <c r="P257">
        <v>4.5475679999999997E-2</v>
      </c>
      <c r="Q257">
        <v>1.4613431370000001</v>
      </c>
      <c r="R257">
        <v>8.8590101899999993</v>
      </c>
      <c r="S257">
        <v>1.8296645E-2</v>
      </c>
      <c r="T257">
        <v>1.6913553000000001E-2</v>
      </c>
      <c r="U257">
        <v>0.13993868700000001</v>
      </c>
      <c r="V257">
        <v>0.14035324900000001</v>
      </c>
      <c r="W257">
        <v>1.002962455</v>
      </c>
      <c r="X257">
        <v>5.7562942269999997</v>
      </c>
      <c r="Y257">
        <v>0.67484444799999999</v>
      </c>
      <c r="Z257">
        <v>0.284452494</v>
      </c>
      <c r="AA257">
        <v>2.1807620000000002E-3</v>
      </c>
      <c r="AB257">
        <v>-1</v>
      </c>
      <c r="AC257">
        <v>1.874463E-3</v>
      </c>
      <c r="AD257">
        <v>0.87859119600000002</v>
      </c>
      <c r="AE257">
        <v>0.112748154</v>
      </c>
      <c r="AF257">
        <v>0.432075655</v>
      </c>
      <c r="AG257">
        <v>4.5802361999999999E-2</v>
      </c>
      <c r="AH257">
        <v>6.7584800000000005E-4</v>
      </c>
      <c r="AI257">
        <v>0.22122001999999999</v>
      </c>
    </row>
    <row r="258" spans="1:35" x14ac:dyDescent="0.2">
      <c r="A258">
        <v>298</v>
      </c>
      <c r="B258" t="s">
        <v>422</v>
      </c>
      <c r="C258" t="s">
        <v>193</v>
      </c>
      <c r="D258" t="s">
        <v>134</v>
      </c>
      <c r="E258" s="11">
        <v>1.1E-5</v>
      </c>
      <c r="F258" s="11">
        <v>3.5700000000000001E-6</v>
      </c>
      <c r="G258">
        <v>0.32467849100000001</v>
      </c>
      <c r="H258">
        <v>-0.26566574999999998</v>
      </c>
      <c r="I258" s="11">
        <v>1.4600000000000001E-5</v>
      </c>
      <c r="J258">
        <v>0.234121995</v>
      </c>
      <c r="K258">
        <v>7.1128720000000001E-3</v>
      </c>
      <c r="L258">
        <v>1.418957714</v>
      </c>
      <c r="M258">
        <v>1.0014248E-2</v>
      </c>
      <c r="N258">
        <v>8.2768540000000002E-3</v>
      </c>
      <c r="O258">
        <v>2.5561619999999998E-3</v>
      </c>
      <c r="P258">
        <v>2.1424729999999999E-2</v>
      </c>
      <c r="Q258">
        <v>0.70511715600000002</v>
      </c>
      <c r="R258">
        <v>4.2735523960000004</v>
      </c>
      <c r="S258">
        <v>1.4323472E-2</v>
      </c>
      <c r="T258">
        <v>1.3635148999999999E-2</v>
      </c>
      <c r="U258">
        <v>0.109550569</v>
      </c>
      <c r="V258">
        <v>0.11314816699999999</v>
      </c>
      <c r="W258">
        <v>1.0328396099999999</v>
      </c>
      <c r="X258">
        <v>4.5175518529999996</v>
      </c>
      <c r="Y258">
        <v>1.320174542</v>
      </c>
      <c r="Z258">
        <v>0.38863735599999999</v>
      </c>
      <c r="AA258">
        <v>6.6286490000000003E-3</v>
      </c>
      <c r="AB258">
        <v>-7.4825842000000004E-2</v>
      </c>
      <c r="AC258">
        <v>5.6857899999999996E-3</v>
      </c>
      <c r="AD258">
        <v>0.90437021900000003</v>
      </c>
      <c r="AE258">
        <v>0.21884178500000001</v>
      </c>
      <c r="AF258">
        <v>0.58370185900000005</v>
      </c>
      <c r="AG258">
        <v>9.6729260999999997E-2</v>
      </c>
      <c r="AH258">
        <v>2.0500420000000002E-3</v>
      </c>
      <c r="AI258">
        <v>0.30120706800000002</v>
      </c>
    </row>
    <row r="259" spans="1:35" x14ac:dyDescent="0.2">
      <c r="A259">
        <v>299</v>
      </c>
      <c r="B259" t="s">
        <v>423</v>
      </c>
      <c r="C259" t="s">
        <v>193</v>
      </c>
      <c r="D259" t="s">
        <v>136</v>
      </c>
      <c r="E259" s="11">
        <v>9.2699999999999993E-6</v>
      </c>
      <c r="F259" s="11">
        <v>2.9100000000000001E-6</v>
      </c>
      <c r="G259">
        <v>0.31439199899999998</v>
      </c>
      <c r="H259">
        <v>-0.35005948799999997</v>
      </c>
      <c r="I259" s="11">
        <v>1.22E-5</v>
      </c>
      <c r="J259">
        <v>0.29191377600000001</v>
      </c>
      <c r="K259">
        <v>1.2485339999999999E-2</v>
      </c>
      <c r="L259">
        <v>1.7764533330000001</v>
      </c>
      <c r="M259">
        <v>9.5481190000000007E-3</v>
      </c>
      <c r="N259">
        <v>1.4513363E-2</v>
      </c>
      <c r="O259">
        <v>4.4868720000000003E-3</v>
      </c>
      <c r="P259">
        <v>7.3445990000000003E-2</v>
      </c>
      <c r="Q259">
        <v>0.96042221900000002</v>
      </c>
      <c r="R259">
        <v>5.9094252960000002</v>
      </c>
      <c r="S259">
        <v>1.4310588000000001E-2</v>
      </c>
      <c r="T259">
        <v>1.3498034000000001E-2</v>
      </c>
      <c r="U259">
        <v>0.10945202800000001</v>
      </c>
      <c r="V259">
        <v>0.112010347</v>
      </c>
      <c r="W259">
        <v>1.023373884</v>
      </c>
      <c r="X259">
        <v>4.691967408</v>
      </c>
      <c r="Y259">
        <v>0.91203248000000003</v>
      </c>
      <c r="Z259">
        <v>0.30795894400000001</v>
      </c>
      <c r="AA259">
        <v>5.6669479999999998E-3</v>
      </c>
      <c r="AB259">
        <v>-0.94779612800000002</v>
      </c>
      <c r="AC259">
        <v>4.8633670000000004E-3</v>
      </c>
      <c r="AD259">
        <v>0.88162890299999996</v>
      </c>
      <c r="AE259">
        <v>0.15038664099999999</v>
      </c>
      <c r="AF259">
        <v>0.51615542199999997</v>
      </c>
      <c r="AG259">
        <v>0.106444656</v>
      </c>
      <c r="AH259">
        <v>1.7535129999999999E-3</v>
      </c>
      <c r="AI259">
        <v>0.26776416199999997</v>
      </c>
    </row>
    <row r="260" spans="1:35" x14ac:dyDescent="0.2">
      <c r="A260">
        <v>300</v>
      </c>
      <c r="B260" t="s">
        <v>424</v>
      </c>
      <c r="C260" t="s">
        <v>193</v>
      </c>
      <c r="D260" t="s">
        <v>138</v>
      </c>
      <c r="E260" s="11">
        <v>1.1399999999999999E-5</v>
      </c>
      <c r="F260" s="11">
        <v>3.6899999999999998E-6</v>
      </c>
      <c r="G260">
        <v>0.32293051299999997</v>
      </c>
      <c r="H260">
        <v>0.24416405099999999</v>
      </c>
      <c r="I260" s="11">
        <v>1.5099999999999999E-5</v>
      </c>
      <c r="J260">
        <v>0.479403046</v>
      </c>
      <c r="K260">
        <v>1.4947167000000001E-2</v>
      </c>
      <c r="L260">
        <v>2.906312609</v>
      </c>
      <c r="M260">
        <v>1.02658E-2</v>
      </c>
      <c r="N260">
        <v>1.7403288999999999E-2</v>
      </c>
      <c r="O260">
        <v>5.3715819999999997E-3</v>
      </c>
      <c r="P260">
        <v>4.5210599999999997E-2</v>
      </c>
      <c r="Q260">
        <v>1.4500997840000001</v>
      </c>
      <c r="R260">
        <v>8.7910198959999999</v>
      </c>
      <c r="S260">
        <v>2.7475014999999998E-2</v>
      </c>
      <c r="T260">
        <v>2.6881599999999999E-2</v>
      </c>
      <c r="U260">
        <v>0.21013784499999999</v>
      </c>
      <c r="V260">
        <v>0.22307080900000001</v>
      </c>
      <c r="W260">
        <v>1.0615451440000001</v>
      </c>
      <c r="X260">
        <v>3.3850973839999998</v>
      </c>
      <c r="Y260">
        <v>8.4492731859999992</v>
      </c>
      <c r="Z260">
        <v>0.35968739</v>
      </c>
      <c r="AA260">
        <v>1.7469720000000001E-2</v>
      </c>
      <c r="AB260">
        <v>0.65602809299999998</v>
      </c>
      <c r="AC260">
        <v>1.5680324999999998E-2</v>
      </c>
      <c r="AD260">
        <v>0.90916988499999996</v>
      </c>
      <c r="AE260">
        <v>1.4182928260000001</v>
      </c>
      <c r="AF260">
        <v>2.5807647939999998</v>
      </c>
      <c r="AG260">
        <v>0.226200176</v>
      </c>
      <c r="AH260">
        <v>5.6536260000000001E-3</v>
      </c>
      <c r="AI260">
        <v>1.318133797</v>
      </c>
    </row>
    <row r="261" spans="1:35" x14ac:dyDescent="0.2">
      <c r="A261">
        <v>301</v>
      </c>
      <c r="B261" t="s">
        <v>425</v>
      </c>
      <c r="C261" t="s">
        <v>193</v>
      </c>
      <c r="D261" t="s">
        <v>182</v>
      </c>
      <c r="E261" s="11">
        <v>8.3799999999999994E-6</v>
      </c>
      <c r="F261" s="11">
        <v>2.6299999999999998E-6</v>
      </c>
      <c r="G261">
        <v>0.31379358299999999</v>
      </c>
      <c r="H261">
        <v>0.53502661699999998</v>
      </c>
      <c r="I261" s="11">
        <v>1.1E-5</v>
      </c>
      <c r="J261">
        <v>0.39017126299999999</v>
      </c>
      <c r="K261">
        <v>1.1786369999999999E-2</v>
      </c>
      <c r="L261">
        <v>2.3646003200000001</v>
      </c>
      <c r="M261">
        <v>8.5282610000000005E-3</v>
      </c>
      <c r="N261">
        <v>1.3677796000000001E-2</v>
      </c>
      <c r="O261">
        <v>4.2356820000000002E-3</v>
      </c>
      <c r="P261">
        <v>3.6386460000000002E-2</v>
      </c>
      <c r="Q261">
        <v>1.2205154600000001</v>
      </c>
      <c r="R261">
        <v>7.3958656779999998</v>
      </c>
      <c r="S261">
        <v>1.8590176999999999E-2</v>
      </c>
      <c r="T261">
        <v>1.7093931999999999E-2</v>
      </c>
      <c r="U261">
        <v>0.14218371799999999</v>
      </c>
      <c r="V261">
        <v>0.14185008499999999</v>
      </c>
      <c r="W261">
        <v>0.99765350799999997</v>
      </c>
      <c r="X261">
        <v>3.178438163</v>
      </c>
      <c r="Y261">
        <v>18.476519620000001</v>
      </c>
      <c r="Z261">
        <v>0.52140212100000005</v>
      </c>
      <c r="AA261">
        <v>2.1848116000000001E-2</v>
      </c>
      <c r="AB261">
        <v>0.87202133500000001</v>
      </c>
      <c r="AC261">
        <v>1.1690124049999999</v>
      </c>
      <c r="AD261">
        <v>0.96453853899999997</v>
      </c>
      <c r="AE261">
        <v>2.132755859</v>
      </c>
      <c r="AF261">
        <v>3.6097423270000002</v>
      </c>
      <c r="AG261">
        <v>9.2077763410000006</v>
      </c>
      <c r="AH261">
        <v>6.803379E-3</v>
      </c>
      <c r="AI261">
        <v>2.4445601219999999</v>
      </c>
    </row>
    <row r="262" spans="1:35" x14ac:dyDescent="0.2">
      <c r="A262">
        <v>302</v>
      </c>
      <c r="B262" t="s">
        <v>426</v>
      </c>
      <c r="C262" t="s">
        <v>193</v>
      </c>
      <c r="D262" t="s">
        <v>188</v>
      </c>
      <c r="E262" s="11">
        <v>9.5799999999999998E-6</v>
      </c>
      <c r="F262" s="11">
        <v>2.9799999999999998E-6</v>
      </c>
      <c r="G262">
        <v>0.31123553199999998</v>
      </c>
      <c r="H262">
        <v>0.53592278699999996</v>
      </c>
      <c r="I262" s="11">
        <v>1.26E-5</v>
      </c>
      <c r="J262">
        <v>0.37921310600000002</v>
      </c>
      <c r="K262">
        <v>1.1318518E-2</v>
      </c>
      <c r="L262">
        <v>2.297915674</v>
      </c>
      <c r="M262">
        <v>9.4674890000000008E-3</v>
      </c>
      <c r="N262">
        <v>1.3148837E-2</v>
      </c>
      <c r="O262">
        <v>4.0675499999999996E-3</v>
      </c>
      <c r="P262">
        <v>3.4758030000000002E-2</v>
      </c>
      <c r="Q262">
        <v>1.1850429149999999</v>
      </c>
      <c r="R262">
        <v>7.1797735539999996</v>
      </c>
      <c r="S262">
        <v>1.93066E-2</v>
      </c>
      <c r="T262">
        <v>1.7661586E-2</v>
      </c>
      <c r="U262">
        <v>0.14766315299999999</v>
      </c>
      <c r="V262">
        <v>0.146560632</v>
      </c>
      <c r="W262">
        <v>0.99253354000000005</v>
      </c>
      <c r="X262">
        <v>3.1789463960000002</v>
      </c>
      <c r="Y262">
        <v>22.919376329999999</v>
      </c>
      <c r="Z262">
        <v>0.42937177399999998</v>
      </c>
      <c r="AA262">
        <v>2.0621845999999999E-2</v>
      </c>
      <c r="AB262">
        <v>0.899739171</v>
      </c>
      <c r="AC262">
        <v>1.169012454</v>
      </c>
      <c r="AD262">
        <v>0.94478691800000003</v>
      </c>
      <c r="AE262">
        <v>2.885571439</v>
      </c>
      <c r="AF262">
        <v>3.4182699649999999</v>
      </c>
      <c r="AG262">
        <v>9.4921837419999999</v>
      </c>
      <c r="AH262">
        <v>6.8002829999999998E-3</v>
      </c>
      <c r="AI262">
        <v>2.3671191610000002</v>
      </c>
    </row>
    <row r="263" spans="1:35" x14ac:dyDescent="0.2">
      <c r="A263">
        <v>303</v>
      </c>
      <c r="B263" t="s">
        <v>427</v>
      </c>
      <c r="C263" t="s">
        <v>193</v>
      </c>
      <c r="D263" t="s">
        <v>140</v>
      </c>
      <c r="E263" s="11">
        <v>2.9700000000000001E-8</v>
      </c>
      <c r="F263" s="11">
        <v>3.2000000000000001E-7</v>
      </c>
      <c r="G263">
        <v>10.78293487</v>
      </c>
      <c r="H263">
        <v>-0.12679262699999999</v>
      </c>
      <c r="I263" s="11">
        <v>3.4999999999999998E-7</v>
      </c>
      <c r="J263">
        <v>3.518915969</v>
      </c>
      <c r="K263">
        <v>5.1812223929999996</v>
      </c>
      <c r="L263">
        <v>31.475940600000001</v>
      </c>
      <c r="M263">
        <v>0.32917550099999998</v>
      </c>
      <c r="N263">
        <v>2.8573200000000002E-4</v>
      </c>
      <c r="O263" s="11">
        <v>5.7500000000000002E-5</v>
      </c>
      <c r="P263">
        <v>0.53804744000000004</v>
      </c>
      <c r="Q263">
        <v>0.36542413600000001</v>
      </c>
      <c r="R263">
        <v>3.2686396900000001</v>
      </c>
      <c r="S263">
        <v>3.7066999999999997E-4</v>
      </c>
      <c r="T263">
        <v>4.7089280000000002E-3</v>
      </c>
      <c r="U263">
        <v>2.8350010000000002E-3</v>
      </c>
      <c r="V263">
        <v>3.9075964999999997E-2</v>
      </c>
      <c r="W263">
        <v>13.78340431</v>
      </c>
      <c r="X263">
        <v>5.9671471340000002</v>
      </c>
      <c r="Y263">
        <v>0.58884208400000004</v>
      </c>
      <c r="Z263">
        <v>0.28557045399999997</v>
      </c>
      <c r="AA263">
        <v>1.806022E-3</v>
      </c>
      <c r="AB263">
        <v>-1</v>
      </c>
      <c r="AC263">
        <v>1.551843E-3</v>
      </c>
      <c r="AD263">
        <v>0.86069994699999997</v>
      </c>
      <c r="AE263">
        <v>9.8450985000000005E-2</v>
      </c>
      <c r="AF263">
        <v>0.38219477499999999</v>
      </c>
      <c r="AG263">
        <v>3.8417516999999998E-2</v>
      </c>
      <c r="AH263">
        <v>5.5952499999999995E-4</v>
      </c>
      <c r="AI263">
        <v>0.19553959600000001</v>
      </c>
    </row>
    <row r="264" spans="1:35" x14ac:dyDescent="0.2">
      <c r="A264">
        <v>304</v>
      </c>
      <c r="B264" t="s">
        <v>428</v>
      </c>
      <c r="C264" t="s">
        <v>193</v>
      </c>
      <c r="D264" t="s">
        <v>191</v>
      </c>
      <c r="E264" s="11">
        <v>2.6899999999999999E-8</v>
      </c>
      <c r="F264" s="11">
        <v>2.7700000000000001E-7</v>
      </c>
      <c r="G264">
        <v>10.31292483</v>
      </c>
      <c r="H264">
        <v>-0.13182099</v>
      </c>
      <c r="I264" s="11">
        <v>3.0400000000000002E-7</v>
      </c>
      <c r="J264">
        <v>3.5175092370000001</v>
      </c>
      <c r="K264">
        <v>5.1804405750000004</v>
      </c>
      <c r="L264">
        <v>31.46593657</v>
      </c>
      <c r="M264">
        <v>0.329230415</v>
      </c>
      <c r="N264">
        <v>2.4614999999999999E-4</v>
      </c>
      <c r="O264" s="11">
        <v>4.8999999999999998E-5</v>
      </c>
      <c r="P264">
        <v>0.56870138000000003</v>
      </c>
      <c r="Q264">
        <v>0.38614714999999999</v>
      </c>
      <c r="R264">
        <v>3.4542856639999999</v>
      </c>
      <c r="S264">
        <v>3.1749600000000001E-4</v>
      </c>
      <c r="T264">
        <v>5.7909859999999997E-3</v>
      </c>
      <c r="U264">
        <v>2.4283120000000002E-3</v>
      </c>
      <c r="V264">
        <v>4.8055169000000002E-2</v>
      </c>
      <c r="W264">
        <v>19.789536519999999</v>
      </c>
      <c r="X264">
        <v>6.1521553899999999</v>
      </c>
      <c r="Y264">
        <v>0.52659530499999996</v>
      </c>
      <c r="Z264">
        <v>0.28427096499999999</v>
      </c>
      <c r="AA264">
        <v>1.5299459999999999E-3</v>
      </c>
      <c r="AB264">
        <v>-1</v>
      </c>
      <c r="AC264">
        <v>1.3148400000000001E-3</v>
      </c>
      <c r="AD264">
        <v>0.85583644400000003</v>
      </c>
      <c r="AE264">
        <v>8.8105966999999993E-2</v>
      </c>
      <c r="AF264">
        <v>0.34514290399999997</v>
      </c>
      <c r="AG264">
        <v>3.2846078000000001E-2</v>
      </c>
      <c r="AH264">
        <v>4.7407299999999999E-4</v>
      </c>
      <c r="AI264">
        <v>0.17645818799999999</v>
      </c>
    </row>
    <row r="265" spans="1:35" x14ac:dyDescent="0.2">
      <c r="A265">
        <v>305</v>
      </c>
      <c r="B265" t="s">
        <v>429</v>
      </c>
      <c r="C265" t="s">
        <v>193</v>
      </c>
      <c r="D265" t="s">
        <v>142</v>
      </c>
      <c r="E265" s="11">
        <v>1.0200000000000001E-5</v>
      </c>
      <c r="F265" s="11">
        <v>3.2600000000000001E-6</v>
      </c>
      <c r="G265">
        <v>0.31891697499999999</v>
      </c>
      <c r="H265">
        <v>0.452725502</v>
      </c>
      <c r="I265" s="11">
        <v>1.3499999999999999E-5</v>
      </c>
      <c r="J265">
        <v>0.35407176499999998</v>
      </c>
      <c r="K265">
        <v>1.4871842999999999E-2</v>
      </c>
      <c r="L265">
        <v>2.154174276</v>
      </c>
      <c r="M265">
        <v>1.3247721E-2</v>
      </c>
      <c r="N265">
        <v>1.7277522999999999E-2</v>
      </c>
      <c r="O265">
        <v>5.3445130000000004E-3</v>
      </c>
      <c r="P265">
        <v>4.5239700000000001E-2</v>
      </c>
      <c r="Q265">
        <v>1.081453639</v>
      </c>
      <c r="R265">
        <v>6.579201232</v>
      </c>
      <c r="S265">
        <v>2.5043073999999999E-2</v>
      </c>
      <c r="T265">
        <v>2.4223043999999999E-2</v>
      </c>
      <c r="U265">
        <v>0.19153757099999999</v>
      </c>
      <c r="V265">
        <v>0.20100939200000001</v>
      </c>
      <c r="W265">
        <v>1.0494515040000001</v>
      </c>
      <c r="X265">
        <v>3.178761476</v>
      </c>
      <c r="Y265">
        <v>17.328991469999998</v>
      </c>
      <c r="Z265">
        <v>1.142722931</v>
      </c>
      <c r="AA265">
        <v>2.2650080999999999E-2</v>
      </c>
      <c r="AB265">
        <v>0.87568957599999997</v>
      </c>
      <c r="AC265">
        <v>0.91641846100000002</v>
      </c>
      <c r="AD265">
        <v>1.072663769</v>
      </c>
      <c r="AE265">
        <v>2.1539523090000001</v>
      </c>
      <c r="AF265">
        <v>1.8470611400000001</v>
      </c>
      <c r="AG265">
        <v>4.9168069000000001</v>
      </c>
      <c r="AH265">
        <v>6.8014089999999996E-3</v>
      </c>
      <c r="AI265">
        <v>1.264725619</v>
      </c>
    </row>
    <row r="266" spans="1:35" x14ac:dyDescent="0.2">
      <c r="A266">
        <v>306</v>
      </c>
      <c r="B266" t="s">
        <v>430</v>
      </c>
      <c r="C266" t="s">
        <v>193</v>
      </c>
      <c r="D266" t="s">
        <v>144</v>
      </c>
      <c r="E266" s="11">
        <v>1.1399999999999999E-5</v>
      </c>
      <c r="F266" s="11">
        <v>3.5700000000000001E-6</v>
      </c>
      <c r="G266">
        <v>0.31392185099999997</v>
      </c>
      <c r="H266">
        <v>-9.3876617999999995E-2</v>
      </c>
      <c r="I266" s="11">
        <v>1.5E-5</v>
      </c>
      <c r="J266">
        <v>0.23100496400000001</v>
      </c>
      <c r="K266">
        <v>7.4740989999999997E-3</v>
      </c>
      <c r="L266">
        <v>1.400977981</v>
      </c>
      <c r="M266">
        <v>1.0673090999999999E-2</v>
      </c>
      <c r="N266">
        <v>8.6972939999999995E-3</v>
      </c>
      <c r="O266">
        <v>2.6859760000000001E-3</v>
      </c>
      <c r="P266">
        <v>2.3376640000000001E-2</v>
      </c>
      <c r="Q266">
        <v>0.72238051299999995</v>
      </c>
      <c r="R266">
        <v>4.3810363619999997</v>
      </c>
      <c r="S266">
        <v>1.5877315999999999E-2</v>
      </c>
      <c r="T266">
        <v>1.4560161E-2</v>
      </c>
      <c r="U266">
        <v>0.121434869</v>
      </c>
      <c r="V266">
        <v>0.120824168</v>
      </c>
      <c r="W266">
        <v>0.99497095800000002</v>
      </c>
      <c r="X266">
        <v>4.3134791870000004</v>
      </c>
      <c r="Y266">
        <v>1.273463196</v>
      </c>
      <c r="Z266">
        <v>0.29833282500000002</v>
      </c>
      <c r="AA266">
        <v>7.9567140000000001E-3</v>
      </c>
      <c r="AB266">
        <v>-0.100132289</v>
      </c>
      <c r="AC266">
        <v>6.8262499999999999E-3</v>
      </c>
      <c r="AD266">
        <v>0.89761783100000003</v>
      </c>
      <c r="AE266">
        <v>0.209953221</v>
      </c>
      <c r="AF266">
        <v>0.67196716199999995</v>
      </c>
      <c r="AG266">
        <v>0.13935162600000001</v>
      </c>
      <c r="AH266">
        <v>2.4612409999999999E-3</v>
      </c>
      <c r="AI266">
        <v>0.34864642200000001</v>
      </c>
    </row>
    <row r="267" spans="1:35" x14ac:dyDescent="0.2">
      <c r="A267">
        <v>307</v>
      </c>
      <c r="B267" t="s">
        <v>431</v>
      </c>
      <c r="C267" t="s">
        <v>193</v>
      </c>
      <c r="D267" t="s">
        <v>146</v>
      </c>
      <c r="E267" s="11">
        <v>2.7099999999999999E-6</v>
      </c>
      <c r="F267" s="11">
        <v>8.4300000000000002E-7</v>
      </c>
      <c r="G267">
        <v>0.31135056100000003</v>
      </c>
      <c r="H267">
        <v>0.71393352399999999</v>
      </c>
      <c r="I267" s="11">
        <v>3.5499999999999999E-6</v>
      </c>
      <c r="J267">
        <v>0.28172249700000002</v>
      </c>
      <c r="K267">
        <v>1.3495580000000001E-3</v>
      </c>
      <c r="L267">
        <v>1.693034098</v>
      </c>
      <c r="M267">
        <v>1.5965980000000001E-3</v>
      </c>
      <c r="N267">
        <v>1.5504E-3</v>
      </c>
      <c r="O267">
        <v>4.8499200000000001E-4</v>
      </c>
      <c r="P267">
        <v>4.2868300000000002E-3</v>
      </c>
      <c r="Q267">
        <v>0.894950205</v>
      </c>
      <c r="R267">
        <v>5.3782748920000003</v>
      </c>
      <c r="S267">
        <v>2.5378419999999998E-3</v>
      </c>
      <c r="T267">
        <v>2.382501E-3</v>
      </c>
      <c r="U267">
        <v>1.9410241000000002E-2</v>
      </c>
      <c r="V267">
        <v>1.9770640999999999E-2</v>
      </c>
      <c r="W267">
        <v>1.018567518</v>
      </c>
      <c r="X267">
        <v>4.8448116560000001</v>
      </c>
      <c r="Y267">
        <v>1.382945557</v>
      </c>
      <c r="Z267">
        <v>0.29384108799999997</v>
      </c>
      <c r="AA267">
        <v>4.9424660000000004E-3</v>
      </c>
      <c r="AB267">
        <v>-0.22422324599999999</v>
      </c>
      <c r="AC267">
        <v>4.2410690000000001E-3</v>
      </c>
      <c r="AD267">
        <v>0.88100012999999999</v>
      </c>
      <c r="AE267">
        <v>0.230711312</v>
      </c>
      <c r="AF267">
        <v>0.81021962800000003</v>
      </c>
      <c r="AG267">
        <v>9.4995693000000006E-2</v>
      </c>
      <c r="AH267">
        <v>1.52914E-3</v>
      </c>
      <c r="AI267">
        <v>0.41544287000000002</v>
      </c>
    </row>
    <row r="268" spans="1:35" x14ac:dyDescent="0.2">
      <c r="A268">
        <v>308</v>
      </c>
      <c r="B268" t="s">
        <v>432</v>
      </c>
      <c r="C268" t="s">
        <v>193</v>
      </c>
      <c r="D268" t="s">
        <v>200</v>
      </c>
      <c r="E268" s="11">
        <v>7.0999999999999998E-6</v>
      </c>
      <c r="F268" s="11">
        <v>2.2299999999999998E-6</v>
      </c>
      <c r="G268">
        <v>0.31353747700000001</v>
      </c>
      <c r="H268">
        <v>-0.33583014700000002</v>
      </c>
      <c r="I268" s="11">
        <v>9.3200000000000006E-6</v>
      </c>
      <c r="J268">
        <v>0.39639826299999997</v>
      </c>
      <c r="K268">
        <v>1.2070681999999999E-2</v>
      </c>
      <c r="L268">
        <v>2.4025309419999998</v>
      </c>
      <c r="M268">
        <v>8.5669579999999995E-3</v>
      </c>
      <c r="N268">
        <v>1.4015191999999999E-2</v>
      </c>
      <c r="O268">
        <v>4.3378560000000002E-3</v>
      </c>
      <c r="P268">
        <v>3.710484E-2</v>
      </c>
      <c r="Q268">
        <v>1.2430341380000001</v>
      </c>
      <c r="R268">
        <v>7.5324145060000003</v>
      </c>
      <c r="S268">
        <v>1.8458716E-2</v>
      </c>
      <c r="T268">
        <v>1.6450971000000002E-2</v>
      </c>
      <c r="U268">
        <v>0.141178262</v>
      </c>
      <c r="V268">
        <v>0.136514617</v>
      </c>
      <c r="W268">
        <v>0.96696626699999999</v>
      </c>
      <c r="X268">
        <v>4.4958497360000003</v>
      </c>
      <c r="Y268">
        <v>1.912350593</v>
      </c>
      <c r="Z268">
        <v>0.30711422100000002</v>
      </c>
      <c r="AA268">
        <v>6.7484679999999997E-3</v>
      </c>
      <c r="AB268">
        <v>-0.25632347500000002</v>
      </c>
      <c r="AC268">
        <v>5.7974059999999997E-3</v>
      </c>
      <c r="AD268">
        <v>0.86210476199999997</v>
      </c>
      <c r="AE268">
        <v>0.31908720699999998</v>
      </c>
      <c r="AF268">
        <v>1.05780158</v>
      </c>
      <c r="AG268">
        <v>0.122559901</v>
      </c>
      <c r="AH268">
        <v>2.0902859999999998E-3</v>
      </c>
      <c r="AI268">
        <v>0.54229242200000005</v>
      </c>
    </row>
    <row r="269" spans="1:35" x14ac:dyDescent="0.2">
      <c r="A269">
        <v>309</v>
      </c>
      <c r="B269" t="s">
        <v>433</v>
      </c>
      <c r="C269" t="s">
        <v>193</v>
      </c>
      <c r="D269" t="s">
        <v>148</v>
      </c>
      <c r="E269" s="11">
        <v>8.1799999999999996E-6</v>
      </c>
      <c r="F269" s="11">
        <v>2.5900000000000002E-6</v>
      </c>
      <c r="G269">
        <v>0.31658759199999997</v>
      </c>
      <c r="H269">
        <v>-0.540685898</v>
      </c>
      <c r="I269" s="11">
        <v>1.08E-5</v>
      </c>
      <c r="J269">
        <v>0.29191489399999998</v>
      </c>
      <c r="K269">
        <v>1.2261447999999999E-2</v>
      </c>
      <c r="L269">
        <v>1.7760122570000001</v>
      </c>
      <c r="M269">
        <v>1.2795216999999999E-2</v>
      </c>
      <c r="N269">
        <v>1.4241923E-2</v>
      </c>
      <c r="O269">
        <v>4.4064120000000002E-3</v>
      </c>
      <c r="P269">
        <v>7.3190480000000002E-2</v>
      </c>
      <c r="Q269">
        <v>0.94346938000000002</v>
      </c>
      <c r="R269">
        <v>5.8071972340000002</v>
      </c>
      <c r="S269">
        <v>1.2845535E-2</v>
      </c>
      <c r="T269">
        <v>1.1462494E-2</v>
      </c>
      <c r="U269">
        <v>9.8246826999999995E-2</v>
      </c>
      <c r="V269">
        <v>9.5118885E-2</v>
      </c>
      <c r="W269">
        <v>0.96816241199999997</v>
      </c>
      <c r="X269">
        <v>5.8495337909999998</v>
      </c>
      <c r="Y269">
        <v>0.43973488999999999</v>
      </c>
      <c r="Z269">
        <v>0.28164192599999999</v>
      </c>
      <c r="AA269">
        <v>2.0062439999999999E-3</v>
      </c>
      <c r="AB269">
        <v>-1</v>
      </c>
      <c r="AC269">
        <v>1.3848365E-2</v>
      </c>
      <c r="AD269">
        <v>0.87137848500000004</v>
      </c>
      <c r="AE269">
        <v>6.2688174999999999E-2</v>
      </c>
      <c r="AF269">
        <v>0.24156819900000001</v>
      </c>
      <c r="AG269">
        <v>0.34047287599999998</v>
      </c>
      <c r="AH269">
        <v>6.2169199999999997E-4</v>
      </c>
      <c r="AI269">
        <v>0.144959744</v>
      </c>
    </row>
    <row r="270" spans="1:35" x14ac:dyDescent="0.2">
      <c r="A270">
        <v>310</v>
      </c>
      <c r="B270" t="s">
        <v>434</v>
      </c>
      <c r="C270" t="s">
        <v>193</v>
      </c>
      <c r="D270" t="s">
        <v>150</v>
      </c>
      <c r="E270" s="11">
        <v>9.2799999999999992E-6</v>
      </c>
      <c r="F270" s="11">
        <v>2.9000000000000002E-6</v>
      </c>
      <c r="G270">
        <v>0.31293024699999999</v>
      </c>
      <c r="H270">
        <v>-0.34547818899999999</v>
      </c>
      <c r="I270" s="11">
        <v>1.22E-5</v>
      </c>
      <c r="J270">
        <v>0.24589703099999999</v>
      </c>
      <c r="K270">
        <v>5.6634110000000001E-3</v>
      </c>
      <c r="L270">
        <v>1.486709005</v>
      </c>
      <c r="M270">
        <v>7.5990479999999997E-3</v>
      </c>
      <c r="N270">
        <v>6.5840389999999999E-3</v>
      </c>
      <c r="O270">
        <v>2.0352669999999999E-3</v>
      </c>
      <c r="P270">
        <v>1.7844780000000001E-2</v>
      </c>
      <c r="Q270">
        <v>0.77470612699999997</v>
      </c>
      <c r="R270">
        <v>4.6839263300000002</v>
      </c>
      <c r="S270">
        <v>1.1554757000000001E-2</v>
      </c>
      <c r="T270">
        <v>1.0641085E-2</v>
      </c>
      <c r="U270">
        <v>8.8374537000000003E-2</v>
      </c>
      <c r="V270">
        <v>8.8302607000000005E-2</v>
      </c>
      <c r="W270">
        <v>0.99918607800000003</v>
      </c>
      <c r="X270">
        <v>4.8525598309999998</v>
      </c>
      <c r="Y270">
        <v>1.3748422199999999</v>
      </c>
      <c r="Z270">
        <v>0.29346871200000002</v>
      </c>
      <c r="AA270">
        <v>4.9082880000000002E-3</v>
      </c>
      <c r="AB270">
        <v>-8.1366998999999995E-2</v>
      </c>
      <c r="AC270">
        <v>4.2117350000000003E-3</v>
      </c>
      <c r="AD270">
        <v>0.88092334500000002</v>
      </c>
      <c r="AE270">
        <v>0.229363292</v>
      </c>
      <c r="AF270">
        <v>0.80635425400000005</v>
      </c>
      <c r="AG270">
        <v>9.4440684999999996E-2</v>
      </c>
      <c r="AH270">
        <v>1.518564E-3</v>
      </c>
      <c r="AI270">
        <v>0.41345400700000001</v>
      </c>
    </row>
    <row r="271" spans="1:35" x14ac:dyDescent="0.2">
      <c r="A271">
        <v>311</v>
      </c>
      <c r="B271" t="s">
        <v>435</v>
      </c>
      <c r="C271" t="s">
        <v>193</v>
      </c>
      <c r="D271" t="s">
        <v>204</v>
      </c>
      <c r="E271" s="11">
        <v>5.6099999999999997E-6</v>
      </c>
      <c r="F271" s="11">
        <v>1.7400000000000001E-6</v>
      </c>
      <c r="G271">
        <v>0.31051314400000002</v>
      </c>
      <c r="H271">
        <v>-0.676138142</v>
      </c>
      <c r="I271" s="11">
        <v>7.3499999999999999E-6</v>
      </c>
      <c r="J271">
        <v>0.252644013</v>
      </c>
      <c r="K271">
        <v>6.0616660000000003E-3</v>
      </c>
      <c r="L271">
        <v>1.5279874090000001</v>
      </c>
      <c r="M271">
        <v>6.4062820000000001E-3</v>
      </c>
      <c r="N271">
        <v>7.0032640000000004E-3</v>
      </c>
      <c r="O271">
        <v>2.1783890000000002E-3</v>
      </c>
      <c r="P271">
        <v>1.9068999999999999E-2</v>
      </c>
      <c r="Q271">
        <v>0.80353650799999998</v>
      </c>
      <c r="R271">
        <v>4.8593570379999997</v>
      </c>
      <c r="S271">
        <v>8.7138909999999997E-3</v>
      </c>
      <c r="T271">
        <v>7.8528039999999997E-3</v>
      </c>
      <c r="U271">
        <v>6.6646672000000004E-2</v>
      </c>
      <c r="V271">
        <v>6.5164696999999994E-2</v>
      </c>
      <c r="W271">
        <v>0.97776370599999995</v>
      </c>
      <c r="X271">
        <v>6.1854824810000002</v>
      </c>
      <c r="Y271">
        <v>0.50895617599999998</v>
      </c>
      <c r="Z271">
        <v>0.27967125500000001</v>
      </c>
      <c r="AA271">
        <v>1.482064E-3</v>
      </c>
      <c r="AB271">
        <v>-1</v>
      </c>
      <c r="AC271">
        <v>1.2761669999999999E-3</v>
      </c>
      <c r="AD271">
        <v>0.84446505999999999</v>
      </c>
      <c r="AE271">
        <v>8.5150136000000001E-2</v>
      </c>
      <c r="AF271">
        <v>0.33983173799999999</v>
      </c>
      <c r="AG271">
        <v>3.1894705000000002E-2</v>
      </c>
      <c r="AH271">
        <v>4.6012899999999999E-4</v>
      </c>
      <c r="AI271">
        <v>0.17371265899999999</v>
      </c>
    </row>
    <row r="272" spans="1:35" x14ac:dyDescent="0.2">
      <c r="A272">
        <v>312</v>
      </c>
      <c r="B272" t="s">
        <v>436</v>
      </c>
      <c r="C272" t="s">
        <v>193</v>
      </c>
      <c r="D272" t="s">
        <v>152</v>
      </c>
      <c r="E272" s="11">
        <v>1.0200000000000001E-5</v>
      </c>
      <c r="F272" s="11">
        <v>3.2600000000000001E-6</v>
      </c>
      <c r="G272">
        <v>0.320680401</v>
      </c>
      <c r="H272">
        <v>0.455750502</v>
      </c>
      <c r="I272" s="11">
        <v>1.34E-5</v>
      </c>
      <c r="J272">
        <v>0.35021780499999999</v>
      </c>
      <c r="K272">
        <v>1.4826272E-2</v>
      </c>
      <c r="L272">
        <v>2.1309593750000002</v>
      </c>
      <c r="M272">
        <v>1.2765667E-2</v>
      </c>
      <c r="N272">
        <v>1.7230018E-2</v>
      </c>
      <c r="O272">
        <v>5.3281359999999998E-3</v>
      </c>
      <c r="P272">
        <v>4.5114660000000001E-2</v>
      </c>
      <c r="Q272">
        <v>1.079553741</v>
      </c>
      <c r="R272">
        <v>6.5675517719999998</v>
      </c>
      <c r="S272">
        <v>2.4944852999999999E-2</v>
      </c>
      <c r="T272">
        <v>2.4040988999999999E-2</v>
      </c>
      <c r="U272">
        <v>0.190786346</v>
      </c>
      <c r="V272">
        <v>0.199498643</v>
      </c>
      <c r="W272">
        <v>1.0456652019999999</v>
      </c>
      <c r="X272">
        <v>3.178035886</v>
      </c>
      <c r="Y272">
        <v>17.325881580000001</v>
      </c>
      <c r="Z272">
        <v>1.1425661949999999</v>
      </c>
      <c r="AA272">
        <v>2.2651831000000001E-2</v>
      </c>
      <c r="AB272">
        <v>0.87700716000000001</v>
      </c>
      <c r="AC272">
        <v>0.91797100300000001</v>
      </c>
      <c r="AD272">
        <v>1.0723702209999999</v>
      </c>
      <c r="AE272">
        <v>2.1520999590000001</v>
      </c>
      <c r="AF272">
        <v>1.8473710750000001</v>
      </c>
      <c r="AG272">
        <v>4.8626659950000004</v>
      </c>
      <c r="AH272">
        <v>6.805831E-3</v>
      </c>
      <c r="AI272">
        <v>1.2612232860000001</v>
      </c>
    </row>
    <row r="273" spans="1:35" x14ac:dyDescent="0.2">
      <c r="A273">
        <v>313</v>
      </c>
      <c r="B273" t="s">
        <v>437</v>
      </c>
      <c r="C273" t="s">
        <v>193</v>
      </c>
      <c r="D273" t="s">
        <v>154</v>
      </c>
      <c r="E273" s="11">
        <v>6.1199999999999999E-6</v>
      </c>
      <c r="F273" s="11">
        <v>1.9E-6</v>
      </c>
      <c r="G273">
        <v>0.31002790299999999</v>
      </c>
      <c r="H273">
        <v>-0.64169198699999996</v>
      </c>
      <c r="I273" s="11">
        <v>8.0199999999999994E-6</v>
      </c>
      <c r="J273">
        <v>0.291914426</v>
      </c>
      <c r="K273">
        <v>1.0784215999999999E-2</v>
      </c>
      <c r="L273">
        <v>1.7730549879999999</v>
      </c>
      <c r="M273">
        <v>1.2983270999999999E-2</v>
      </c>
      <c r="N273">
        <v>1.2492444E-2</v>
      </c>
      <c r="O273">
        <v>3.8755370000000001E-3</v>
      </c>
      <c r="P273">
        <v>5.7376179999999999E-2</v>
      </c>
      <c r="Q273">
        <v>1.145299793</v>
      </c>
      <c r="R273">
        <v>6.9865511119999999</v>
      </c>
      <c r="S273">
        <v>9.7122830000000004E-3</v>
      </c>
      <c r="T273">
        <v>9.1093630000000005E-3</v>
      </c>
      <c r="U273">
        <v>7.4282694999999996E-2</v>
      </c>
      <c r="V273">
        <v>7.5591960999999999E-2</v>
      </c>
      <c r="W273">
        <v>1.017625451</v>
      </c>
      <c r="X273">
        <v>6.3386658760000003</v>
      </c>
      <c r="Y273">
        <v>0.47373326900000001</v>
      </c>
      <c r="Z273">
        <v>0.28104342399999999</v>
      </c>
      <c r="AA273">
        <v>1.292493E-3</v>
      </c>
      <c r="AB273">
        <v>-1</v>
      </c>
      <c r="AC273">
        <v>1.1125359999999999E-3</v>
      </c>
      <c r="AD273">
        <v>0.84073026399999995</v>
      </c>
      <c r="AE273">
        <v>7.9321515999999995E-2</v>
      </c>
      <c r="AF273">
        <v>0.31266907999999999</v>
      </c>
      <c r="AG273">
        <v>2.7967283999999999E-2</v>
      </c>
      <c r="AH273">
        <v>4.0113099999999999E-4</v>
      </c>
      <c r="AI273">
        <v>0.15973472399999999</v>
      </c>
    </row>
    <row r="274" spans="1:35" x14ac:dyDescent="0.2">
      <c r="A274">
        <v>314</v>
      </c>
      <c r="B274" t="s">
        <v>438</v>
      </c>
      <c r="C274" t="s">
        <v>193</v>
      </c>
      <c r="D274" t="s">
        <v>156</v>
      </c>
      <c r="E274" s="11">
        <v>9.7899999999999994E-6</v>
      </c>
      <c r="F274" s="11">
        <v>3.0699999999999998E-6</v>
      </c>
      <c r="G274">
        <v>0.31410284399999999</v>
      </c>
      <c r="H274">
        <v>-0.276614531</v>
      </c>
      <c r="I274" s="11">
        <v>1.29E-5</v>
      </c>
      <c r="J274">
        <v>0.29191489399999998</v>
      </c>
      <c r="K274">
        <v>1.9095313999999999E-2</v>
      </c>
      <c r="L274">
        <v>1.78967999</v>
      </c>
      <c r="M274">
        <v>1.2480155E-2</v>
      </c>
      <c r="N274">
        <v>2.2200969000000001E-2</v>
      </c>
      <c r="O274">
        <v>6.8623069999999998E-3</v>
      </c>
      <c r="P274">
        <v>9.2500079999999998E-2</v>
      </c>
      <c r="Q274">
        <v>1.2748628120000001</v>
      </c>
      <c r="R274">
        <v>7.8341770220000004</v>
      </c>
      <c r="S274">
        <v>1.5846639999999999E-2</v>
      </c>
      <c r="T274">
        <v>1.5339636E-2</v>
      </c>
      <c r="U274">
        <v>0.12120025</v>
      </c>
      <c r="V274">
        <v>0.127292461</v>
      </c>
      <c r="W274">
        <v>1.0502656640000001</v>
      </c>
      <c r="X274">
        <v>4.5109027829999997</v>
      </c>
      <c r="Y274">
        <v>1.0640755820000001</v>
      </c>
      <c r="Z274">
        <v>0.31063186999999998</v>
      </c>
      <c r="AA274">
        <v>6.6641280000000001E-3</v>
      </c>
      <c r="AB274">
        <v>-0.68191058999999998</v>
      </c>
      <c r="AC274">
        <v>5.7197560000000003E-3</v>
      </c>
      <c r="AD274">
        <v>0.87709470199999995</v>
      </c>
      <c r="AE274">
        <v>0.175418344</v>
      </c>
      <c r="AF274">
        <v>0.58345279000000005</v>
      </c>
      <c r="AG274">
        <v>0.121373093</v>
      </c>
      <c r="AH274">
        <v>2.0622890000000001E-3</v>
      </c>
      <c r="AI274">
        <v>0.30274674099999999</v>
      </c>
    </row>
    <row r="275" spans="1:35" x14ac:dyDescent="0.2">
      <c r="A275">
        <v>315</v>
      </c>
      <c r="B275" t="s">
        <v>439</v>
      </c>
      <c r="C275" t="s">
        <v>193</v>
      </c>
      <c r="D275" t="s">
        <v>158</v>
      </c>
      <c r="E275" s="11">
        <v>5.9599999999999997E-6</v>
      </c>
      <c r="F275" s="11">
        <v>1.8700000000000001E-6</v>
      </c>
      <c r="G275">
        <v>0.31336649100000002</v>
      </c>
      <c r="H275">
        <v>-0.63315221799999999</v>
      </c>
      <c r="I275" s="11">
        <v>7.8199999999999997E-6</v>
      </c>
      <c r="J275">
        <v>0.29191489399999998</v>
      </c>
      <c r="K275">
        <v>8.0783959999999998E-3</v>
      </c>
      <c r="L275">
        <v>1.7676461539999999</v>
      </c>
      <c r="M275">
        <v>8.6536660000000008E-3</v>
      </c>
      <c r="N275">
        <v>9.3645480000000003E-3</v>
      </c>
      <c r="O275">
        <v>2.903143E-3</v>
      </c>
      <c r="P275">
        <v>4.9397629999999998E-2</v>
      </c>
      <c r="Q275">
        <v>0.94159190999999998</v>
      </c>
      <c r="R275">
        <v>5.7483467240000001</v>
      </c>
      <c r="S275">
        <v>8.6054229999999992E-3</v>
      </c>
      <c r="T275">
        <v>7.5693720000000004E-3</v>
      </c>
      <c r="U275">
        <v>6.5817070000000005E-2</v>
      </c>
      <c r="V275">
        <v>6.2812701999999998E-2</v>
      </c>
      <c r="W275">
        <v>0.95435275399999997</v>
      </c>
      <c r="X275">
        <v>5.7311253510000002</v>
      </c>
      <c r="Y275">
        <v>0.52544978899999994</v>
      </c>
      <c r="Z275">
        <v>0.28643899</v>
      </c>
      <c r="AA275">
        <v>2.2251649999999999E-3</v>
      </c>
      <c r="AB275">
        <v>-1</v>
      </c>
      <c r="AC275">
        <v>1.917204E-3</v>
      </c>
      <c r="AD275">
        <v>0.86134281899999998</v>
      </c>
      <c r="AE275">
        <v>8.7397631000000003E-2</v>
      </c>
      <c r="AF275">
        <v>0.43556039200000002</v>
      </c>
      <c r="AG275">
        <v>8.0640327999999997E-2</v>
      </c>
      <c r="AH275">
        <v>6.9125800000000004E-4</v>
      </c>
      <c r="AI275">
        <v>0.225333541</v>
      </c>
    </row>
    <row r="276" spans="1:35" x14ac:dyDescent="0.2">
      <c r="A276">
        <v>316</v>
      </c>
      <c r="B276" t="s">
        <v>440</v>
      </c>
      <c r="C276" t="s">
        <v>193</v>
      </c>
      <c r="D276" t="s">
        <v>160</v>
      </c>
      <c r="E276" s="11">
        <v>9.0899999999999994E-6</v>
      </c>
      <c r="F276" s="11">
        <v>2.8899999999999999E-6</v>
      </c>
      <c r="G276">
        <v>0.31786825600000002</v>
      </c>
      <c r="H276">
        <v>-0.37343401900000001</v>
      </c>
      <c r="I276" s="11">
        <v>1.2E-5</v>
      </c>
      <c r="J276">
        <v>0.21943502400000001</v>
      </c>
      <c r="K276">
        <v>6.7615770000000004E-3</v>
      </c>
      <c r="L276">
        <v>1.330133298</v>
      </c>
      <c r="M276">
        <v>1.0163238999999999E-2</v>
      </c>
      <c r="N276">
        <v>7.8620170000000007E-3</v>
      </c>
      <c r="O276">
        <v>2.4299159999999998E-3</v>
      </c>
      <c r="P276">
        <v>2.1200630000000002E-2</v>
      </c>
      <c r="Q276">
        <v>0.68780838</v>
      </c>
      <c r="R276">
        <v>4.1692515439999998</v>
      </c>
      <c r="S276">
        <v>1.4606956000000001E-2</v>
      </c>
      <c r="T276">
        <v>1.3312203999999999E-2</v>
      </c>
      <c r="U276">
        <v>0.11171874699999999</v>
      </c>
      <c r="V276">
        <v>0.110468275</v>
      </c>
      <c r="W276">
        <v>0.98880696400000001</v>
      </c>
      <c r="X276">
        <v>4.3712121890000004</v>
      </c>
      <c r="Y276">
        <v>1.0762402390000001</v>
      </c>
      <c r="Z276">
        <v>0.30312288100000001</v>
      </c>
      <c r="AA276">
        <v>7.544444E-3</v>
      </c>
      <c r="AB276">
        <v>-0.23590742100000001</v>
      </c>
      <c r="AC276">
        <v>6.4821940000000002E-3</v>
      </c>
      <c r="AD276">
        <v>0.88172471299999999</v>
      </c>
      <c r="AE276">
        <v>0.17682868299999999</v>
      </c>
      <c r="AF276">
        <v>0.65042635599999998</v>
      </c>
      <c r="AG276">
        <v>0.13583685000000001</v>
      </c>
      <c r="AH276">
        <v>2.3371899999999998E-3</v>
      </c>
      <c r="AI276">
        <v>0.33753445199999998</v>
      </c>
    </row>
    <row r="277" spans="1:35" x14ac:dyDescent="0.2">
      <c r="A277">
        <v>317</v>
      </c>
      <c r="B277" t="s">
        <v>441</v>
      </c>
      <c r="C277" t="s">
        <v>193</v>
      </c>
      <c r="D277" t="s">
        <v>162</v>
      </c>
      <c r="E277" s="11">
        <v>9.3500000000000003E-6</v>
      </c>
      <c r="F277" s="11">
        <v>2.9100000000000001E-6</v>
      </c>
      <c r="G277">
        <v>0.311215778</v>
      </c>
      <c r="H277">
        <v>-0.34327688200000001</v>
      </c>
      <c r="I277" s="11">
        <v>1.2300000000000001E-5</v>
      </c>
      <c r="J277">
        <v>0.24583049800000001</v>
      </c>
      <c r="K277">
        <v>5.6715680000000001E-3</v>
      </c>
      <c r="L277">
        <v>1.4863261210000001</v>
      </c>
      <c r="M277">
        <v>7.6100150000000004E-3</v>
      </c>
      <c r="N277">
        <v>6.5937560000000001E-3</v>
      </c>
      <c r="O277">
        <v>2.0381980000000002E-3</v>
      </c>
      <c r="P277">
        <v>1.7870319999999999E-2</v>
      </c>
      <c r="Q277">
        <v>0.77449449500000001</v>
      </c>
      <c r="R277">
        <v>4.6827076160000001</v>
      </c>
      <c r="S277">
        <v>1.1595813999999999E-2</v>
      </c>
      <c r="T277">
        <v>1.0639233999999999E-2</v>
      </c>
      <c r="U277">
        <v>8.8688558000000001E-2</v>
      </c>
      <c r="V277">
        <v>8.8287249999999998E-2</v>
      </c>
      <c r="W277">
        <v>0.99547508699999998</v>
      </c>
      <c r="X277">
        <v>4.8504347770000003</v>
      </c>
      <c r="Y277">
        <v>1.37454868</v>
      </c>
      <c r="Z277">
        <v>0.308364794</v>
      </c>
      <c r="AA277">
        <v>4.917823E-3</v>
      </c>
      <c r="AB277">
        <v>-8.1319375999999999E-2</v>
      </c>
      <c r="AC277">
        <v>4.2197600000000004E-3</v>
      </c>
      <c r="AD277">
        <v>0.88218871700000001</v>
      </c>
      <c r="AE277">
        <v>0.229306702</v>
      </c>
      <c r="AF277">
        <v>0.80594485800000004</v>
      </c>
      <c r="AG277">
        <v>9.4588004000000003E-2</v>
      </c>
      <c r="AH277">
        <v>1.5214569999999999E-3</v>
      </c>
      <c r="AI277">
        <v>0.41325728699999997</v>
      </c>
    </row>
    <row r="278" spans="1:35" x14ac:dyDescent="0.2">
      <c r="A278">
        <v>318</v>
      </c>
      <c r="B278" t="s">
        <v>442</v>
      </c>
      <c r="C278" t="s">
        <v>193</v>
      </c>
      <c r="D278" t="s">
        <v>220</v>
      </c>
      <c r="E278" s="11">
        <v>9.3400000000000004E-6</v>
      </c>
      <c r="F278" s="11">
        <v>2.9000000000000002E-6</v>
      </c>
      <c r="G278">
        <v>0.310625339</v>
      </c>
      <c r="H278">
        <v>-0.34272225899999997</v>
      </c>
      <c r="I278" s="11">
        <v>1.22E-5</v>
      </c>
      <c r="J278">
        <v>0.245816968</v>
      </c>
      <c r="K278">
        <v>5.6732240000000001E-3</v>
      </c>
      <c r="L278">
        <v>1.4862482539999999</v>
      </c>
      <c r="M278">
        <v>7.6122439999999998E-3</v>
      </c>
      <c r="N278">
        <v>6.5951480000000003E-3</v>
      </c>
      <c r="O278">
        <v>2.038794E-3</v>
      </c>
      <c r="P278">
        <v>1.7873960000000001E-2</v>
      </c>
      <c r="Q278">
        <v>0.774415933</v>
      </c>
      <c r="R278">
        <v>4.6822435179999999</v>
      </c>
      <c r="S278">
        <v>1.157557E-2</v>
      </c>
      <c r="T278">
        <v>1.0657285000000001E-2</v>
      </c>
      <c r="U278">
        <v>8.8533718999999997E-2</v>
      </c>
      <c r="V278">
        <v>8.8437044000000006E-2</v>
      </c>
      <c r="W278">
        <v>0.99890804300000002</v>
      </c>
      <c r="X278">
        <v>4.8510694760000002</v>
      </c>
      <c r="Y278">
        <v>1.3746373700000001</v>
      </c>
      <c r="Z278">
        <v>0.30799518999999997</v>
      </c>
      <c r="AA278">
        <v>4.9150360000000002E-3</v>
      </c>
      <c r="AB278">
        <v>-8.1192965000000006E-2</v>
      </c>
      <c r="AC278">
        <v>4.2173610000000002E-3</v>
      </c>
      <c r="AD278">
        <v>0.883688692</v>
      </c>
      <c r="AE278">
        <v>0.22932377800000001</v>
      </c>
      <c r="AF278">
        <v>0.806077712</v>
      </c>
      <c r="AG278">
        <v>9.4542764000000001E-2</v>
      </c>
      <c r="AH278">
        <v>1.5205920000000001E-3</v>
      </c>
      <c r="AI278">
        <v>0.413321298</v>
      </c>
    </row>
    <row r="279" spans="1:35" x14ac:dyDescent="0.2">
      <c r="A279">
        <v>319</v>
      </c>
      <c r="B279" t="s">
        <v>443</v>
      </c>
      <c r="C279" t="s">
        <v>193</v>
      </c>
      <c r="D279" t="s">
        <v>164</v>
      </c>
      <c r="E279" s="11">
        <v>8.6899999999999998E-6</v>
      </c>
      <c r="F279" s="11">
        <v>2.7199999999999998E-6</v>
      </c>
      <c r="G279">
        <v>0.31352175999999998</v>
      </c>
      <c r="H279">
        <v>-0.188291506</v>
      </c>
      <c r="I279" s="11">
        <v>1.1399999999999999E-5</v>
      </c>
      <c r="J279">
        <v>0.35506175400000001</v>
      </c>
      <c r="K279">
        <v>1.4880001E-2</v>
      </c>
      <c r="L279">
        <v>2.1601305260000001</v>
      </c>
      <c r="M279">
        <v>8.3949520000000007E-3</v>
      </c>
      <c r="N279">
        <v>1.7295184000000002E-2</v>
      </c>
      <c r="O279">
        <v>5.3474439999999998E-3</v>
      </c>
      <c r="P279">
        <v>4.5493749999999999E-2</v>
      </c>
      <c r="Q279">
        <v>1.1140874940000001</v>
      </c>
      <c r="R279">
        <v>6.775512462</v>
      </c>
      <c r="S279">
        <v>2.1532570000000001E-2</v>
      </c>
      <c r="T279">
        <v>2.0053516E-2</v>
      </c>
      <c r="U279">
        <v>0.16468809500000001</v>
      </c>
      <c r="V279">
        <v>0.16640951400000001</v>
      </c>
      <c r="W279">
        <v>1.0104526009999999</v>
      </c>
      <c r="X279">
        <v>4.0407148609999997</v>
      </c>
      <c r="Y279">
        <v>1.711751131</v>
      </c>
      <c r="Z279">
        <v>0.32664140200000003</v>
      </c>
      <c r="AA279">
        <v>1.0151044999999999E-2</v>
      </c>
      <c r="AB279">
        <v>-0.26194192999999999</v>
      </c>
      <c r="AC279">
        <v>8.7155940000000001E-3</v>
      </c>
      <c r="AD279">
        <v>0.87592068199999995</v>
      </c>
      <c r="AE279">
        <v>0.28260557800000002</v>
      </c>
      <c r="AF279">
        <v>0.84661981500000005</v>
      </c>
      <c r="AG279">
        <v>0.16650219299999999</v>
      </c>
      <c r="AH279">
        <v>3.1424539999999998E-3</v>
      </c>
      <c r="AI279">
        <v>0.438651126</v>
      </c>
    </row>
    <row r="280" spans="1:35" x14ac:dyDescent="0.2">
      <c r="A280">
        <v>320</v>
      </c>
      <c r="B280" t="s">
        <v>444</v>
      </c>
      <c r="C280" t="s">
        <v>193</v>
      </c>
      <c r="D280" t="s">
        <v>166</v>
      </c>
      <c r="E280" s="11">
        <v>1.1399999999999999E-5</v>
      </c>
      <c r="F280" s="11">
        <v>3.5599999999999998E-6</v>
      </c>
      <c r="G280">
        <v>0.31173740900000002</v>
      </c>
      <c r="H280">
        <v>1.2382249E-2</v>
      </c>
      <c r="I280" s="11">
        <v>1.5E-5</v>
      </c>
      <c r="J280">
        <v>0.2311271</v>
      </c>
      <c r="K280">
        <v>7.4815719999999997E-3</v>
      </c>
      <c r="L280">
        <v>1.4017257460000001</v>
      </c>
      <c r="M280">
        <v>1.0683773000000001E-2</v>
      </c>
      <c r="N280">
        <v>8.7052699999999993E-3</v>
      </c>
      <c r="O280">
        <v>2.6886620000000001E-3</v>
      </c>
      <c r="P280">
        <v>2.3397279999999999E-2</v>
      </c>
      <c r="Q280">
        <v>0.72271227500000002</v>
      </c>
      <c r="R280">
        <v>4.3830682139999997</v>
      </c>
      <c r="S280">
        <v>1.5843553999999999E-2</v>
      </c>
      <c r="T280">
        <v>1.4525806E-2</v>
      </c>
      <c r="U280">
        <v>0.12117665</v>
      </c>
      <c r="V280">
        <v>0.120539074</v>
      </c>
      <c r="W280">
        <v>0.99473845800000005</v>
      </c>
      <c r="X280">
        <v>4.2111470449999997</v>
      </c>
      <c r="Y280">
        <v>1.4017256659999999</v>
      </c>
      <c r="Z280">
        <v>0.31170520499999999</v>
      </c>
      <c r="AA280">
        <v>8.7199900000000004E-3</v>
      </c>
      <c r="AB280" s="11">
        <v>-5.6799999999999999E-8</v>
      </c>
      <c r="AC280">
        <v>7.4815740000000004E-3</v>
      </c>
      <c r="AD280">
        <v>0.89785222600000003</v>
      </c>
      <c r="AE280">
        <v>0.23112708600000001</v>
      </c>
      <c r="AF280">
        <v>0.72295648099999998</v>
      </c>
      <c r="AG280">
        <v>0.149230059</v>
      </c>
      <c r="AH280">
        <v>2.6975219999999999E-3</v>
      </c>
      <c r="AI280">
        <v>0.37505493400000001</v>
      </c>
    </row>
    <row r="281" spans="1:35" x14ac:dyDescent="0.2">
      <c r="A281">
        <v>321</v>
      </c>
      <c r="B281" t="s">
        <v>445</v>
      </c>
      <c r="C281" t="s">
        <v>193</v>
      </c>
      <c r="D281" t="s">
        <v>226</v>
      </c>
      <c r="E281" s="11">
        <v>2.6599999999999999E-6</v>
      </c>
      <c r="F281" s="11">
        <v>8.2900000000000002E-7</v>
      </c>
      <c r="G281">
        <v>0.31128025399999998</v>
      </c>
      <c r="H281">
        <v>0.47261367999999998</v>
      </c>
      <c r="I281" s="11">
        <v>3.49E-6</v>
      </c>
      <c r="J281">
        <v>0.26792829699999998</v>
      </c>
      <c r="K281">
        <v>1.4447939999999999E-3</v>
      </c>
      <c r="L281">
        <v>1.6104593679999999</v>
      </c>
      <c r="M281">
        <v>1.79415E-3</v>
      </c>
      <c r="N281">
        <v>1.659418E-3</v>
      </c>
      <c r="O281">
        <v>5.1921699999999999E-4</v>
      </c>
      <c r="P281">
        <v>4.5777999999999999E-3</v>
      </c>
      <c r="Q281">
        <v>0.85053454799999995</v>
      </c>
      <c r="R281">
        <v>5.1123628800000001</v>
      </c>
      <c r="S281">
        <v>2.616522E-3</v>
      </c>
      <c r="T281">
        <v>2.5477669999999998E-3</v>
      </c>
      <c r="U281">
        <v>2.0012011999999999E-2</v>
      </c>
      <c r="V281">
        <v>2.1142065000000002E-2</v>
      </c>
      <c r="W281">
        <v>1.0564687349999999</v>
      </c>
      <c r="X281">
        <v>6.0207368309999998</v>
      </c>
      <c r="Y281">
        <v>0.57100510400000004</v>
      </c>
      <c r="Z281">
        <v>0.28709137600000001</v>
      </c>
      <c r="AA281">
        <v>1.720023E-3</v>
      </c>
      <c r="AB281">
        <v>-1</v>
      </c>
      <c r="AC281">
        <v>1.479106E-3</v>
      </c>
      <c r="AD281">
        <v>0.85185313100000004</v>
      </c>
      <c r="AE281">
        <v>9.5490710000000006E-2</v>
      </c>
      <c r="AF281">
        <v>0.37145388200000001</v>
      </c>
      <c r="AG281">
        <v>3.6690450999999999E-2</v>
      </c>
      <c r="AH281">
        <v>5.3330000000000001E-4</v>
      </c>
      <c r="AI281">
        <v>0.19000055699999999</v>
      </c>
    </row>
    <row r="282" spans="1:35" x14ac:dyDescent="0.2">
      <c r="A282">
        <v>322</v>
      </c>
      <c r="B282" t="s">
        <v>446</v>
      </c>
      <c r="C282" t="s">
        <v>193</v>
      </c>
      <c r="D282" t="s">
        <v>168</v>
      </c>
      <c r="E282" s="11">
        <v>5.7100000000000004E-6</v>
      </c>
      <c r="F282" s="11">
        <v>1.8199999999999999E-6</v>
      </c>
      <c r="G282">
        <v>0.31944651600000001</v>
      </c>
      <c r="H282">
        <v>-1.0773261949999999</v>
      </c>
      <c r="I282" s="11">
        <v>7.5299999999999999E-6</v>
      </c>
      <c r="J282">
        <v>0.43618626300000002</v>
      </c>
      <c r="K282">
        <v>1.3839583000000001E-2</v>
      </c>
      <c r="L282">
        <v>2.644796742</v>
      </c>
      <c r="M282">
        <v>2.4381899999999998E-3</v>
      </c>
      <c r="N282">
        <v>1.6034844999999999E-2</v>
      </c>
      <c r="O282">
        <v>4.9735480000000004E-3</v>
      </c>
      <c r="P282">
        <v>5.2069839999999999E-2</v>
      </c>
      <c r="Q282">
        <v>1.3740794519999999</v>
      </c>
      <c r="R282">
        <v>8.3486163879999999</v>
      </c>
      <c r="S282">
        <v>1.2439917E-2</v>
      </c>
      <c r="T282">
        <v>1.1237466999999999E-2</v>
      </c>
      <c r="U282">
        <v>9.5144529000000005E-2</v>
      </c>
      <c r="V282">
        <v>9.3251549000000003E-2</v>
      </c>
      <c r="W282">
        <v>0.98010416300000003</v>
      </c>
      <c r="X282">
        <v>5.3956925529999999</v>
      </c>
      <c r="Y282">
        <v>0.82917468299999997</v>
      </c>
      <c r="Z282">
        <v>0.27838950400000001</v>
      </c>
      <c r="AA282">
        <v>3.008134E-3</v>
      </c>
      <c r="AB282">
        <v>-1</v>
      </c>
      <c r="AC282">
        <v>2.5891870000000002E-3</v>
      </c>
      <c r="AD282">
        <v>0.86626240799999998</v>
      </c>
      <c r="AE282">
        <v>0.13828833700000001</v>
      </c>
      <c r="AF282">
        <v>0.54909660800000004</v>
      </c>
      <c r="AG282">
        <v>9.2941774000000005E-2</v>
      </c>
      <c r="AH282">
        <v>9.3354500000000003E-4</v>
      </c>
      <c r="AI282">
        <v>0.283481345</v>
      </c>
    </row>
    <row r="283" spans="1:35" x14ac:dyDescent="0.2">
      <c r="A283">
        <v>323</v>
      </c>
      <c r="B283" t="s">
        <v>447</v>
      </c>
      <c r="C283" t="s">
        <v>142</v>
      </c>
      <c r="D283" t="s">
        <v>130</v>
      </c>
      <c r="E283" s="11">
        <v>1.49E-5</v>
      </c>
      <c r="F283" s="11">
        <v>5.0000000000000004E-6</v>
      </c>
      <c r="G283">
        <v>0.336637413</v>
      </c>
      <c r="H283">
        <v>0.60471532500000003</v>
      </c>
      <c r="I283" s="11">
        <v>1.9899999999999999E-5</v>
      </c>
      <c r="J283">
        <v>0.77349069999999998</v>
      </c>
      <c r="K283">
        <v>3.6635005999999998E-2</v>
      </c>
      <c r="L283">
        <v>4.7142142109999998</v>
      </c>
      <c r="M283">
        <v>1.5368814E-2</v>
      </c>
      <c r="N283">
        <v>4.2494653E-2</v>
      </c>
      <c r="O283">
        <v>1.3165567E-2</v>
      </c>
      <c r="P283">
        <v>0.10106138000000001</v>
      </c>
      <c r="Q283">
        <v>2.133254837</v>
      </c>
      <c r="R283">
        <v>13.00165179</v>
      </c>
      <c r="S283">
        <v>6.3278552000000002E-2</v>
      </c>
      <c r="T283">
        <v>5.7595367000000001E-2</v>
      </c>
      <c r="U283">
        <v>0.48397492800000003</v>
      </c>
      <c r="V283">
        <v>0.47794197399999999</v>
      </c>
      <c r="W283">
        <v>0.98753457300000003</v>
      </c>
      <c r="X283">
        <v>2.3341571989999998</v>
      </c>
      <c r="Y283">
        <v>57.711986660000001</v>
      </c>
      <c r="Z283">
        <v>1.2191876500000001</v>
      </c>
      <c r="AA283">
        <v>0.10941920199999999</v>
      </c>
      <c r="AB283">
        <v>0.91831481699999995</v>
      </c>
      <c r="AC283">
        <v>4.4164364789999997</v>
      </c>
      <c r="AD283">
        <v>1.0812555749999999</v>
      </c>
      <c r="AE283">
        <v>7.1388594579999998</v>
      </c>
      <c r="AF283">
        <v>5.4051706160000004</v>
      </c>
      <c r="AG283">
        <v>20.91994815</v>
      </c>
      <c r="AH283">
        <v>3.2777594E-2</v>
      </c>
      <c r="AI283">
        <v>3.7189827179999999</v>
      </c>
    </row>
    <row r="284" spans="1:35" x14ac:dyDescent="0.2">
      <c r="A284">
        <v>324</v>
      </c>
      <c r="B284" t="s">
        <v>448</v>
      </c>
      <c r="C284" t="s">
        <v>142</v>
      </c>
      <c r="D284" t="s">
        <v>132</v>
      </c>
      <c r="E284" s="11">
        <v>4.2400000000000001E-6</v>
      </c>
      <c r="F284" s="11">
        <v>1.3799999999999999E-6</v>
      </c>
      <c r="G284">
        <v>0.32438756000000002</v>
      </c>
      <c r="H284">
        <v>0.30533684300000002</v>
      </c>
      <c r="I284" s="11">
        <v>5.6200000000000004E-6</v>
      </c>
      <c r="J284">
        <v>0.51112081300000001</v>
      </c>
      <c r="K284">
        <v>1.1838767E-2</v>
      </c>
      <c r="L284">
        <v>3.090402412</v>
      </c>
      <c r="M284" s="11">
        <v>3.5999999999999999E-7</v>
      </c>
      <c r="N284">
        <v>2.9208632000000002E-2</v>
      </c>
      <c r="O284">
        <v>9.2311839999999999E-3</v>
      </c>
      <c r="P284">
        <v>3.5039229999999998E-2</v>
      </c>
      <c r="Q284">
        <v>1.593484809</v>
      </c>
      <c r="R284">
        <v>9.6309873199999991</v>
      </c>
      <c r="S284">
        <v>1.6750345999999999E-2</v>
      </c>
      <c r="T284">
        <v>1.5953660000000001E-2</v>
      </c>
      <c r="U284">
        <v>0.12811209300000001</v>
      </c>
      <c r="V284">
        <v>0.132387795</v>
      </c>
      <c r="W284">
        <v>1.033374695</v>
      </c>
      <c r="X284">
        <v>2.769350668</v>
      </c>
      <c r="Y284">
        <v>28.33009869</v>
      </c>
      <c r="Z284">
        <v>1.160722115</v>
      </c>
      <c r="AA284">
        <v>4.8577236000000003E-2</v>
      </c>
      <c r="AB284">
        <v>0.89091452000000004</v>
      </c>
      <c r="AC284">
        <v>1.9640769570000001</v>
      </c>
      <c r="AD284">
        <v>1.077531051</v>
      </c>
      <c r="AE284">
        <v>3.5095485850000001</v>
      </c>
      <c r="AF284">
        <v>2.8968114580000002</v>
      </c>
      <c r="AG284">
        <v>10.14002939</v>
      </c>
      <c r="AH284">
        <v>1.4576847E-2</v>
      </c>
      <c r="AI284">
        <v>1.990184041</v>
      </c>
    </row>
    <row r="285" spans="1:35" x14ac:dyDescent="0.2">
      <c r="A285">
        <v>325</v>
      </c>
      <c r="B285" t="s">
        <v>449</v>
      </c>
      <c r="C285" t="s">
        <v>142</v>
      </c>
      <c r="D285" t="s">
        <v>140</v>
      </c>
      <c r="E285" s="11">
        <v>9.8900000000000002E-6</v>
      </c>
      <c r="F285" s="11">
        <v>3.2499999999999998E-6</v>
      </c>
      <c r="G285">
        <v>0.32808269099999998</v>
      </c>
      <c r="H285">
        <v>0.68338453899999996</v>
      </c>
      <c r="I285" s="11">
        <v>1.31E-5</v>
      </c>
      <c r="J285">
        <v>0.37702587100000001</v>
      </c>
      <c r="K285">
        <v>1.6599909999999999E-2</v>
      </c>
      <c r="L285">
        <v>2.2953550470000001</v>
      </c>
      <c r="M285">
        <v>6.1353010000000001E-3</v>
      </c>
      <c r="N285">
        <v>1.9319597000000001E-2</v>
      </c>
      <c r="O285">
        <v>5.9655300000000001E-3</v>
      </c>
      <c r="P285">
        <v>5.0104360000000001E-2</v>
      </c>
      <c r="Q285">
        <v>1.1707616030000001</v>
      </c>
      <c r="R285">
        <v>7.1247783299999998</v>
      </c>
      <c r="S285">
        <v>2.4284750000000001E-2</v>
      </c>
      <c r="T285">
        <v>2.3124089E-2</v>
      </c>
      <c r="U285">
        <v>0.185737659</v>
      </c>
      <c r="V285">
        <v>0.191889958</v>
      </c>
      <c r="W285">
        <v>1.033123595</v>
      </c>
      <c r="X285">
        <v>2.8707919099999999</v>
      </c>
      <c r="Y285">
        <v>24.71970305</v>
      </c>
      <c r="Z285">
        <v>1.165284003</v>
      </c>
      <c r="AA285">
        <v>4.0229780999999999E-2</v>
      </c>
      <c r="AB285">
        <v>0.90714471600000002</v>
      </c>
      <c r="AC285">
        <v>1.6260331260000001</v>
      </c>
      <c r="AD285">
        <v>1.0555886759999999</v>
      </c>
      <c r="AE285">
        <v>3.064515933</v>
      </c>
      <c r="AF285">
        <v>2.562389687</v>
      </c>
      <c r="AG285">
        <v>8.5051236269999997</v>
      </c>
      <c r="AH285">
        <v>1.2067975999999999E-2</v>
      </c>
      <c r="AI285">
        <v>1.759152643</v>
      </c>
    </row>
    <row r="286" spans="1:35" x14ac:dyDescent="0.2">
      <c r="A286">
        <v>326</v>
      </c>
      <c r="B286" t="s">
        <v>450</v>
      </c>
      <c r="C286" t="s">
        <v>142</v>
      </c>
      <c r="D286" t="s">
        <v>146</v>
      </c>
      <c r="E286" s="11">
        <v>1.5E-5</v>
      </c>
      <c r="F286" s="11">
        <v>4.9200000000000003E-6</v>
      </c>
      <c r="G286">
        <v>0.32847412199999998</v>
      </c>
      <c r="H286">
        <v>0.60520074099999999</v>
      </c>
      <c r="I286" s="11">
        <v>1.9899999999999999E-5</v>
      </c>
      <c r="J286">
        <v>0.78153972299999996</v>
      </c>
      <c r="K286">
        <v>3.7060825999999998E-2</v>
      </c>
      <c r="L286">
        <v>4.7633599889999996</v>
      </c>
      <c r="M286">
        <v>1.5518643E-2</v>
      </c>
      <c r="N286">
        <v>4.2948453999999997E-2</v>
      </c>
      <c r="O286">
        <v>1.3318595000000001E-2</v>
      </c>
      <c r="P286">
        <v>0.10204313</v>
      </c>
      <c r="Q286">
        <v>2.1518884100000002</v>
      </c>
      <c r="R286">
        <v>13.11541673</v>
      </c>
      <c r="S286">
        <v>6.3722108999999999E-2</v>
      </c>
      <c r="T286">
        <v>5.7967995000000001E-2</v>
      </c>
      <c r="U286">
        <v>0.48736739899999998</v>
      </c>
      <c r="V286">
        <v>0.48103414500000002</v>
      </c>
      <c r="W286">
        <v>0.98700517499999996</v>
      </c>
      <c r="X286">
        <v>2.3308367959999998</v>
      </c>
      <c r="Y286">
        <v>58.056318359999999</v>
      </c>
      <c r="Z286">
        <v>1.1990327220000001</v>
      </c>
      <c r="AA286">
        <v>0.11009519</v>
      </c>
      <c r="AB286">
        <v>0.91795277200000003</v>
      </c>
      <c r="AC286">
        <v>4.4438255050000004</v>
      </c>
      <c r="AD286">
        <v>1.0804854399999999</v>
      </c>
      <c r="AE286">
        <v>7.1814262580000001</v>
      </c>
      <c r="AF286">
        <v>5.4320429109999999</v>
      </c>
      <c r="AG286">
        <v>21.030774050000002</v>
      </c>
      <c r="AH286">
        <v>3.2980866999999997E-2</v>
      </c>
      <c r="AI286">
        <v>3.737490711</v>
      </c>
    </row>
    <row r="287" spans="1:35" x14ac:dyDescent="0.2">
      <c r="A287">
        <v>327</v>
      </c>
      <c r="B287" t="s">
        <v>451</v>
      </c>
      <c r="C287" t="s">
        <v>142</v>
      </c>
      <c r="D287" t="s">
        <v>150</v>
      </c>
      <c r="E287" s="11">
        <v>1.5E-5</v>
      </c>
      <c r="F287" s="11">
        <v>4.8999999999999997E-6</v>
      </c>
      <c r="G287">
        <v>0.32685219999999998</v>
      </c>
      <c r="H287">
        <v>0.60852161800000004</v>
      </c>
      <c r="I287" s="11">
        <v>1.9899999999999999E-5</v>
      </c>
      <c r="J287">
        <v>0.77044501200000004</v>
      </c>
      <c r="K287">
        <v>3.6449457999999997E-2</v>
      </c>
      <c r="L287">
        <v>4.6955689879999998</v>
      </c>
      <c r="M287">
        <v>1.5509185999999999E-2</v>
      </c>
      <c r="N287">
        <v>4.2264080000000002E-2</v>
      </c>
      <c r="O287">
        <v>1.3098887E-2</v>
      </c>
      <c r="P287">
        <v>0.10054658</v>
      </c>
      <c r="Q287">
        <v>2.125312241</v>
      </c>
      <c r="R287">
        <v>12.9529666</v>
      </c>
      <c r="S287">
        <v>6.2474118000000002E-2</v>
      </c>
      <c r="T287">
        <v>5.6797280999999998E-2</v>
      </c>
      <c r="U287">
        <v>0.47782235499999998</v>
      </c>
      <c r="V287">
        <v>0.471319239</v>
      </c>
      <c r="W287">
        <v>0.98639009700000002</v>
      </c>
      <c r="X287">
        <v>2.3345644399999999</v>
      </c>
      <c r="Y287">
        <v>57.716138729999997</v>
      </c>
      <c r="Z287">
        <v>1.197513227</v>
      </c>
      <c r="AA287">
        <v>0.109333844</v>
      </c>
      <c r="AB287">
        <v>0.91864374299999996</v>
      </c>
      <c r="AC287">
        <v>4.4130889480000004</v>
      </c>
      <c r="AD287">
        <v>1.08039127</v>
      </c>
      <c r="AE287">
        <v>7.1394660070000002</v>
      </c>
      <c r="AF287">
        <v>5.4061278689999996</v>
      </c>
      <c r="AG287">
        <v>20.907902679999999</v>
      </c>
      <c r="AH287">
        <v>3.2752749999999997E-2</v>
      </c>
      <c r="AI287">
        <v>3.7195981009999999</v>
      </c>
    </row>
    <row r="288" spans="1:35" x14ac:dyDescent="0.2">
      <c r="A288">
        <v>328</v>
      </c>
      <c r="B288" t="s">
        <v>452</v>
      </c>
      <c r="C288" t="s">
        <v>142</v>
      </c>
      <c r="D288" t="s">
        <v>204</v>
      </c>
      <c r="E288" s="11">
        <v>1.7799999999999999E-6</v>
      </c>
      <c r="F288" s="11">
        <v>5.6400000000000002E-7</v>
      </c>
      <c r="G288">
        <v>0.31774699200000001</v>
      </c>
      <c r="H288">
        <v>4.4073106000000001E-2</v>
      </c>
      <c r="I288" s="11">
        <v>2.34E-6</v>
      </c>
      <c r="J288">
        <v>0.29191489399999998</v>
      </c>
      <c r="K288">
        <v>1.2141659000000001E-2</v>
      </c>
      <c r="L288">
        <v>1.7757726789999999</v>
      </c>
      <c r="M288">
        <v>1.2652615000000001E-2</v>
      </c>
      <c r="N288">
        <v>1.3853488000000001E-2</v>
      </c>
      <c r="O288">
        <v>4.3633630000000003E-3</v>
      </c>
      <c r="P288">
        <v>7.1189569999999994E-2</v>
      </c>
      <c r="Q288">
        <v>0.92674197899999999</v>
      </c>
      <c r="R288">
        <v>5.7028310119999999</v>
      </c>
      <c r="S288">
        <v>1.1278132999999999E-2</v>
      </c>
      <c r="T288">
        <v>1.0548388000000001E-2</v>
      </c>
      <c r="U288">
        <v>8.6258829999999995E-2</v>
      </c>
      <c r="V288">
        <v>8.7533385000000005E-2</v>
      </c>
      <c r="W288">
        <v>1.014775937</v>
      </c>
      <c r="X288">
        <v>2.9758329510000001</v>
      </c>
      <c r="Y288">
        <v>21.366077409999999</v>
      </c>
      <c r="Z288">
        <v>1.141212036</v>
      </c>
      <c r="AA288">
        <v>3.3013511000000002E-2</v>
      </c>
      <c r="AB288">
        <v>0.91688822199999997</v>
      </c>
      <c r="AC288">
        <v>1.3371782489999999</v>
      </c>
      <c r="AD288">
        <v>1.0356777159999999</v>
      </c>
      <c r="AE288">
        <v>2.6504960729999998</v>
      </c>
      <c r="AF288">
        <v>2.2783706019999999</v>
      </c>
      <c r="AG288">
        <v>7.0610603980000004</v>
      </c>
      <c r="AH288">
        <v>9.9241750000000004E-3</v>
      </c>
      <c r="AI288">
        <v>1.5627887620000001</v>
      </c>
    </row>
    <row r="289" spans="1:35" x14ac:dyDescent="0.2">
      <c r="A289">
        <v>329</v>
      </c>
      <c r="B289" t="s">
        <v>453</v>
      </c>
      <c r="C289" t="s">
        <v>142</v>
      </c>
      <c r="D289" t="s">
        <v>152</v>
      </c>
      <c r="E289" s="11">
        <v>1.31E-5</v>
      </c>
      <c r="F289" s="11">
        <v>1.6699999999999999E-5</v>
      </c>
      <c r="G289">
        <v>1.2717536540000001</v>
      </c>
      <c r="H289">
        <v>1.214950701</v>
      </c>
      <c r="I289" s="11">
        <v>2.9799999999999999E-5</v>
      </c>
      <c r="J289">
        <v>7.1881814930000001</v>
      </c>
      <c r="K289">
        <v>7.8525318759999996</v>
      </c>
      <c r="L289">
        <v>58.834152709999998</v>
      </c>
      <c r="M289">
        <v>0.26695668</v>
      </c>
      <c r="N289">
        <v>0.19392799099999999</v>
      </c>
      <c r="O289">
        <v>5.8027421000000003E-2</v>
      </c>
      <c r="P289">
        <v>5.1228093899999996</v>
      </c>
      <c r="Q289">
        <v>4.8461713179999997</v>
      </c>
      <c r="R289">
        <v>39.322646679999998</v>
      </c>
      <c r="S289">
        <v>0.30033655199999998</v>
      </c>
      <c r="T289">
        <v>0.312121816</v>
      </c>
      <c r="U289">
        <v>2.297071554</v>
      </c>
      <c r="V289">
        <v>2.5900714730000001</v>
      </c>
      <c r="W289">
        <v>1.1275536749999999</v>
      </c>
      <c r="X289">
        <v>1.528951693</v>
      </c>
      <c r="Y289">
        <v>727.34381489999998</v>
      </c>
      <c r="Z289">
        <v>4.662296435</v>
      </c>
      <c r="AA289">
        <v>0.50457756799999998</v>
      </c>
      <c r="AB289">
        <v>0.91911094699999996</v>
      </c>
      <c r="AC289">
        <v>961.85724279999999</v>
      </c>
      <c r="AD289">
        <v>1.31518756</v>
      </c>
      <c r="AE289">
        <v>66.989117489999998</v>
      </c>
      <c r="AF289">
        <v>12.38552932</v>
      </c>
      <c r="AG289">
        <v>1076.5291179999999</v>
      </c>
      <c r="AH289">
        <v>0.14678982199999999</v>
      </c>
      <c r="AI289">
        <v>11.34647062</v>
      </c>
    </row>
    <row r="290" spans="1:35" x14ac:dyDescent="0.2">
      <c r="A290">
        <v>330</v>
      </c>
      <c r="B290" t="s">
        <v>454</v>
      </c>
      <c r="C290" t="s">
        <v>142</v>
      </c>
      <c r="D290" t="s">
        <v>158</v>
      </c>
      <c r="E290" s="11">
        <v>2.67E-7</v>
      </c>
      <c r="F290" s="11">
        <v>7.6300000000000004E-7</v>
      </c>
      <c r="G290">
        <v>2.853957496</v>
      </c>
      <c r="H290">
        <v>-0.23477699899999999</v>
      </c>
      <c r="I290" s="11">
        <v>1.0300000000000001E-6</v>
      </c>
      <c r="J290">
        <v>0</v>
      </c>
      <c r="K290">
        <v>6.3534823999999999</v>
      </c>
      <c r="L290">
        <v>12.7069648</v>
      </c>
      <c r="M290">
        <v>0.99976119600000002</v>
      </c>
      <c r="N290">
        <v>4.633758E-3</v>
      </c>
      <c r="O290">
        <v>1.424221E-3</v>
      </c>
      <c r="P290">
        <v>2.2060420700000001</v>
      </c>
      <c r="Q290">
        <v>0.58382979999999995</v>
      </c>
      <c r="R290">
        <v>7.9150629480000001</v>
      </c>
      <c r="S290">
        <v>9.2100499999999991E-3</v>
      </c>
      <c r="T290">
        <v>1.6745631E-2</v>
      </c>
      <c r="U290">
        <v>7.0441453000000001E-2</v>
      </c>
      <c r="V290">
        <v>0.13895979</v>
      </c>
      <c r="W290">
        <v>1.9726990870000001</v>
      </c>
      <c r="X290">
        <v>2.7572419319999999</v>
      </c>
      <c r="Y290">
        <v>22.058482420000001</v>
      </c>
      <c r="Z290">
        <v>1.168828105</v>
      </c>
      <c r="AA290">
        <v>4.9566333999999997E-2</v>
      </c>
      <c r="AB290">
        <v>0.423942021</v>
      </c>
      <c r="AC290">
        <v>2.0088619009999999</v>
      </c>
      <c r="AD290">
        <v>1.056377114</v>
      </c>
      <c r="AE290">
        <v>2.7204545609999999</v>
      </c>
      <c r="AF290">
        <v>2.920174555</v>
      </c>
      <c r="AG290">
        <v>17.852688390000001</v>
      </c>
      <c r="AH290">
        <v>1.4909228E-2</v>
      </c>
      <c r="AI290">
        <v>2.0271909269999999</v>
      </c>
    </row>
    <row r="291" spans="1:35" x14ac:dyDescent="0.2">
      <c r="A291">
        <v>331</v>
      </c>
      <c r="B291" t="s">
        <v>455</v>
      </c>
      <c r="C291" t="s">
        <v>142</v>
      </c>
      <c r="D291" t="s">
        <v>162</v>
      </c>
      <c r="E291" s="11">
        <v>1.5E-5</v>
      </c>
      <c r="F291" s="11">
        <v>4.9300000000000002E-6</v>
      </c>
      <c r="G291">
        <v>0.32916452099999999</v>
      </c>
      <c r="H291">
        <v>0.602409317</v>
      </c>
      <c r="I291" s="11">
        <v>1.9899999999999999E-5</v>
      </c>
      <c r="J291">
        <v>0.779402661</v>
      </c>
      <c r="K291">
        <v>3.6994910999999998E-2</v>
      </c>
      <c r="L291">
        <v>4.7504057880000001</v>
      </c>
      <c r="M291">
        <v>1.5527696000000001E-2</v>
      </c>
      <c r="N291">
        <v>4.2873876999999998E-2</v>
      </c>
      <c r="O291">
        <v>1.3294907E-2</v>
      </c>
      <c r="P291">
        <v>0.10187864000000001</v>
      </c>
      <c r="Q291">
        <v>2.1463622340000001</v>
      </c>
      <c r="R291">
        <v>13.081930679999999</v>
      </c>
      <c r="S291">
        <v>6.3748046000000003E-2</v>
      </c>
      <c r="T291">
        <v>5.7996845999999998E-2</v>
      </c>
      <c r="U291">
        <v>0.48756577499999998</v>
      </c>
      <c r="V291">
        <v>0.48127355399999999</v>
      </c>
      <c r="W291">
        <v>0.98709462100000001</v>
      </c>
      <c r="X291">
        <v>2.3335420770000002</v>
      </c>
      <c r="Y291">
        <v>57.703815890000001</v>
      </c>
      <c r="Z291">
        <v>1.2582974060000001</v>
      </c>
      <c r="AA291">
        <v>0.109546249</v>
      </c>
      <c r="AB291">
        <v>0.91767605500000005</v>
      </c>
      <c r="AC291">
        <v>4.4214976469999998</v>
      </c>
      <c r="AD291">
        <v>1.08194316</v>
      </c>
      <c r="AE291">
        <v>7.1377045299999997</v>
      </c>
      <c r="AF291">
        <v>5.4033831120000002</v>
      </c>
      <c r="AG291">
        <v>20.940517069999999</v>
      </c>
      <c r="AH291">
        <v>3.2815156999999998E-2</v>
      </c>
      <c r="AI291">
        <v>3.717828329</v>
      </c>
    </row>
    <row r="292" spans="1:35" x14ac:dyDescent="0.2">
      <c r="A292">
        <v>332</v>
      </c>
      <c r="B292" t="s">
        <v>456</v>
      </c>
      <c r="C292" t="s">
        <v>142</v>
      </c>
      <c r="D292" t="s">
        <v>168</v>
      </c>
      <c r="E292" s="11">
        <v>6.2199999999999997E-6</v>
      </c>
      <c r="F292" s="11">
        <v>1.95E-6</v>
      </c>
      <c r="G292">
        <v>0.313339278</v>
      </c>
      <c r="H292">
        <v>0.62856458900000001</v>
      </c>
      <c r="I292" s="11">
        <v>8.1699999999999997E-6</v>
      </c>
      <c r="J292">
        <v>0.29192781400000001</v>
      </c>
      <c r="K292">
        <v>1.3363783000000001E-2</v>
      </c>
      <c r="L292">
        <v>1.7782944490000001</v>
      </c>
      <c r="M292">
        <v>1.2782095E-2</v>
      </c>
      <c r="N292">
        <v>1.5497469999999999E-2</v>
      </c>
      <c r="O292">
        <v>4.8025589999999996E-3</v>
      </c>
      <c r="P292">
        <v>7.6313220000000001E-2</v>
      </c>
      <c r="Q292">
        <v>0.99294364300000004</v>
      </c>
      <c r="R292">
        <v>6.1102882940000001</v>
      </c>
      <c r="S292">
        <v>1.3466544E-2</v>
      </c>
      <c r="T292">
        <v>1.2004124E-2</v>
      </c>
      <c r="U292">
        <v>0.102996509</v>
      </c>
      <c r="V292">
        <v>9.9613477000000006E-2</v>
      </c>
      <c r="W292">
        <v>0.967153916</v>
      </c>
      <c r="X292">
        <v>2.5958653580000002</v>
      </c>
      <c r="Y292">
        <v>34.808911420000001</v>
      </c>
      <c r="Z292">
        <v>1.135981788</v>
      </c>
      <c r="AA292">
        <v>6.7007248000000005E-2</v>
      </c>
      <c r="AB292">
        <v>0.94891266699999999</v>
      </c>
      <c r="AC292">
        <v>2.712970882</v>
      </c>
      <c r="AD292">
        <v>1.062410649</v>
      </c>
      <c r="AE292">
        <v>4.3045461869999997</v>
      </c>
      <c r="AF292">
        <v>3.6813676590000002</v>
      </c>
      <c r="AG292">
        <v>20.576063829999999</v>
      </c>
      <c r="AH292">
        <v>2.0134934E-2</v>
      </c>
      <c r="AI292">
        <v>2.5503118969999998</v>
      </c>
    </row>
    <row r="293" spans="1:35" x14ac:dyDescent="0.2">
      <c r="A293">
        <v>333</v>
      </c>
      <c r="B293" t="s">
        <v>457</v>
      </c>
      <c r="C293" t="s">
        <v>196</v>
      </c>
      <c r="D293" t="s">
        <v>129</v>
      </c>
      <c r="E293" s="11">
        <v>9.9999999999999995E-7</v>
      </c>
      <c r="F293" s="11">
        <v>3.1600000000000002E-7</v>
      </c>
      <c r="G293">
        <v>0.31471364000000002</v>
      </c>
      <c r="H293">
        <v>-2.1569561000000001E-2</v>
      </c>
      <c r="I293" s="11">
        <v>1.3200000000000001E-6</v>
      </c>
      <c r="J293">
        <v>0.623636364</v>
      </c>
      <c r="K293">
        <v>1.2472727269999999</v>
      </c>
      <c r="L293">
        <v>6.2363636360000001</v>
      </c>
      <c r="M293">
        <v>0.39976504000000002</v>
      </c>
      <c r="N293">
        <v>5.1334780000000003E-3</v>
      </c>
      <c r="O293">
        <v>1.6507690000000001E-3</v>
      </c>
      <c r="P293">
        <v>0.96399670999999998</v>
      </c>
      <c r="Q293">
        <v>1.9397202609999999</v>
      </c>
      <c r="R293">
        <v>13.56631499</v>
      </c>
      <c r="S293">
        <v>4.6601500000000001E-3</v>
      </c>
      <c r="T293">
        <v>4.0317119999999998E-3</v>
      </c>
      <c r="U293">
        <v>3.5642343E-2</v>
      </c>
      <c r="V293">
        <v>3.3456242999999997E-2</v>
      </c>
      <c r="W293">
        <v>0.93866564799999996</v>
      </c>
      <c r="X293">
        <v>3.2333977840000001</v>
      </c>
      <c r="Y293">
        <v>23.97681158</v>
      </c>
      <c r="Z293">
        <v>0.30155633599999998</v>
      </c>
      <c r="AA293">
        <v>3.5690687999999998E-2</v>
      </c>
      <c r="AB293">
        <v>0.73990021100000003</v>
      </c>
      <c r="AC293">
        <v>124.7745852</v>
      </c>
      <c r="AD293">
        <v>0.87254097100000005</v>
      </c>
      <c r="AE293">
        <v>0.73992365699999996</v>
      </c>
      <c r="AF293">
        <v>2.7119638109999999</v>
      </c>
      <c r="AG293">
        <v>77.102191930000004</v>
      </c>
      <c r="AH293">
        <v>1.1049949999999999E-2</v>
      </c>
      <c r="AI293">
        <v>1.9927683469999999</v>
      </c>
    </row>
    <row r="294" spans="1:35" x14ac:dyDescent="0.2">
      <c r="A294">
        <v>334</v>
      </c>
      <c r="B294" t="s">
        <v>458</v>
      </c>
      <c r="C294" t="s">
        <v>196</v>
      </c>
      <c r="D294" t="s">
        <v>130</v>
      </c>
      <c r="E294" s="11">
        <v>7.9899999999999997E-6</v>
      </c>
      <c r="F294" s="11">
        <v>2.4700000000000001E-6</v>
      </c>
      <c r="G294">
        <v>0.30868414100000002</v>
      </c>
      <c r="H294">
        <v>0.59687287700000002</v>
      </c>
      <c r="I294" s="11">
        <v>1.0499999999999999E-5</v>
      </c>
      <c r="J294">
        <v>0.70443415300000001</v>
      </c>
      <c r="K294">
        <v>1.5220488240000001</v>
      </c>
      <c r="L294">
        <v>7.2707025630000004</v>
      </c>
      <c r="M294">
        <v>0.41869318799999999</v>
      </c>
      <c r="N294">
        <v>1.4433444E-2</v>
      </c>
      <c r="O294">
        <v>4.4622790000000004E-3</v>
      </c>
      <c r="P294">
        <v>0.28792466999999999</v>
      </c>
      <c r="Q294">
        <v>2.151922839</v>
      </c>
      <c r="R294">
        <v>13.48738638</v>
      </c>
      <c r="S294">
        <v>2.6245975000000001E-2</v>
      </c>
      <c r="T294">
        <v>2.3329622000000001E-2</v>
      </c>
      <c r="U294">
        <v>0.200737745</v>
      </c>
      <c r="V294">
        <v>0.19359552699999999</v>
      </c>
      <c r="W294">
        <v>0.96442015400000003</v>
      </c>
      <c r="X294">
        <v>3.3823966560000001</v>
      </c>
      <c r="Y294">
        <v>17.947988299999999</v>
      </c>
      <c r="Z294">
        <v>0.311506897</v>
      </c>
      <c r="AA294">
        <v>2.9545024E-2</v>
      </c>
      <c r="AB294">
        <v>0.59490153199999996</v>
      </c>
      <c r="AC294">
        <v>3.6069139830000001</v>
      </c>
      <c r="AD294">
        <v>0.87921421600000005</v>
      </c>
      <c r="AE294">
        <v>0.90886439900000004</v>
      </c>
      <c r="AF294">
        <v>2.7145288600000002</v>
      </c>
      <c r="AG294">
        <v>4.2165981639999996</v>
      </c>
      <c r="AH294">
        <v>9.1246069999999999E-3</v>
      </c>
      <c r="AI294">
        <v>1.573953172</v>
      </c>
    </row>
    <row r="295" spans="1:35" x14ac:dyDescent="0.2">
      <c r="A295">
        <v>335</v>
      </c>
      <c r="B295" t="s">
        <v>459</v>
      </c>
      <c r="C295" t="s">
        <v>196</v>
      </c>
      <c r="D295" t="s">
        <v>132</v>
      </c>
      <c r="E295" s="11">
        <v>2.08E-6</v>
      </c>
      <c r="F295" s="11">
        <v>6.4600000000000004E-7</v>
      </c>
      <c r="G295">
        <v>0.31115021599999998</v>
      </c>
      <c r="H295">
        <v>-0.12806340099999999</v>
      </c>
      <c r="I295" s="11">
        <v>2.7199999999999998E-6</v>
      </c>
      <c r="J295">
        <v>0.623636364</v>
      </c>
      <c r="K295">
        <v>1.2472727269999999</v>
      </c>
      <c r="L295">
        <v>6.2363636360000001</v>
      </c>
      <c r="M295">
        <v>0.39976584799999998</v>
      </c>
      <c r="N295">
        <v>9.4245519999999992E-3</v>
      </c>
      <c r="O295">
        <v>2.9606300000000001E-3</v>
      </c>
      <c r="P295">
        <v>0.99171622999999998</v>
      </c>
      <c r="Q295">
        <v>1.9851502009999999</v>
      </c>
      <c r="R295">
        <v>13.89433367</v>
      </c>
      <c r="S295">
        <v>8.5491760000000003E-3</v>
      </c>
      <c r="T295">
        <v>7.5381149999999997E-3</v>
      </c>
      <c r="U295">
        <v>6.5386875999999997E-2</v>
      </c>
      <c r="V295">
        <v>6.2553323999999993E-2</v>
      </c>
      <c r="W295">
        <v>0.95666482100000005</v>
      </c>
      <c r="X295">
        <v>4.0130298179999997</v>
      </c>
      <c r="Y295">
        <v>8.8104449250000005</v>
      </c>
      <c r="Z295">
        <v>0.29656873900000003</v>
      </c>
      <c r="AA295">
        <v>1.311667E-2</v>
      </c>
      <c r="AB295">
        <v>0.29216246299999998</v>
      </c>
      <c r="AC295">
        <v>1.604066236</v>
      </c>
      <c r="AD295">
        <v>0.87618564899999996</v>
      </c>
      <c r="AE295">
        <v>0.44680859499999998</v>
      </c>
      <c r="AF295">
        <v>1.4548066770000001</v>
      </c>
      <c r="AG295">
        <v>2.0438114380000001</v>
      </c>
      <c r="AH295">
        <v>4.0578940000000003E-3</v>
      </c>
      <c r="AI295">
        <v>0.84228852899999995</v>
      </c>
    </row>
    <row r="296" spans="1:35" x14ac:dyDescent="0.2">
      <c r="A296">
        <v>336</v>
      </c>
      <c r="B296" t="s">
        <v>460</v>
      </c>
      <c r="C296" t="s">
        <v>196</v>
      </c>
      <c r="D296" t="s">
        <v>134</v>
      </c>
      <c r="E296" s="11">
        <v>1.4E-5</v>
      </c>
      <c r="F296" s="11">
        <v>4.9200000000000003E-6</v>
      </c>
      <c r="G296">
        <v>0.35247077599999999</v>
      </c>
      <c r="H296">
        <v>-9.6623239999999999E-3</v>
      </c>
      <c r="I296" s="11">
        <v>1.8899999999999999E-5</v>
      </c>
      <c r="J296">
        <v>0.85159826599999999</v>
      </c>
      <c r="K296">
        <v>6.0339471290000004</v>
      </c>
      <c r="L296">
        <v>17.177483850000002</v>
      </c>
      <c r="M296">
        <v>0.44198907700000001</v>
      </c>
      <c r="N296">
        <v>4.0841307E-2</v>
      </c>
      <c r="O296">
        <v>1.2590606000000001E-2</v>
      </c>
      <c r="P296">
        <v>0.81455001000000005</v>
      </c>
      <c r="Q296">
        <v>1.991520774</v>
      </c>
      <c r="R296">
        <v>13.578224670000001</v>
      </c>
      <c r="S296">
        <v>7.2606836999999994E-2</v>
      </c>
      <c r="T296">
        <v>6.5882947999999997E-2</v>
      </c>
      <c r="U296">
        <v>0.55532068800000001</v>
      </c>
      <c r="V296">
        <v>0.54671456900000004</v>
      </c>
      <c r="W296">
        <v>0.98450243400000004</v>
      </c>
      <c r="X296">
        <v>3.1494342670000002</v>
      </c>
      <c r="Y296">
        <v>17.235564629999999</v>
      </c>
      <c r="Z296">
        <v>0.40519135099999998</v>
      </c>
      <c r="AA296">
        <v>3.9869465999999999E-2</v>
      </c>
      <c r="AB296">
        <v>3.3698220000000002E-3</v>
      </c>
      <c r="AC296">
        <v>4.8655984559999998</v>
      </c>
      <c r="AD296">
        <v>0.90189408999999998</v>
      </c>
      <c r="AE296">
        <v>0.86724604199999999</v>
      </c>
      <c r="AF296">
        <v>1.9653348930000001</v>
      </c>
      <c r="AG296">
        <v>4.3162920360000001</v>
      </c>
      <c r="AH296">
        <v>1.230877E-2</v>
      </c>
      <c r="AI296">
        <v>1.146836795</v>
      </c>
    </row>
    <row r="297" spans="1:35" x14ac:dyDescent="0.2">
      <c r="A297">
        <v>337</v>
      </c>
      <c r="B297" t="s">
        <v>461</v>
      </c>
      <c r="C297" t="s">
        <v>196</v>
      </c>
      <c r="D297" t="s">
        <v>136</v>
      </c>
      <c r="E297" s="11">
        <v>1.7400000000000001E-6</v>
      </c>
      <c r="F297" s="11">
        <v>5.6000000000000004E-7</v>
      </c>
      <c r="G297">
        <v>0.32192670899999998</v>
      </c>
      <c r="H297">
        <v>-0.15306926200000001</v>
      </c>
      <c r="I297" s="11">
        <v>2.3E-6</v>
      </c>
      <c r="J297">
        <v>0.623636364</v>
      </c>
      <c r="K297">
        <v>4.2348426940000001</v>
      </c>
      <c r="L297">
        <v>12.21150357</v>
      </c>
      <c r="M297">
        <v>0.69366792700000002</v>
      </c>
      <c r="N297">
        <v>4.0423154000000003E-2</v>
      </c>
      <c r="O297">
        <v>3.6089469999999999E-3</v>
      </c>
      <c r="P297">
        <v>0.80621023999999997</v>
      </c>
      <c r="Q297">
        <v>1.975479998</v>
      </c>
      <c r="R297">
        <v>13.465300470000001</v>
      </c>
      <c r="S297">
        <v>1.6281090000000002E-2</v>
      </c>
      <c r="T297">
        <v>1.3390908E-2</v>
      </c>
      <c r="U297">
        <v>0.124523067</v>
      </c>
      <c r="V297">
        <v>0.111121384</v>
      </c>
      <c r="W297">
        <v>0.8923759</v>
      </c>
      <c r="X297">
        <v>3.2710289590000001</v>
      </c>
      <c r="Y297">
        <v>11.907057930000001</v>
      </c>
      <c r="Z297">
        <v>0.32107644499999999</v>
      </c>
      <c r="AA297">
        <v>3.4085109000000002E-2</v>
      </c>
      <c r="AB297">
        <v>-2.5568502999999999E-2</v>
      </c>
      <c r="AC297">
        <v>4.1618126919999998</v>
      </c>
      <c r="AD297">
        <v>0.87921503899999998</v>
      </c>
      <c r="AE297">
        <v>0.59596579699999996</v>
      </c>
      <c r="AF297">
        <v>1.7379047969999999</v>
      </c>
      <c r="AG297">
        <v>4.7498163089999998</v>
      </c>
      <c r="AH297">
        <v>1.0528365E-2</v>
      </c>
      <c r="AI297">
        <v>1.0195039400000001</v>
      </c>
    </row>
    <row r="298" spans="1:35" x14ac:dyDescent="0.2">
      <c r="A298">
        <v>338</v>
      </c>
      <c r="B298" t="s">
        <v>462</v>
      </c>
      <c r="C298" t="s">
        <v>196</v>
      </c>
      <c r="D298" t="s">
        <v>138</v>
      </c>
      <c r="E298" s="11">
        <v>1.2300000000000001E-5</v>
      </c>
      <c r="F298" s="11">
        <v>4.2699999999999998E-6</v>
      </c>
      <c r="G298">
        <v>0.34585868199999997</v>
      </c>
      <c r="H298">
        <v>0.28820851400000003</v>
      </c>
      <c r="I298" s="11">
        <v>1.66E-5</v>
      </c>
      <c r="J298">
        <v>2.8526196920000002</v>
      </c>
      <c r="K298">
        <v>2.3919841150000001</v>
      </c>
      <c r="L298">
        <v>21.899686379999999</v>
      </c>
      <c r="M298">
        <v>0.165348104</v>
      </c>
      <c r="N298">
        <v>0.100409125</v>
      </c>
      <c r="O298">
        <v>3.1055348999999999E-2</v>
      </c>
      <c r="P298">
        <v>2.93285478</v>
      </c>
      <c r="Q298">
        <v>6.3965290640000001</v>
      </c>
      <c r="R298">
        <v>44.244883940000001</v>
      </c>
      <c r="S298">
        <v>0.170108711</v>
      </c>
      <c r="T298">
        <v>0.15575751199999999</v>
      </c>
      <c r="U298">
        <v>1.3010467080000001</v>
      </c>
      <c r="V298">
        <v>1.292518072</v>
      </c>
      <c r="W298">
        <v>0.99344478899999999</v>
      </c>
      <c r="X298">
        <v>2.35993787</v>
      </c>
      <c r="Y298">
        <v>110.3096518</v>
      </c>
      <c r="Z298">
        <v>0.37500826300000001</v>
      </c>
      <c r="AA298">
        <v>0.105075478</v>
      </c>
      <c r="AB298">
        <v>0.80147080500000001</v>
      </c>
      <c r="AC298">
        <v>13.41839324</v>
      </c>
      <c r="AD298">
        <v>0.90668061499999997</v>
      </c>
      <c r="AE298">
        <v>5.6205392270000001</v>
      </c>
      <c r="AF298">
        <v>8.6894825190000002</v>
      </c>
      <c r="AG298">
        <v>10.093595369999999</v>
      </c>
      <c r="AH298">
        <v>3.3945242E-2</v>
      </c>
      <c r="AI298">
        <v>5.0187545340000002</v>
      </c>
    </row>
    <row r="299" spans="1:35" x14ac:dyDescent="0.2">
      <c r="A299">
        <v>339</v>
      </c>
      <c r="B299" t="s">
        <v>463</v>
      </c>
      <c r="C299" t="s">
        <v>196</v>
      </c>
      <c r="D299" t="s">
        <v>182</v>
      </c>
      <c r="E299" s="11">
        <v>9.73E-6</v>
      </c>
      <c r="F299" s="11">
        <v>3.36E-6</v>
      </c>
      <c r="G299">
        <v>0.34493860500000001</v>
      </c>
      <c r="H299">
        <v>0.73271301499999997</v>
      </c>
      <c r="I299" s="11">
        <v>1.31E-5</v>
      </c>
      <c r="J299">
        <v>1.305985972</v>
      </c>
      <c r="K299">
        <v>5.5233973880000002</v>
      </c>
      <c r="L299">
        <v>18.88271061</v>
      </c>
      <c r="M299">
        <v>0.25731524</v>
      </c>
      <c r="N299">
        <v>5.2223795000000003E-2</v>
      </c>
      <c r="O299">
        <v>1.6112772000000001E-2</v>
      </c>
      <c r="P299">
        <v>2.09745216</v>
      </c>
      <c r="Q299">
        <v>3.4682889339999998</v>
      </c>
      <c r="R299">
        <v>25.00463792</v>
      </c>
      <c r="S299">
        <v>9.1703780999999998E-2</v>
      </c>
      <c r="T299">
        <v>8.2615234999999995E-2</v>
      </c>
      <c r="U299">
        <v>0.70138031599999995</v>
      </c>
      <c r="V299">
        <v>0.68556362299999996</v>
      </c>
      <c r="W299">
        <v>0.97744919200000002</v>
      </c>
      <c r="X299">
        <v>2.2158643429999998</v>
      </c>
      <c r="Y299">
        <v>241.22056430000001</v>
      </c>
      <c r="Z299">
        <v>0.54361122699999997</v>
      </c>
      <c r="AA299">
        <v>0.131410306</v>
      </c>
      <c r="AB299">
        <v>0.92172014599999996</v>
      </c>
      <c r="AC299">
        <v>1000.379016</v>
      </c>
      <c r="AD299">
        <v>0.96189767199999998</v>
      </c>
      <c r="AE299">
        <v>8.4518780220000007</v>
      </c>
      <c r="AF299">
        <v>12.154068799999999</v>
      </c>
      <c r="AG299">
        <v>410.8731052</v>
      </c>
      <c r="AH299">
        <v>4.0848541000000002E-2</v>
      </c>
      <c r="AI299">
        <v>9.3075886699999995</v>
      </c>
    </row>
    <row r="300" spans="1:35" x14ac:dyDescent="0.2">
      <c r="A300">
        <v>340</v>
      </c>
      <c r="B300" t="s">
        <v>464</v>
      </c>
      <c r="C300" t="s">
        <v>196</v>
      </c>
      <c r="D300" t="s">
        <v>184</v>
      </c>
      <c r="E300" s="11">
        <v>9.0000000000000002E-6</v>
      </c>
      <c r="F300" s="11">
        <v>2.7800000000000001E-6</v>
      </c>
      <c r="G300">
        <v>0.308586684</v>
      </c>
      <c r="H300">
        <v>1.5170085999999999E-2</v>
      </c>
      <c r="I300" s="11">
        <v>1.1800000000000001E-5</v>
      </c>
      <c r="J300">
        <v>0.597874715</v>
      </c>
      <c r="K300">
        <v>1.803773394</v>
      </c>
      <c r="L300">
        <v>7.1947950760000001</v>
      </c>
      <c r="M300">
        <v>0.50166839799999996</v>
      </c>
      <c r="N300">
        <v>2.2745992E-2</v>
      </c>
      <c r="O300">
        <v>7.0248369999999999E-3</v>
      </c>
      <c r="P300">
        <v>0.54662776000000002</v>
      </c>
      <c r="Q300">
        <v>1.77048388</v>
      </c>
      <c r="R300">
        <v>11.71615881</v>
      </c>
      <c r="S300">
        <v>4.1080651000000003E-2</v>
      </c>
      <c r="T300">
        <v>3.6562074999999999E-2</v>
      </c>
      <c r="U300">
        <v>0.31419817100000003</v>
      </c>
      <c r="V300">
        <v>0.30340201700000002</v>
      </c>
      <c r="W300">
        <v>0.96563902999999995</v>
      </c>
      <c r="X300">
        <v>3.691023451</v>
      </c>
      <c r="Y300">
        <v>12.28836986</v>
      </c>
      <c r="Z300">
        <v>0.30514950899999999</v>
      </c>
      <c r="AA300">
        <v>1.9914093000000001E-2</v>
      </c>
      <c r="AB300">
        <v>0.414503701</v>
      </c>
      <c r="AC300">
        <v>2.426119345</v>
      </c>
      <c r="AD300">
        <v>0.86465059499999997</v>
      </c>
      <c r="AE300">
        <v>0.62243979199999999</v>
      </c>
      <c r="AF300">
        <v>1.977936591</v>
      </c>
      <c r="AG300">
        <v>2.9931356259999999</v>
      </c>
      <c r="AH300">
        <v>6.1374869999999996E-3</v>
      </c>
      <c r="AI300">
        <v>1.146401003</v>
      </c>
    </row>
    <row r="301" spans="1:35" x14ac:dyDescent="0.2">
      <c r="A301">
        <v>341</v>
      </c>
      <c r="B301" t="s">
        <v>465</v>
      </c>
      <c r="C301" t="s">
        <v>196</v>
      </c>
      <c r="D301" t="s">
        <v>186</v>
      </c>
      <c r="E301" s="11">
        <v>8.8699999999999998E-6</v>
      </c>
      <c r="F301" s="11">
        <v>2.74E-6</v>
      </c>
      <c r="G301">
        <v>0.30859852500000001</v>
      </c>
      <c r="H301">
        <v>-0.69550067100000001</v>
      </c>
      <c r="I301" s="11">
        <v>1.1600000000000001E-5</v>
      </c>
      <c r="J301">
        <v>0.61915501100000003</v>
      </c>
      <c r="K301">
        <v>1.757038586</v>
      </c>
      <c r="L301">
        <v>7.2290072390000004</v>
      </c>
      <c r="M301">
        <v>0.485968495</v>
      </c>
      <c r="N301">
        <v>2.3835802999999999E-2</v>
      </c>
      <c r="O301">
        <v>7.3624299999999997E-3</v>
      </c>
      <c r="P301">
        <v>0.7064821</v>
      </c>
      <c r="Q301">
        <v>1.8257417279999999</v>
      </c>
      <c r="R301">
        <v>12.36741458</v>
      </c>
      <c r="S301">
        <v>4.2990051000000001E-2</v>
      </c>
      <c r="T301">
        <v>3.8329772999999998E-2</v>
      </c>
      <c r="U301">
        <v>0.32880188500000002</v>
      </c>
      <c r="V301">
        <v>0.31807085400000001</v>
      </c>
      <c r="W301">
        <v>0.96736323199999996</v>
      </c>
      <c r="X301">
        <v>3.9178094919999999</v>
      </c>
      <c r="Y301">
        <v>9.7385326400000007</v>
      </c>
      <c r="Z301">
        <v>0.29499748999999997</v>
      </c>
      <c r="AA301">
        <v>1.4819821E-2</v>
      </c>
      <c r="AB301">
        <v>0.25769029999999998</v>
      </c>
      <c r="AC301">
        <v>10.20650464</v>
      </c>
      <c r="AD301">
        <v>0.86072188500000002</v>
      </c>
      <c r="AE301">
        <v>0.46053440800000001</v>
      </c>
      <c r="AF301">
        <v>1.556262509</v>
      </c>
      <c r="AG301">
        <v>12.90757352</v>
      </c>
      <c r="AH301">
        <v>4.5860279999999998E-3</v>
      </c>
      <c r="AI301">
        <v>0.96285007199999995</v>
      </c>
    </row>
    <row r="302" spans="1:35" x14ac:dyDescent="0.2">
      <c r="A302">
        <v>342</v>
      </c>
      <c r="B302" t="s">
        <v>466</v>
      </c>
      <c r="C302" t="s">
        <v>196</v>
      </c>
      <c r="D302" t="s">
        <v>188</v>
      </c>
      <c r="E302" s="11">
        <v>1.1399999999999999E-5</v>
      </c>
      <c r="F302" s="11">
        <v>3.7400000000000002E-6</v>
      </c>
      <c r="G302">
        <v>0.32759287799999998</v>
      </c>
      <c r="H302">
        <v>0.51983048399999998</v>
      </c>
      <c r="I302" s="11">
        <v>1.52E-5</v>
      </c>
      <c r="J302">
        <v>2.0630522650000001</v>
      </c>
      <c r="K302">
        <v>6.622659144</v>
      </c>
      <c r="L302">
        <v>25.623631880000001</v>
      </c>
      <c r="M302">
        <v>0.26869447099999999</v>
      </c>
      <c r="N302">
        <v>7.7039209999999997E-2</v>
      </c>
      <c r="O302">
        <v>2.3769267E-2</v>
      </c>
      <c r="P302">
        <v>1.62558859</v>
      </c>
      <c r="Q302">
        <v>5.0173200009999999</v>
      </c>
      <c r="R302">
        <v>33.355097180000001</v>
      </c>
      <c r="S302">
        <v>0.13328099900000001</v>
      </c>
      <c r="T302">
        <v>0.121710691</v>
      </c>
      <c r="U302">
        <v>1.0193763929999999</v>
      </c>
      <c r="V302">
        <v>1.0099883169999999</v>
      </c>
      <c r="W302">
        <v>0.99079037299999995</v>
      </c>
      <c r="X302">
        <v>2.2162186589999999</v>
      </c>
      <c r="Y302">
        <v>299.22436720000002</v>
      </c>
      <c r="Z302">
        <v>0.44766085100000003</v>
      </c>
      <c r="AA302">
        <v>0.12403463100000001</v>
      </c>
      <c r="AB302">
        <v>0.91436649299999995</v>
      </c>
      <c r="AC302">
        <v>1000.379059</v>
      </c>
      <c r="AD302">
        <v>0.94220013000000002</v>
      </c>
      <c r="AE302">
        <v>11.435203769999999</v>
      </c>
      <c r="AF302">
        <v>11.50937783</v>
      </c>
      <c r="AG302">
        <v>423.56404689999999</v>
      </c>
      <c r="AH302">
        <v>4.0829948999999997E-2</v>
      </c>
      <c r="AI302">
        <v>9.0127345529999996</v>
      </c>
    </row>
    <row r="303" spans="1:35" x14ac:dyDescent="0.2">
      <c r="A303">
        <v>343</v>
      </c>
      <c r="B303" t="s">
        <v>467</v>
      </c>
      <c r="C303" t="s">
        <v>196</v>
      </c>
      <c r="D303" t="s">
        <v>140</v>
      </c>
      <c r="E303" s="11">
        <v>6.0000000000000002E-6</v>
      </c>
      <c r="F303" s="11">
        <v>1.8500000000000001E-6</v>
      </c>
      <c r="G303">
        <v>0.30897155300000001</v>
      </c>
      <c r="H303">
        <v>-0.29488185300000003</v>
      </c>
      <c r="I303" s="11">
        <v>7.8499999999999994E-6</v>
      </c>
      <c r="J303">
        <v>0.44818489900000003</v>
      </c>
      <c r="K303">
        <v>1.4860210570000001</v>
      </c>
      <c r="L303">
        <v>5.6611515089999997</v>
      </c>
      <c r="M303">
        <v>0.52506033799999996</v>
      </c>
      <c r="N303">
        <v>1.1562503999999999E-2</v>
      </c>
      <c r="O303">
        <v>3.5809100000000001E-3</v>
      </c>
      <c r="P303">
        <v>0.42609619999999998</v>
      </c>
      <c r="Q303">
        <v>1.3816269889999999</v>
      </c>
      <c r="R303">
        <v>9.1419543280000006</v>
      </c>
      <c r="S303">
        <v>2.1029472E-2</v>
      </c>
      <c r="T303">
        <v>1.8513946E-2</v>
      </c>
      <c r="U303">
        <v>0.160840238</v>
      </c>
      <c r="V303">
        <v>0.15363374199999999</v>
      </c>
      <c r="W303">
        <v>0.95519469499999998</v>
      </c>
      <c r="X303">
        <v>4.1600269949999999</v>
      </c>
      <c r="Y303">
        <v>7.6876393780000001</v>
      </c>
      <c r="Z303">
        <v>0.297734318</v>
      </c>
      <c r="AA303">
        <v>1.0862716999999999E-2</v>
      </c>
      <c r="AB303">
        <v>0.26360339900000002</v>
      </c>
      <c r="AC303">
        <v>1.3279850499999999</v>
      </c>
      <c r="AD303">
        <v>0.85834338499999996</v>
      </c>
      <c r="AE303">
        <v>0.39015047800000002</v>
      </c>
      <c r="AF303">
        <v>1.2868568359999999</v>
      </c>
      <c r="AG303">
        <v>1.71428191</v>
      </c>
      <c r="AH303">
        <v>3.3594760000000001E-3</v>
      </c>
      <c r="AI303">
        <v>0.74451109100000001</v>
      </c>
    </row>
    <row r="304" spans="1:35" x14ac:dyDescent="0.2">
      <c r="A304">
        <v>344</v>
      </c>
      <c r="B304" t="s">
        <v>468</v>
      </c>
      <c r="C304" t="s">
        <v>196</v>
      </c>
      <c r="D304" t="s">
        <v>191</v>
      </c>
      <c r="E304" s="11">
        <v>5.6999999999999996E-6</v>
      </c>
      <c r="F304" s="11">
        <v>1.75E-6</v>
      </c>
      <c r="G304">
        <v>0.306317371</v>
      </c>
      <c r="H304">
        <v>-0.44294143899999999</v>
      </c>
      <c r="I304" s="11">
        <v>7.4499999999999998E-6</v>
      </c>
      <c r="J304">
        <v>0.44382436400000003</v>
      </c>
      <c r="K304">
        <v>1.4337565050000001</v>
      </c>
      <c r="L304">
        <v>5.5304591959999998</v>
      </c>
      <c r="M304">
        <v>0.51851095400000002</v>
      </c>
      <c r="N304">
        <v>1.0315576E-2</v>
      </c>
      <c r="O304">
        <v>3.1965650000000002E-3</v>
      </c>
      <c r="P304">
        <v>0.44959176000000001</v>
      </c>
      <c r="Q304">
        <v>1.3741922280000001</v>
      </c>
      <c r="R304">
        <v>9.1443368839999994</v>
      </c>
      <c r="S304">
        <v>1.8774402999999999E-2</v>
      </c>
      <c r="T304">
        <v>1.6467956999999998E-2</v>
      </c>
      <c r="U304">
        <v>0.143592735</v>
      </c>
      <c r="V304">
        <v>0.136655572</v>
      </c>
      <c r="W304">
        <v>0.95168862099999996</v>
      </c>
      <c r="X304">
        <v>4.2890064419999998</v>
      </c>
      <c r="Y304">
        <v>6.8749753360000003</v>
      </c>
      <c r="Z304">
        <v>0.29637947799999997</v>
      </c>
      <c r="AA304">
        <v>9.2021970000000005E-3</v>
      </c>
      <c r="AB304">
        <v>0.19556668599999999</v>
      </c>
      <c r="AC304">
        <v>1.1251709459999999</v>
      </c>
      <c r="AD304">
        <v>0.85349319899999998</v>
      </c>
      <c r="AE304">
        <v>0.349154303</v>
      </c>
      <c r="AF304">
        <v>1.1621025060000001</v>
      </c>
      <c r="AG304">
        <v>1.465670925</v>
      </c>
      <c r="AH304">
        <v>2.8464060000000001E-3</v>
      </c>
      <c r="AI304">
        <v>0.67185920899999996</v>
      </c>
    </row>
    <row r="305" spans="1:35" x14ac:dyDescent="0.2">
      <c r="A305">
        <v>345</v>
      </c>
      <c r="B305" t="s">
        <v>469</v>
      </c>
      <c r="C305" t="s">
        <v>196</v>
      </c>
      <c r="D305" t="s">
        <v>193</v>
      </c>
      <c r="E305" s="11">
        <v>9.0699999999999996E-6</v>
      </c>
      <c r="F305" s="11">
        <v>2.7999999999999999E-6</v>
      </c>
      <c r="G305">
        <v>0.308581033</v>
      </c>
      <c r="H305">
        <v>-0.67590832000000001</v>
      </c>
      <c r="I305" s="11">
        <v>1.19E-5</v>
      </c>
      <c r="J305">
        <v>0.51451323900000001</v>
      </c>
      <c r="K305">
        <v>1.6642131849999999</v>
      </c>
      <c r="L305">
        <v>6.4155058040000004</v>
      </c>
      <c r="M305">
        <v>0.519199305</v>
      </c>
      <c r="N305">
        <v>1.9205549999999998E-2</v>
      </c>
      <c r="O305">
        <v>5.9326589999999998E-3</v>
      </c>
      <c r="P305">
        <v>0.38304065999999998</v>
      </c>
      <c r="Q305">
        <v>1.5439485260000001</v>
      </c>
      <c r="R305">
        <v>10.029772469999999</v>
      </c>
      <c r="S305">
        <v>3.4837140000000003E-2</v>
      </c>
      <c r="T305">
        <v>3.1000541999999999E-2</v>
      </c>
      <c r="U305">
        <v>0.26644577000000003</v>
      </c>
      <c r="V305">
        <v>0.257250908</v>
      </c>
      <c r="W305">
        <v>0.96549068100000002</v>
      </c>
      <c r="X305">
        <v>4.6063016640000001</v>
      </c>
      <c r="Y305">
        <v>5.3891843660000003</v>
      </c>
      <c r="Z305">
        <v>0.29196988200000001</v>
      </c>
      <c r="AA305">
        <v>6.1159029999999998E-3</v>
      </c>
      <c r="AB305">
        <v>-0.19044095899999999</v>
      </c>
      <c r="AC305">
        <v>0.74844109700000006</v>
      </c>
      <c r="AD305">
        <v>0.87222785899999999</v>
      </c>
      <c r="AE305">
        <v>0.27422455699999998</v>
      </c>
      <c r="AF305">
        <v>0.92761193399999997</v>
      </c>
      <c r="AG305">
        <v>0.99102535000000003</v>
      </c>
      <c r="AH305">
        <v>1.8933719999999999E-3</v>
      </c>
      <c r="AI305">
        <v>0.53525898100000002</v>
      </c>
    </row>
    <row r="306" spans="1:35" x14ac:dyDescent="0.2">
      <c r="A306">
        <v>346</v>
      </c>
      <c r="B306" t="s">
        <v>470</v>
      </c>
      <c r="C306" t="s">
        <v>196</v>
      </c>
      <c r="D306" t="s">
        <v>142</v>
      </c>
      <c r="E306" s="11">
        <v>6.6499999999999999E-6</v>
      </c>
      <c r="F306" s="11">
        <v>2.0499999999999999E-6</v>
      </c>
      <c r="G306">
        <v>0.30885933500000001</v>
      </c>
      <c r="H306">
        <v>0.59548073899999998</v>
      </c>
      <c r="I306" s="11">
        <v>8.6999999999999997E-6</v>
      </c>
      <c r="J306">
        <v>0.42222268499999999</v>
      </c>
      <c r="K306">
        <v>1.3945212069999999</v>
      </c>
      <c r="L306">
        <v>5.3223785240000003</v>
      </c>
      <c r="M306">
        <v>0.52422028799999998</v>
      </c>
      <c r="N306">
        <v>2.1596418999999999E-2</v>
      </c>
      <c r="O306">
        <v>6.6783650000000003E-3</v>
      </c>
      <c r="P306">
        <v>0.43072326999999999</v>
      </c>
      <c r="Q306">
        <v>1.2532689400000001</v>
      </c>
      <c r="R306">
        <v>8.3810601879999993</v>
      </c>
      <c r="S306">
        <v>3.8944197999999999E-2</v>
      </c>
      <c r="T306">
        <v>3.4452350999999999E-2</v>
      </c>
      <c r="U306">
        <v>0.29785788099999999</v>
      </c>
      <c r="V306">
        <v>0.28589494999999998</v>
      </c>
      <c r="W306">
        <v>0.959836782</v>
      </c>
      <c r="X306">
        <v>2.2160897419999999</v>
      </c>
      <c r="Y306">
        <v>226.23898800000001</v>
      </c>
      <c r="Z306">
        <v>1.191397177</v>
      </c>
      <c r="AA306">
        <v>0.13623389699999999</v>
      </c>
      <c r="AB306">
        <v>0.97647452999999995</v>
      </c>
      <c r="AC306">
        <v>784.22247270000003</v>
      </c>
      <c r="AD306">
        <v>1.0697268600000001</v>
      </c>
      <c r="AE306">
        <v>8.5358772340000009</v>
      </c>
      <c r="AF306">
        <v>6.2190888219999998</v>
      </c>
      <c r="AG306">
        <v>219.3997383</v>
      </c>
      <c r="AH306">
        <v>4.0836712999999997E-2</v>
      </c>
      <c r="AI306">
        <v>4.8154045129999998</v>
      </c>
    </row>
    <row r="307" spans="1:35" x14ac:dyDescent="0.2">
      <c r="A307">
        <v>347</v>
      </c>
      <c r="B307" t="s">
        <v>471</v>
      </c>
      <c r="C307" t="s">
        <v>196</v>
      </c>
      <c r="D307" t="s">
        <v>144</v>
      </c>
      <c r="E307" s="11">
        <v>1.34E-5</v>
      </c>
      <c r="F307" s="11">
        <v>4.1200000000000004E-6</v>
      </c>
      <c r="G307">
        <v>0.30833553000000002</v>
      </c>
      <c r="H307">
        <v>-3.8578229999999998E-3</v>
      </c>
      <c r="I307" s="11">
        <v>1.7499999999999998E-5</v>
      </c>
      <c r="J307">
        <v>1.019715951</v>
      </c>
      <c r="K307">
        <v>6.2660192099999996</v>
      </c>
      <c r="L307">
        <v>18.65033412</v>
      </c>
      <c r="M307">
        <v>0.58010543999999997</v>
      </c>
      <c r="N307">
        <v>5.4963355999999998E-2</v>
      </c>
      <c r="O307">
        <v>1.6949433999999999E-2</v>
      </c>
      <c r="P307">
        <v>1.0959582699999999</v>
      </c>
      <c r="Q307">
        <v>2.6830621880000001</v>
      </c>
      <c r="R307">
        <v>18.290289659999999</v>
      </c>
      <c r="S307">
        <v>9.6069173999999993E-2</v>
      </c>
      <c r="T307">
        <v>8.7271560999999997E-2</v>
      </c>
      <c r="U307">
        <v>0.73476826100000003</v>
      </c>
      <c r="V307">
        <v>0.72420308099999997</v>
      </c>
      <c r="W307">
        <v>0.98562107200000004</v>
      </c>
      <c r="X307">
        <v>3.007163969</v>
      </c>
      <c r="Y307">
        <v>16.625723740000002</v>
      </c>
      <c r="Z307">
        <v>0.31104030199999999</v>
      </c>
      <c r="AA307">
        <v>4.7857406999999998E-2</v>
      </c>
      <c r="AB307">
        <v>-0.121775774</v>
      </c>
      <c r="AC307">
        <v>5.8415438179999999</v>
      </c>
      <c r="AD307">
        <v>0.89516019000000002</v>
      </c>
      <c r="AE307">
        <v>0.83202163200000001</v>
      </c>
      <c r="AF307">
        <v>2.2625257900000002</v>
      </c>
      <c r="AG307">
        <v>6.2182043980000001</v>
      </c>
      <c r="AH307">
        <v>1.4777672E-2</v>
      </c>
      <c r="AI307">
        <v>1.3274606980000001</v>
      </c>
    </row>
    <row r="308" spans="1:35" x14ac:dyDescent="0.2">
      <c r="A308">
        <v>348</v>
      </c>
      <c r="B308" t="s">
        <v>472</v>
      </c>
      <c r="C308" t="s">
        <v>196</v>
      </c>
      <c r="D308" t="s">
        <v>146</v>
      </c>
      <c r="E308" s="11">
        <v>1.2300000000000001E-5</v>
      </c>
      <c r="F308" s="11">
        <v>3.8E-6</v>
      </c>
      <c r="G308">
        <v>0.30837900699999998</v>
      </c>
      <c r="H308">
        <v>-5.8292259999999999E-3</v>
      </c>
      <c r="I308" s="11">
        <v>1.6099999999999998E-5</v>
      </c>
      <c r="J308">
        <v>0.80240579400000001</v>
      </c>
      <c r="K308">
        <v>1.851323077</v>
      </c>
      <c r="L308">
        <v>8.5170809169999995</v>
      </c>
      <c r="M308">
        <v>0.43451580299999998</v>
      </c>
      <c r="N308">
        <v>3.1507405000000002E-2</v>
      </c>
      <c r="O308">
        <v>9.7190130000000003E-3</v>
      </c>
      <c r="P308">
        <v>0.62938687999999998</v>
      </c>
      <c r="Q308">
        <v>2.30140279</v>
      </c>
      <c r="R308">
        <v>15.06719051</v>
      </c>
      <c r="S308">
        <v>5.6529251000000003E-2</v>
      </c>
      <c r="T308">
        <v>5.1016519000000003E-2</v>
      </c>
      <c r="U308">
        <v>0.43235408600000003</v>
      </c>
      <c r="V308">
        <v>0.42334890800000002</v>
      </c>
      <c r="W308">
        <v>0.97917175199999995</v>
      </c>
      <c r="X308">
        <v>3.377585104</v>
      </c>
      <c r="Y308">
        <v>18.055072840000001</v>
      </c>
      <c r="Z308">
        <v>0.306357239</v>
      </c>
      <c r="AA308">
        <v>2.9727552000000001E-2</v>
      </c>
      <c r="AB308">
        <v>0.52827213799999995</v>
      </c>
      <c r="AC308">
        <v>3.6292826649999999</v>
      </c>
      <c r="AD308">
        <v>0.87858798699999996</v>
      </c>
      <c r="AE308">
        <v>0.91428367499999996</v>
      </c>
      <c r="AF308">
        <v>2.728024386</v>
      </c>
      <c r="AG308">
        <v>4.2389360900000002</v>
      </c>
      <c r="AH308">
        <v>9.1811940000000002E-3</v>
      </c>
      <c r="AI308">
        <v>1.581786151</v>
      </c>
    </row>
    <row r="309" spans="1:35" x14ac:dyDescent="0.2">
      <c r="A309">
        <v>349</v>
      </c>
      <c r="B309" t="s">
        <v>473</v>
      </c>
      <c r="C309" t="s">
        <v>196</v>
      </c>
      <c r="D309" t="s">
        <v>200</v>
      </c>
      <c r="E309" s="11">
        <v>1.9099999999999999E-6</v>
      </c>
      <c r="F309" s="11">
        <v>5.9500000000000002E-7</v>
      </c>
      <c r="G309">
        <v>0.311440249</v>
      </c>
      <c r="H309">
        <v>0.10643145800000001</v>
      </c>
      <c r="I309" s="11">
        <v>2.5100000000000001E-6</v>
      </c>
      <c r="J309">
        <v>0.623636364</v>
      </c>
      <c r="K309">
        <v>1.2472727269999999</v>
      </c>
      <c r="L309">
        <v>6.2363636360000001</v>
      </c>
      <c r="M309">
        <v>0.39976429699999999</v>
      </c>
      <c r="N309">
        <v>1.0545969000000001E-2</v>
      </c>
      <c r="O309">
        <v>3.3191560000000002E-3</v>
      </c>
      <c r="P309">
        <v>1.0612782999999999</v>
      </c>
      <c r="Q309">
        <v>1.981401741</v>
      </c>
      <c r="R309">
        <v>14.010967040000001</v>
      </c>
      <c r="S309">
        <v>9.4327209999999998E-3</v>
      </c>
      <c r="T309">
        <v>8.406317E-3</v>
      </c>
      <c r="U309">
        <v>7.2144519000000004E-2</v>
      </c>
      <c r="V309">
        <v>6.9757899999999998E-2</v>
      </c>
      <c r="W309">
        <v>0.96691891500000005</v>
      </c>
      <c r="X309">
        <v>3.1343045260000002</v>
      </c>
      <c r="Y309">
        <v>24.96673067</v>
      </c>
      <c r="Z309">
        <v>0.32019574099999998</v>
      </c>
      <c r="AA309">
        <v>4.0590148999999999E-2</v>
      </c>
      <c r="AB309">
        <v>0.75021304499999997</v>
      </c>
      <c r="AC309">
        <v>4.9611131730000002</v>
      </c>
      <c r="AD309">
        <v>0.85974435500000002</v>
      </c>
      <c r="AE309">
        <v>1.264507673</v>
      </c>
      <c r="AF309">
        <v>3.5616373719999999</v>
      </c>
      <c r="AG309">
        <v>5.4689172800000003</v>
      </c>
      <c r="AH309">
        <v>1.2550399E-2</v>
      </c>
      <c r="AI309">
        <v>2.0647619819999998</v>
      </c>
    </row>
    <row r="310" spans="1:35" x14ac:dyDescent="0.2">
      <c r="A310">
        <v>350</v>
      </c>
      <c r="B310" t="s">
        <v>474</v>
      </c>
      <c r="C310" t="s">
        <v>196</v>
      </c>
      <c r="D310" t="s">
        <v>148</v>
      </c>
      <c r="E310" s="11">
        <v>9.2099999999999999E-6</v>
      </c>
      <c r="F310" s="11">
        <v>2.8399999999999999E-6</v>
      </c>
      <c r="G310">
        <v>0.30856965800000002</v>
      </c>
      <c r="H310">
        <v>-0.42978775499999999</v>
      </c>
      <c r="I310" s="11">
        <v>1.2099999999999999E-5</v>
      </c>
      <c r="J310">
        <v>0.57659622399999999</v>
      </c>
      <c r="K310">
        <v>2.6392502580000001</v>
      </c>
      <c r="L310">
        <v>8.7380778600000006</v>
      </c>
      <c r="M310">
        <v>0.60342336600000002</v>
      </c>
      <c r="N310">
        <v>3.1930091000000001E-2</v>
      </c>
      <c r="O310">
        <v>9.856007E-3</v>
      </c>
      <c r="P310">
        <v>0.63667960000000001</v>
      </c>
      <c r="Q310">
        <v>1.6496782109999999</v>
      </c>
      <c r="R310">
        <v>11.17142846</v>
      </c>
      <c r="S310">
        <v>5.7145080000000001E-2</v>
      </c>
      <c r="T310">
        <v>5.1090768000000002E-2</v>
      </c>
      <c r="U310">
        <v>0.43706413999999999</v>
      </c>
      <c r="V310">
        <v>0.42396504499999998</v>
      </c>
      <c r="W310">
        <v>0.97002935300000004</v>
      </c>
      <c r="X310">
        <v>4.078032254</v>
      </c>
      <c r="Y310">
        <v>5.7409674800000001</v>
      </c>
      <c r="Z310">
        <v>0.29363845500000002</v>
      </c>
      <c r="AA310">
        <v>1.2066996E-2</v>
      </c>
      <c r="AB310">
        <v>-0.52205667200000005</v>
      </c>
      <c r="AC310">
        <v>11.850698789999999</v>
      </c>
      <c r="AD310">
        <v>0.86899268600000001</v>
      </c>
      <c r="AE310">
        <v>0.248426377</v>
      </c>
      <c r="AF310">
        <v>0.81336456700000004</v>
      </c>
      <c r="AG310">
        <v>15.19271784</v>
      </c>
      <c r="AH310">
        <v>3.732736E-3</v>
      </c>
      <c r="AI310">
        <v>0.55192983699999998</v>
      </c>
    </row>
    <row r="311" spans="1:35" x14ac:dyDescent="0.2">
      <c r="A311">
        <v>351</v>
      </c>
      <c r="B311" t="s">
        <v>475</v>
      </c>
      <c r="C311" t="s">
        <v>196</v>
      </c>
      <c r="D311" t="s">
        <v>150</v>
      </c>
      <c r="E311" s="11">
        <v>1.2E-5</v>
      </c>
      <c r="F311" s="11">
        <v>3.7100000000000001E-6</v>
      </c>
      <c r="G311">
        <v>0.30839292899999998</v>
      </c>
      <c r="H311">
        <v>-4.6286740000000002E-3</v>
      </c>
      <c r="I311" s="11">
        <v>1.5800000000000001E-5</v>
      </c>
      <c r="J311">
        <v>0.79766996199999995</v>
      </c>
      <c r="K311">
        <v>1.839129301</v>
      </c>
      <c r="L311">
        <v>8.4642783710000007</v>
      </c>
      <c r="M311">
        <v>0.434715566</v>
      </c>
      <c r="N311">
        <v>3.1157964E-2</v>
      </c>
      <c r="O311">
        <v>9.6116910000000003E-3</v>
      </c>
      <c r="P311">
        <v>0.62142061999999998</v>
      </c>
      <c r="Q311">
        <v>2.2907125009999998</v>
      </c>
      <c r="R311">
        <v>14.98711625</v>
      </c>
      <c r="S311">
        <v>5.5910254999999999E-2</v>
      </c>
      <c r="T311">
        <v>5.0396936000000003E-2</v>
      </c>
      <c r="U311">
        <v>0.42761979900000002</v>
      </c>
      <c r="V311">
        <v>0.41820743999999999</v>
      </c>
      <c r="W311">
        <v>0.97798895399999997</v>
      </c>
      <c r="X311">
        <v>3.3829867839999999</v>
      </c>
      <c r="Y311">
        <v>17.949279570000002</v>
      </c>
      <c r="Z311">
        <v>0.30596900300000002</v>
      </c>
      <c r="AA311">
        <v>2.9521975999999998E-2</v>
      </c>
      <c r="AB311">
        <v>0.52843353199999998</v>
      </c>
      <c r="AC311">
        <v>3.6041800460000002</v>
      </c>
      <c r="AD311">
        <v>0.87851141300000002</v>
      </c>
      <c r="AE311">
        <v>0.90894162000000001</v>
      </c>
      <c r="AF311">
        <v>2.7150096019999999</v>
      </c>
      <c r="AG311">
        <v>4.2141702939999997</v>
      </c>
      <c r="AH311">
        <v>9.1176910000000007E-3</v>
      </c>
      <c r="AI311">
        <v>1.5742136149999999</v>
      </c>
    </row>
    <row r="312" spans="1:35" x14ac:dyDescent="0.2">
      <c r="A312">
        <v>352</v>
      </c>
      <c r="B312" t="s">
        <v>476</v>
      </c>
      <c r="C312" t="s">
        <v>196</v>
      </c>
      <c r="D312" t="s">
        <v>204</v>
      </c>
      <c r="E312" s="11">
        <v>5.3499999999999996E-6</v>
      </c>
      <c r="F312" s="11">
        <v>1.6500000000000001E-6</v>
      </c>
      <c r="G312">
        <v>0.30911268600000003</v>
      </c>
      <c r="H312">
        <v>-0.98782589799999998</v>
      </c>
      <c r="I312" s="11">
        <v>6.9999999999999999E-6</v>
      </c>
      <c r="J312">
        <v>0.45356893399999998</v>
      </c>
      <c r="K312">
        <v>1.7340341239999999</v>
      </c>
      <c r="L312">
        <v>6.189481851</v>
      </c>
      <c r="M312">
        <v>0.560180609</v>
      </c>
      <c r="N312">
        <v>1.4290071E-2</v>
      </c>
      <c r="O312">
        <v>4.4272820000000003E-3</v>
      </c>
      <c r="P312">
        <v>0.61605118000000003</v>
      </c>
      <c r="Q312">
        <v>1.3826466340000001</v>
      </c>
      <c r="R312">
        <v>9.5279821560000002</v>
      </c>
      <c r="S312">
        <v>2.5876264E-2</v>
      </c>
      <c r="T312">
        <v>2.2676165000000002E-2</v>
      </c>
      <c r="U312">
        <v>0.19791007299999999</v>
      </c>
      <c r="V312">
        <v>0.18817296999999999</v>
      </c>
      <c r="W312">
        <v>0.95080036700000004</v>
      </c>
      <c r="X312">
        <v>4.3122405940000004</v>
      </c>
      <c r="Y312">
        <v>6.6446873440000003</v>
      </c>
      <c r="Z312">
        <v>0.29158384300000001</v>
      </c>
      <c r="AA312">
        <v>8.9142030000000008E-3</v>
      </c>
      <c r="AB312">
        <v>6.8506683999999998E-2</v>
      </c>
      <c r="AC312">
        <v>1.092076598</v>
      </c>
      <c r="AD312">
        <v>0.84215294900000004</v>
      </c>
      <c r="AE312">
        <v>0.33744067</v>
      </c>
      <c r="AF312">
        <v>1.14421971</v>
      </c>
      <c r="AG312">
        <v>1.4232183599999999</v>
      </c>
      <c r="AH312">
        <v>2.7626859999999999E-3</v>
      </c>
      <c r="AI312">
        <v>0.66140569000000005</v>
      </c>
    </row>
    <row r="313" spans="1:35" x14ac:dyDescent="0.2">
      <c r="A313">
        <v>353</v>
      </c>
      <c r="B313" t="s">
        <v>477</v>
      </c>
      <c r="C313" t="s">
        <v>196</v>
      </c>
      <c r="D313" t="s">
        <v>152</v>
      </c>
      <c r="E313" s="11">
        <v>6.6800000000000004E-6</v>
      </c>
      <c r="F313" s="11">
        <v>2.0600000000000002E-6</v>
      </c>
      <c r="G313">
        <v>0.30885424900000003</v>
      </c>
      <c r="H313">
        <v>0.59580765199999997</v>
      </c>
      <c r="I313" s="11">
        <v>8.7399999999999993E-6</v>
      </c>
      <c r="J313">
        <v>0.422433265</v>
      </c>
      <c r="K313">
        <v>1.394908676</v>
      </c>
      <c r="L313">
        <v>5.3244169389999998</v>
      </c>
      <c r="M313">
        <v>0.52436599699999997</v>
      </c>
      <c r="N313">
        <v>2.1611674000000001E-2</v>
      </c>
      <c r="O313">
        <v>6.6829389999999997E-3</v>
      </c>
      <c r="P313">
        <v>0.43102752</v>
      </c>
      <c r="Q313">
        <v>1.2538541350000001</v>
      </c>
      <c r="R313">
        <v>8.3851798520000003</v>
      </c>
      <c r="S313">
        <v>3.8973091000000001E-2</v>
      </c>
      <c r="T313">
        <v>3.4484797999999997E-2</v>
      </c>
      <c r="U313">
        <v>0.29807886700000003</v>
      </c>
      <c r="V313">
        <v>0.28616420300000001</v>
      </c>
      <c r="W313">
        <v>0.96002848500000004</v>
      </c>
      <c r="X313">
        <v>2.2155838929999998</v>
      </c>
      <c r="Y313">
        <v>226.19838680000001</v>
      </c>
      <c r="Z313">
        <v>1.191233765</v>
      </c>
      <c r="AA313">
        <v>0.136244427</v>
      </c>
      <c r="AB313">
        <v>0.97646129599999998</v>
      </c>
      <c r="AC313">
        <v>785.55105579999997</v>
      </c>
      <c r="AD313">
        <v>1.069434115</v>
      </c>
      <c r="AE313">
        <v>8.5285365760000005</v>
      </c>
      <c r="AF313">
        <v>6.2201323820000001</v>
      </c>
      <c r="AG313">
        <v>216.98384089999999</v>
      </c>
      <c r="AH313">
        <v>4.0863264000000003E-2</v>
      </c>
      <c r="AI313">
        <v>4.8020694830000004</v>
      </c>
    </row>
    <row r="314" spans="1:35" x14ac:dyDescent="0.2">
      <c r="A314">
        <v>354</v>
      </c>
      <c r="B314" t="s">
        <v>478</v>
      </c>
      <c r="C314" t="s">
        <v>196</v>
      </c>
      <c r="D314" t="s">
        <v>207</v>
      </c>
      <c r="E314" s="11">
        <v>7.3499999999999999E-6</v>
      </c>
      <c r="F314" s="11">
        <v>2.2699999999999999E-6</v>
      </c>
      <c r="G314">
        <v>0.30875985900000003</v>
      </c>
      <c r="H314">
        <v>0.11708590300000001</v>
      </c>
      <c r="I314" s="11">
        <v>9.6199999999999994E-6</v>
      </c>
      <c r="J314">
        <v>0.43560199599999999</v>
      </c>
      <c r="K314">
        <v>1.5697535819999999</v>
      </c>
      <c r="L314">
        <v>5.7531191399999999</v>
      </c>
      <c r="M314">
        <v>0.54595198300000003</v>
      </c>
      <c r="N314">
        <v>1.5525008E-2</v>
      </c>
      <c r="O314">
        <v>4.8008570000000004E-3</v>
      </c>
      <c r="P314">
        <v>0.40487649999999997</v>
      </c>
      <c r="Q314">
        <v>1.3241724619999999</v>
      </c>
      <c r="R314">
        <v>8.7547877780000007</v>
      </c>
      <c r="S314">
        <v>2.8196949999999998E-2</v>
      </c>
      <c r="T314">
        <v>2.4925148000000001E-2</v>
      </c>
      <c r="U314">
        <v>0.21565944000000001</v>
      </c>
      <c r="V314">
        <v>0.20683564099999999</v>
      </c>
      <c r="W314">
        <v>0.95908456900000005</v>
      </c>
      <c r="X314">
        <v>3.9148332830000001</v>
      </c>
      <c r="Y314">
        <v>9.7497174050000002</v>
      </c>
      <c r="Z314">
        <v>0.29518689100000001</v>
      </c>
      <c r="AA314">
        <v>1.4884892E-2</v>
      </c>
      <c r="AB314">
        <v>0.40991939599999999</v>
      </c>
      <c r="AC314">
        <v>1.8197809309999999</v>
      </c>
      <c r="AD314">
        <v>0.85830566399999997</v>
      </c>
      <c r="AE314">
        <v>0.494265656</v>
      </c>
      <c r="AF314">
        <v>1.5944417689999999</v>
      </c>
      <c r="AG314">
        <v>2.2975030749999998</v>
      </c>
      <c r="AH314">
        <v>4.6035989999999999E-3</v>
      </c>
      <c r="AI314">
        <v>0.92346466599999999</v>
      </c>
    </row>
    <row r="315" spans="1:35" x14ac:dyDescent="0.2">
      <c r="A315">
        <v>355</v>
      </c>
      <c r="B315" t="s">
        <v>479</v>
      </c>
      <c r="C315" t="s">
        <v>196</v>
      </c>
      <c r="D315" t="s">
        <v>209</v>
      </c>
      <c r="E315" s="11">
        <v>2.5900000000000002E-6</v>
      </c>
      <c r="F315" s="11">
        <v>8.0400000000000005E-7</v>
      </c>
      <c r="G315">
        <v>0.31049194299999999</v>
      </c>
      <c r="H315">
        <v>-9.0389863000000001E-2</v>
      </c>
      <c r="I315" s="11">
        <v>3.3900000000000002E-6</v>
      </c>
      <c r="J315">
        <v>0.623636364</v>
      </c>
      <c r="K315">
        <v>1.2472727269999999</v>
      </c>
      <c r="L315">
        <v>6.2363636370000002</v>
      </c>
      <c r="M315">
        <v>0.37767430200000002</v>
      </c>
      <c r="N315">
        <v>1.1688021999999999E-2</v>
      </c>
      <c r="O315">
        <v>3.658222E-3</v>
      </c>
      <c r="P315">
        <v>0.85447545999999996</v>
      </c>
      <c r="Q315">
        <v>1.9928263049999999</v>
      </c>
      <c r="R315">
        <v>13.665908740000001</v>
      </c>
      <c r="S315">
        <v>1.0560084000000001E-2</v>
      </c>
      <c r="T315">
        <v>9.4035779999999992E-3</v>
      </c>
      <c r="U315">
        <v>8.0766958E-2</v>
      </c>
      <c r="V315">
        <v>7.8033436999999997E-2</v>
      </c>
      <c r="W315">
        <v>0.96615545400000002</v>
      </c>
      <c r="X315">
        <v>3.7711050400000001</v>
      </c>
      <c r="Y315">
        <v>11.12247689</v>
      </c>
      <c r="Z315">
        <v>0.30413144800000003</v>
      </c>
      <c r="AA315">
        <v>1.7863279999999999E-2</v>
      </c>
      <c r="AB315">
        <v>0.43930082300000001</v>
      </c>
      <c r="AC315">
        <v>2.1888906920000002</v>
      </c>
      <c r="AD315">
        <v>0.859527551</v>
      </c>
      <c r="AE315">
        <v>0.56341194699999997</v>
      </c>
      <c r="AF315">
        <v>1.8280690150000001</v>
      </c>
      <c r="AG315">
        <v>2.7947491860000002</v>
      </c>
      <c r="AH315">
        <v>5.5373560000000002E-3</v>
      </c>
      <c r="AI315">
        <v>1.059702368</v>
      </c>
    </row>
    <row r="316" spans="1:35" x14ac:dyDescent="0.2">
      <c r="A316">
        <v>356</v>
      </c>
      <c r="B316" t="s">
        <v>480</v>
      </c>
      <c r="C316" t="s">
        <v>196</v>
      </c>
      <c r="D316" t="s">
        <v>154</v>
      </c>
      <c r="E316" s="11">
        <v>5.4500000000000003E-6</v>
      </c>
      <c r="F316" s="11">
        <v>1.68E-6</v>
      </c>
      <c r="G316">
        <v>0.30908838700000002</v>
      </c>
      <c r="H316">
        <v>-0.94303694599999999</v>
      </c>
      <c r="I316" s="11">
        <v>7.1300000000000003E-6</v>
      </c>
      <c r="J316">
        <v>0.45728865099999999</v>
      </c>
      <c r="K316">
        <v>1.766364676</v>
      </c>
      <c r="L316">
        <v>6.2764612550000001</v>
      </c>
      <c r="M316">
        <v>0.56244334500000004</v>
      </c>
      <c r="N316">
        <v>1.4448763999999999E-2</v>
      </c>
      <c r="O316">
        <v>4.4760110000000002E-3</v>
      </c>
      <c r="P316">
        <v>0.62289249999999996</v>
      </c>
      <c r="Q316">
        <v>1.393283531</v>
      </c>
      <c r="R316">
        <v>9.6054861939999991</v>
      </c>
      <c r="S316">
        <v>2.6164725999999999E-2</v>
      </c>
      <c r="T316">
        <v>2.2959246999999999E-2</v>
      </c>
      <c r="U316">
        <v>0.20011632600000001</v>
      </c>
      <c r="V316">
        <v>0.19052206099999999</v>
      </c>
      <c r="W316">
        <v>0.95205656000000005</v>
      </c>
      <c r="X316">
        <v>4.4190331770000002</v>
      </c>
      <c r="Y316">
        <v>6.1848339799999996</v>
      </c>
      <c r="Z316">
        <v>0.29301445999999998</v>
      </c>
      <c r="AA316">
        <v>7.7739819999999996E-3</v>
      </c>
      <c r="AB316">
        <v>-1.4814832E-2</v>
      </c>
      <c r="AC316">
        <v>0.95204930200000004</v>
      </c>
      <c r="AD316">
        <v>0.838428379</v>
      </c>
      <c r="AE316">
        <v>0.314342485</v>
      </c>
      <c r="AF316">
        <v>1.0527625430000001</v>
      </c>
      <c r="AG316">
        <v>1.247967418</v>
      </c>
      <c r="AH316">
        <v>2.4084509999999998E-3</v>
      </c>
      <c r="AI316">
        <v>0.60818512599999996</v>
      </c>
    </row>
    <row r="317" spans="1:35" x14ac:dyDescent="0.2">
      <c r="A317">
        <v>357</v>
      </c>
      <c r="B317" t="s">
        <v>481</v>
      </c>
      <c r="C317" t="s">
        <v>196</v>
      </c>
      <c r="D317" t="s">
        <v>156</v>
      </c>
      <c r="E317" s="11">
        <v>1.01E-5</v>
      </c>
      <c r="F317" s="11">
        <v>3.1200000000000002E-6</v>
      </c>
      <c r="G317">
        <v>0.30850150799999998</v>
      </c>
      <c r="H317">
        <v>0.50027053700000002</v>
      </c>
      <c r="I317" s="11">
        <v>1.33E-5</v>
      </c>
      <c r="J317">
        <v>0.517091301</v>
      </c>
      <c r="K317">
        <v>1.8953532449999999</v>
      </c>
      <c r="L317">
        <v>6.893254293</v>
      </c>
      <c r="M317">
        <v>0.55007825700000001</v>
      </c>
      <c r="N317">
        <v>2.8060769999999999E-2</v>
      </c>
      <c r="O317">
        <v>8.6605989999999997E-3</v>
      </c>
      <c r="P317">
        <v>0.55965155</v>
      </c>
      <c r="Q317">
        <v>1.501247454</v>
      </c>
      <c r="R317">
        <v>10.126787820000001</v>
      </c>
      <c r="S317">
        <v>5.0526648E-2</v>
      </c>
      <c r="T317">
        <v>4.5212651999999999E-2</v>
      </c>
      <c r="U317">
        <v>0.38644422099999998</v>
      </c>
      <c r="V317">
        <v>0.37518685000000002</v>
      </c>
      <c r="W317">
        <v>0.97086935100000005</v>
      </c>
      <c r="X317">
        <v>3.1447988339999999</v>
      </c>
      <c r="Y317">
        <v>13.89205963</v>
      </c>
      <c r="Z317">
        <v>0.32386322400000001</v>
      </c>
      <c r="AA317">
        <v>4.0082864000000003E-2</v>
      </c>
      <c r="AB317">
        <v>0.50379896999999996</v>
      </c>
      <c r="AC317">
        <v>4.894665077</v>
      </c>
      <c r="AD317">
        <v>0.874693253</v>
      </c>
      <c r="AE317">
        <v>0.69516369700000002</v>
      </c>
      <c r="AF317">
        <v>1.964496274</v>
      </c>
      <c r="AG317">
        <v>5.4159590529999999</v>
      </c>
      <c r="AH317">
        <v>1.2382301E-2</v>
      </c>
      <c r="AI317">
        <v>1.152699052</v>
      </c>
    </row>
    <row r="318" spans="1:35" x14ac:dyDescent="0.2">
      <c r="A318">
        <v>358</v>
      </c>
      <c r="B318" t="s">
        <v>482</v>
      </c>
      <c r="C318" t="s">
        <v>196</v>
      </c>
      <c r="D318" t="s">
        <v>158</v>
      </c>
      <c r="E318" s="11">
        <v>6.6800000000000004E-6</v>
      </c>
      <c r="F318" s="11">
        <v>2.0600000000000002E-6</v>
      </c>
      <c r="G318">
        <v>0.30885439599999998</v>
      </c>
      <c r="H318">
        <v>-0.53331066500000002</v>
      </c>
      <c r="I318" s="11">
        <v>8.7399999999999993E-6</v>
      </c>
      <c r="J318">
        <v>0.50018750400000001</v>
      </c>
      <c r="K318">
        <v>2.3127437369999999</v>
      </c>
      <c r="L318">
        <v>7.6266124949999998</v>
      </c>
      <c r="M318">
        <v>0.60685997199999997</v>
      </c>
      <c r="N318">
        <v>1.8867235999999999E-2</v>
      </c>
      <c r="O318">
        <v>5.8353229999999999E-3</v>
      </c>
      <c r="P318">
        <v>0.77068822999999997</v>
      </c>
      <c r="Q318">
        <v>1.500776702</v>
      </c>
      <c r="R318">
        <v>10.54603668</v>
      </c>
      <c r="S318">
        <v>3.4089801000000003E-2</v>
      </c>
      <c r="T318">
        <v>3.0048749E-2</v>
      </c>
      <c r="U318">
        <v>0.26072987399999997</v>
      </c>
      <c r="V318">
        <v>0.249352669</v>
      </c>
      <c r="W318">
        <v>0.95636401500000001</v>
      </c>
      <c r="X318">
        <v>3.995483208</v>
      </c>
      <c r="Y318">
        <v>6.8600200290000002</v>
      </c>
      <c r="Z318">
        <v>0.29863984900000001</v>
      </c>
      <c r="AA318">
        <v>1.3383744E-2</v>
      </c>
      <c r="AB318">
        <v>-0.111747847</v>
      </c>
      <c r="AC318">
        <v>1.640642205</v>
      </c>
      <c r="AD318">
        <v>0.85898449700000001</v>
      </c>
      <c r="AE318">
        <v>0.346347244</v>
      </c>
      <c r="AF318">
        <v>1.46653985</v>
      </c>
      <c r="AG318">
        <v>3.598365185</v>
      </c>
      <c r="AH318">
        <v>4.150422E-3</v>
      </c>
      <c r="AI318">
        <v>0.85795063599999999</v>
      </c>
    </row>
    <row r="319" spans="1:35" x14ac:dyDescent="0.2">
      <c r="A319">
        <v>359</v>
      </c>
      <c r="B319" t="s">
        <v>483</v>
      </c>
      <c r="C319" t="s">
        <v>196</v>
      </c>
      <c r="D319" t="s">
        <v>214</v>
      </c>
      <c r="E319" s="11">
        <v>6.3199999999999996E-6</v>
      </c>
      <c r="F319" s="11">
        <v>1.95E-6</v>
      </c>
      <c r="G319">
        <v>0.30891356800000003</v>
      </c>
      <c r="H319">
        <v>-0.53399740399999995</v>
      </c>
      <c r="I319" s="11">
        <v>8.2700000000000004E-6</v>
      </c>
      <c r="J319">
        <v>0.62363110499999996</v>
      </c>
      <c r="K319">
        <v>1.6457874180000001</v>
      </c>
      <c r="L319">
        <v>7.0333614659999997</v>
      </c>
      <c r="M319">
        <v>0.58889219599999998</v>
      </c>
      <c r="N319">
        <v>2.6214260999999999E-2</v>
      </c>
      <c r="O319">
        <v>8.1164930000000007E-3</v>
      </c>
      <c r="P319">
        <v>0.52282872999999996</v>
      </c>
      <c r="Q319">
        <v>1.9739735679999999</v>
      </c>
      <c r="R319">
        <v>12.88949886</v>
      </c>
      <c r="S319">
        <v>2.4344673000000001E-2</v>
      </c>
      <c r="T319">
        <v>2.2251090000000001E-2</v>
      </c>
      <c r="U319">
        <v>0.18619597299999999</v>
      </c>
      <c r="V319">
        <v>0.18464557600000001</v>
      </c>
      <c r="W319">
        <v>0.99167330499999995</v>
      </c>
      <c r="X319">
        <v>3.9389421680000001</v>
      </c>
      <c r="Y319">
        <v>6.869522774</v>
      </c>
      <c r="Z319">
        <v>0.29499809100000002</v>
      </c>
      <c r="AA319">
        <v>1.4397577E-2</v>
      </c>
      <c r="AB319">
        <v>-2.3850083000000001E-2</v>
      </c>
      <c r="AC319">
        <v>1.764272083</v>
      </c>
      <c r="AD319">
        <v>0.86091342299999996</v>
      </c>
      <c r="AE319">
        <v>0.346347244</v>
      </c>
      <c r="AF319">
        <v>1.542830956</v>
      </c>
      <c r="AG319">
        <v>3.7460853040000002</v>
      </c>
      <c r="AH319">
        <v>4.4631760000000001E-3</v>
      </c>
      <c r="AI319">
        <v>0.90235462399999999</v>
      </c>
    </row>
    <row r="320" spans="1:35" x14ac:dyDescent="0.2">
      <c r="A320">
        <v>360</v>
      </c>
      <c r="B320" t="s">
        <v>484</v>
      </c>
      <c r="C320" t="s">
        <v>196</v>
      </c>
      <c r="D320" t="s">
        <v>160</v>
      </c>
      <c r="E320" s="11">
        <v>7.1099999999999997E-6</v>
      </c>
      <c r="F320" s="11">
        <v>2.2199999999999999E-6</v>
      </c>
      <c r="G320">
        <v>0.31159234499999999</v>
      </c>
      <c r="H320">
        <v>0.15463043700000001</v>
      </c>
      <c r="I320" s="11">
        <v>9.3300000000000005E-6</v>
      </c>
      <c r="J320">
        <v>0.623636364</v>
      </c>
      <c r="K320">
        <v>2.0683232070000002</v>
      </c>
      <c r="L320">
        <v>7.8784645949999996</v>
      </c>
      <c r="M320">
        <v>0.51524847200000001</v>
      </c>
      <c r="N320">
        <v>4.1421570999999997E-2</v>
      </c>
      <c r="O320">
        <v>1.2823022E-2</v>
      </c>
      <c r="P320">
        <v>0.82612293999999997</v>
      </c>
      <c r="Q320">
        <v>2.0148581079999999</v>
      </c>
      <c r="R320">
        <v>13.74139454</v>
      </c>
      <c r="S320">
        <v>3.5663141000000002E-2</v>
      </c>
      <c r="T320">
        <v>3.1574251999999997E-2</v>
      </c>
      <c r="U320">
        <v>0.27276329599999999</v>
      </c>
      <c r="V320">
        <v>0.26201170600000001</v>
      </c>
      <c r="W320">
        <v>0.96058270999999995</v>
      </c>
      <c r="X320">
        <v>3.0474128249999999</v>
      </c>
      <c r="Y320">
        <v>14.050875550000001</v>
      </c>
      <c r="Z320">
        <v>0.31603439</v>
      </c>
      <c r="AA320">
        <v>4.5377720000000003E-2</v>
      </c>
      <c r="AB320">
        <v>0.43929013099999997</v>
      </c>
      <c r="AC320">
        <v>5.5471190769999996</v>
      </c>
      <c r="AD320">
        <v>0.87931058699999998</v>
      </c>
      <c r="AE320">
        <v>0.70075271699999997</v>
      </c>
      <c r="AF320">
        <v>2.1899975010000001</v>
      </c>
      <c r="AG320">
        <v>6.0613666369999999</v>
      </c>
      <c r="AH320">
        <v>1.4032849999999999E-2</v>
      </c>
      <c r="AI320">
        <v>1.285152208</v>
      </c>
    </row>
    <row r="321" spans="1:35" x14ac:dyDescent="0.2">
      <c r="A321">
        <v>361</v>
      </c>
      <c r="B321" t="s">
        <v>485</v>
      </c>
      <c r="C321" t="s">
        <v>196</v>
      </c>
      <c r="D321" t="s">
        <v>162</v>
      </c>
      <c r="E321" s="11">
        <v>1.19E-5</v>
      </c>
      <c r="F321" s="11">
        <v>3.67E-6</v>
      </c>
      <c r="G321">
        <v>0.30840004199999999</v>
      </c>
      <c r="H321">
        <v>3.8356170000000002E-2</v>
      </c>
      <c r="I321" s="11">
        <v>1.56E-5</v>
      </c>
      <c r="J321">
        <v>0.79157732999999997</v>
      </c>
      <c r="K321">
        <v>1.818409368</v>
      </c>
      <c r="L321">
        <v>8.386282714</v>
      </c>
      <c r="M321">
        <v>0.433410988</v>
      </c>
      <c r="N321">
        <v>3.0065662999999999E-2</v>
      </c>
      <c r="O321">
        <v>9.2752010000000003E-3</v>
      </c>
      <c r="P321">
        <v>0.91382914000000004</v>
      </c>
      <c r="Q321">
        <v>2.2824879259999999</v>
      </c>
      <c r="R321">
        <v>15.522585830000001</v>
      </c>
      <c r="S321">
        <v>5.4063106999999999E-2</v>
      </c>
      <c r="T321">
        <v>4.8622387000000003E-2</v>
      </c>
      <c r="U321">
        <v>0.41349221400000002</v>
      </c>
      <c r="V321">
        <v>0.40348174999999997</v>
      </c>
      <c r="W321">
        <v>0.97579044100000001</v>
      </c>
      <c r="X321">
        <v>3.3815052919999999</v>
      </c>
      <c r="Y321">
        <v>17.945447260000002</v>
      </c>
      <c r="Z321">
        <v>0.32149958200000001</v>
      </c>
      <c r="AA321">
        <v>2.9579329000000001E-2</v>
      </c>
      <c r="AB321">
        <v>0.53267909199999997</v>
      </c>
      <c r="AC321">
        <v>3.61104745</v>
      </c>
      <c r="AD321">
        <v>0.87977331999999997</v>
      </c>
      <c r="AE321">
        <v>0.90871736199999997</v>
      </c>
      <c r="AF321">
        <v>2.7136311580000001</v>
      </c>
      <c r="AG321">
        <v>4.2207440099999998</v>
      </c>
      <c r="AH321">
        <v>9.135064E-3</v>
      </c>
      <c r="AI321">
        <v>1.57346461</v>
      </c>
    </row>
    <row r="322" spans="1:35" x14ac:dyDescent="0.2">
      <c r="A322">
        <v>362</v>
      </c>
      <c r="B322" t="s">
        <v>486</v>
      </c>
      <c r="C322" t="s">
        <v>196</v>
      </c>
      <c r="D322" t="s">
        <v>218</v>
      </c>
      <c r="E322" s="11">
        <v>8.6999999999999997E-6</v>
      </c>
      <c r="F322" s="11">
        <v>2.6800000000000002E-6</v>
      </c>
      <c r="G322">
        <v>0.30854010100000001</v>
      </c>
      <c r="H322">
        <v>0.85335524299999999</v>
      </c>
      <c r="I322" s="11">
        <v>1.1399999999999999E-5</v>
      </c>
      <c r="J322">
        <v>0.573313764</v>
      </c>
      <c r="K322">
        <v>1.829341181</v>
      </c>
      <c r="L322">
        <v>7.0985649459999998</v>
      </c>
      <c r="M322">
        <v>0.51522772299999997</v>
      </c>
      <c r="N322">
        <v>2.1522451000000001E-2</v>
      </c>
      <c r="O322">
        <v>6.6480300000000001E-3</v>
      </c>
      <c r="P322">
        <v>0.42924955999999997</v>
      </c>
      <c r="Q322">
        <v>1.7053704489999999</v>
      </c>
      <c r="R322">
        <v>11.09072181</v>
      </c>
      <c r="S322">
        <v>3.8907150000000001E-2</v>
      </c>
      <c r="T322">
        <v>3.4656780999999998E-2</v>
      </c>
      <c r="U322">
        <v>0.29757452899999998</v>
      </c>
      <c r="V322">
        <v>0.28759136600000001</v>
      </c>
      <c r="W322">
        <v>0.96645155400000005</v>
      </c>
      <c r="X322">
        <v>2.9389924500000002</v>
      </c>
      <c r="Y322">
        <v>33.012980460000001</v>
      </c>
      <c r="Z322">
        <v>0.33163232799999998</v>
      </c>
      <c r="AA322">
        <v>5.2210434999999999E-2</v>
      </c>
      <c r="AB322">
        <v>0.78497655</v>
      </c>
      <c r="AC322">
        <v>6.3763114930000002</v>
      </c>
      <c r="AD322">
        <v>0.86878749300000002</v>
      </c>
      <c r="AE322">
        <v>1.6727578729999999</v>
      </c>
      <c r="AF322">
        <v>4.4482385850000004</v>
      </c>
      <c r="AG322">
        <v>6.6361961489999999</v>
      </c>
      <c r="AH322">
        <v>1.6130504E-2</v>
      </c>
      <c r="AI322">
        <v>2.5776255629999998</v>
      </c>
    </row>
    <row r="323" spans="1:35" x14ac:dyDescent="0.2">
      <c r="A323">
        <v>363</v>
      </c>
      <c r="B323" t="s">
        <v>487</v>
      </c>
      <c r="C323" t="s">
        <v>196</v>
      </c>
      <c r="D323" t="s">
        <v>220</v>
      </c>
      <c r="E323" s="11">
        <v>1.24E-5</v>
      </c>
      <c r="F323" s="11">
        <v>3.8099999999999999E-6</v>
      </c>
      <c r="G323">
        <v>0.308378233</v>
      </c>
      <c r="H323">
        <v>-5.0974039999999998E-3</v>
      </c>
      <c r="I323" s="11">
        <v>1.6200000000000001E-5</v>
      </c>
      <c r="J323">
        <v>0.79838639899999997</v>
      </c>
      <c r="K323">
        <v>1.84455758</v>
      </c>
      <c r="L323">
        <v>8.4794335570000001</v>
      </c>
      <c r="M323">
        <v>0.43478399099999998</v>
      </c>
      <c r="N323">
        <v>3.1289404999999999E-2</v>
      </c>
      <c r="O323">
        <v>9.6515950000000007E-3</v>
      </c>
      <c r="P323">
        <v>0.62404210999999998</v>
      </c>
      <c r="Q323">
        <v>2.2918220370000002</v>
      </c>
      <c r="R323">
        <v>14.99901644</v>
      </c>
      <c r="S323">
        <v>5.6148208999999998E-2</v>
      </c>
      <c r="T323">
        <v>5.0669726999999998E-2</v>
      </c>
      <c r="U323">
        <v>0.42943975200000001</v>
      </c>
      <c r="V323">
        <v>0.420471133</v>
      </c>
      <c r="W323">
        <v>0.97911553600000001</v>
      </c>
      <c r="X323">
        <v>3.381947775</v>
      </c>
      <c r="Y323">
        <v>17.94660515</v>
      </c>
      <c r="Z323">
        <v>0.32111423500000003</v>
      </c>
      <c r="AA323">
        <v>2.9562567000000001E-2</v>
      </c>
      <c r="AB323">
        <v>0.52751879899999998</v>
      </c>
      <c r="AC323">
        <v>3.6089949720000001</v>
      </c>
      <c r="AD323">
        <v>0.88126918799999998</v>
      </c>
      <c r="AE323">
        <v>0.90878503099999997</v>
      </c>
      <c r="AF323">
        <v>2.7140784779999998</v>
      </c>
      <c r="AG323">
        <v>4.2187253030000003</v>
      </c>
      <c r="AH323">
        <v>9.1298720000000007E-3</v>
      </c>
      <c r="AI323">
        <v>1.5737083300000001</v>
      </c>
    </row>
    <row r="324" spans="1:35" x14ac:dyDescent="0.2">
      <c r="A324">
        <v>364</v>
      </c>
      <c r="B324" t="s">
        <v>488</v>
      </c>
      <c r="C324" t="s">
        <v>196</v>
      </c>
      <c r="D324" t="s">
        <v>164</v>
      </c>
      <c r="E324" s="11">
        <v>2.0200000000000001E-6</v>
      </c>
      <c r="F324" s="11">
        <v>7.0899999999999999E-6</v>
      </c>
      <c r="G324">
        <v>3.5137215080000002</v>
      </c>
      <c r="H324">
        <v>-0.28454064400000001</v>
      </c>
      <c r="I324" s="11">
        <v>9.1099999999999992E-6</v>
      </c>
      <c r="J324">
        <v>7.3930205080000002</v>
      </c>
      <c r="K324">
        <v>10.76540069</v>
      </c>
      <c r="L324">
        <v>65.888924439999997</v>
      </c>
      <c r="M324">
        <v>0.326768638</v>
      </c>
      <c r="N324">
        <v>3.1583835999999997E-2</v>
      </c>
      <c r="O324">
        <v>9.6447689999999992E-3</v>
      </c>
      <c r="P324">
        <v>0.1075603</v>
      </c>
      <c r="Q324">
        <v>1.752393501</v>
      </c>
      <c r="R324">
        <v>10.7294816</v>
      </c>
      <c r="S324">
        <v>6.0629536999999997E-2</v>
      </c>
      <c r="T324">
        <v>7.0854991000000006E-2</v>
      </c>
      <c r="U324">
        <v>0.46371440600000002</v>
      </c>
      <c r="V324">
        <v>0.58797392900000001</v>
      </c>
      <c r="W324">
        <v>1.26796563</v>
      </c>
      <c r="X324">
        <v>2.817004931</v>
      </c>
      <c r="Y324">
        <v>22.347800469999999</v>
      </c>
      <c r="Z324">
        <v>0.340554682</v>
      </c>
      <c r="AA324">
        <v>6.1055696E-2</v>
      </c>
      <c r="AB324">
        <v>-1</v>
      </c>
      <c r="AC324">
        <v>7.4583449829999999</v>
      </c>
      <c r="AD324">
        <v>0.87352244700000004</v>
      </c>
      <c r="AE324">
        <v>1.1199349709999999</v>
      </c>
      <c r="AF324">
        <v>2.8505844840000001</v>
      </c>
      <c r="AG324">
        <v>7.4297279319999996</v>
      </c>
      <c r="AH324">
        <v>1.8867782999999999E-2</v>
      </c>
      <c r="AI324">
        <v>1.670150883</v>
      </c>
    </row>
    <row r="325" spans="1:35" x14ac:dyDescent="0.2">
      <c r="A325">
        <v>365</v>
      </c>
      <c r="B325" t="s">
        <v>489</v>
      </c>
      <c r="C325" t="s">
        <v>196</v>
      </c>
      <c r="D325" t="s">
        <v>166</v>
      </c>
      <c r="E325" s="11">
        <v>1.49E-5</v>
      </c>
      <c r="F325" s="11">
        <v>4.8300000000000003E-6</v>
      </c>
      <c r="G325">
        <v>0.32498228499999998</v>
      </c>
      <c r="H325">
        <v>0.12615884099999999</v>
      </c>
      <c r="I325" s="11">
        <v>1.9700000000000001E-5</v>
      </c>
      <c r="J325">
        <v>0.91593137899999999</v>
      </c>
      <c r="K325">
        <v>6.4023346610000003</v>
      </c>
      <c r="L325">
        <v>18.300257590000001</v>
      </c>
      <c r="M325">
        <v>0.44904358700000002</v>
      </c>
      <c r="N325">
        <v>5.2359770999999999E-2</v>
      </c>
      <c r="O325">
        <v>1.6143142999999999E-2</v>
      </c>
      <c r="P325">
        <v>1.0440433</v>
      </c>
      <c r="Q325">
        <v>2.4333857050000001</v>
      </c>
      <c r="R325">
        <v>16.688400829999999</v>
      </c>
      <c r="S325">
        <v>9.2072206000000004E-2</v>
      </c>
      <c r="T325">
        <v>8.3548517000000003E-2</v>
      </c>
      <c r="U325">
        <v>0.70419815299999999</v>
      </c>
      <c r="V325">
        <v>0.69330825100000004</v>
      </c>
      <c r="W325">
        <v>0.98453574200000005</v>
      </c>
      <c r="X325">
        <v>2.935822596</v>
      </c>
      <c r="Y325">
        <v>18.30025693</v>
      </c>
      <c r="Z325">
        <v>0.32498227800000001</v>
      </c>
      <c r="AA325">
        <v>5.2448300000000003E-2</v>
      </c>
      <c r="AB325" s="11">
        <v>-3.6099999999999999E-8</v>
      </c>
      <c r="AC325">
        <v>6.4023351609999999</v>
      </c>
      <c r="AD325">
        <v>0.89539394299999997</v>
      </c>
      <c r="AE325">
        <v>0.91593134300000001</v>
      </c>
      <c r="AF325">
        <v>2.434207765</v>
      </c>
      <c r="AG325">
        <v>6.6590038079999996</v>
      </c>
      <c r="AH325">
        <v>1.6196337000000002E-2</v>
      </c>
      <c r="AI325">
        <v>1.4280103070000001</v>
      </c>
    </row>
    <row r="326" spans="1:35" x14ac:dyDescent="0.2">
      <c r="A326">
        <v>366</v>
      </c>
      <c r="B326" t="s">
        <v>490</v>
      </c>
      <c r="C326" t="s">
        <v>196</v>
      </c>
      <c r="D326" t="s">
        <v>226</v>
      </c>
      <c r="E326" s="11">
        <v>6.8600000000000004E-6</v>
      </c>
      <c r="F326" s="11">
        <v>2.12E-6</v>
      </c>
      <c r="G326">
        <v>0.30882669200000001</v>
      </c>
      <c r="H326">
        <v>-0.40881414599999999</v>
      </c>
      <c r="I326" s="11">
        <v>8.9800000000000004E-6</v>
      </c>
      <c r="J326">
        <v>0.49087016500000002</v>
      </c>
      <c r="K326">
        <v>1.786403403</v>
      </c>
      <c r="L326">
        <v>6.5180277950000001</v>
      </c>
      <c r="M326">
        <v>0.54788542600000001</v>
      </c>
      <c r="N326">
        <v>1.6797375E-2</v>
      </c>
      <c r="O326">
        <v>5.1960160000000003E-3</v>
      </c>
      <c r="P326">
        <v>0.33500750000000001</v>
      </c>
      <c r="Q326">
        <v>1.4844171859999999</v>
      </c>
      <c r="R326">
        <v>9.5765181080000001</v>
      </c>
      <c r="S326">
        <v>3.0119839999999998E-2</v>
      </c>
      <c r="T326">
        <v>2.6881947999999999E-2</v>
      </c>
      <c r="U326">
        <v>0.23036632400000001</v>
      </c>
      <c r="V326">
        <v>0.22307369799999999</v>
      </c>
      <c r="W326">
        <v>0.96834335000000005</v>
      </c>
      <c r="X326">
        <v>4.1973873250000002</v>
      </c>
      <c r="Y326">
        <v>7.4547683320000004</v>
      </c>
      <c r="Z326">
        <v>0.29932002400000002</v>
      </c>
      <c r="AA326">
        <v>1.0345455999999999E-2</v>
      </c>
      <c r="AB326">
        <v>0.125656559</v>
      </c>
      <c r="AC326">
        <v>1.265741148</v>
      </c>
      <c r="AD326">
        <v>0.84952079199999997</v>
      </c>
      <c r="AE326">
        <v>0.37841923</v>
      </c>
      <c r="AF326">
        <v>1.250692052</v>
      </c>
      <c r="AG326">
        <v>1.637216105</v>
      </c>
      <c r="AH326">
        <v>3.2020149999999999E-3</v>
      </c>
      <c r="AI326">
        <v>0.72342136999999995</v>
      </c>
    </row>
    <row r="327" spans="1:35" x14ac:dyDescent="0.2">
      <c r="A327">
        <v>368</v>
      </c>
      <c r="B327" t="s">
        <v>491</v>
      </c>
      <c r="C327" t="s">
        <v>144</v>
      </c>
      <c r="D327" t="s">
        <v>130</v>
      </c>
      <c r="E327" s="11">
        <v>2.2900000000000001E-5</v>
      </c>
      <c r="F327" s="11">
        <v>7.7200000000000006E-6</v>
      </c>
      <c r="G327">
        <v>0.33739572899999998</v>
      </c>
      <c r="H327">
        <v>7.8437847000000005E-2</v>
      </c>
      <c r="I327" s="11">
        <v>3.0599999999999998E-5</v>
      </c>
      <c r="J327">
        <v>0.63459855300000001</v>
      </c>
      <c r="K327">
        <v>2.9641956000000001E-2</v>
      </c>
      <c r="L327">
        <v>3.8668752309999999</v>
      </c>
      <c r="M327">
        <v>1.5316690000000001E-2</v>
      </c>
      <c r="N327">
        <v>3.4572712999999998E-2</v>
      </c>
      <c r="O327">
        <v>1.0652465999999999E-2</v>
      </c>
      <c r="P327">
        <v>8.4149829999999995E-2</v>
      </c>
      <c r="Q327">
        <v>1.8012984080000001</v>
      </c>
      <c r="R327">
        <v>10.9760901</v>
      </c>
      <c r="S327">
        <v>6.0220647000000002E-2</v>
      </c>
      <c r="T327">
        <v>5.9257716000000002E-2</v>
      </c>
      <c r="U327">
        <v>0.46058707599999998</v>
      </c>
      <c r="V327">
        <v>0.491736601</v>
      </c>
      <c r="W327">
        <v>1.0676300460000001</v>
      </c>
      <c r="X327">
        <v>3.1673777890000001</v>
      </c>
      <c r="Y327">
        <v>4.2411060760000003</v>
      </c>
      <c r="Z327">
        <v>0.31829561299999998</v>
      </c>
      <c r="AA327">
        <v>3.8437711999999999E-2</v>
      </c>
      <c r="AB327">
        <v>8.8238972999999998E-2</v>
      </c>
      <c r="AC327">
        <v>3.2897307000000001E-2</v>
      </c>
      <c r="AD327">
        <v>0.90480755700000004</v>
      </c>
      <c r="AE327">
        <v>0.69584945200000003</v>
      </c>
      <c r="AF327">
        <v>1.966419562</v>
      </c>
      <c r="AG327">
        <v>0.592910979</v>
      </c>
      <c r="AH327">
        <v>1.1861300999999999E-2</v>
      </c>
      <c r="AI327">
        <v>1.025210526</v>
      </c>
    </row>
    <row r="328" spans="1:35" x14ac:dyDescent="0.2">
      <c r="A328">
        <v>369</v>
      </c>
      <c r="B328" t="s">
        <v>492</v>
      </c>
      <c r="C328" t="s">
        <v>144</v>
      </c>
      <c r="D328" t="s">
        <v>132</v>
      </c>
      <c r="E328" s="11">
        <v>1.11E-5</v>
      </c>
      <c r="F328" s="11">
        <v>3.5700000000000001E-6</v>
      </c>
      <c r="G328">
        <v>0.32080402200000002</v>
      </c>
      <c r="H328">
        <v>5.1103997999999998E-2</v>
      </c>
      <c r="I328" s="11">
        <v>1.47E-5</v>
      </c>
      <c r="J328">
        <v>0.31144975699999999</v>
      </c>
      <c r="K328">
        <v>1.2300771E-2</v>
      </c>
      <c r="L328">
        <v>1.8933000849999999</v>
      </c>
      <c r="M328">
        <v>1.3007424E-2</v>
      </c>
      <c r="N328">
        <v>1.4318811000000001E-2</v>
      </c>
      <c r="O328">
        <v>4.4205440000000002E-3</v>
      </c>
      <c r="P328">
        <v>3.7645489999999997E-2</v>
      </c>
      <c r="Q328">
        <v>0.95322175099999995</v>
      </c>
      <c r="R328">
        <v>5.7946214899999999</v>
      </c>
      <c r="S328">
        <v>2.5673797000000002E-2</v>
      </c>
      <c r="T328">
        <v>2.3325034000000001E-2</v>
      </c>
      <c r="U328">
        <v>0.19636154</v>
      </c>
      <c r="V328">
        <v>0.19355745999999999</v>
      </c>
      <c r="W328">
        <v>0.98571981099999995</v>
      </c>
      <c r="X328">
        <v>3.757921617</v>
      </c>
      <c r="Y328">
        <v>2.0819063880000002</v>
      </c>
      <c r="Z328">
        <v>0.30303190600000002</v>
      </c>
      <c r="AA328">
        <v>1.7064625999999999E-2</v>
      </c>
      <c r="AB328">
        <v>9.0593075999999995E-2</v>
      </c>
      <c r="AC328">
        <v>1.4630084999999999E-2</v>
      </c>
      <c r="AD328">
        <v>0.90169083000000005</v>
      </c>
      <c r="AE328">
        <v>0.34208790300000003</v>
      </c>
      <c r="AF328">
        <v>1.053869919</v>
      </c>
      <c r="AG328">
        <v>0.28738765100000002</v>
      </c>
      <c r="AH328">
        <v>5.2749559999999999E-3</v>
      </c>
      <c r="AI328">
        <v>0.54863326400000001</v>
      </c>
    </row>
    <row r="329" spans="1:35" x14ac:dyDescent="0.2">
      <c r="A329">
        <v>370</v>
      </c>
      <c r="B329" t="s">
        <v>493</v>
      </c>
      <c r="C329" t="s">
        <v>144</v>
      </c>
      <c r="D329" t="s">
        <v>134</v>
      </c>
      <c r="E329" s="11">
        <v>2.7399999999999999E-5</v>
      </c>
      <c r="F329" s="11">
        <v>1.11E-5</v>
      </c>
      <c r="G329">
        <v>0.403801774</v>
      </c>
      <c r="H329">
        <v>1.1704773E-2</v>
      </c>
      <c r="I329" s="11">
        <v>3.8500000000000001E-5</v>
      </c>
      <c r="J329">
        <v>0.56526142000000001</v>
      </c>
      <c r="K329">
        <v>3.8506593999999998E-2</v>
      </c>
      <c r="L329">
        <v>3.4685817110000001</v>
      </c>
      <c r="M329">
        <v>2.2190168E-2</v>
      </c>
      <c r="N329">
        <v>4.4924182999999999E-2</v>
      </c>
      <c r="O329">
        <v>1.3837808E-2</v>
      </c>
      <c r="P329">
        <v>8.7555279999999999E-2</v>
      </c>
      <c r="Q329">
        <v>1.2848683750000001</v>
      </c>
      <c r="R329">
        <v>7.884320818</v>
      </c>
      <c r="S329">
        <v>8.0887029999999999E-2</v>
      </c>
      <c r="T329">
        <v>7.6842484000000003E-2</v>
      </c>
      <c r="U329">
        <v>0.61865029299999996</v>
      </c>
      <c r="V329">
        <v>0.63765976800000002</v>
      </c>
      <c r="W329">
        <v>1.0307273349999999</v>
      </c>
      <c r="X329">
        <v>2.9492248120000002</v>
      </c>
      <c r="Y329">
        <v>4.0727605020000004</v>
      </c>
      <c r="Z329">
        <v>0.414021747</v>
      </c>
      <c r="AA329">
        <v>5.1869683E-2</v>
      </c>
      <c r="AB329">
        <v>0.14834626100000001</v>
      </c>
      <c r="AC329">
        <v>4.4377294999999997E-2</v>
      </c>
      <c r="AD329">
        <v>0.92814762699999998</v>
      </c>
      <c r="AE329">
        <v>0.66398539099999998</v>
      </c>
      <c r="AF329">
        <v>1.4236993520000001</v>
      </c>
      <c r="AG329">
        <v>0.60692929200000001</v>
      </c>
      <c r="AH329">
        <v>1.6000472000000002E-2</v>
      </c>
      <c r="AI329">
        <v>0.74700389700000003</v>
      </c>
    </row>
    <row r="330" spans="1:35" x14ac:dyDescent="0.2">
      <c r="A330">
        <v>371</v>
      </c>
      <c r="B330" t="s">
        <v>494</v>
      </c>
      <c r="C330" t="s">
        <v>144</v>
      </c>
      <c r="D330" t="s">
        <v>136</v>
      </c>
      <c r="E330" s="11">
        <v>1.6799999999999998E-5</v>
      </c>
      <c r="F330" s="11">
        <v>5.3900000000000001E-6</v>
      </c>
      <c r="G330">
        <v>0.32109036400000002</v>
      </c>
      <c r="H330">
        <v>0.44620120899999999</v>
      </c>
      <c r="I330" s="11">
        <v>2.2200000000000001E-5</v>
      </c>
      <c r="J330">
        <v>0.29191620699999998</v>
      </c>
      <c r="K330">
        <v>2.9571482E-2</v>
      </c>
      <c r="L330">
        <v>1.8106402029999999</v>
      </c>
      <c r="M330">
        <v>2.7176619999999999E-2</v>
      </c>
      <c r="N330">
        <v>3.4388013000000002E-2</v>
      </c>
      <c r="O330">
        <v>1.062714E-2</v>
      </c>
      <c r="P330">
        <v>0.15119688000000001</v>
      </c>
      <c r="Q330">
        <v>1.0455380110000001</v>
      </c>
      <c r="R330">
        <v>6.575621816</v>
      </c>
      <c r="S330">
        <v>3.8465704000000003E-2</v>
      </c>
      <c r="T330">
        <v>3.5304393000000003E-2</v>
      </c>
      <c r="U330">
        <v>0.29419820400000002</v>
      </c>
      <c r="V330">
        <v>0.29296542599999997</v>
      </c>
      <c r="W330">
        <v>0.99580970199999996</v>
      </c>
      <c r="X330">
        <v>3.063089733</v>
      </c>
      <c r="Y330">
        <v>2.8136354259999998</v>
      </c>
      <c r="Z330">
        <v>0.32807371099999999</v>
      </c>
      <c r="AA330">
        <v>4.4344306E-2</v>
      </c>
      <c r="AB330">
        <v>0.35647661200000003</v>
      </c>
      <c r="AC330">
        <v>3.7958328999999999E-2</v>
      </c>
      <c r="AD330">
        <v>0.90480840299999998</v>
      </c>
      <c r="AE330">
        <v>0.456286409</v>
      </c>
      <c r="AF330">
        <v>1.258947746</v>
      </c>
      <c r="AG330">
        <v>0.66788869299999998</v>
      </c>
      <c r="AH330">
        <v>1.368608E-2</v>
      </c>
      <c r="AI330">
        <v>0.66406433799999998</v>
      </c>
    </row>
    <row r="331" spans="1:35" x14ac:dyDescent="0.2">
      <c r="A331">
        <v>372</v>
      </c>
      <c r="B331" t="s">
        <v>495</v>
      </c>
      <c r="C331" t="s">
        <v>144</v>
      </c>
      <c r="D331" t="s">
        <v>140</v>
      </c>
      <c r="E331" s="11">
        <v>1.38E-5</v>
      </c>
      <c r="F331" s="11">
        <v>4.4100000000000001E-6</v>
      </c>
      <c r="G331">
        <v>0.31886627899999997</v>
      </c>
      <c r="H331">
        <v>-0.195248965</v>
      </c>
      <c r="I331" s="11">
        <v>1.8199999999999999E-5</v>
      </c>
      <c r="J331">
        <v>0.326977146</v>
      </c>
      <c r="K331">
        <v>1.3167623999999999E-2</v>
      </c>
      <c r="L331">
        <v>1.9881981259999999</v>
      </c>
      <c r="M331">
        <v>1.322662E-2</v>
      </c>
      <c r="N331">
        <v>1.5336555E-2</v>
      </c>
      <c r="O331">
        <v>4.7320649999999997E-3</v>
      </c>
      <c r="P331">
        <v>4.0164409999999998E-2</v>
      </c>
      <c r="Q331">
        <v>0.997400646</v>
      </c>
      <c r="R331">
        <v>6.0647326980000003</v>
      </c>
      <c r="S331">
        <v>2.5995674999999999E-2</v>
      </c>
      <c r="T331">
        <v>2.5069030999999999E-2</v>
      </c>
      <c r="U331">
        <v>0.198823368</v>
      </c>
      <c r="V331">
        <v>0.208029613</v>
      </c>
      <c r="W331">
        <v>1.0463036370000001</v>
      </c>
      <c r="X331">
        <v>3.8955741869999998</v>
      </c>
      <c r="Y331">
        <v>1.8165876599999999</v>
      </c>
      <c r="Z331">
        <v>0.30422288600000003</v>
      </c>
      <c r="AA331">
        <v>1.4132261E-2</v>
      </c>
      <c r="AB331">
        <v>-9.4468584999999994E-2</v>
      </c>
      <c r="AC331">
        <v>1.2112052E-2</v>
      </c>
      <c r="AD331">
        <v>0.88332918999999999</v>
      </c>
      <c r="AE331">
        <v>0.29870902300000002</v>
      </c>
      <c r="AF331">
        <v>0.93220613399999996</v>
      </c>
      <c r="AG331">
        <v>0.24105132300000001</v>
      </c>
      <c r="AH331">
        <v>4.3670660000000002E-3</v>
      </c>
      <c r="AI331">
        <v>0.484944928</v>
      </c>
    </row>
    <row r="332" spans="1:35" x14ac:dyDescent="0.2">
      <c r="A332">
        <v>373</v>
      </c>
      <c r="B332" t="s">
        <v>496</v>
      </c>
      <c r="C332" t="s">
        <v>144</v>
      </c>
      <c r="D332" t="s">
        <v>142</v>
      </c>
      <c r="E332" s="11">
        <v>1.36E-5</v>
      </c>
      <c r="F332" s="11">
        <v>1.56E-5</v>
      </c>
      <c r="G332">
        <v>1.143888011</v>
      </c>
      <c r="H332">
        <v>-0.119189211</v>
      </c>
      <c r="I332" s="11">
        <v>2.9300000000000001E-5</v>
      </c>
      <c r="J332">
        <v>7.1943685000000004</v>
      </c>
      <c r="K332">
        <v>9.9999974040000001</v>
      </c>
      <c r="L332">
        <v>63.166205810000001</v>
      </c>
      <c r="M332">
        <v>0.30606531599999998</v>
      </c>
      <c r="N332">
        <v>0.20568715000000001</v>
      </c>
      <c r="O332">
        <v>5.7989717000000003E-2</v>
      </c>
      <c r="P332">
        <v>8.9810073900000003</v>
      </c>
      <c r="Q332">
        <v>5.7030920749999998</v>
      </c>
      <c r="R332">
        <v>52.180567230000001</v>
      </c>
      <c r="S332">
        <v>0.290725289</v>
      </c>
      <c r="T332">
        <v>0.32350226300000001</v>
      </c>
      <c r="U332">
        <v>2.2235614909999999</v>
      </c>
      <c r="V332">
        <v>2.6845095030000001</v>
      </c>
      <c r="W332">
        <v>1.207301671</v>
      </c>
      <c r="X332">
        <v>2.0752129749999999</v>
      </c>
      <c r="Y332">
        <v>53.460227979999999</v>
      </c>
      <c r="Z332">
        <v>1.2173614719999999</v>
      </c>
      <c r="AA332">
        <v>0.17723861699999999</v>
      </c>
      <c r="AB332">
        <v>-0.18155511499999999</v>
      </c>
      <c r="AC332">
        <v>7.1525984080000002</v>
      </c>
      <c r="AD332">
        <v>1.100865896</v>
      </c>
      <c r="AE332">
        <v>6.5352823860000004</v>
      </c>
      <c r="AF332">
        <v>4.5051419780000002</v>
      </c>
      <c r="AG332">
        <v>30.85058347</v>
      </c>
      <c r="AH332">
        <v>5.3084645999999999E-2</v>
      </c>
      <c r="AI332">
        <v>3.1365630709999999</v>
      </c>
    </row>
    <row r="333" spans="1:35" x14ac:dyDescent="0.2">
      <c r="A333">
        <v>374</v>
      </c>
      <c r="B333" t="s">
        <v>497</v>
      </c>
      <c r="C333" t="s">
        <v>144</v>
      </c>
      <c r="D333" t="s">
        <v>146</v>
      </c>
      <c r="E333" s="11">
        <v>2.34E-5</v>
      </c>
      <c r="F333" s="11">
        <v>7.5900000000000002E-6</v>
      </c>
      <c r="G333">
        <v>0.32517296299999998</v>
      </c>
      <c r="H333">
        <v>7.8535332999999999E-2</v>
      </c>
      <c r="I333" s="11">
        <v>3.0899999999999999E-5</v>
      </c>
      <c r="J333">
        <v>0.63765904399999995</v>
      </c>
      <c r="K333">
        <v>2.9796552E-2</v>
      </c>
      <c r="L333">
        <v>3.8855473659999999</v>
      </c>
      <c r="M333">
        <v>1.5317249E-2</v>
      </c>
      <c r="N333">
        <v>3.4752420999999999E-2</v>
      </c>
      <c r="O333">
        <v>1.0708024E-2</v>
      </c>
      <c r="P333">
        <v>8.4530030000000006E-2</v>
      </c>
      <c r="Q333">
        <v>1.8087155530000001</v>
      </c>
      <c r="R333">
        <v>11.021353380000001</v>
      </c>
      <c r="S333">
        <v>6.0543325000000002E-2</v>
      </c>
      <c r="T333">
        <v>5.9569763999999997E-2</v>
      </c>
      <c r="U333">
        <v>0.46305502399999998</v>
      </c>
      <c r="V333">
        <v>0.49432605800000001</v>
      </c>
      <c r="W333">
        <v>1.0675320049999999</v>
      </c>
      <c r="X333">
        <v>3.1628721070000001</v>
      </c>
      <c r="Y333">
        <v>4.2664101299999997</v>
      </c>
      <c r="Z333">
        <v>0.31303372800000001</v>
      </c>
      <c r="AA333">
        <v>3.8675178999999997E-2</v>
      </c>
      <c r="AB333">
        <v>8.9270078000000003E-2</v>
      </c>
      <c r="AC333">
        <v>3.3101323000000002E-2</v>
      </c>
      <c r="AD333">
        <v>0.90416309800000005</v>
      </c>
      <c r="AE333">
        <v>0.69999858599999998</v>
      </c>
      <c r="AF333">
        <v>1.976195795</v>
      </c>
      <c r="AG333">
        <v>0.59605199499999995</v>
      </c>
      <c r="AH333">
        <v>1.193486E-2</v>
      </c>
      <c r="AI333">
        <v>1.0303126170000001</v>
      </c>
    </row>
    <row r="334" spans="1:35" x14ac:dyDescent="0.2">
      <c r="A334">
        <v>375</v>
      </c>
      <c r="B334" t="s">
        <v>498</v>
      </c>
      <c r="C334" t="s">
        <v>144</v>
      </c>
      <c r="D334" t="s">
        <v>148</v>
      </c>
      <c r="E334" s="11">
        <v>1.29E-5</v>
      </c>
      <c r="F334" s="11">
        <v>4.2100000000000003E-6</v>
      </c>
      <c r="G334">
        <v>0.32585110099999998</v>
      </c>
      <c r="H334">
        <v>-8.8601317999999998E-2</v>
      </c>
      <c r="I334" s="11">
        <v>1.7099999999999999E-5</v>
      </c>
      <c r="J334">
        <v>0.20918557300000001</v>
      </c>
      <c r="K334">
        <v>0.118231722</v>
      </c>
      <c r="L334">
        <v>1.4915768810000001</v>
      </c>
      <c r="M334">
        <v>0.15859791300000001</v>
      </c>
      <c r="N334">
        <v>1.7146522000000001E-2</v>
      </c>
      <c r="O334">
        <v>5.2903239999999999E-3</v>
      </c>
      <c r="P334">
        <v>0.35811861</v>
      </c>
      <c r="Q334">
        <v>0.633225068</v>
      </c>
      <c r="R334">
        <v>4.5155876319999999</v>
      </c>
      <c r="S334">
        <v>2.8761749E-2</v>
      </c>
      <c r="T334">
        <v>2.8072171999999999E-2</v>
      </c>
      <c r="U334">
        <v>0.21997920100000001</v>
      </c>
      <c r="V334">
        <v>0.23295049300000001</v>
      </c>
      <c r="W334">
        <v>1.0589659929999999</v>
      </c>
      <c r="X334">
        <v>3.8187918500000002</v>
      </c>
      <c r="Y334">
        <v>1.356589477</v>
      </c>
      <c r="Z334">
        <v>0.30003776100000001</v>
      </c>
      <c r="AA334">
        <v>1.5699013000000001E-2</v>
      </c>
      <c r="AB334">
        <v>-9.9504976999999994E-2</v>
      </c>
      <c r="AC334">
        <v>0.108085769</v>
      </c>
      <c r="AD334">
        <v>0.89428848500000002</v>
      </c>
      <c r="AE334">
        <v>0.190201485</v>
      </c>
      <c r="AF334">
        <v>0.58920574299999995</v>
      </c>
      <c r="AG334">
        <v>2.1363025019999999</v>
      </c>
      <c r="AH334">
        <v>4.8522749999999996E-3</v>
      </c>
      <c r="AI334">
        <v>0.35950515500000002</v>
      </c>
    </row>
    <row r="335" spans="1:35" x14ac:dyDescent="0.2">
      <c r="A335">
        <v>376</v>
      </c>
      <c r="B335" t="s">
        <v>499</v>
      </c>
      <c r="C335" t="s">
        <v>144</v>
      </c>
      <c r="D335" t="s">
        <v>150</v>
      </c>
      <c r="E335" s="11">
        <v>2.3099999999999999E-5</v>
      </c>
      <c r="F335" s="11">
        <v>7.6299999999999998E-6</v>
      </c>
      <c r="G335">
        <v>0.32977440899999999</v>
      </c>
      <c r="H335">
        <v>7.7002002E-2</v>
      </c>
      <c r="I335" s="11">
        <v>3.0800000000000003E-5</v>
      </c>
      <c r="J335">
        <v>0.634834809</v>
      </c>
      <c r="K335">
        <v>2.9611143999999999E-2</v>
      </c>
      <c r="L335">
        <v>3.868231142</v>
      </c>
      <c r="M335">
        <v>1.5300637000000001E-2</v>
      </c>
      <c r="N335">
        <v>3.4536367999999998E-2</v>
      </c>
      <c r="O335">
        <v>1.0641393000000001E-2</v>
      </c>
      <c r="P335">
        <v>8.4071859999999998E-2</v>
      </c>
      <c r="Q335">
        <v>1.8021736749999999</v>
      </c>
      <c r="R335">
        <v>10.98118577</v>
      </c>
      <c r="S335">
        <v>6.0129509999999997E-2</v>
      </c>
      <c r="T335">
        <v>5.9145799999999998E-2</v>
      </c>
      <c r="U335">
        <v>0.459890032</v>
      </c>
      <c r="V335">
        <v>0.49080789000000002</v>
      </c>
      <c r="W335">
        <v>1.067228807</v>
      </c>
      <c r="X335">
        <v>3.1679304020000001</v>
      </c>
      <c r="Y335">
        <v>4.241411201</v>
      </c>
      <c r="Z335">
        <v>0.31263702999999998</v>
      </c>
      <c r="AA335">
        <v>3.8407726000000003E-2</v>
      </c>
      <c r="AB335">
        <v>8.7984881000000001E-2</v>
      </c>
      <c r="AC335">
        <v>3.2872371999999997E-2</v>
      </c>
      <c r="AD335">
        <v>0.90408429499999998</v>
      </c>
      <c r="AE335">
        <v>0.69590857500000003</v>
      </c>
      <c r="AF335">
        <v>1.966767814</v>
      </c>
      <c r="AG335">
        <v>0.59256958800000004</v>
      </c>
      <c r="AH335">
        <v>1.1852311000000001E-2</v>
      </c>
      <c r="AI335">
        <v>1.0253801680000001</v>
      </c>
    </row>
    <row r="336" spans="1:35" x14ac:dyDescent="0.2">
      <c r="A336">
        <v>377</v>
      </c>
      <c r="B336" t="s">
        <v>500</v>
      </c>
      <c r="C336" t="s">
        <v>144</v>
      </c>
      <c r="D336" t="s">
        <v>152</v>
      </c>
      <c r="E336" s="11">
        <v>1.3699999999999999E-5</v>
      </c>
      <c r="F336" s="11">
        <v>1.56E-5</v>
      </c>
      <c r="G336">
        <v>1.1412406719999999</v>
      </c>
      <c r="H336">
        <v>-0.101797555</v>
      </c>
      <c r="I336" s="11">
        <v>2.9300000000000001E-5</v>
      </c>
      <c r="J336">
        <v>7.1881815089999996</v>
      </c>
      <c r="K336">
        <v>9.9999974050000002</v>
      </c>
      <c r="L336">
        <v>63.129083860000001</v>
      </c>
      <c r="M336">
        <v>0.30654189999999998</v>
      </c>
      <c r="N336">
        <v>0.205694616</v>
      </c>
      <c r="O336">
        <v>5.8027421000000003E-2</v>
      </c>
      <c r="P336">
        <v>8.9810073900000003</v>
      </c>
      <c r="Q336">
        <v>5.7035292039999996</v>
      </c>
      <c r="R336">
        <v>52.183190000000003</v>
      </c>
      <c r="S336">
        <v>0.290804006</v>
      </c>
      <c r="T336">
        <v>0.32350151500000002</v>
      </c>
      <c r="U336">
        <v>2.2241635419999999</v>
      </c>
      <c r="V336">
        <v>2.6845033009999999</v>
      </c>
      <c r="W336">
        <v>1.2069720820000001</v>
      </c>
      <c r="X336">
        <v>2.0747392819999999</v>
      </c>
      <c r="Y336">
        <v>53.450633930000002</v>
      </c>
      <c r="Z336">
        <v>1.2171944990000001</v>
      </c>
      <c r="AA336">
        <v>0.17725231699999999</v>
      </c>
      <c r="AB336">
        <v>-0.18107268700000001</v>
      </c>
      <c r="AC336">
        <v>7.1647159150000004</v>
      </c>
      <c r="AD336">
        <v>1.10056463</v>
      </c>
      <c r="AE336">
        <v>6.5296621940000001</v>
      </c>
      <c r="AF336">
        <v>4.5058979380000004</v>
      </c>
      <c r="AG336">
        <v>30.51087549</v>
      </c>
      <c r="AH336">
        <v>5.3119160999999998E-2</v>
      </c>
      <c r="AI336">
        <v>3.127877163</v>
      </c>
    </row>
    <row r="337" spans="1:35" x14ac:dyDescent="0.2">
      <c r="A337">
        <v>378</v>
      </c>
      <c r="B337" t="s">
        <v>501</v>
      </c>
      <c r="C337" t="s">
        <v>144</v>
      </c>
      <c r="D337" t="s">
        <v>156</v>
      </c>
      <c r="E337" s="11">
        <v>1.4399999999999999E-5</v>
      </c>
      <c r="F337" s="11">
        <v>4.6399999999999996E-6</v>
      </c>
      <c r="G337">
        <v>0.32298661200000001</v>
      </c>
      <c r="H337">
        <v>0.61758433099999999</v>
      </c>
      <c r="I337" s="11">
        <v>1.9000000000000001E-5</v>
      </c>
      <c r="J337">
        <v>0.30839865</v>
      </c>
      <c r="K337">
        <v>2.4560815999999999E-2</v>
      </c>
      <c r="L337">
        <v>1.899513529</v>
      </c>
      <c r="M337">
        <v>3.890821E-3</v>
      </c>
      <c r="N337">
        <v>2.8611346999999999E-2</v>
      </c>
      <c r="O337">
        <v>8.8264510000000008E-3</v>
      </c>
      <c r="P337">
        <v>7.2141380000000005E-2</v>
      </c>
      <c r="Q337">
        <v>0.96269670299999999</v>
      </c>
      <c r="R337">
        <v>5.9204629860000004</v>
      </c>
      <c r="S337">
        <v>3.2097356E-2</v>
      </c>
      <c r="T337">
        <v>2.9218874999999998E-2</v>
      </c>
      <c r="U337">
        <v>0.24549100700000001</v>
      </c>
      <c r="V337">
        <v>0.24246615199999999</v>
      </c>
      <c r="W337">
        <v>0.98767834700000001</v>
      </c>
      <c r="X337">
        <v>2.9448840540000001</v>
      </c>
      <c r="Y337">
        <v>3.2826909350000002</v>
      </c>
      <c r="Z337">
        <v>0.33092122299999999</v>
      </c>
      <c r="AA337">
        <v>5.2147310000000002E-2</v>
      </c>
      <c r="AB337">
        <v>0.421354746</v>
      </c>
      <c r="AC337">
        <v>4.4642399999999999E-2</v>
      </c>
      <c r="AD337">
        <v>0.90015499099999996</v>
      </c>
      <c r="AE337">
        <v>0.53223481800000005</v>
      </c>
      <c r="AF337">
        <v>1.423091852</v>
      </c>
      <c r="AG337">
        <v>0.76155741200000004</v>
      </c>
      <c r="AH337">
        <v>1.6096058E-2</v>
      </c>
      <c r="AI337">
        <v>0.75082233899999995</v>
      </c>
    </row>
    <row r="338" spans="1:35" x14ac:dyDescent="0.2">
      <c r="A338">
        <v>379</v>
      </c>
      <c r="B338" t="s">
        <v>502</v>
      </c>
      <c r="C338" t="s">
        <v>144</v>
      </c>
      <c r="D338" t="s">
        <v>158</v>
      </c>
      <c r="E338" s="11">
        <v>8.3799999999999994E-6</v>
      </c>
      <c r="F338" s="11">
        <v>2.6699999999999998E-6</v>
      </c>
      <c r="G338">
        <v>0.31864168100000001</v>
      </c>
      <c r="H338">
        <v>-0.12822761399999999</v>
      </c>
      <c r="I338" s="11">
        <v>1.1E-5</v>
      </c>
      <c r="J338">
        <v>0.29191489399999998</v>
      </c>
      <c r="K338">
        <v>1.6381290999999999E-2</v>
      </c>
      <c r="L338">
        <v>1.784251944</v>
      </c>
      <c r="M338">
        <v>1.2617521E-2</v>
      </c>
      <c r="N338">
        <v>1.9028208000000001E-2</v>
      </c>
      <c r="O338">
        <v>5.8869650000000001E-3</v>
      </c>
      <c r="P338">
        <v>8.4899569999999994E-2</v>
      </c>
      <c r="Q338">
        <v>1.141681449</v>
      </c>
      <c r="R338">
        <v>7.0198878379999998</v>
      </c>
      <c r="S338">
        <v>1.5437334E-2</v>
      </c>
      <c r="T338">
        <v>1.4142401000000001E-2</v>
      </c>
      <c r="U338">
        <v>0.118069749</v>
      </c>
      <c r="V338">
        <v>0.117357476</v>
      </c>
      <c r="W338">
        <v>0.99396735400000003</v>
      </c>
      <c r="X338">
        <v>3.7414904440000001</v>
      </c>
      <c r="Y338">
        <v>1.621021372</v>
      </c>
      <c r="Z338">
        <v>0.30514815200000001</v>
      </c>
      <c r="AA338">
        <v>1.7412085000000001E-2</v>
      </c>
      <c r="AB338">
        <v>-0.100696126</v>
      </c>
      <c r="AC338">
        <v>1.4963681E-2</v>
      </c>
      <c r="AD338">
        <v>0.88398896400000004</v>
      </c>
      <c r="AE338">
        <v>0.26517216500000002</v>
      </c>
      <c r="AF338">
        <v>1.0623694939999999</v>
      </c>
      <c r="AG338">
        <v>0.50597902400000005</v>
      </c>
      <c r="AH338">
        <v>5.3952360000000003E-3</v>
      </c>
      <c r="AI338">
        <v>0.55883493799999995</v>
      </c>
    </row>
    <row r="339" spans="1:35" x14ac:dyDescent="0.2">
      <c r="A339">
        <v>380</v>
      </c>
      <c r="B339" t="s">
        <v>503</v>
      </c>
      <c r="C339" t="s">
        <v>144</v>
      </c>
      <c r="D339" t="s">
        <v>160</v>
      </c>
      <c r="E339" s="11">
        <v>1.5999999999999999E-5</v>
      </c>
      <c r="F339" s="11">
        <v>5.0599999999999998E-6</v>
      </c>
      <c r="G339">
        <v>0.31549343000000002</v>
      </c>
      <c r="H339">
        <v>0.48131074699999998</v>
      </c>
      <c r="I339" s="11">
        <v>2.1100000000000001E-5</v>
      </c>
      <c r="J339">
        <v>0.34855460999999999</v>
      </c>
      <c r="K339">
        <v>2.8591640000000001E-2</v>
      </c>
      <c r="L339">
        <v>2.1485109389999999</v>
      </c>
      <c r="M339">
        <v>5.1882330000000004E-3</v>
      </c>
      <c r="N339">
        <v>3.3303063000000001E-2</v>
      </c>
      <c r="O339">
        <v>1.0275013E-2</v>
      </c>
      <c r="P339">
        <v>8.4545140000000005E-2</v>
      </c>
      <c r="Q339">
        <v>1.06068338</v>
      </c>
      <c r="R339">
        <v>6.5331905680000002</v>
      </c>
      <c r="S339">
        <v>3.7641426999999998E-2</v>
      </c>
      <c r="T339">
        <v>3.4936355000000002E-2</v>
      </c>
      <c r="U339">
        <v>0.287893864</v>
      </c>
      <c r="V339">
        <v>0.28991134800000001</v>
      </c>
      <c r="W339">
        <v>1.007007735</v>
      </c>
      <c r="X339">
        <v>2.8536888710000001</v>
      </c>
      <c r="Y339">
        <v>3.3202191050000001</v>
      </c>
      <c r="Z339">
        <v>0.32292177399999999</v>
      </c>
      <c r="AA339">
        <v>5.9035853999999999E-2</v>
      </c>
      <c r="AB339">
        <v>0.35290085700000001</v>
      </c>
      <c r="AC339">
        <v>5.0593187999999997E-2</v>
      </c>
      <c r="AD339">
        <v>0.90490673200000005</v>
      </c>
      <c r="AE339">
        <v>0.53651391199999998</v>
      </c>
      <c r="AF339">
        <v>1.5864461750000001</v>
      </c>
      <c r="AG339">
        <v>0.85231048499999995</v>
      </c>
      <c r="AH339">
        <v>1.8241646E-2</v>
      </c>
      <c r="AI339">
        <v>0.83709705899999998</v>
      </c>
    </row>
    <row r="340" spans="1:35" x14ac:dyDescent="0.2">
      <c r="A340">
        <v>381</v>
      </c>
      <c r="B340" t="s">
        <v>504</v>
      </c>
      <c r="C340" t="s">
        <v>144</v>
      </c>
      <c r="D340" t="s">
        <v>162</v>
      </c>
      <c r="E340" s="11">
        <v>2.3099999999999999E-5</v>
      </c>
      <c r="F340" s="11">
        <v>7.6599999999999995E-6</v>
      </c>
      <c r="G340">
        <v>0.33122098100000003</v>
      </c>
      <c r="H340">
        <v>7.9060906E-2</v>
      </c>
      <c r="I340" s="11">
        <v>3.0800000000000003E-5</v>
      </c>
      <c r="J340">
        <v>0.63433700000000004</v>
      </c>
      <c r="K340">
        <v>2.9674504000000001E-2</v>
      </c>
      <c r="L340">
        <v>3.8653710110000001</v>
      </c>
      <c r="M340">
        <v>1.5373148999999999E-2</v>
      </c>
      <c r="N340">
        <v>3.4611081000000002E-2</v>
      </c>
      <c r="O340">
        <v>1.0664163000000001E-2</v>
      </c>
      <c r="P340">
        <v>8.4231180000000003E-2</v>
      </c>
      <c r="Q340">
        <v>1.8003097159999999</v>
      </c>
      <c r="R340">
        <v>10.97032065</v>
      </c>
      <c r="S340">
        <v>6.0309408000000002E-2</v>
      </c>
      <c r="T340">
        <v>5.9334623000000003E-2</v>
      </c>
      <c r="U340">
        <v>0.46126595199999998</v>
      </c>
      <c r="V340">
        <v>0.492374794</v>
      </c>
      <c r="W340">
        <v>1.067442311</v>
      </c>
      <c r="X340">
        <v>3.1665430880000001</v>
      </c>
      <c r="Y340">
        <v>4.2405056270000001</v>
      </c>
      <c r="Z340">
        <v>0.32850606999999998</v>
      </c>
      <c r="AA340">
        <v>3.8482342000000003E-2</v>
      </c>
      <c r="AB340">
        <v>8.8464596000000006E-2</v>
      </c>
      <c r="AC340">
        <v>3.2935007000000002E-2</v>
      </c>
      <c r="AD340">
        <v>0.90538293599999997</v>
      </c>
      <c r="AE340">
        <v>0.69573687699999998</v>
      </c>
      <c r="AF340">
        <v>1.965769262</v>
      </c>
      <c r="AG340">
        <v>0.59349394099999997</v>
      </c>
      <c r="AH340">
        <v>1.1874894E-2</v>
      </c>
      <c r="AI340">
        <v>1.024892296</v>
      </c>
    </row>
    <row r="341" spans="1:35" x14ac:dyDescent="0.2">
      <c r="A341">
        <v>382</v>
      </c>
      <c r="B341" t="s">
        <v>505</v>
      </c>
      <c r="C341" t="s">
        <v>144</v>
      </c>
      <c r="D341" t="s">
        <v>164</v>
      </c>
      <c r="E341" s="11">
        <v>1.2500000000000001E-5</v>
      </c>
      <c r="F341" s="11">
        <v>4.0500000000000002E-6</v>
      </c>
      <c r="G341">
        <v>0.32383332399999998</v>
      </c>
      <c r="H341">
        <v>0.68825393499999998</v>
      </c>
      <c r="I341" s="11">
        <v>1.6500000000000001E-5</v>
      </c>
      <c r="J341">
        <v>0.278500788</v>
      </c>
      <c r="K341">
        <v>1.9001736000000002E-2</v>
      </c>
      <c r="L341">
        <v>1.7090082</v>
      </c>
      <c r="M341">
        <v>2.2203467000000001E-2</v>
      </c>
      <c r="N341">
        <v>2.2133561999999999E-2</v>
      </c>
      <c r="O341">
        <v>6.8285159999999998E-3</v>
      </c>
      <c r="P341">
        <v>5.6460280000000002E-2</v>
      </c>
      <c r="Q341">
        <v>0.82758579700000001</v>
      </c>
      <c r="R341">
        <v>5.0784353380000002</v>
      </c>
      <c r="S341">
        <v>3.6899110999999998E-2</v>
      </c>
      <c r="T341">
        <v>3.4397476000000003E-2</v>
      </c>
      <c r="U341">
        <v>0.28221639399999998</v>
      </c>
      <c r="V341">
        <v>0.28543958600000002</v>
      </c>
      <c r="W341">
        <v>1.0114209949999999</v>
      </c>
      <c r="X341">
        <v>2.6379280010000001</v>
      </c>
      <c r="Y341">
        <v>5.2807808170000001</v>
      </c>
      <c r="Z341">
        <v>0.34797644</v>
      </c>
      <c r="AA341">
        <v>7.9432707000000005E-2</v>
      </c>
      <c r="AB341">
        <v>0.67637206299999997</v>
      </c>
      <c r="AC341">
        <v>6.8024761000000003E-2</v>
      </c>
      <c r="AD341">
        <v>0.898950103</v>
      </c>
      <c r="AE341">
        <v>0.85745039300000003</v>
      </c>
      <c r="AF341">
        <v>2.0649790010000002</v>
      </c>
      <c r="AG341">
        <v>1.0447206710000001</v>
      </c>
      <c r="AH341">
        <v>2.4526694000000002E-2</v>
      </c>
      <c r="AI341">
        <v>1.087869891</v>
      </c>
    </row>
    <row r="342" spans="1:35" x14ac:dyDescent="0.2">
      <c r="A342">
        <v>383</v>
      </c>
      <c r="B342" t="s">
        <v>506</v>
      </c>
      <c r="C342" t="s">
        <v>144</v>
      </c>
      <c r="D342" t="s">
        <v>166</v>
      </c>
      <c r="E342" s="11">
        <v>3.18E-5</v>
      </c>
      <c r="F342" s="11">
        <v>1.06E-5</v>
      </c>
      <c r="G342">
        <v>0.33206466499999998</v>
      </c>
      <c r="H342">
        <v>2.1429165E-2</v>
      </c>
      <c r="I342" s="11">
        <v>4.2400000000000001E-5</v>
      </c>
      <c r="J342">
        <v>0.70126010999999999</v>
      </c>
      <c r="K342">
        <v>5.8393288000000002E-2</v>
      </c>
      <c r="L342">
        <v>4.3243472379999996</v>
      </c>
      <c r="M342">
        <v>2.7010882999999999E-2</v>
      </c>
      <c r="N342">
        <v>6.8119416000000002E-2</v>
      </c>
      <c r="O342">
        <v>2.0984868E-2</v>
      </c>
      <c r="P342">
        <v>0.14680667</v>
      </c>
      <c r="Q342">
        <v>1.762757922</v>
      </c>
      <c r="R342">
        <v>10.87016088</v>
      </c>
      <c r="S342">
        <v>0.118566036</v>
      </c>
      <c r="T342">
        <v>0.108920946</v>
      </c>
      <c r="U342">
        <v>0.90683157800000003</v>
      </c>
      <c r="V342">
        <v>0.90385554400000001</v>
      </c>
      <c r="W342">
        <v>0.99671820600000005</v>
      </c>
      <c r="X342">
        <v>2.7491924289999998</v>
      </c>
      <c r="Y342">
        <v>4.3243470820000001</v>
      </c>
      <c r="Z342">
        <v>0.33206466499999998</v>
      </c>
      <c r="AA342">
        <v>6.8234590999999997E-2</v>
      </c>
      <c r="AB342" s="11">
        <v>-3.6099999999999999E-8</v>
      </c>
      <c r="AC342">
        <v>5.8393292999999999E-2</v>
      </c>
      <c r="AD342">
        <v>0.92145826399999997</v>
      </c>
      <c r="AE342">
        <v>0.70126008299999998</v>
      </c>
      <c r="AF342">
        <v>1.763353427</v>
      </c>
      <c r="AG342">
        <v>0.93634638999999997</v>
      </c>
      <c r="AH342">
        <v>2.1054015999999998E-2</v>
      </c>
      <c r="AI342">
        <v>0.93014914500000001</v>
      </c>
    </row>
    <row r="343" spans="1:35" x14ac:dyDescent="0.2">
      <c r="A343">
        <v>384</v>
      </c>
      <c r="B343" t="s">
        <v>507</v>
      </c>
      <c r="C343" t="s">
        <v>144</v>
      </c>
      <c r="D343" t="s">
        <v>168</v>
      </c>
      <c r="E343" s="11">
        <v>9.3899999999999999E-6</v>
      </c>
      <c r="F343" s="11">
        <v>2.9900000000000002E-6</v>
      </c>
      <c r="G343">
        <v>0.31867594399999999</v>
      </c>
      <c r="H343">
        <v>-7.4557231000000002E-2</v>
      </c>
      <c r="I343" s="11">
        <v>1.24E-5</v>
      </c>
      <c r="J343">
        <v>0.492887621</v>
      </c>
      <c r="K343">
        <v>2.3915072999999998E-2</v>
      </c>
      <c r="L343">
        <v>3.005155872</v>
      </c>
      <c r="M343">
        <v>6.738572E-3</v>
      </c>
      <c r="N343">
        <v>2.777663E-2</v>
      </c>
      <c r="O343">
        <v>8.5943889999999992E-3</v>
      </c>
      <c r="P343">
        <v>8.1473920000000005E-2</v>
      </c>
      <c r="Q343">
        <v>1.5296792079999999</v>
      </c>
      <c r="R343">
        <v>9.3410230779999992</v>
      </c>
      <c r="S343">
        <v>1.9550841999999999E-2</v>
      </c>
      <c r="T343">
        <v>1.7924488999999998E-2</v>
      </c>
      <c r="U343">
        <v>0.14953119200000001</v>
      </c>
      <c r="V343">
        <v>0.14874226700000001</v>
      </c>
      <c r="W343">
        <v>0.99472400999999999</v>
      </c>
      <c r="X343">
        <v>3.5225075160000001</v>
      </c>
      <c r="Y343">
        <v>2.5580177399999999</v>
      </c>
      <c r="Z343">
        <v>0.29657290200000003</v>
      </c>
      <c r="AA343">
        <v>2.3538877999999999E-2</v>
      </c>
      <c r="AB343">
        <v>-0.17479868300000001</v>
      </c>
      <c r="AC343">
        <v>2.0208473000000001E-2</v>
      </c>
      <c r="AD343">
        <v>0.88903789799999999</v>
      </c>
      <c r="AE343">
        <v>0.41957908300000002</v>
      </c>
      <c r="AF343">
        <v>1.3392941490000001</v>
      </c>
      <c r="AG343">
        <v>0.58316464599999995</v>
      </c>
      <c r="AH343">
        <v>7.2862730000000002E-3</v>
      </c>
      <c r="AI343">
        <v>0.70304349300000002</v>
      </c>
    </row>
    <row r="344" spans="1:35" x14ac:dyDescent="0.2">
      <c r="A344">
        <v>386</v>
      </c>
      <c r="B344" t="s">
        <v>508</v>
      </c>
      <c r="C344" t="s">
        <v>146</v>
      </c>
      <c r="D344" t="s">
        <v>132</v>
      </c>
      <c r="E344" s="11">
        <v>9.8900000000000002E-6</v>
      </c>
      <c r="F344" s="11">
        <v>3.1E-6</v>
      </c>
      <c r="G344">
        <v>0.313426237</v>
      </c>
      <c r="H344">
        <v>-0.37608722300000003</v>
      </c>
      <c r="I344" s="11">
        <v>1.2999999999999999E-5</v>
      </c>
      <c r="J344">
        <v>0.40480095300000002</v>
      </c>
      <c r="K344">
        <v>1.2315161999999999E-2</v>
      </c>
      <c r="L344">
        <v>2.453436044</v>
      </c>
      <c r="M344">
        <v>1.0471169000000001E-2</v>
      </c>
      <c r="N344">
        <v>1.4308955E-2</v>
      </c>
      <c r="O344">
        <v>4.4257150000000002E-3</v>
      </c>
      <c r="P344">
        <v>3.7651919999999998E-2</v>
      </c>
      <c r="Q344">
        <v>1.259768631</v>
      </c>
      <c r="R344">
        <v>7.6339156260000003</v>
      </c>
      <c r="S344">
        <v>2.2297010999999999E-2</v>
      </c>
      <c r="T344">
        <v>2.0262005E-2</v>
      </c>
      <c r="U344">
        <v>0.17053478399999999</v>
      </c>
      <c r="V344">
        <v>0.16813961599999999</v>
      </c>
      <c r="W344">
        <v>0.98595495899999996</v>
      </c>
      <c r="X344">
        <v>4.2208207480000004</v>
      </c>
      <c r="Y344">
        <v>2.260892342</v>
      </c>
      <c r="Z344">
        <v>0.29846941900000001</v>
      </c>
      <c r="AA344">
        <v>1.0600022000000001E-2</v>
      </c>
      <c r="AB344">
        <v>-8.5162703000000006E-2</v>
      </c>
      <c r="AC344">
        <v>9.0895000000000004E-3</v>
      </c>
      <c r="AD344">
        <v>0.88499772499999996</v>
      </c>
      <c r="AE344">
        <v>0.37591015999999999</v>
      </c>
      <c r="AF344">
        <v>1.2706961619999999</v>
      </c>
      <c r="AG344">
        <v>0.195911522</v>
      </c>
      <c r="AH344">
        <v>3.2772679999999998E-3</v>
      </c>
      <c r="AI344">
        <v>0.65374477799999997</v>
      </c>
    </row>
    <row r="345" spans="1:35" x14ac:dyDescent="0.2">
      <c r="A345">
        <v>387</v>
      </c>
      <c r="B345" t="s">
        <v>509</v>
      </c>
      <c r="C345" t="s">
        <v>146</v>
      </c>
      <c r="D345" t="s">
        <v>140</v>
      </c>
      <c r="E345" s="11">
        <v>5.2900000000000002E-6</v>
      </c>
      <c r="F345" s="11">
        <v>1.6500000000000001E-6</v>
      </c>
      <c r="G345">
        <v>0.31091733500000002</v>
      </c>
      <c r="H345">
        <v>0.53660755400000004</v>
      </c>
      <c r="I345" s="11">
        <v>6.9399999999999996E-6</v>
      </c>
      <c r="J345">
        <v>0.30118693600000002</v>
      </c>
      <c r="K345">
        <v>3.035271E-3</v>
      </c>
      <c r="L345">
        <v>1.813192157</v>
      </c>
      <c r="M345">
        <v>3.3526860000000001E-3</v>
      </c>
      <c r="N345">
        <v>3.5156620000000001E-3</v>
      </c>
      <c r="O345">
        <v>1.090789E-3</v>
      </c>
      <c r="P345">
        <v>9.6449399999999994E-3</v>
      </c>
      <c r="Q345">
        <v>0.95712267200000001</v>
      </c>
      <c r="R345">
        <v>5.7620259120000004</v>
      </c>
      <c r="S345">
        <v>5.857915E-3</v>
      </c>
      <c r="T345">
        <v>5.5745029999999997E-3</v>
      </c>
      <c r="U345">
        <v>4.4803234999999997E-2</v>
      </c>
      <c r="V345">
        <v>4.6258735000000002E-2</v>
      </c>
      <c r="W345">
        <v>1.0324864929999999</v>
      </c>
      <c r="X345">
        <v>4.3754293019999997</v>
      </c>
      <c r="Y345">
        <v>1.9727635939999999</v>
      </c>
      <c r="Z345">
        <v>0.299642468</v>
      </c>
      <c r="AA345">
        <v>8.7785269999999995E-3</v>
      </c>
      <c r="AB345">
        <v>8.0887258000000004E-2</v>
      </c>
      <c r="AC345">
        <v>7.5250760000000003E-3</v>
      </c>
      <c r="AD345">
        <v>0.86697601599999996</v>
      </c>
      <c r="AE345">
        <v>0.32824240700000001</v>
      </c>
      <c r="AF345">
        <v>1.124000919</v>
      </c>
      <c r="AG345">
        <v>0.16432415</v>
      </c>
      <c r="AH345">
        <v>2.713207E-3</v>
      </c>
      <c r="AI345">
        <v>0.57785452500000001</v>
      </c>
    </row>
    <row r="346" spans="1:35" x14ac:dyDescent="0.2">
      <c r="A346">
        <v>388</v>
      </c>
      <c r="B346" t="s">
        <v>510</v>
      </c>
      <c r="C346" t="s">
        <v>146</v>
      </c>
      <c r="D346" t="s">
        <v>150</v>
      </c>
      <c r="E346" s="11">
        <v>1.7200000000000001E-5</v>
      </c>
      <c r="F346" s="11">
        <v>5.5400000000000003E-6</v>
      </c>
      <c r="G346">
        <v>0.32240354900000001</v>
      </c>
      <c r="H346">
        <v>0.224498422</v>
      </c>
      <c r="I346" s="11">
        <v>2.27E-5</v>
      </c>
      <c r="J346">
        <v>0.50994369699999997</v>
      </c>
      <c r="K346">
        <v>1.6032482000000001E-2</v>
      </c>
      <c r="L346">
        <v>3.091727144</v>
      </c>
      <c r="M346">
        <v>1.0371653999999999E-2</v>
      </c>
      <c r="N346">
        <v>1.8684330999999998E-2</v>
      </c>
      <c r="O346">
        <v>5.7616129999999996E-3</v>
      </c>
      <c r="P346">
        <v>4.8303169999999999E-2</v>
      </c>
      <c r="Q346">
        <v>1.5364128690000001</v>
      </c>
      <c r="R346">
        <v>9.3150835559999994</v>
      </c>
      <c r="S346">
        <v>3.0323247000000001E-2</v>
      </c>
      <c r="T346">
        <v>3.0745946E-2</v>
      </c>
      <c r="U346">
        <v>0.23192204399999999</v>
      </c>
      <c r="V346">
        <v>0.25513819399999998</v>
      </c>
      <c r="W346">
        <v>1.1001032479999999</v>
      </c>
      <c r="X346">
        <v>3.5581546749999999</v>
      </c>
      <c r="Y346">
        <v>4.6060544119999998</v>
      </c>
      <c r="Z346">
        <v>0.30792992699999999</v>
      </c>
      <c r="AA346">
        <v>2.3857700999999999E-2</v>
      </c>
      <c r="AB346">
        <v>0.328768862</v>
      </c>
      <c r="AC346">
        <v>2.0423218999999999E-2</v>
      </c>
      <c r="AD346">
        <v>0.88734687999999995</v>
      </c>
      <c r="AE346">
        <v>0.764713109</v>
      </c>
      <c r="AF346">
        <v>2.3714163089999998</v>
      </c>
      <c r="AG346">
        <v>0.40395336799999998</v>
      </c>
      <c r="AH346">
        <v>7.3637010000000003E-3</v>
      </c>
      <c r="AI346">
        <v>1.2218306370000001</v>
      </c>
    </row>
    <row r="347" spans="1:35" x14ac:dyDescent="0.2">
      <c r="A347">
        <v>389</v>
      </c>
      <c r="B347" t="s">
        <v>511</v>
      </c>
      <c r="C347" t="s">
        <v>146</v>
      </c>
      <c r="D347" t="s">
        <v>158</v>
      </c>
      <c r="E347" s="11">
        <v>6.19E-6</v>
      </c>
      <c r="F347" s="11">
        <v>1.9199999999999998E-6</v>
      </c>
      <c r="G347">
        <v>0.31057812099999998</v>
      </c>
      <c r="H347">
        <v>-9.0950649999999994E-2</v>
      </c>
      <c r="I347" s="11">
        <v>8.1100000000000003E-6</v>
      </c>
      <c r="J347">
        <v>0.20820845900000001</v>
      </c>
      <c r="K347">
        <v>4.0990369999999998E-3</v>
      </c>
      <c r="L347">
        <v>1.2574488260000001</v>
      </c>
      <c r="M347">
        <v>6.50374E-3</v>
      </c>
      <c r="N347">
        <v>4.7539080000000003E-3</v>
      </c>
      <c r="O347">
        <v>1.473076E-3</v>
      </c>
      <c r="P347">
        <v>1.297776E-2</v>
      </c>
      <c r="Q347">
        <v>0.65904327500000004</v>
      </c>
      <c r="R347">
        <v>3.9802151719999999</v>
      </c>
      <c r="S347">
        <v>8.9416310000000002E-3</v>
      </c>
      <c r="T347">
        <v>8.0180990000000008E-3</v>
      </c>
      <c r="U347">
        <v>6.8388501000000004E-2</v>
      </c>
      <c r="V347">
        <v>6.6536357000000004E-2</v>
      </c>
      <c r="W347">
        <v>0.97291731800000003</v>
      </c>
      <c r="X347">
        <v>4.2023655910000004</v>
      </c>
      <c r="Y347">
        <v>1.760384054</v>
      </c>
      <c r="Z347">
        <v>0.30055380199999998</v>
      </c>
      <c r="AA347">
        <v>1.0815853E-2</v>
      </c>
      <c r="AB347">
        <v>0.28569631000000001</v>
      </c>
      <c r="AC347">
        <v>9.2967589999999999E-3</v>
      </c>
      <c r="AD347">
        <v>0.86762357499999998</v>
      </c>
      <c r="AE347">
        <v>0.29138975700000003</v>
      </c>
      <c r="AF347">
        <v>1.2809444640000001</v>
      </c>
      <c r="AG347">
        <v>0.34492477399999999</v>
      </c>
      <c r="AH347">
        <v>3.3519969999999998E-3</v>
      </c>
      <c r="AI347">
        <v>0.66590096899999995</v>
      </c>
    </row>
    <row r="348" spans="1:35" x14ac:dyDescent="0.2">
      <c r="A348">
        <v>390</v>
      </c>
      <c r="B348" t="s">
        <v>512</v>
      </c>
      <c r="C348" t="s">
        <v>146</v>
      </c>
      <c r="D348" t="s">
        <v>168</v>
      </c>
      <c r="E348" s="11">
        <v>8.9400000000000008E-6</v>
      </c>
      <c r="F348" s="11">
        <v>2.7599999999999998E-6</v>
      </c>
      <c r="G348">
        <v>0.30859258899999997</v>
      </c>
      <c r="H348">
        <v>-0.69768394</v>
      </c>
      <c r="I348" s="11">
        <v>1.17E-5</v>
      </c>
      <c r="J348">
        <v>0.46455764199999999</v>
      </c>
      <c r="K348">
        <v>1.7111833999999999E-2</v>
      </c>
      <c r="L348">
        <v>2.8215695219999999</v>
      </c>
      <c r="M348">
        <v>8.3935339999999994E-3</v>
      </c>
      <c r="N348">
        <v>1.9878570000000002E-2</v>
      </c>
      <c r="O348">
        <v>6.1495009999999999E-3</v>
      </c>
      <c r="P348">
        <v>7.5911839999999994E-2</v>
      </c>
      <c r="Q348">
        <v>1.599607145</v>
      </c>
      <c r="R348">
        <v>9.7494665460000007</v>
      </c>
      <c r="S348">
        <v>1.8496384000000001E-2</v>
      </c>
      <c r="T348">
        <v>1.6953152999999999E-2</v>
      </c>
      <c r="U348">
        <v>0.14146635599999999</v>
      </c>
      <c r="V348">
        <v>0.14068185899999999</v>
      </c>
      <c r="W348">
        <v>0.99445453299999997</v>
      </c>
      <c r="X348">
        <v>3.9564084429999999</v>
      </c>
      <c r="Y348">
        <v>2.7779360080000002</v>
      </c>
      <c r="Z348">
        <v>0.29210766300000002</v>
      </c>
      <c r="AA348">
        <v>1.4621629000000001E-2</v>
      </c>
      <c r="AB348">
        <v>-1.5707169999999999E-2</v>
      </c>
      <c r="AC348">
        <v>1.2555287E-2</v>
      </c>
      <c r="AD348">
        <v>0.87257903800000003</v>
      </c>
      <c r="AE348">
        <v>0.46106289900000003</v>
      </c>
      <c r="AF348">
        <v>1.614844398</v>
      </c>
      <c r="AG348">
        <v>0.39754203999999999</v>
      </c>
      <c r="AH348">
        <v>4.526876E-3</v>
      </c>
      <c r="AI348">
        <v>0.83773814400000002</v>
      </c>
    </row>
    <row r="349" spans="1:35" x14ac:dyDescent="0.2">
      <c r="A349">
        <v>391</v>
      </c>
      <c r="B349" t="s">
        <v>513</v>
      </c>
      <c r="C349" t="s">
        <v>200</v>
      </c>
      <c r="D349" t="s">
        <v>129</v>
      </c>
      <c r="E349" s="11">
        <v>1.1599999999999999E-6</v>
      </c>
      <c r="F349" s="11">
        <v>3.65E-7</v>
      </c>
      <c r="G349">
        <v>0.31377291600000001</v>
      </c>
      <c r="H349">
        <v>-4.5282919999999997E-2</v>
      </c>
      <c r="I349" s="11">
        <v>1.53E-6</v>
      </c>
      <c r="J349">
        <v>0.623636364</v>
      </c>
      <c r="K349">
        <v>4.9081736840000003</v>
      </c>
      <c r="L349">
        <v>13.55816555</v>
      </c>
      <c r="M349">
        <v>0.401786368</v>
      </c>
      <c r="N349">
        <v>1.4682092000000001E-2</v>
      </c>
      <c r="O349">
        <v>4.0591309999999997E-3</v>
      </c>
      <c r="P349">
        <v>2.9057515899999999</v>
      </c>
      <c r="Q349">
        <v>2.1453682060000001</v>
      </c>
      <c r="R349">
        <v>18.683712419999999</v>
      </c>
      <c r="S349">
        <v>8.1700020000000009E-3</v>
      </c>
      <c r="T349">
        <v>4.3583110000000001E-3</v>
      </c>
      <c r="U349">
        <v>6.2486827000000002E-2</v>
      </c>
      <c r="V349">
        <v>3.6166446999999997E-2</v>
      </c>
      <c r="W349">
        <v>0.578785141</v>
      </c>
      <c r="X349">
        <v>3.1558659489999998</v>
      </c>
      <c r="Y349">
        <v>8.5081650070000006</v>
      </c>
      <c r="Z349">
        <v>0.31719792000000002</v>
      </c>
      <c r="AA349">
        <v>3.9382163999999997E-2</v>
      </c>
      <c r="AB349">
        <v>-0.59354755599999998</v>
      </c>
      <c r="AC349">
        <v>0.966500735</v>
      </c>
      <c r="AD349">
        <v>0.86241424</v>
      </c>
      <c r="AE349">
        <v>0.86097385199999998</v>
      </c>
      <c r="AF349">
        <v>3.0925859170000001</v>
      </c>
      <c r="AG349">
        <v>9.5352122050000006</v>
      </c>
      <c r="AH349">
        <v>1.2199161E-2</v>
      </c>
      <c r="AI349">
        <v>2.0189538370000002</v>
      </c>
    </row>
    <row r="350" spans="1:35" x14ac:dyDescent="0.2">
      <c r="A350">
        <v>392</v>
      </c>
      <c r="B350" t="s">
        <v>514</v>
      </c>
      <c r="C350" t="s">
        <v>200</v>
      </c>
      <c r="D350" t="s">
        <v>130</v>
      </c>
      <c r="E350" s="11">
        <v>9.8200000000000008E-6</v>
      </c>
      <c r="F350" s="11">
        <v>3.3100000000000001E-6</v>
      </c>
      <c r="G350">
        <v>0.33680810700000002</v>
      </c>
      <c r="H350">
        <v>0.25438242700000002</v>
      </c>
      <c r="I350" s="11">
        <v>1.31E-5</v>
      </c>
      <c r="J350">
        <v>0.88271265099999996</v>
      </c>
      <c r="K350">
        <v>2.9274308999999998E-2</v>
      </c>
      <c r="L350">
        <v>5.3548245220000004</v>
      </c>
      <c r="M350">
        <v>1.0938279E-2</v>
      </c>
      <c r="N350">
        <v>3.4099708999999999E-2</v>
      </c>
      <c r="O350">
        <v>1.0520345E-2</v>
      </c>
      <c r="P350">
        <v>8.3127969999999995E-2</v>
      </c>
      <c r="Q350">
        <v>2.5066328539999998</v>
      </c>
      <c r="R350">
        <v>15.206053069999999</v>
      </c>
      <c r="S350">
        <v>3.9373459999999999E-2</v>
      </c>
      <c r="T350">
        <v>5.2789967E-2</v>
      </c>
      <c r="U350">
        <v>0.30114101799999998</v>
      </c>
      <c r="V350">
        <v>0.43806545800000002</v>
      </c>
      <c r="W350">
        <v>1.4546854520000001</v>
      </c>
      <c r="X350">
        <v>3.3012920609999998</v>
      </c>
      <c r="Y350">
        <v>6.3688387239999997</v>
      </c>
      <c r="Z350">
        <v>0.32766461099999999</v>
      </c>
      <c r="AA350">
        <v>3.2600855999999998E-2</v>
      </c>
      <c r="AB350">
        <v>0.15921492800000001</v>
      </c>
      <c r="AC350">
        <v>2.7939063E-2</v>
      </c>
      <c r="AD350">
        <v>0.86901003600000004</v>
      </c>
      <c r="AE350">
        <v>1.0575529990000001</v>
      </c>
      <c r="AF350">
        <v>3.0955109689999998</v>
      </c>
      <c r="AG350">
        <v>0.52146582699999999</v>
      </c>
      <c r="AH350">
        <v>1.007358E-2</v>
      </c>
      <c r="AI350">
        <v>1.594635322</v>
      </c>
    </row>
    <row r="351" spans="1:35" x14ac:dyDescent="0.2">
      <c r="A351">
        <v>393</v>
      </c>
      <c r="B351" t="s">
        <v>515</v>
      </c>
      <c r="C351" t="s">
        <v>200</v>
      </c>
      <c r="D351" t="s">
        <v>132</v>
      </c>
      <c r="E351" s="11">
        <v>7.0899999999999999E-6</v>
      </c>
      <c r="F351" s="11">
        <v>2.26E-6</v>
      </c>
      <c r="G351">
        <v>0.318291043</v>
      </c>
      <c r="H351">
        <v>-0.30674971299999998</v>
      </c>
      <c r="I351" s="11">
        <v>9.3500000000000003E-6</v>
      </c>
      <c r="J351">
        <v>0.53522294199999998</v>
      </c>
      <c r="K351">
        <v>1.7021725000000001E-2</v>
      </c>
      <c r="L351">
        <v>3.2453811030000002</v>
      </c>
      <c r="M351">
        <v>1.0470190000000001E-2</v>
      </c>
      <c r="N351">
        <v>1.9784855E-2</v>
      </c>
      <c r="O351">
        <v>6.1171180000000004E-3</v>
      </c>
      <c r="P351">
        <v>5.0921859999999999E-2</v>
      </c>
      <c r="Q351">
        <v>1.6010247980000001</v>
      </c>
      <c r="R351">
        <v>9.7079925060000001</v>
      </c>
      <c r="S351">
        <v>3.3067740999999998E-2</v>
      </c>
      <c r="T351">
        <v>3.3409012000000002E-2</v>
      </c>
      <c r="U351">
        <v>0.25291283199999998</v>
      </c>
      <c r="V351">
        <v>0.27723703799999999</v>
      </c>
      <c r="W351">
        <v>1.0961762429999999</v>
      </c>
      <c r="X351">
        <v>3.9168036229999998</v>
      </c>
      <c r="Y351">
        <v>3.1263839629999999</v>
      </c>
      <c r="Z351">
        <v>0.31195161799999999</v>
      </c>
      <c r="AA351">
        <v>1.4473323E-2</v>
      </c>
      <c r="AB351">
        <v>-3.8062227999999997E-2</v>
      </c>
      <c r="AC351">
        <v>1.2425056E-2</v>
      </c>
      <c r="AD351">
        <v>0.86601661900000004</v>
      </c>
      <c r="AE351">
        <v>0.51990568699999995</v>
      </c>
      <c r="AF351">
        <v>1.658987714</v>
      </c>
      <c r="AG351">
        <v>0.25275774000000001</v>
      </c>
      <c r="AH351">
        <v>4.4799210000000004E-3</v>
      </c>
      <c r="AI351">
        <v>0.85335641799999995</v>
      </c>
    </row>
    <row r="352" spans="1:35" x14ac:dyDescent="0.2">
      <c r="A352">
        <v>394</v>
      </c>
      <c r="B352" t="s">
        <v>516</v>
      </c>
      <c r="C352" t="s">
        <v>200</v>
      </c>
      <c r="D352" t="s">
        <v>134</v>
      </c>
      <c r="E352" s="11">
        <v>1.04E-5</v>
      </c>
      <c r="F352" s="11">
        <v>4.2100000000000003E-6</v>
      </c>
      <c r="G352">
        <v>0.406065281</v>
      </c>
      <c r="H352">
        <v>1.1859524E-2</v>
      </c>
      <c r="I352" s="11">
        <v>1.4600000000000001E-5</v>
      </c>
      <c r="J352">
        <v>0.95736916800000005</v>
      </c>
      <c r="K352">
        <v>3.7560523999999998E-2</v>
      </c>
      <c r="L352">
        <v>5.8193360539999999</v>
      </c>
      <c r="M352">
        <v>1.2899226999999999E-2</v>
      </c>
      <c r="N352">
        <v>4.3774904000000003E-2</v>
      </c>
      <c r="O352">
        <v>1.3498171999999999E-2</v>
      </c>
      <c r="P352">
        <v>8.5985480000000003E-2</v>
      </c>
      <c r="Q352">
        <v>2.1913242020000001</v>
      </c>
      <c r="R352">
        <v>13.319916170000001</v>
      </c>
      <c r="S352">
        <v>7.1390317999999994E-2</v>
      </c>
      <c r="T352">
        <v>7.3270626000000005E-2</v>
      </c>
      <c r="U352">
        <v>0.54601635599999998</v>
      </c>
      <c r="V352">
        <v>0.60801952500000001</v>
      </c>
      <c r="W352">
        <v>1.1135555159999999</v>
      </c>
      <c r="X352">
        <v>3.0739157459999999</v>
      </c>
      <c r="Y352">
        <v>6.1160353780000003</v>
      </c>
      <c r="Z352">
        <v>0.42620843400000002</v>
      </c>
      <c r="AA352">
        <v>4.3993152000000001E-2</v>
      </c>
      <c r="AB352">
        <v>4.8511708000000001E-2</v>
      </c>
      <c r="AC352">
        <v>3.7688801000000001E-2</v>
      </c>
      <c r="AD352">
        <v>0.89142668700000005</v>
      </c>
      <c r="AE352">
        <v>1.009125952</v>
      </c>
      <c r="AF352">
        <v>2.2411681849999998</v>
      </c>
      <c r="AG352">
        <v>0.53379494800000005</v>
      </c>
      <c r="AH352">
        <v>1.3588899999999999E-2</v>
      </c>
      <c r="AI352">
        <v>1.1619065260000001</v>
      </c>
    </row>
    <row r="353" spans="1:35" x14ac:dyDescent="0.2">
      <c r="A353">
        <v>395</v>
      </c>
      <c r="B353" t="s">
        <v>517</v>
      </c>
      <c r="C353" t="s">
        <v>200</v>
      </c>
      <c r="D353" t="s">
        <v>136</v>
      </c>
      <c r="E353" s="11">
        <v>7.4599999999999997E-6</v>
      </c>
      <c r="F353" s="11">
        <v>2.3199999999999998E-6</v>
      </c>
      <c r="G353">
        <v>0.31091642800000002</v>
      </c>
      <c r="H353">
        <v>0.84065265600000005</v>
      </c>
      <c r="I353" s="11">
        <v>9.7799999999999995E-6</v>
      </c>
      <c r="J353">
        <v>0.25988789099999998</v>
      </c>
      <c r="K353">
        <v>9.2323089999999993E-3</v>
      </c>
      <c r="L353">
        <v>1.5777919650000001</v>
      </c>
      <c r="M353">
        <v>1.1660838999999999E-2</v>
      </c>
      <c r="N353">
        <v>1.0724826999999999E-2</v>
      </c>
      <c r="O353">
        <v>3.3178259999999998E-3</v>
      </c>
      <c r="P353">
        <v>2.8585860000000001E-2</v>
      </c>
      <c r="Q353">
        <v>0.80490315899999998</v>
      </c>
      <c r="R353">
        <v>4.886590666</v>
      </c>
      <c r="S353">
        <v>2.0346124E-2</v>
      </c>
      <c r="T353">
        <v>1.75201E-2</v>
      </c>
      <c r="U353">
        <v>0.15561376900000001</v>
      </c>
      <c r="V353">
        <v>0.14538654500000001</v>
      </c>
      <c r="W353">
        <v>0.934278155</v>
      </c>
      <c r="X353">
        <v>3.192594787</v>
      </c>
      <c r="Y353">
        <v>4.2252162379999998</v>
      </c>
      <c r="Z353">
        <v>0.337730527</v>
      </c>
      <c r="AA353">
        <v>3.7610521000000001E-2</v>
      </c>
      <c r="AB353">
        <v>0.62657722699999996</v>
      </c>
      <c r="AC353">
        <v>3.2237294E-2</v>
      </c>
      <c r="AD353">
        <v>0.86901084900000003</v>
      </c>
      <c r="AE353">
        <v>0.693464741</v>
      </c>
      <c r="AF353">
        <v>1.981818444</v>
      </c>
      <c r="AG353">
        <v>0.58740880500000003</v>
      </c>
      <c r="AH353">
        <v>1.1623329999999999E-2</v>
      </c>
      <c r="AI353">
        <v>1.0329004850000001</v>
      </c>
    </row>
    <row r="354" spans="1:35" x14ac:dyDescent="0.2">
      <c r="A354">
        <v>396</v>
      </c>
      <c r="B354" t="s">
        <v>518</v>
      </c>
      <c r="C354" t="s">
        <v>200</v>
      </c>
      <c r="D354" t="s">
        <v>138</v>
      </c>
      <c r="E354" s="11">
        <v>9.0100000000000001E-6</v>
      </c>
      <c r="F354" s="11">
        <v>3.2100000000000002E-6</v>
      </c>
      <c r="G354">
        <v>0.356261255</v>
      </c>
      <c r="H354">
        <v>0.23186763199999999</v>
      </c>
      <c r="I354" s="11">
        <v>1.22E-5</v>
      </c>
      <c r="J354">
        <v>3.3614659279999999</v>
      </c>
      <c r="K354">
        <v>0</v>
      </c>
      <c r="L354">
        <v>20.16879557</v>
      </c>
      <c r="M354">
        <v>0</v>
      </c>
      <c r="N354">
        <v>0.108480364</v>
      </c>
      <c r="O354">
        <v>3.4756407000000003E-2</v>
      </c>
      <c r="P354">
        <v>0</v>
      </c>
      <c r="Q354">
        <v>7.2861243230000001</v>
      </c>
      <c r="R354">
        <v>43.716745940000003</v>
      </c>
      <c r="S354">
        <v>0.17213914499999999</v>
      </c>
      <c r="T354">
        <v>0.158159259</v>
      </c>
      <c r="U354">
        <v>1.3165761229999999</v>
      </c>
      <c r="V354">
        <v>1.312448418</v>
      </c>
      <c r="W354">
        <v>0.99686481900000001</v>
      </c>
      <c r="X354">
        <v>2.303350242</v>
      </c>
      <c r="Y354">
        <v>39.143349659999998</v>
      </c>
      <c r="Z354">
        <v>0.39445976300000002</v>
      </c>
      <c r="AA354">
        <v>0.115943399</v>
      </c>
      <c r="AB354">
        <v>0.48474528300000003</v>
      </c>
      <c r="AC354">
        <v>0.10393853</v>
      </c>
      <c r="AD354">
        <v>0.896157659</v>
      </c>
      <c r="AE354">
        <v>6.5400494509999998</v>
      </c>
      <c r="AF354">
        <v>9.9090449350000007</v>
      </c>
      <c r="AG354">
        <v>1.2482728620000001</v>
      </c>
      <c r="AH354">
        <v>3.7475596999999999E-2</v>
      </c>
      <c r="AI354">
        <v>5.0847022629999996</v>
      </c>
    </row>
    <row r="355" spans="1:35" x14ac:dyDescent="0.2">
      <c r="A355">
        <v>397</v>
      </c>
      <c r="B355" t="s">
        <v>519</v>
      </c>
      <c r="C355" t="s">
        <v>200</v>
      </c>
      <c r="D355" t="s">
        <v>140</v>
      </c>
      <c r="E355" s="11">
        <v>6.9500000000000004E-6</v>
      </c>
      <c r="F355" s="11">
        <v>2.1600000000000001E-6</v>
      </c>
      <c r="G355">
        <v>0.310875819</v>
      </c>
      <c r="H355">
        <v>0.164841187</v>
      </c>
      <c r="I355" s="11">
        <v>9.1099999999999992E-6</v>
      </c>
      <c r="J355">
        <v>0.36359550099999999</v>
      </c>
      <c r="K355">
        <v>1.0684773999999999E-2</v>
      </c>
      <c r="L355">
        <v>2.2029425530000002</v>
      </c>
      <c r="M355">
        <v>8.4515609999999998E-3</v>
      </c>
      <c r="N355">
        <v>1.2382783E-2</v>
      </c>
      <c r="O355">
        <v>3.8398E-3</v>
      </c>
      <c r="P355">
        <v>3.283701E-2</v>
      </c>
      <c r="Q355">
        <v>1.1385946039999999</v>
      </c>
      <c r="R355">
        <v>6.8972416340000002</v>
      </c>
      <c r="S355">
        <v>1.828397E-2</v>
      </c>
      <c r="T355">
        <v>1.6276797999999999E-2</v>
      </c>
      <c r="U355">
        <v>0.13984174499999999</v>
      </c>
      <c r="V355">
        <v>0.13506928600000001</v>
      </c>
      <c r="W355">
        <v>0.96587243</v>
      </c>
      <c r="X355">
        <v>4.0602760370000004</v>
      </c>
      <c r="Y355">
        <v>2.7279567230000001</v>
      </c>
      <c r="Z355">
        <v>0.31317765600000003</v>
      </c>
      <c r="AA355">
        <v>1.1986245E-2</v>
      </c>
      <c r="AB355">
        <v>0.192456928</v>
      </c>
      <c r="AC355">
        <v>1.0286538E-2</v>
      </c>
      <c r="AD355">
        <v>0.84838143300000002</v>
      </c>
      <c r="AE355">
        <v>0.45397840299999997</v>
      </c>
      <c r="AF355">
        <v>1.467466237</v>
      </c>
      <c r="AG355">
        <v>0.212004891</v>
      </c>
      <c r="AH355">
        <v>3.7088669999999998E-3</v>
      </c>
      <c r="AI355">
        <v>0.75429415899999996</v>
      </c>
    </row>
    <row r="356" spans="1:35" x14ac:dyDescent="0.2">
      <c r="A356">
        <v>398</v>
      </c>
      <c r="B356" t="s">
        <v>520</v>
      </c>
      <c r="C356" t="s">
        <v>200</v>
      </c>
      <c r="D356" t="s">
        <v>142</v>
      </c>
      <c r="E356" s="11">
        <v>7.3599999999999998E-6</v>
      </c>
      <c r="F356" s="11">
        <v>6.2299999999999996E-6</v>
      </c>
      <c r="G356">
        <v>0.84622185999999999</v>
      </c>
      <c r="H356">
        <v>0.21179008699999999</v>
      </c>
      <c r="I356" s="11">
        <v>1.36E-5</v>
      </c>
      <c r="J356">
        <v>5.241168601</v>
      </c>
      <c r="K356">
        <v>1.8910103330000001</v>
      </c>
      <c r="L356">
        <v>35.229032269999998</v>
      </c>
      <c r="M356">
        <v>9.1985576999999999E-2</v>
      </c>
      <c r="N356">
        <v>0.12521568599999999</v>
      </c>
      <c r="O356">
        <v>3.8179465000000003E-2</v>
      </c>
      <c r="P356">
        <v>1.46843937</v>
      </c>
      <c r="Q356">
        <v>4.8321672119999999</v>
      </c>
      <c r="R356">
        <v>31.929882020000001</v>
      </c>
      <c r="S356">
        <v>0.206315426</v>
      </c>
      <c r="T356">
        <v>0.21952223700000001</v>
      </c>
      <c r="U356">
        <v>1.577967425</v>
      </c>
      <c r="V356">
        <v>1.8216550549999999</v>
      </c>
      <c r="W356">
        <v>1.154431344</v>
      </c>
      <c r="X356">
        <v>2.1629513669999998</v>
      </c>
      <c r="Y356">
        <v>80.280842800000002</v>
      </c>
      <c r="Z356">
        <v>1.2531943809999999</v>
      </c>
      <c r="AA356">
        <v>0.15032452299999999</v>
      </c>
      <c r="AB356">
        <v>0.561177598</v>
      </c>
      <c r="AC356">
        <v>6.07456715</v>
      </c>
      <c r="AD356">
        <v>1.0573115850000001</v>
      </c>
      <c r="AE356">
        <v>9.9323315720000007</v>
      </c>
      <c r="AF356">
        <v>7.0919333189999998</v>
      </c>
      <c r="AG356">
        <v>27.133120470000001</v>
      </c>
      <c r="AH356">
        <v>4.5083790999999998E-2</v>
      </c>
      <c r="AI356">
        <v>4.87868017</v>
      </c>
    </row>
    <row r="357" spans="1:35" x14ac:dyDescent="0.2">
      <c r="A357">
        <v>399</v>
      </c>
      <c r="B357" t="s">
        <v>521</v>
      </c>
      <c r="C357" t="s">
        <v>200</v>
      </c>
      <c r="D357" t="s">
        <v>144</v>
      </c>
      <c r="E357" s="11">
        <v>9.9799999999999993E-6</v>
      </c>
      <c r="F357" s="11">
        <v>3.19E-6</v>
      </c>
      <c r="G357">
        <v>0.31987291400000001</v>
      </c>
      <c r="H357">
        <v>0.57277330199999998</v>
      </c>
      <c r="I357" s="11">
        <v>1.3200000000000001E-5</v>
      </c>
      <c r="J357">
        <v>0.46040239700000002</v>
      </c>
      <c r="K357">
        <v>2.0587345999999999E-2</v>
      </c>
      <c r="L357">
        <v>2.8035890710000002</v>
      </c>
      <c r="M357">
        <v>1.4688346999999999E-2</v>
      </c>
      <c r="N357">
        <v>2.3970517E-2</v>
      </c>
      <c r="O357">
        <v>7.3984999999999997E-3</v>
      </c>
      <c r="P357">
        <v>6.0712259999999997E-2</v>
      </c>
      <c r="Q357">
        <v>1.357804459</v>
      </c>
      <c r="R357">
        <v>8.268251266</v>
      </c>
      <c r="S357">
        <v>3.7779251999999999E-2</v>
      </c>
      <c r="T357">
        <v>3.8378475000000002E-2</v>
      </c>
      <c r="U357">
        <v>0.28894799500000001</v>
      </c>
      <c r="V357">
        <v>0.31847499600000001</v>
      </c>
      <c r="W357">
        <v>1.102187942</v>
      </c>
      <c r="X357">
        <v>2.9350568680000002</v>
      </c>
      <c r="Y357">
        <v>5.8996335049999997</v>
      </c>
      <c r="Z357">
        <v>0.32717381400000001</v>
      </c>
      <c r="AA357">
        <v>5.2807281999999997E-2</v>
      </c>
      <c r="AB357">
        <v>0.52478589200000003</v>
      </c>
      <c r="AC357">
        <v>4.5248449000000003E-2</v>
      </c>
      <c r="AD357">
        <v>0.88477094000000001</v>
      </c>
      <c r="AE357">
        <v>0.96813889200000003</v>
      </c>
      <c r="AF357">
        <v>2.5800696040000002</v>
      </c>
      <c r="AG357">
        <v>0.76900405800000005</v>
      </c>
      <c r="AH357">
        <v>1.6314571999999999E-2</v>
      </c>
      <c r="AI357">
        <v>1.3449038740000001</v>
      </c>
    </row>
    <row r="358" spans="1:35" x14ac:dyDescent="0.2">
      <c r="A358">
        <v>400</v>
      </c>
      <c r="B358" t="s">
        <v>522</v>
      </c>
      <c r="C358" t="s">
        <v>200</v>
      </c>
      <c r="D358" t="s">
        <v>146</v>
      </c>
      <c r="E358" s="11">
        <v>9.9299999999999998E-6</v>
      </c>
      <c r="F358" s="11">
        <v>3.2600000000000001E-6</v>
      </c>
      <c r="G358">
        <v>0.32788510500000001</v>
      </c>
      <c r="H358">
        <v>0.251392799</v>
      </c>
      <c r="I358" s="11">
        <v>1.3200000000000001E-5</v>
      </c>
      <c r="J358">
        <v>0.887072211</v>
      </c>
      <c r="K358">
        <v>2.9423779000000001E-2</v>
      </c>
      <c r="L358">
        <v>5.3812808250000002</v>
      </c>
      <c r="M358">
        <v>1.0932895999999999E-2</v>
      </c>
      <c r="N358">
        <v>3.4269972000000003E-2</v>
      </c>
      <c r="O358">
        <v>1.0574435E-2</v>
      </c>
      <c r="P358">
        <v>8.348817E-2</v>
      </c>
      <c r="Q358">
        <v>2.5170796809999998</v>
      </c>
      <c r="R358">
        <v>15.26945443</v>
      </c>
      <c r="S358">
        <v>3.9766731999999999E-2</v>
      </c>
      <c r="T358">
        <v>5.2868336000000002E-2</v>
      </c>
      <c r="U358">
        <v>0.30414888800000001</v>
      </c>
      <c r="V358">
        <v>0.438715788</v>
      </c>
      <c r="W358">
        <v>1.4424375869999999</v>
      </c>
      <c r="X358">
        <v>3.2965958820000001</v>
      </c>
      <c r="Y358">
        <v>6.4068376410000001</v>
      </c>
      <c r="Z358">
        <v>0.32224784299999998</v>
      </c>
      <c r="AA358">
        <v>3.2802262999999998E-2</v>
      </c>
      <c r="AB358">
        <v>0.16007223400000001</v>
      </c>
      <c r="AC358">
        <v>2.8112330000000001E-2</v>
      </c>
      <c r="AD358">
        <v>0.86839107500000001</v>
      </c>
      <c r="AE358">
        <v>1.0638588579999999</v>
      </c>
      <c r="AF358">
        <v>3.1109005820000002</v>
      </c>
      <c r="AG358">
        <v>0.52422835400000001</v>
      </c>
      <c r="AH358">
        <v>1.0136052E-2</v>
      </c>
      <c r="AI358">
        <v>1.602571229</v>
      </c>
    </row>
    <row r="359" spans="1:35" x14ac:dyDescent="0.2">
      <c r="A359">
        <v>401</v>
      </c>
      <c r="B359" t="s">
        <v>523</v>
      </c>
      <c r="C359" t="s">
        <v>200</v>
      </c>
      <c r="D359" t="s">
        <v>148</v>
      </c>
      <c r="E359" s="11">
        <v>6.1800000000000001E-6</v>
      </c>
      <c r="F359" s="11">
        <v>1.9700000000000002E-6</v>
      </c>
      <c r="G359">
        <v>0.31810593300000001</v>
      </c>
      <c r="H359">
        <v>0.58453951199999998</v>
      </c>
      <c r="I359" s="11">
        <v>8.1499999999999999E-6</v>
      </c>
      <c r="J359">
        <v>0.212015704</v>
      </c>
      <c r="K359">
        <v>6.3201489999999997E-3</v>
      </c>
      <c r="L359">
        <v>1.284734525</v>
      </c>
      <c r="M359">
        <v>9.8691339999999999E-3</v>
      </c>
      <c r="N359">
        <v>7.3331589999999997E-3</v>
      </c>
      <c r="O359">
        <v>2.2712800000000001E-3</v>
      </c>
      <c r="P359">
        <v>1.9814080000000001E-2</v>
      </c>
      <c r="Q359">
        <v>0.66440146099999997</v>
      </c>
      <c r="R359">
        <v>4.026036918</v>
      </c>
      <c r="S359">
        <v>1.5988599999999999E-2</v>
      </c>
      <c r="T359">
        <v>1.415401E-2</v>
      </c>
      <c r="U359">
        <v>0.12228601</v>
      </c>
      <c r="V359">
        <v>0.117453816</v>
      </c>
      <c r="W359">
        <v>0.96048449000000002</v>
      </c>
      <c r="X359">
        <v>3.9802474019999998</v>
      </c>
      <c r="Y359">
        <v>2.0371807350000002</v>
      </c>
      <c r="Z359">
        <v>0.30886934199999999</v>
      </c>
      <c r="AA359">
        <v>1.3315080999999999E-2</v>
      </c>
      <c r="AB359">
        <v>0.36935662899999999</v>
      </c>
      <c r="AC359">
        <v>9.1795209000000003E-2</v>
      </c>
      <c r="AD359">
        <v>0.85890713799999996</v>
      </c>
      <c r="AE359">
        <v>0.28906849000000001</v>
      </c>
      <c r="AF359">
        <v>0.92751967899999999</v>
      </c>
      <c r="AG359">
        <v>1.878880288</v>
      </c>
      <c r="AH359">
        <v>4.1209460000000003E-3</v>
      </c>
      <c r="AI359">
        <v>0.55918233799999995</v>
      </c>
    </row>
    <row r="360" spans="1:35" x14ac:dyDescent="0.2">
      <c r="A360">
        <v>402</v>
      </c>
      <c r="B360" t="s">
        <v>524</v>
      </c>
      <c r="C360" t="s">
        <v>200</v>
      </c>
      <c r="D360" t="s">
        <v>150</v>
      </c>
      <c r="E360" s="11">
        <v>9.8800000000000003E-6</v>
      </c>
      <c r="F360" s="11">
        <v>3.2600000000000001E-6</v>
      </c>
      <c r="G360">
        <v>0.32964488199999997</v>
      </c>
      <c r="H360">
        <v>0.245654027</v>
      </c>
      <c r="I360" s="11">
        <v>1.31E-5</v>
      </c>
      <c r="J360">
        <v>0.88281914500000003</v>
      </c>
      <c r="K360">
        <v>2.9286418000000002E-2</v>
      </c>
      <c r="L360">
        <v>5.3554877080000001</v>
      </c>
      <c r="M360">
        <v>1.0942722E-2</v>
      </c>
      <c r="N360">
        <v>3.4112629999999998E-2</v>
      </c>
      <c r="O360">
        <v>1.0524696E-2</v>
      </c>
      <c r="P360">
        <v>8.3154980000000003E-2</v>
      </c>
      <c r="Q360">
        <v>2.5067144570000002</v>
      </c>
      <c r="R360">
        <v>15.206596709999999</v>
      </c>
      <c r="S360">
        <v>3.9706215000000003E-2</v>
      </c>
      <c r="T360">
        <v>5.2640828000000001E-2</v>
      </c>
      <c r="U360">
        <v>0.30368603799999999</v>
      </c>
      <c r="V360">
        <v>0.43682786600000001</v>
      </c>
      <c r="W360">
        <v>1.438419326</v>
      </c>
      <c r="X360">
        <v>3.3018680379999998</v>
      </c>
      <c r="Y360">
        <v>6.3692969279999998</v>
      </c>
      <c r="Z360">
        <v>0.32183946899999999</v>
      </c>
      <c r="AA360">
        <v>3.2575423999999999E-2</v>
      </c>
      <c r="AB360">
        <v>0.15917129199999999</v>
      </c>
      <c r="AC360">
        <v>2.7917885999999999E-2</v>
      </c>
      <c r="AD360">
        <v>0.86831539000000002</v>
      </c>
      <c r="AE360">
        <v>1.0576428529999999</v>
      </c>
      <c r="AF360">
        <v>3.0960591819999999</v>
      </c>
      <c r="AG360">
        <v>0.52116557299999999</v>
      </c>
      <c r="AH360">
        <v>1.0065944E-2</v>
      </c>
      <c r="AI360">
        <v>1.5948991880000001</v>
      </c>
    </row>
    <row r="361" spans="1:35" x14ac:dyDescent="0.2">
      <c r="A361">
        <v>403</v>
      </c>
      <c r="B361" t="s">
        <v>525</v>
      </c>
      <c r="C361" t="s">
        <v>200</v>
      </c>
      <c r="D361" t="s">
        <v>204</v>
      </c>
      <c r="E361" s="11">
        <v>5.0799999999999996E-6</v>
      </c>
      <c r="F361" s="11">
        <v>1.5799999999999999E-6</v>
      </c>
      <c r="G361">
        <v>0.31155250400000001</v>
      </c>
      <c r="H361">
        <v>0.28214045799999998</v>
      </c>
      <c r="I361" s="11">
        <v>6.6599999999999998E-6</v>
      </c>
      <c r="J361">
        <v>0.22945123000000001</v>
      </c>
      <c r="K361">
        <v>4.9916650000000002E-3</v>
      </c>
      <c r="L361">
        <v>1.3866907079999999</v>
      </c>
      <c r="M361">
        <v>7.1779510000000001E-3</v>
      </c>
      <c r="N361">
        <v>5.7817279999999999E-3</v>
      </c>
      <c r="O361">
        <v>1.7938609999999999E-3</v>
      </c>
      <c r="P361">
        <v>1.571823E-2</v>
      </c>
      <c r="Q361">
        <v>0.72236487199999999</v>
      </c>
      <c r="R361">
        <v>4.3656256979999997</v>
      </c>
      <c r="S361">
        <v>1.2146273000000001E-2</v>
      </c>
      <c r="T361">
        <v>1.0563207E-2</v>
      </c>
      <c r="U361">
        <v>9.2898644000000002E-2</v>
      </c>
      <c r="V361">
        <v>8.7656356000000005E-2</v>
      </c>
      <c r="W361">
        <v>0.94356981100000004</v>
      </c>
      <c r="X361">
        <v>4.2088397909999999</v>
      </c>
      <c r="Y361">
        <v>2.3578654800000001</v>
      </c>
      <c r="Z361">
        <v>0.30670815800000001</v>
      </c>
      <c r="AA361">
        <v>9.8361960000000002E-3</v>
      </c>
      <c r="AB361">
        <v>0.411887269</v>
      </c>
      <c r="AC361">
        <v>8.4591969999999999E-3</v>
      </c>
      <c r="AD361">
        <v>0.83237890299999995</v>
      </c>
      <c r="AE361">
        <v>0.392645364</v>
      </c>
      <c r="AF361">
        <v>1.304810096</v>
      </c>
      <c r="AG361">
        <v>0.17600912199999999</v>
      </c>
      <c r="AH361">
        <v>3.0500089999999998E-3</v>
      </c>
      <c r="AI361">
        <v>0.670096731</v>
      </c>
    </row>
    <row r="362" spans="1:35" x14ac:dyDescent="0.2">
      <c r="A362">
        <v>404</v>
      </c>
      <c r="B362" t="s">
        <v>526</v>
      </c>
      <c r="C362" t="s">
        <v>200</v>
      </c>
      <c r="D362" t="s">
        <v>152</v>
      </c>
      <c r="E362" s="11">
        <v>7.4000000000000003E-6</v>
      </c>
      <c r="F362" s="11">
        <v>6.2700000000000001E-6</v>
      </c>
      <c r="G362">
        <v>0.84686387699999999</v>
      </c>
      <c r="H362">
        <v>0.22450447100000001</v>
      </c>
      <c r="I362" s="11">
        <v>1.3699999999999999E-5</v>
      </c>
      <c r="J362">
        <v>5.2362602039999997</v>
      </c>
      <c r="K362">
        <v>1.326748512</v>
      </c>
      <c r="L362">
        <v>34.07105825</v>
      </c>
      <c r="M362">
        <v>7.7883583000000006E-2</v>
      </c>
      <c r="N362">
        <v>0.128378612</v>
      </c>
      <c r="O362">
        <v>3.8195804999999999E-2</v>
      </c>
      <c r="P362">
        <v>1.24441544</v>
      </c>
      <c r="Q362">
        <v>4.9113240539999996</v>
      </c>
      <c r="R362">
        <v>31.956775199999999</v>
      </c>
      <c r="S362">
        <v>0.20361111800000001</v>
      </c>
      <c r="T362">
        <v>0.224166477</v>
      </c>
      <c r="U362">
        <v>1.5572840029999999</v>
      </c>
      <c r="V362">
        <v>1.8601942149999999</v>
      </c>
      <c r="W362">
        <v>1.194511863</v>
      </c>
      <c r="X362">
        <v>2.1624576470000001</v>
      </c>
      <c r="Y362">
        <v>80.266435479999998</v>
      </c>
      <c r="Z362">
        <v>1.253022493</v>
      </c>
      <c r="AA362">
        <v>0.15033614300000001</v>
      </c>
      <c r="AB362">
        <v>0.57552546000000004</v>
      </c>
      <c r="AC362">
        <v>6.0848583209999996</v>
      </c>
      <c r="AD362">
        <v>1.0570222389999999</v>
      </c>
      <c r="AE362">
        <v>9.923789996</v>
      </c>
      <c r="AF362">
        <v>7.09312334</v>
      </c>
      <c r="AG362">
        <v>26.83434694</v>
      </c>
      <c r="AH362">
        <v>4.5113103000000002E-2</v>
      </c>
      <c r="AI362">
        <v>4.865169914</v>
      </c>
    </row>
    <row r="363" spans="1:35" x14ac:dyDescent="0.2">
      <c r="A363">
        <v>405</v>
      </c>
      <c r="B363" t="s">
        <v>527</v>
      </c>
      <c r="C363" t="s">
        <v>200</v>
      </c>
      <c r="D363" t="s">
        <v>154</v>
      </c>
      <c r="E363" s="11">
        <v>5.1900000000000003E-6</v>
      </c>
      <c r="F363" s="11">
        <v>1.6199999999999999E-6</v>
      </c>
      <c r="G363">
        <v>0.31282966699999998</v>
      </c>
      <c r="H363">
        <v>0.159626026</v>
      </c>
      <c r="I363" s="11">
        <v>6.81E-6</v>
      </c>
      <c r="J363">
        <v>0.25882579900000002</v>
      </c>
      <c r="K363">
        <v>6.2537690000000002E-3</v>
      </c>
      <c r="L363">
        <v>1.5654623320000001</v>
      </c>
      <c r="M363">
        <v>7.275732E-3</v>
      </c>
      <c r="N363">
        <v>7.2361480000000004E-3</v>
      </c>
      <c r="O363">
        <v>2.2474249999999999E-3</v>
      </c>
      <c r="P363">
        <v>1.9637169999999999E-2</v>
      </c>
      <c r="Q363">
        <v>0.814662145</v>
      </c>
      <c r="R363">
        <v>4.9272472159999996</v>
      </c>
      <c r="S363">
        <v>1.3121961999999999E-2</v>
      </c>
      <c r="T363">
        <v>1.2059345000000001E-2</v>
      </c>
      <c r="U363">
        <v>0.10036102600000001</v>
      </c>
      <c r="V363">
        <v>0.10007171500000001</v>
      </c>
      <c r="W363">
        <v>0.99711729699999996</v>
      </c>
      <c r="X363">
        <v>4.3130716549999999</v>
      </c>
      <c r="Y363">
        <v>2.19468664</v>
      </c>
      <c r="Z363">
        <v>0.30821298000000003</v>
      </c>
      <c r="AA363">
        <v>8.5780419999999993E-3</v>
      </c>
      <c r="AB363">
        <v>0.28670348499999998</v>
      </c>
      <c r="AC363">
        <v>7.3745490000000002E-3</v>
      </c>
      <c r="AD363">
        <v>0.82869756000000006</v>
      </c>
      <c r="AE363">
        <v>0.36576835600000002</v>
      </c>
      <c r="AF363">
        <v>1.200516983</v>
      </c>
      <c r="AG363">
        <v>0.15433587400000001</v>
      </c>
      <c r="AH363">
        <v>2.658933E-3</v>
      </c>
      <c r="AI363">
        <v>0.61617683599999995</v>
      </c>
    </row>
    <row r="364" spans="1:35" x14ac:dyDescent="0.2">
      <c r="A364">
        <v>406</v>
      </c>
      <c r="B364" t="s">
        <v>528</v>
      </c>
      <c r="C364" t="s">
        <v>200</v>
      </c>
      <c r="D364" t="s">
        <v>156</v>
      </c>
      <c r="E364" s="11">
        <v>7.8800000000000008E-6</v>
      </c>
      <c r="F364" s="11">
        <v>2.4899999999999999E-6</v>
      </c>
      <c r="G364">
        <v>0.31641006900000002</v>
      </c>
      <c r="H364">
        <v>0.82222494099999999</v>
      </c>
      <c r="I364" s="11">
        <v>1.04E-5</v>
      </c>
      <c r="J364">
        <v>0.33227717200000001</v>
      </c>
      <c r="K364">
        <v>1.3482462000000001E-2</v>
      </c>
      <c r="L364">
        <v>2.0206279559999998</v>
      </c>
      <c r="M364">
        <v>1.3310348E-2</v>
      </c>
      <c r="N364">
        <v>1.5678515000000001E-2</v>
      </c>
      <c r="O364">
        <v>4.8452089999999996E-3</v>
      </c>
      <c r="P364">
        <v>4.0985090000000002E-2</v>
      </c>
      <c r="Q364">
        <v>1.0102182529999999</v>
      </c>
      <c r="R364">
        <v>6.1432796959999996</v>
      </c>
      <c r="S364">
        <v>2.4762928E-2</v>
      </c>
      <c r="T364">
        <v>2.2399908E-2</v>
      </c>
      <c r="U364">
        <v>0.18939491999999999</v>
      </c>
      <c r="V364">
        <v>0.185880513</v>
      </c>
      <c r="W364">
        <v>0.981444027</v>
      </c>
      <c r="X364">
        <v>3.0693914640000002</v>
      </c>
      <c r="Y364">
        <v>4.9295935479999997</v>
      </c>
      <c r="Z364">
        <v>0.34066185500000001</v>
      </c>
      <c r="AA364">
        <v>4.4228621000000003E-2</v>
      </c>
      <c r="AB364">
        <v>0.59010252299999999</v>
      </c>
      <c r="AC364">
        <v>3.7913950000000002E-2</v>
      </c>
      <c r="AD364">
        <v>0.86454154299999997</v>
      </c>
      <c r="AE364">
        <v>0.80889124199999995</v>
      </c>
      <c r="AF364">
        <v>2.2402118660000001</v>
      </c>
      <c r="AG364">
        <v>0.66979054100000002</v>
      </c>
      <c r="AH364">
        <v>1.3670079E-2</v>
      </c>
      <c r="AI364">
        <v>1.1678458140000001</v>
      </c>
    </row>
    <row r="365" spans="1:35" x14ac:dyDescent="0.2">
      <c r="A365">
        <v>407</v>
      </c>
      <c r="B365" t="s">
        <v>529</v>
      </c>
      <c r="C365" t="s">
        <v>200</v>
      </c>
      <c r="D365" t="s">
        <v>158</v>
      </c>
      <c r="E365" s="11">
        <v>4.8099999999999997E-6</v>
      </c>
      <c r="F365" s="11">
        <v>1.5099999999999999E-6</v>
      </c>
      <c r="G365">
        <v>0.31450019499999998</v>
      </c>
      <c r="H365">
        <v>0.33250885800000002</v>
      </c>
      <c r="I365" s="11">
        <v>6.3199999999999996E-6</v>
      </c>
      <c r="J365">
        <v>0.30475982400000001</v>
      </c>
      <c r="K365">
        <v>8.3378810000000001E-3</v>
      </c>
      <c r="L365">
        <v>1.8452347039999999</v>
      </c>
      <c r="M365">
        <v>7.50839E-4</v>
      </c>
      <c r="N365">
        <v>9.6501599999999996E-3</v>
      </c>
      <c r="O365">
        <v>2.9963949999999998E-3</v>
      </c>
      <c r="P365">
        <v>2.589493E-2</v>
      </c>
      <c r="Q365">
        <v>0.97087495800000001</v>
      </c>
      <c r="R365">
        <v>5.8770396099999997</v>
      </c>
      <c r="S365">
        <v>9.8477819999999994E-3</v>
      </c>
      <c r="T365">
        <v>8.7190240000000006E-3</v>
      </c>
      <c r="U365">
        <v>7.5319035000000006E-2</v>
      </c>
      <c r="V365">
        <v>7.2352823999999996E-2</v>
      </c>
      <c r="W365">
        <v>0.96061804299999998</v>
      </c>
      <c r="X365">
        <v>3.8996777530000002</v>
      </c>
      <c r="Y365">
        <v>2.4342762250000001</v>
      </c>
      <c r="Z365">
        <v>0.31413015599999999</v>
      </c>
      <c r="AA365">
        <v>1.476802E-2</v>
      </c>
      <c r="AB365">
        <v>0.241978094</v>
      </c>
      <c r="AC365">
        <v>1.2708372000000001E-2</v>
      </c>
      <c r="AD365">
        <v>0.84901510300000005</v>
      </c>
      <c r="AE365">
        <v>0.40300903700000001</v>
      </c>
      <c r="AF365">
        <v>1.672367629</v>
      </c>
      <c r="AG365">
        <v>0.445009082</v>
      </c>
      <c r="AH365">
        <v>4.5820720000000004E-3</v>
      </c>
      <c r="AI365">
        <v>0.86922432900000002</v>
      </c>
    </row>
    <row r="366" spans="1:35" x14ac:dyDescent="0.2">
      <c r="A366">
        <v>408</v>
      </c>
      <c r="B366" t="s">
        <v>530</v>
      </c>
      <c r="C366" t="s">
        <v>200</v>
      </c>
      <c r="D366" t="s">
        <v>160</v>
      </c>
      <c r="E366" s="11">
        <v>8.0299999999999994E-6</v>
      </c>
      <c r="F366" s="11">
        <v>2.5399999999999998E-6</v>
      </c>
      <c r="G366">
        <v>0.31602170000000002</v>
      </c>
      <c r="H366">
        <v>0.77193269499999995</v>
      </c>
      <c r="I366" s="11">
        <v>1.06E-5</v>
      </c>
      <c r="J366">
        <v>0.33191246899999999</v>
      </c>
      <c r="K366">
        <v>1.3455537E-2</v>
      </c>
      <c r="L366">
        <v>2.0183858859999999</v>
      </c>
      <c r="M366">
        <v>1.3284567000000001E-2</v>
      </c>
      <c r="N366">
        <v>1.5648327E-2</v>
      </c>
      <c r="O366">
        <v>4.8355330000000004E-3</v>
      </c>
      <c r="P366">
        <v>4.0911570000000001E-2</v>
      </c>
      <c r="Q366">
        <v>1.009312446</v>
      </c>
      <c r="R366">
        <v>6.1376978199999996</v>
      </c>
      <c r="S366">
        <v>2.4375825E-2</v>
      </c>
      <c r="T366">
        <v>2.2507727000000002E-2</v>
      </c>
      <c r="U366">
        <v>0.186434233</v>
      </c>
      <c r="V366">
        <v>0.18677522599999999</v>
      </c>
      <c r="W366">
        <v>1.001829026</v>
      </c>
      <c r="X366">
        <v>2.97434062</v>
      </c>
      <c r="Y366">
        <v>4.9859493329999998</v>
      </c>
      <c r="Z366">
        <v>0.33242694299999997</v>
      </c>
      <c r="AA366">
        <v>5.0071123000000002E-2</v>
      </c>
      <c r="AB366">
        <v>0.59518523899999998</v>
      </c>
      <c r="AC366">
        <v>4.2967841999999999E-2</v>
      </c>
      <c r="AD366">
        <v>0.86910528799999998</v>
      </c>
      <c r="AE366">
        <v>0.81539461599999996</v>
      </c>
      <c r="AF366">
        <v>2.497362023</v>
      </c>
      <c r="AG366">
        <v>0.74960796399999996</v>
      </c>
      <c r="AH366">
        <v>1.5492287E-2</v>
      </c>
      <c r="AI366">
        <v>1.3020394399999999</v>
      </c>
    </row>
    <row r="367" spans="1:35" x14ac:dyDescent="0.2">
      <c r="A367">
        <v>409</v>
      </c>
      <c r="B367" t="s">
        <v>531</v>
      </c>
      <c r="C367" t="s">
        <v>200</v>
      </c>
      <c r="D367" t="s">
        <v>162</v>
      </c>
      <c r="E367" s="11">
        <v>9.9699999999999994E-6</v>
      </c>
      <c r="F367" s="11">
        <v>3.1999999999999999E-6</v>
      </c>
      <c r="G367">
        <v>0.32057086000000001</v>
      </c>
      <c r="H367">
        <v>0.25514431100000001</v>
      </c>
      <c r="I367" s="11">
        <v>1.3200000000000001E-5</v>
      </c>
      <c r="J367">
        <v>0.88304424299999995</v>
      </c>
      <c r="K367">
        <v>2.9311401000000001E-2</v>
      </c>
      <c r="L367">
        <v>5.3568882569999996</v>
      </c>
      <c r="M367">
        <v>1.0931503E-2</v>
      </c>
      <c r="N367">
        <v>3.4140087E-2</v>
      </c>
      <c r="O367">
        <v>1.0533674999999999E-2</v>
      </c>
      <c r="P367">
        <v>8.3212700000000001E-2</v>
      </c>
      <c r="Q367">
        <v>2.5069568090000001</v>
      </c>
      <c r="R367">
        <v>15.20816626</v>
      </c>
      <c r="S367">
        <v>3.9407065999999998E-2</v>
      </c>
      <c r="T367">
        <v>5.292384E-2</v>
      </c>
      <c r="U367">
        <v>0.30139804799999997</v>
      </c>
      <c r="V367">
        <v>0.43917637900000001</v>
      </c>
      <c r="W367">
        <v>1.4571308009999999</v>
      </c>
      <c r="X367">
        <v>3.3004220700000002</v>
      </c>
      <c r="Y367">
        <v>6.3679370329999996</v>
      </c>
      <c r="Z367">
        <v>0.33817561299999999</v>
      </c>
      <c r="AA367">
        <v>3.2638709000000002E-2</v>
      </c>
      <c r="AB367">
        <v>0.15877179199999999</v>
      </c>
      <c r="AC367">
        <v>2.7971080999999998E-2</v>
      </c>
      <c r="AD367">
        <v>0.86956265099999996</v>
      </c>
      <c r="AE367">
        <v>1.0573819069999999</v>
      </c>
      <c r="AF367">
        <v>3.0944872750000001</v>
      </c>
      <c r="AG367">
        <v>0.52197854300000002</v>
      </c>
      <c r="AH367">
        <v>1.0085124000000001E-2</v>
      </c>
      <c r="AI367">
        <v>1.59414034</v>
      </c>
    </row>
    <row r="368" spans="1:35" x14ac:dyDescent="0.2">
      <c r="A368">
        <v>410</v>
      </c>
      <c r="B368" t="s">
        <v>532</v>
      </c>
      <c r="C368" t="s">
        <v>200</v>
      </c>
      <c r="D368" t="s">
        <v>220</v>
      </c>
      <c r="E368" s="11">
        <v>9.9000000000000001E-6</v>
      </c>
      <c r="F368" s="11">
        <v>3.2399999999999999E-6</v>
      </c>
      <c r="G368">
        <v>0.32773717000000002</v>
      </c>
      <c r="H368">
        <v>0.23739047699999999</v>
      </c>
      <c r="I368" s="11">
        <v>1.31E-5</v>
      </c>
      <c r="J368">
        <v>0.882879474</v>
      </c>
      <c r="K368">
        <v>2.9293113999999999E-2</v>
      </c>
      <c r="L368">
        <v>5.3558630689999998</v>
      </c>
      <c r="M368">
        <v>1.092478E-2</v>
      </c>
      <c r="N368">
        <v>3.4120112000000001E-2</v>
      </c>
      <c r="O368">
        <v>1.0527102999999999E-2</v>
      </c>
      <c r="P368">
        <v>8.3170759999999996E-2</v>
      </c>
      <c r="Q368">
        <v>2.5067885830000001</v>
      </c>
      <c r="R368">
        <v>15.207073019999999</v>
      </c>
      <c r="S368">
        <v>4.0297792999999998E-2</v>
      </c>
      <c r="T368">
        <v>5.2681000999999998E-2</v>
      </c>
      <c r="U368">
        <v>0.30821061900000002</v>
      </c>
      <c r="V368">
        <v>0.43716123499999998</v>
      </c>
      <c r="W368">
        <v>1.4183847279999999</v>
      </c>
      <c r="X368">
        <v>3.3008539429999999</v>
      </c>
      <c r="Y368">
        <v>6.3683479119999999</v>
      </c>
      <c r="Z368">
        <v>0.33777027799999998</v>
      </c>
      <c r="AA368">
        <v>3.2620214000000002E-2</v>
      </c>
      <c r="AB368">
        <v>0.15898704899999999</v>
      </c>
      <c r="AC368">
        <v>2.7955181999999999E-2</v>
      </c>
      <c r="AD368">
        <v>0.87104115800000004</v>
      </c>
      <c r="AE368">
        <v>1.0574606470000001</v>
      </c>
      <c r="AF368">
        <v>3.0949973769999999</v>
      </c>
      <c r="AG368">
        <v>0.52172889</v>
      </c>
      <c r="AH368">
        <v>1.0079392E-2</v>
      </c>
      <c r="AI368">
        <v>1.594387263</v>
      </c>
    </row>
    <row r="369" spans="1:35" x14ac:dyDescent="0.2">
      <c r="A369">
        <v>411</v>
      </c>
      <c r="B369" t="s">
        <v>533</v>
      </c>
      <c r="C369" t="s">
        <v>200</v>
      </c>
      <c r="D369" t="s">
        <v>164</v>
      </c>
      <c r="E369" s="11">
        <v>7.3699999999999997E-6</v>
      </c>
      <c r="F369" s="11">
        <v>2.4499999999999998E-6</v>
      </c>
      <c r="G369">
        <v>0.33190567100000001</v>
      </c>
      <c r="H369">
        <v>0.66790223000000004</v>
      </c>
      <c r="I369" s="11">
        <v>9.8200000000000008E-6</v>
      </c>
      <c r="J369">
        <v>0.52315977499999999</v>
      </c>
      <c r="K369">
        <v>2.3545809000000001E-2</v>
      </c>
      <c r="L369">
        <v>3.1860502679999998</v>
      </c>
      <c r="M369">
        <v>1.4753843000000001E-2</v>
      </c>
      <c r="N369">
        <v>2.7392284999999999E-2</v>
      </c>
      <c r="O369">
        <v>8.4616859999999995E-3</v>
      </c>
      <c r="P369">
        <v>6.8479559999999995E-2</v>
      </c>
      <c r="Q369">
        <v>1.5211832320000001</v>
      </c>
      <c r="R369">
        <v>9.2640585039999994</v>
      </c>
      <c r="S369">
        <v>4.9295844999999998E-2</v>
      </c>
      <c r="T369">
        <v>4.601417E-2</v>
      </c>
      <c r="U369">
        <v>0.37703063999999997</v>
      </c>
      <c r="V369">
        <v>0.38183805999999998</v>
      </c>
      <c r="W369">
        <v>1.0127507410000001</v>
      </c>
      <c r="X369">
        <v>2.749457547</v>
      </c>
      <c r="Y369">
        <v>7.9301108620000003</v>
      </c>
      <c r="Z369">
        <v>0.35821909099999999</v>
      </c>
      <c r="AA369">
        <v>6.7370665999999996E-2</v>
      </c>
      <c r="AB369">
        <v>0.59823382999999997</v>
      </c>
      <c r="AC369">
        <v>5.7772149000000002E-2</v>
      </c>
      <c r="AD369">
        <v>0.86338432499999995</v>
      </c>
      <c r="AE369">
        <v>1.3031543409999999</v>
      </c>
      <c r="AF369">
        <v>3.2506618989999998</v>
      </c>
      <c r="AG369">
        <v>0.91883292400000005</v>
      </c>
      <c r="AH369">
        <v>2.0830060000000001E-2</v>
      </c>
      <c r="AI369">
        <v>1.6920970959999999</v>
      </c>
    </row>
    <row r="370" spans="1:35" x14ac:dyDescent="0.2">
      <c r="A370">
        <v>412</v>
      </c>
      <c r="B370" t="s">
        <v>534</v>
      </c>
      <c r="C370" t="s">
        <v>200</v>
      </c>
      <c r="D370" t="s">
        <v>166</v>
      </c>
      <c r="E370" s="11">
        <v>1.0900000000000001E-5</v>
      </c>
      <c r="F370" s="11">
        <v>3.7299999999999999E-6</v>
      </c>
      <c r="G370">
        <v>0.34183894599999998</v>
      </c>
      <c r="H370">
        <v>-1.6404664999999999E-2</v>
      </c>
      <c r="I370" s="11">
        <v>1.4600000000000001E-5</v>
      </c>
      <c r="J370">
        <v>1.0657761240000001</v>
      </c>
      <c r="K370">
        <v>4.9592320000000002E-2</v>
      </c>
      <c r="L370">
        <v>6.4938413830000004</v>
      </c>
      <c r="M370">
        <v>1.5271587E-2</v>
      </c>
      <c r="N370">
        <v>5.7775325000000002E-2</v>
      </c>
      <c r="O370">
        <v>1.7822054E-2</v>
      </c>
      <c r="P370">
        <v>0.12911661999999999</v>
      </c>
      <c r="Q370">
        <v>2.7749095810000002</v>
      </c>
      <c r="R370">
        <v>16.907690720000002</v>
      </c>
      <c r="S370">
        <v>9.9775700999999994E-2</v>
      </c>
      <c r="T370">
        <v>9.1041494000000001E-2</v>
      </c>
      <c r="U370">
        <v>0.76311698699999997</v>
      </c>
      <c r="V370">
        <v>0.75548700300000005</v>
      </c>
      <c r="W370">
        <v>0.99000155400000001</v>
      </c>
      <c r="X370">
        <v>2.8654261490000001</v>
      </c>
      <c r="Y370">
        <v>6.4938411479999996</v>
      </c>
      <c r="Z370">
        <v>0.34183895399999997</v>
      </c>
      <c r="AA370">
        <v>5.7873010000000003E-2</v>
      </c>
      <c r="AB370" s="11">
        <v>-3.6099999999999999E-8</v>
      </c>
      <c r="AC370">
        <v>4.9592324E-2</v>
      </c>
      <c r="AD370">
        <v>0.88500197999999997</v>
      </c>
      <c r="AE370">
        <v>1.065776083</v>
      </c>
      <c r="AF370">
        <v>2.7758470169999998</v>
      </c>
      <c r="AG370">
        <v>0.82351763</v>
      </c>
      <c r="AH370">
        <v>1.7880779999999999E-2</v>
      </c>
      <c r="AI370">
        <v>1.44677473</v>
      </c>
    </row>
    <row r="371" spans="1:35" x14ac:dyDescent="0.2">
      <c r="A371">
        <v>413</v>
      </c>
      <c r="B371" t="s">
        <v>535</v>
      </c>
      <c r="C371" t="s">
        <v>200</v>
      </c>
      <c r="D371" t="s">
        <v>226</v>
      </c>
      <c r="E371" s="11">
        <v>1.37E-6</v>
      </c>
      <c r="F371" s="11">
        <v>4.3300000000000003E-7</v>
      </c>
      <c r="G371">
        <v>0.31514188599999998</v>
      </c>
      <c r="H371">
        <v>-4.9788981000000003E-2</v>
      </c>
      <c r="I371" s="11">
        <v>1.81E-6</v>
      </c>
      <c r="J371">
        <v>0.29191489399999998</v>
      </c>
      <c r="K371">
        <v>3.6834200000000002E-3</v>
      </c>
      <c r="L371">
        <v>1.758856202</v>
      </c>
      <c r="M371">
        <v>3.23012E-3</v>
      </c>
      <c r="N371">
        <v>4.1637799999999997E-3</v>
      </c>
      <c r="O371">
        <v>1.323715E-3</v>
      </c>
      <c r="P371">
        <v>2.0299029999999999E-2</v>
      </c>
      <c r="Q371">
        <v>1.067438374</v>
      </c>
      <c r="R371">
        <v>6.4452282959999998</v>
      </c>
      <c r="S371">
        <v>3.6376609999999999E-3</v>
      </c>
      <c r="T371">
        <v>2.9835769999999998E-3</v>
      </c>
      <c r="U371">
        <v>2.7822017000000001E-2</v>
      </c>
      <c r="V371">
        <v>2.4758526999999999E-2</v>
      </c>
      <c r="W371">
        <v>0.88988972300000002</v>
      </c>
      <c r="X371">
        <v>4.0967405250000004</v>
      </c>
      <c r="Y371">
        <v>2.6453224959999999</v>
      </c>
      <c r="Z371">
        <v>0.31484561100000003</v>
      </c>
      <c r="AA371">
        <v>1.1415483000000001E-2</v>
      </c>
      <c r="AB371">
        <v>0.33510707899999997</v>
      </c>
      <c r="AC371">
        <v>9.8043980000000006E-3</v>
      </c>
      <c r="AD371">
        <v>0.83966123400000003</v>
      </c>
      <c r="AE371">
        <v>0.440327943</v>
      </c>
      <c r="AF371">
        <v>1.4262257519999999</v>
      </c>
      <c r="AG371">
        <v>0.202474179</v>
      </c>
      <c r="AH371">
        <v>3.5350289999999999E-3</v>
      </c>
      <c r="AI371">
        <v>0.73292731300000002</v>
      </c>
    </row>
    <row r="372" spans="1:35" x14ac:dyDescent="0.2">
      <c r="A372">
        <v>414</v>
      </c>
      <c r="B372" t="s">
        <v>536</v>
      </c>
      <c r="C372" t="s">
        <v>200</v>
      </c>
      <c r="D372" t="s">
        <v>168</v>
      </c>
      <c r="E372" s="11">
        <v>5.0200000000000002E-6</v>
      </c>
      <c r="F372" s="11">
        <v>1.5799999999999999E-6</v>
      </c>
      <c r="G372">
        <v>0.3142296</v>
      </c>
      <c r="H372">
        <v>0.146800334</v>
      </c>
      <c r="I372" s="11">
        <v>6.6000000000000003E-6</v>
      </c>
      <c r="J372">
        <v>0.29193234000000001</v>
      </c>
      <c r="K372">
        <v>1.1181998E-2</v>
      </c>
      <c r="L372">
        <v>1.773958033</v>
      </c>
      <c r="M372">
        <v>1.1741433000000001E-2</v>
      </c>
      <c r="N372">
        <v>1.2947989E-2</v>
      </c>
      <c r="O372">
        <v>4.0184879999999997E-3</v>
      </c>
      <c r="P372">
        <v>6.6972450000000003E-2</v>
      </c>
      <c r="Q372">
        <v>0.94062395499999996</v>
      </c>
      <c r="R372">
        <v>5.7776886220000003</v>
      </c>
      <c r="S372">
        <v>1.1251272E-2</v>
      </c>
      <c r="T372">
        <v>1.0253939E-2</v>
      </c>
      <c r="U372">
        <v>8.6053387999999995E-2</v>
      </c>
      <c r="V372">
        <v>8.5089967000000002E-2</v>
      </c>
      <c r="W372">
        <v>0.98880438000000004</v>
      </c>
      <c r="X372">
        <v>3.671436398</v>
      </c>
      <c r="Y372">
        <v>3.8413569829999998</v>
      </c>
      <c r="Z372">
        <v>0.30530249500000001</v>
      </c>
      <c r="AA372">
        <v>1.9964445000000001E-2</v>
      </c>
      <c r="AB372">
        <v>0.53819495500000003</v>
      </c>
      <c r="AC372">
        <v>1.7162674999999999E-2</v>
      </c>
      <c r="AD372">
        <v>0.85386428299999995</v>
      </c>
      <c r="AE372">
        <v>0.63767689400000005</v>
      </c>
      <c r="AF372">
        <v>2.1082986610000001</v>
      </c>
      <c r="AG372">
        <v>0.51289391699999998</v>
      </c>
      <c r="AH372">
        <v>6.1880950000000002E-3</v>
      </c>
      <c r="AI372">
        <v>1.0935295330000001</v>
      </c>
    </row>
    <row r="373" spans="1:35" x14ac:dyDescent="0.2">
      <c r="A373">
        <v>415</v>
      </c>
      <c r="B373" t="s">
        <v>537</v>
      </c>
      <c r="C373" t="s">
        <v>148</v>
      </c>
      <c r="D373" t="s">
        <v>130</v>
      </c>
      <c r="E373" s="11">
        <v>1.04E-5</v>
      </c>
      <c r="F373" s="11">
        <v>3.2600000000000001E-6</v>
      </c>
      <c r="G373">
        <v>0.31453139299999999</v>
      </c>
      <c r="H373">
        <v>-0.15026215000000001</v>
      </c>
      <c r="I373" s="11">
        <v>1.36E-5</v>
      </c>
      <c r="J373">
        <v>0.24096530099999999</v>
      </c>
      <c r="K373">
        <v>7.3104851999999998E-2</v>
      </c>
      <c r="L373">
        <v>1.59200151</v>
      </c>
      <c r="M373">
        <v>9.1907997000000005E-2</v>
      </c>
      <c r="N373">
        <v>1.0589757999999999E-2</v>
      </c>
      <c r="O373">
        <v>3.2711049999999998E-3</v>
      </c>
      <c r="P373">
        <v>0.22689815999999999</v>
      </c>
      <c r="Q373">
        <v>0.747756054</v>
      </c>
      <c r="R373">
        <v>4.9403326359999999</v>
      </c>
      <c r="S373">
        <v>1.8086511999999999E-2</v>
      </c>
      <c r="T373">
        <v>1.7363699999999999E-2</v>
      </c>
      <c r="U373">
        <v>0.13833152300000001</v>
      </c>
      <c r="V373">
        <v>0.14408869399999999</v>
      </c>
      <c r="W373">
        <v>1.041618648</v>
      </c>
      <c r="X373">
        <v>4.2952991310000002</v>
      </c>
      <c r="Y373">
        <v>1.464480732</v>
      </c>
      <c r="Z373">
        <v>0.30048785099999997</v>
      </c>
      <c r="AA373">
        <v>9.6918690000000005E-3</v>
      </c>
      <c r="AB373">
        <v>-8.7075764E-2</v>
      </c>
      <c r="AC373">
        <v>6.6738534000000002E-2</v>
      </c>
      <c r="AD373">
        <v>0.87835803899999998</v>
      </c>
      <c r="AE373">
        <v>0.207767865</v>
      </c>
      <c r="AF373">
        <v>0.70691613799999997</v>
      </c>
      <c r="AG373">
        <v>1.448638326</v>
      </c>
      <c r="AH373">
        <v>2.9960809999999998E-3</v>
      </c>
      <c r="AI373">
        <v>0.42626066400000001</v>
      </c>
    </row>
    <row r="374" spans="1:35" x14ac:dyDescent="0.2">
      <c r="A374">
        <v>416</v>
      </c>
      <c r="B374" t="s">
        <v>538</v>
      </c>
      <c r="C374" t="s">
        <v>148</v>
      </c>
      <c r="D374" t="s">
        <v>132</v>
      </c>
      <c r="E374" s="11">
        <v>7.7999999999999999E-6</v>
      </c>
      <c r="F374" s="11">
        <v>2.4700000000000001E-6</v>
      </c>
      <c r="G374">
        <v>0.31693582999999997</v>
      </c>
      <c r="H374">
        <v>-0.501235392</v>
      </c>
      <c r="I374" s="11">
        <v>1.03E-5</v>
      </c>
      <c r="J374">
        <v>0.41114154000000003</v>
      </c>
      <c r="K374">
        <v>1.8892618999999999E-2</v>
      </c>
      <c r="L374">
        <v>2.5046344760000001</v>
      </c>
      <c r="M374">
        <v>4.0122530000000003E-3</v>
      </c>
      <c r="N374">
        <v>2.1957812E-2</v>
      </c>
      <c r="O374">
        <v>6.7894640000000003E-3</v>
      </c>
      <c r="P374">
        <v>9.3948539999999997E-2</v>
      </c>
      <c r="Q374">
        <v>1.283296016</v>
      </c>
      <c r="R374">
        <v>7.8876731820000003</v>
      </c>
      <c r="S374">
        <v>1.7937663999999999E-2</v>
      </c>
      <c r="T374">
        <v>1.6408880000000001E-2</v>
      </c>
      <c r="U374">
        <v>0.13719308199999999</v>
      </c>
      <c r="V374">
        <v>0.136165336</v>
      </c>
      <c r="W374">
        <v>0.99250876200000004</v>
      </c>
      <c r="X374">
        <v>5.0961389930000003</v>
      </c>
      <c r="Y374">
        <v>0.71889543300000003</v>
      </c>
      <c r="Z374">
        <v>0.286078106</v>
      </c>
      <c r="AA374">
        <v>4.3027569999999999E-3</v>
      </c>
      <c r="AB374">
        <v>-1</v>
      </c>
      <c r="AC374">
        <v>2.9679951E-2</v>
      </c>
      <c r="AD374">
        <v>0.87533242200000005</v>
      </c>
      <c r="AE374">
        <v>0.10214116400000001</v>
      </c>
      <c r="AF374">
        <v>0.37885996900000002</v>
      </c>
      <c r="AG374">
        <v>0.70216403500000002</v>
      </c>
      <c r="AH374">
        <v>1.332417E-3</v>
      </c>
      <c r="AI374">
        <v>0.228110006</v>
      </c>
    </row>
    <row r="375" spans="1:35" x14ac:dyDescent="0.2">
      <c r="A375">
        <v>417</v>
      </c>
      <c r="B375" t="s">
        <v>539</v>
      </c>
      <c r="C375" t="s">
        <v>148</v>
      </c>
      <c r="D375" t="s">
        <v>136</v>
      </c>
      <c r="E375" s="11">
        <v>1.04E-5</v>
      </c>
      <c r="F375" s="11">
        <v>3.3699999999999999E-6</v>
      </c>
      <c r="G375">
        <v>0.32350441600000002</v>
      </c>
      <c r="H375">
        <v>-8.7692774000000001E-2</v>
      </c>
      <c r="I375" s="11">
        <v>1.38E-5</v>
      </c>
      <c r="J375">
        <v>0.29191489399999998</v>
      </c>
      <c r="K375">
        <v>2.5343474000000001E-2</v>
      </c>
      <c r="L375">
        <v>1.8021763099999999</v>
      </c>
      <c r="M375">
        <v>2.4163136000000002E-2</v>
      </c>
      <c r="N375">
        <v>2.9484963999999999E-2</v>
      </c>
      <c r="O375">
        <v>9.1077160000000001E-3</v>
      </c>
      <c r="P375">
        <v>0.14043890000000001</v>
      </c>
      <c r="Q375">
        <v>0.94500718399999994</v>
      </c>
      <c r="R375">
        <v>5.9509209099999998</v>
      </c>
      <c r="S375">
        <v>2.5277517999999999E-2</v>
      </c>
      <c r="T375">
        <v>2.3019939E-2</v>
      </c>
      <c r="U375">
        <v>0.19333067600000001</v>
      </c>
      <c r="V375">
        <v>0.19102569699999999</v>
      </c>
      <c r="W375">
        <v>0.98807753099999995</v>
      </c>
      <c r="X375">
        <v>4.1538735019999997</v>
      </c>
      <c r="Y375">
        <v>0.97156609500000002</v>
      </c>
      <c r="Z375">
        <v>0.30971889200000002</v>
      </c>
      <c r="AA375">
        <v>1.1181185999999999E-2</v>
      </c>
      <c r="AB375">
        <v>-0.85491889799999998</v>
      </c>
      <c r="AC375">
        <v>7.7005795000000002E-2</v>
      </c>
      <c r="AD375">
        <v>0.87835886100000005</v>
      </c>
      <c r="AE375">
        <v>0.136238741</v>
      </c>
      <c r="AF375">
        <v>0.45258422799999998</v>
      </c>
      <c r="AG375">
        <v>1.631828711</v>
      </c>
      <c r="AH375">
        <v>3.4570069999999998E-3</v>
      </c>
      <c r="AI375">
        <v>0.27610378400000002</v>
      </c>
    </row>
    <row r="376" spans="1:35" x14ac:dyDescent="0.2">
      <c r="A376">
        <v>418</v>
      </c>
      <c r="B376" t="s">
        <v>540</v>
      </c>
      <c r="C376" t="s">
        <v>148</v>
      </c>
      <c r="D376" t="s">
        <v>140</v>
      </c>
      <c r="E376" s="11">
        <v>8.6100000000000006E-6</v>
      </c>
      <c r="F376" s="11">
        <v>2.8399999999999999E-6</v>
      </c>
      <c r="G376">
        <v>0.32968314900000001</v>
      </c>
      <c r="H376">
        <v>-0.52235291100000003</v>
      </c>
      <c r="I376" s="11">
        <v>1.1399999999999999E-5</v>
      </c>
      <c r="J376">
        <v>0.29191489399999998</v>
      </c>
      <c r="K376">
        <v>1.8120476E-2</v>
      </c>
      <c r="L376">
        <v>1.787730314</v>
      </c>
      <c r="M376">
        <v>1.2543416999999999E-2</v>
      </c>
      <c r="N376">
        <v>2.1058265999999999E-2</v>
      </c>
      <c r="O376">
        <v>6.5119779999999999E-3</v>
      </c>
      <c r="P376">
        <v>8.9814069999999996E-2</v>
      </c>
      <c r="Q376">
        <v>1.2255596369999999</v>
      </c>
      <c r="R376">
        <v>7.5329859619999997</v>
      </c>
      <c r="S376">
        <v>1.6222501E-2</v>
      </c>
      <c r="T376">
        <v>1.5342865000000001E-2</v>
      </c>
      <c r="U376">
        <v>0.124074963</v>
      </c>
      <c r="V376">
        <v>0.12731925299999999</v>
      </c>
      <c r="W376">
        <v>1.026147822</v>
      </c>
      <c r="X376">
        <v>5.2828104309999997</v>
      </c>
      <c r="Y376">
        <v>0.62727920000000004</v>
      </c>
      <c r="Z376">
        <v>0.28720245500000002</v>
      </c>
      <c r="AA376">
        <v>3.563376E-3</v>
      </c>
      <c r="AB376">
        <v>-1</v>
      </c>
      <c r="AC376">
        <v>2.4571636000000001E-2</v>
      </c>
      <c r="AD376">
        <v>0.85750753300000004</v>
      </c>
      <c r="AE376">
        <v>8.9189028000000004E-2</v>
      </c>
      <c r="AF376">
        <v>0.33512256200000001</v>
      </c>
      <c r="AG376">
        <v>0.58895213099999999</v>
      </c>
      <c r="AH376">
        <v>1.1030899999999999E-3</v>
      </c>
      <c r="AI376">
        <v>0.20162975499999999</v>
      </c>
    </row>
    <row r="377" spans="1:35" x14ac:dyDescent="0.2">
      <c r="A377">
        <v>419</v>
      </c>
      <c r="B377" t="s">
        <v>541</v>
      </c>
      <c r="C377" t="s">
        <v>148</v>
      </c>
      <c r="D377" t="s">
        <v>142</v>
      </c>
      <c r="E377" s="11">
        <v>9.3000000000000007E-6</v>
      </c>
      <c r="F377" s="11">
        <v>2.9299999999999999E-6</v>
      </c>
      <c r="G377">
        <v>0.31491679500000003</v>
      </c>
      <c r="H377">
        <v>1.1272363320000001</v>
      </c>
      <c r="I377" s="11">
        <v>1.22E-5</v>
      </c>
      <c r="J377">
        <v>0.295462116</v>
      </c>
      <c r="K377">
        <v>2.3757601999999999E-2</v>
      </c>
      <c r="L377">
        <v>1.8202879000000001</v>
      </c>
      <c r="M377">
        <v>5.5227508000000002E-2</v>
      </c>
      <c r="N377">
        <v>2.7628804E-2</v>
      </c>
      <c r="O377">
        <v>8.5377990000000004E-3</v>
      </c>
      <c r="P377">
        <v>6.9241839999999999E-2</v>
      </c>
      <c r="Q377">
        <v>0.94317072300000004</v>
      </c>
      <c r="R377">
        <v>5.7975080160000001</v>
      </c>
      <c r="S377">
        <v>2.5532086999999998E-2</v>
      </c>
      <c r="T377">
        <v>2.3634489000000002E-2</v>
      </c>
      <c r="U377">
        <v>0.195277696</v>
      </c>
      <c r="V377">
        <v>0.19612540000000001</v>
      </c>
      <c r="W377">
        <v>1.0043410180000001</v>
      </c>
      <c r="X377">
        <v>2.8142081810000001</v>
      </c>
      <c r="Y377">
        <v>18.460154589999998</v>
      </c>
      <c r="Z377">
        <v>1.1492534560000001</v>
      </c>
      <c r="AA377">
        <v>4.4689794999999997E-2</v>
      </c>
      <c r="AB377">
        <v>0.90139368099999995</v>
      </c>
      <c r="AC377">
        <v>14.510426000000001</v>
      </c>
      <c r="AD377">
        <v>1.068685162</v>
      </c>
      <c r="AE377">
        <v>1.9513152789999999</v>
      </c>
      <c r="AF377">
        <v>1.61957175</v>
      </c>
      <c r="AG377">
        <v>75.376134309999998</v>
      </c>
      <c r="AH377">
        <v>1.3408807E-2</v>
      </c>
      <c r="AI377">
        <v>1.304116008</v>
      </c>
    </row>
    <row r="378" spans="1:35" x14ac:dyDescent="0.2">
      <c r="A378">
        <v>420</v>
      </c>
      <c r="B378" t="s">
        <v>542</v>
      </c>
      <c r="C378" t="s">
        <v>148</v>
      </c>
      <c r="D378" t="s">
        <v>146</v>
      </c>
      <c r="E378" s="11">
        <v>1.04E-5</v>
      </c>
      <c r="F378" s="11">
        <v>3.2499999999999998E-6</v>
      </c>
      <c r="G378">
        <v>0.31340572300000002</v>
      </c>
      <c r="H378">
        <v>-0.14500319</v>
      </c>
      <c r="I378" s="11">
        <v>1.36E-5</v>
      </c>
      <c r="J378">
        <v>0.24130558199999999</v>
      </c>
      <c r="K378">
        <v>7.3247997999999995E-2</v>
      </c>
      <c r="L378">
        <v>1.5943294910000001</v>
      </c>
      <c r="M378">
        <v>9.2087689E-2</v>
      </c>
      <c r="N378">
        <v>1.0610435E-2</v>
      </c>
      <c r="O378">
        <v>3.27751E-3</v>
      </c>
      <c r="P378">
        <v>0.22732226</v>
      </c>
      <c r="Q378">
        <v>0.74874172000000006</v>
      </c>
      <c r="R378">
        <v>4.9470948379999999</v>
      </c>
      <c r="S378">
        <v>1.8125869999999999E-2</v>
      </c>
      <c r="T378">
        <v>1.7403339E-2</v>
      </c>
      <c r="U378">
        <v>0.138632543</v>
      </c>
      <c r="V378">
        <v>0.14441762999999999</v>
      </c>
      <c r="W378">
        <v>1.0417296460000001</v>
      </c>
      <c r="X378">
        <v>4.2891889499999998</v>
      </c>
      <c r="Y378">
        <v>1.4732183809999999</v>
      </c>
      <c r="Z378">
        <v>0.29552035399999999</v>
      </c>
      <c r="AA378">
        <v>9.7517449999999992E-3</v>
      </c>
      <c r="AB378">
        <v>-8.2208525000000005E-2</v>
      </c>
      <c r="AC378">
        <v>6.7152421000000004E-2</v>
      </c>
      <c r="AD378">
        <v>0.87773241999999996</v>
      </c>
      <c r="AE378">
        <v>0.20900672000000001</v>
      </c>
      <c r="AF378">
        <v>0.710430636</v>
      </c>
      <c r="AG378">
        <v>1.4563126580000001</v>
      </c>
      <c r="AH378">
        <v>3.0146610000000001E-3</v>
      </c>
      <c r="AI378">
        <v>0.42838200500000001</v>
      </c>
    </row>
    <row r="379" spans="1:35" x14ac:dyDescent="0.2">
      <c r="A379">
        <v>421</v>
      </c>
      <c r="B379" t="s">
        <v>543</v>
      </c>
      <c r="C379" t="s">
        <v>148</v>
      </c>
      <c r="D379" t="s">
        <v>150</v>
      </c>
      <c r="E379" s="11">
        <v>1.03E-5</v>
      </c>
      <c r="F379" s="11">
        <v>3.2600000000000001E-6</v>
      </c>
      <c r="G379">
        <v>0.31541650599999999</v>
      </c>
      <c r="H379">
        <v>-0.156059484</v>
      </c>
      <c r="I379" s="11">
        <v>1.36E-5</v>
      </c>
      <c r="J379">
        <v>0.241468299</v>
      </c>
      <c r="K379">
        <v>7.2380736000000001E-2</v>
      </c>
      <c r="L379">
        <v>1.593571265</v>
      </c>
      <c r="M379">
        <v>9.0998441999999999E-2</v>
      </c>
      <c r="N379">
        <v>1.0485151E-2</v>
      </c>
      <c r="O379">
        <v>3.2387039999999998E-3</v>
      </c>
      <c r="P379">
        <v>0.22474952000000001</v>
      </c>
      <c r="Q379">
        <v>0.74964695400000003</v>
      </c>
      <c r="R379">
        <v>4.9473807699999997</v>
      </c>
      <c r="S379">
        <v>1.8122111999999999E-2</v>
      </c>
      <c r="T379">
        <v>1.6667695E-2</v>
      </c>
      <c r="U379">
        <v>0.138603803</v>
      </c>
      <c r="V379">
        <v>0.13831305399999999</v>
      </c>
      <c r="W379">
        <v>0.99790230099999999</v>
      </c>
      <c r="X379">
        <v>4.2960485320000004</v>
      </c>
      <c r="Y379">
        <v>1.4645860930000001</v>
      </c>
      <c r="Z379">
        <v>0.29514585100000001</v>
      </c>
      <c r="AA379">
        <v>9.6843080000000008E-3</v>
      </c>
      <c r="AB379">
        <v>-8.8069367999999995E-2</v>
      </c>
      <c r="AC379">
        <v>6.6687947999999997E-2</v>
      </c>
      <c r="AD379">
        <v>0.87765592100000001</v>
      </c>
      <c r="AE379">
        <v>0.207785518</v>
      </c>
      <c r="AF379">
        <v>0.70704133300000005</v>
      </c>
      <c r="AG379">
        <v>1.447804216</v>
      </c>
      <c r="AH379">
        <v>2.99381E-3</v>
      </c>
      <c r="AI379">
        <v>0.42633119800000002</v>
      </c>
    </row>
    <row r="380" spans="1:35" x14ac:dyDescent="0.2">
      <c r="A380">
        <v>422</v>
      </c>
      <c r="B380" t="s">
        <v>544</v>
      </c>
      <c r="C380" t="s">
        <v>148</v>
      </c>
      <c r="D380" t="s">
        <v>156</v>
      </c>
      <c r="E380" s="11">
        <v>1.01E-5</v>
      </c>
      <c r="F380" s="11">
        <v>3.1999999999999999E-6</v>
      </c>
      <c r="G380">
        <v>0.31713875000000002</v>
      </c>
      <c r="H380">
        <v>7.3645857999999995E-2</v>
      </c>
      <c r="I380" s="11">
        <v>1.33E-5</v>
      </c>
      <c r="J380">
        <v>0.29191489399999998</v>
      </c>
      <c r="K380">
        <v>2.5336526000000002E-2</v>
      </c>
      <c r="L380">
        <v>1.802162413</v>
      </c>
      <c r="M380" s="11">
        <v>3.0600000000000001E-7</v>
      </c>
      <c r="N380">
        <v>2.9463818999999999E-2</v>
      </c>
      <c r="O380">
        <v>9.1052189999999995E-3</v>
      </c>
      <c r="P380">
        <v>0.14033820999999999</v>
      </c>
      <c r="Q380">
        <v>0.94458820499999996</v>
      </c>
      <c r="R380">
        <v>5.948205658</v>
      </c>
      <c r="S380">
        <v>2.5630317999999999E-2</v>
      </c>
      <c r="T380">
        <v>2.3031416999999998E-2</v>
      </c>
      <c r="U380">
        <v>0.19602900300000001</v>
      </c>
      <c r="V380">
        <v>0.19112094700000001</v>
      </c>
      <c r="W380">
        <v>0.97496260300000004</v>
      </c>
      <c r="X380">
        <v>3.993574105</v>
      </c>
      <c r="Y380">
        <v>1.1335339259999999</v>
      </c>
      <c r="Z380">
        <v>0.312407094</v>
      </c>
      <c r="AA380">
        <v>1.3148673E-2</v>
      </c>
      <c r="AB380">
        <v>-0.58986190999999999</v>
      </c>
      <c r="AC380">
        <v>9.0565723000000001E-2</v>
      </c>
      <c r="AD380">
        <v>0.873841478</v>
      </c>
      <c r="AE380">
        <v>0.15891553999999999</v>
      </c>
      <c r="AF380">
        <v>0.51159305799999999</v>
      </c>
      <c r="AG380">
        <v>1.8606861619999999</v>
      </c>
      <c r="AH380">
        <v>4.0657510000000003E-3</v>
      </c>
      <c r="AI380">
        <v>0.31217591</v>
      </c>
    </row>
    <row r="381" spans="1:35" x14ac:dyDescent="0.2">
      <c r="A381">
        <v>425</v>
      </c>
      <c r="B381" t="s">
        <v>545</v>
      </c>
      <c r="C381" t="s">
        <v>148</v>
      </c>
      <c r="D381" t="s">
        <v>168</v>
      </c>
      <c r="E381" s="11">
        <v>6.7399999999999998E-6</v>
      </c>
      <c r="F381" s="11">
        <v>2.1399999999999998E-6</v>
      </c>
      <c r="G381">
        <v>0.318351569</v>
      </c>
      <c r="H381">
        <v>-0.62390256600000005</v>
      </c>
      <c r="I381" s="11">
        <v>8.8799999999999997E-6</v>
      </c>
      <c r="J381">
        <v>0.29191978699999999</v>
      </c>
      <c r="K381">
        <v>1.2308700000000001E-2</v>
      </c>
      <c r="L381">
        <v>1.7761361229999999</v>
      </c>
      <c r="M381">
        <v>1.2837453E-2</v>
      </c>
      <c r="N381">
        <v>1.4283189999999999E-2</v>
      </c>
      <c r="O381">
        <v>4.4233930000000003E-3</v>
      </c>
      <c r="P381">
        <v>7.3375789999999996E-2</v>
      </c>
      <c r="Q381">
        <v>0.94260000200000005</v>
      </c>
      <c r="R381">
        <v>5.8023515940000001</v>
      </c>
      <c r="S381">
        <v>1.3278745999999999E-2</v>
      </c>
      <c r="T381">
        <v>1.1925986E-2</v>
      </c>
      <c r="U381">
        <v>0.101560162</v>
      </c>
      <c r="V381">
        <v>9.8965064000000005E-2</v>
      </c>
      <c r="W381">
        <v>0.97444767799999998</v>
      </c>
      <c r="X381">
        <v>4.7768925849999997</v>
      </c>
      <c r="Y381">
        <v>0.88329969200000003</v>
      </c>
      <c r="Z381">
        <v>0.27998046599999998</v>
      </c>
      <c r="AA381">
        <v>5.9352060000000002E-3</v>
      </c>
      <c r="AB381">
        <v>-1</v>
      </c>
      <c r="AC381">
        <v>4.0996786E-2</v>
      </c>
      <c r="AD381">
        <v>0.86304936300000001</v>
      </c>
      <c r="AE381">
        <v>0.12527860699999999</v>
      </c>
      <c r="AF381">
        <v>0.48146828200000003</v>
      </c>
      <c r="AG381">
        <v>1.424825456</v>
      </c>
      <c r="AH381">
        <v>1.8404610000000001E-3</v>
      </c>
      <c r="AI381">
        <v>0.29231048500000001</v>
      </c>
    </row>
    <row r="382" spans="1:35" x14ac:dyDescent="0.2">
      <c r="A382">
        <v>426</v>
      </c>
      <c r="B382" t="s">
        <v>546</v>
      </c>
      <c r="C382" t="s">
        <v>150</v>
      </c>
      <c r="D382" t="s">
        <v>130</v>
      </c>
      <c r="E382" s="11">
        <v>1.73E-5</v>
      </c>
      <c r="F382" s="11">
        <v>5.5899999999999998E-6</v>
      </c>
      <c r="G382">
        <v>0.32363483500000001</v>
      </c>
      <c r="H382">
        <v>0.222796085</v>
      </c>
      <c r="I382" s="11">
        <v>2.2799999999999999E-5</v>
      </c>
      <c r="J382">
        <v>0.50850687699999997</v>
      </c>
      <c r="K382">
        <v>1.5983557999999998E-2</v>
      </c>
      <c r="L382">
        <v>3.0830083749999999</v>
      </c>
      <c r="M382">
        <v>1.0373583E-2</v>
      </c>
      <c r="N382">
        <v>1.8627411999999999E-2</v>
      </c>
      <c r="O382">
        <v>5.7440310000000001E-3</v>
      </c>
      <c r="P382">
        <v>4.8166689999999998E-2</v>
      </c>
      <c r="Q382">
        <v>1.5324336759999999</v>
      </c>
      <c r="R382">
        <v>9.2909354359999998</v>
      </c>
      <c r="S382">
        <v>3.0224424E-2</v>
      </c>
      <c r="T382">
        <v>3.0636415E-2</v>
      </c>
      <c r="U382">
        <v>0.23116621600000001</v>
      </c>
      <c r="V382">
        <v>0.254229278</v>
      </c>
      <c r="W382">
        <v>1.0997683069999999</v>
      </c>
      <c r="X382">
        <v>3.563223458</v>
      </c>
      <c r="Y382">
        <v>4.5787359289999996</v>
      </c>
      <c r="Z382">
        <v>0.31310602100000001</v>
      </c>
      <c r="AA382">
        <v>2.3711214000000001E-2</v>
      </c>
      <c r="AB382">
        <v>0.326668228</v>
      </c>
      <c r="AC382">
        <v>2.0297342999999999E-2</v>
      </c>
      <c r="AD382">
        <v>0.887979352</v>
      </c>
      <c r="AE382">
        <v>0.76018039000000004</v>
      </c>
      <c r="AF382">
        <v>2.3596849209999999</v>
      </c>
      <c r="AG382">
        <v>0.40182465499999998</v>
      </c>
      <c r="AH382">
        <v>7.3183160000000001E-3</v>
      </c>
      <c r="AI382">
        <v>1.2157801509999999</v>
      </c>
    </row>
    <row r="383" spans="1:35" x14ac:dyDescent="0.2">
      <c r="A383">
        <v>427</v>
      </c>
      <c r="B383" t="s">
        <v>547</v>
      </c>
      <c r="C383" t="s">
        <v>150</v>
      </c>
      <c r="D383" t="s">
        <v>158</v>
      </c>
      <c r="E383" s="11">
        <v>6.1700000000000002E-6</v>
      </c>
      <c r="F383" s="11">
        <v>1.9199999999999998E-6</v>
      </c>
      <c r="G383">
        <v>0.31141963499999997</v>
      </c>
      <c r="H383">
        <v>-9.8257802000000005E-2</v>
      </c>
      <c r="I383" s="11">
        <v>8.1000000000000004E-6</v>
      </c>
      <c r="J383">
        <v>0.20815462100000001</v>
      </c>
      <c r="K383">
        <v>4.0920180000000002E-3</v>
      </c>
      <c r="L383">
        <v>1.2571117620000001</v>
      </c>
      <c r="M383">
        <v>6.4925859999999998E-3</v>
      </c>
      <c r="N383">
        <v>4.7459989999999999E-3</v>
      </c>
      <c r="O383">
        <v>1.470554E-3</v>
      </c>
      <c r="P383">
        <v>1.295659E-2</v>
      </c>
      <c r="Q383">
        <v>0.65888802899999999</v>
      </c>
      <c r="R383">
        <v>3.9792413459999998</v>
      </c>
      <c r="S383">
        <v>8.9174200000000006E-3</v>
      </c>
      <c r="T383">
        <v>8.0340169999999992E-3</v>
      </c>
      <c r="U383">
        <v>6.8203327999999994E-2</v>
      </c>
      <c r="V383">
        <v>6.6668451000000004E-2</v>
      </c>
      <c r="W383">
        <v>0.97749556999999998</v>
      </c>
      <c r="X383">
        <v>4.2090863199999999</v>
      </c>
      <c r="Y383">
        <v>1.750069125</v>
      </c>
      <c r="Z383">
        <v>0.30017292000000001</v>
      </c>
      <c r="AA383">
        <v>1.0741058E-2</v>
      </c>
      <c r="AB383">
        <v>0.28167879499999998</v>
      </c>
      <c r="AC383">
        <v>9.2324569999999995E-3</v>
      </c>
      <c r="AD383">
        <v>0.86754795699999998</v>
      </c>
      <c r="AE383">
        <v>0.28968719999999998</v>
      </c>
      <c r="AF383">
        <v>1.274833369</v>
      </c>
      <c r="AG383">
        <v>0.342909566</v>
      </c>
      <c r="AH383">
        <v>3.328812E-3</v>
      </c>
      <c r="AI383">
        <v>0.66271307999999995</v>
      </c>
    </row>
    <row r="384" spans="1:35" x14ac:dyDescent="0.2">
      <c r="A384">
        <v>428</v>
      </c>
      <c r="B384" t="s">
        <v>548</v>
      </c>
      <c r="C384" t="s">
        <v>204</v>
      </c>
      <c r="D384" t="s">
        <v>129</v>
      </c>
      <c r="E384" s="11">
        <v>4.7600000000000002E-6</v>
      </c>
      <c r="F384" s="11">
        <v>1.5400000000000001E-6</v>
      </c>
      <c r="G384">
        <v>0.32313836699999998</v>
      </c>
      <c r="H384">
        <v>-1.085772188</v>
      </c>
      <c r="I384" s="11">
        <v>6.2899999999999999E-6</v>
      </c>
      <c r="J384">
        <v>0.62364061800000004</v>
      </c>
      <c r="K384">
        <v>1.2472334810000001</v>
      </c>
      <c r="L384">
        <v>6.236310671</v>
      </c>
      <c r="M384">
        <v>0.39974325900000002</v>
      </c>
      <c r="N384">
        <v>2.6557477999999999E-2</v>
      </c>
      <c r="O384">
        <v>8.240519E-3</v>
      </c>
      <c r="P384">
        <v>1.77893634</v>
      </c>
      <c r="Q384">
        <v>2.0098584719999999</v>
      </c>
      <c r="R384">
        <v>15.6170235</v>
      </c>
      <c r="S384">
        <v>2.3135915E-2</v>
      </c>
      <c r="T384">
        <v>2.1093945999999999E-2</v>
      </c>
      <c r="U384">
        <v>0.176950996</v>
      </c>
      <c r="V384">
        <v>0.17504328199999999</v>
      </c>
      <c r="W384">
        <v>0.98921897000000003</v>
      </c>
      <c r="X384">
        <v>4.3419052430000002</v>
      </c>
      <c r="Y384">
        <v>2.2643772260000001</v>
      </c>
      <c r="Z384">
        <v>0.28885389900000003</v>
      </c>
      <c r="AA384">
        <v>8.6489119999999999E-3</v>
      </c>
      <c r="AB384">
        <v>-1</v>
      </c>
      <c r="AC384">
        <v>0.21275322599999999</v>
      </c>
      <c r="AD384">
        <v>0.84476820500000005</v>
      </c>
      <c r="AE384">
        <v>0.229755501</v>
      </c>
      <c r="AF384">
        <v>0.99353117400000002</v>
      </c>
      <c r="AG384">
        <v>2.4814215289999999</v>
      </c>
      <c r="AH384">
        <v>2.685369E-3</v>
      </c>
      <c r="AI384">
        <v>0.646731956</v>
      </c>
    </row>
    <row r="385" spans="1:35" x14ac:dyDescent="0.2">
      <c r="A385">
        <v>429</v>
      </c>
      <c r="B385" t="s">
        <v>549</v>
      </c>
      <c r="C385" t="s">
        <v>204</v>
      </c>
      <c r="D385" t="s">
        <v>130</v>
      </c>
      <c r="E385" s="11">
        <v>6.5899999999999996E-6</v>
      </c>
      <c r="F385" s="11">
        <v>2.0600000000000002E-6</v>
      </c>
      <c r="G385">
        <v>0.312196376</v>
      </c>
      <c r="H385">
        <v>-5.9368881999999998E-2</v>
      </c>
      <c r="I385" s="11">
        <v>8.6400000000000003E-6</v>
      </c>
      <c r="J385">
        <v>0.28557858600000002</v>
      </c>
      <c r="K385">
        <v>5.2016099999999997E-3</v>
      </c>
      <c r="L385">
        <v>1.7238747379999999</v>
      </c>
      <c r="M385">
        <v>6.0454669999999997E-3</v>
      </c>
      <c r="N385">
        <v>6.0359740000000004E-3</v>
      </c>
      <c r="O385">
        <v>1.869309E-3</v>
      </c>
      <c r="P385">
        <v>1.6393769999999998E-2</v>
      </c>
      <c r="Q385">
        <v>0.90011410999999997</v>
      </c>
      <c r="R385">
        <v>5.4334721999999998</v>
      </c>
      <c r="S385">
        <v>1.0092851999999999E-2</v>
      </c>
      <c r="T385">
        <v>9.6465349999999995E-3</v>
      </c>
      <c r="U385">
        <v>7.7193413000000002E-2</v>
      </c>
      <c r="V385">
        <v>8.0049561000000005E-2</v>
      </c>
      <c r="W385">
        <v>1.036999893</v>
      </c>
      <c r="X385">
        <v>4.5419854769999999</v>
      </c>
      <c r="Y385">
        <v>1.695013361</v>
      </c>
      <c r="Z385">
        <v>0.29838531299999999</v>
      </c>
      <c r="AA385">
        <v>7.1596350000000001E-3</v>
      </c>
      <c r="AB385">
        <v>-1.7027226999999999E-2</v>
      </c>
      <c r="AC385">
        <v>6.1501510000000004E-3</v>
      </c>
      <c r="AD385">
        <v>0.85122904300000002</v>
      </c>
      <c r="AE385">
        <v>0.28221370299999998</v>
      </c>
      <c r="AF385">
        <v>0.99447088299999997</v>
      </c>
      <c r="AG385">
        <v>0.13570505799999999</v>
      </c>
      <c r="AH385">
        <v>2.21747E-3</v>
      </c>
      <c r="AI385">
        <v>0.51080990699999995</v>
      </c>
    </row>
    <row r="386" spans="1:35" x14ac:dyDescent="0.2">
      <c r="A386">
        <v>430</v>
      </c>
      <c r="B386" t="s">
        <v>550</v>
      </c>
      <c r="C386" t="s">
        <v>204</v>
      </c>
      <c r="D386" t="s">
        <v>132</v>
      </c>
      <c r="E386" s="11">
        <v>3.6899999999999998E-6</v>
      </c>
      <c r="F386" s="11">
        <v>1.1599999999999999E-6</v>
      </c>
      <c r="G386">
        <v>0.31320532699999998</v>
      </c>
      <c r="H386">
        <v>-1.2533035429999999</v>
      </c>
      <c r="I386" s="11">
        <v>4.8500000000000002E-6</v>
      </c>
      <c r="J386">
        <v>0.27819290000000002</v>
      </c>
      <c r="K386">
        <v>5.4024779999999996E-3</v>
      </c>
      <c r="L386">
        <v>1.679962357</v>
      </c>
      <c r="M386">
        <v>9.0600209999999997E-3</v>
      </c>
      <c r="N386">
        <v>6.2177600000000001E-3</v>
      </c>
      <c r="O386">
        <v>1.9414949999999999E-3</v>
      </c>
      <c r="P386">
        <v>1.690198E-2</v>
      </c>
      <c r="Q386">
        <v>0.88209849100000004</v>
      </c>
      <c r="R386">
        <v>5.3263949139999998</v>
      </c>
      <c r="S386">
        <v>9.8295259999999999E-3</v>
      </c>
      <c r="T386">
        <v>8.5662580000000002E-3</v>
      </c>
      <c r="U386">
        <v>7.5179413E-2</v>
      </c>
      <c r="V386">
        <v>7.1085130999999996E-2</v>
      </c>
      <c r="W386">
        <v>0.94553985100000004</v>
      </c>
      <c r="X386">
        <v>5.3888189359999998</v>
      </c>
      <c r="Y386">
        <v>0.83206104299999994</v>
      </c>
      <c r="Z386">
        <v>0.28407639499999998</v>
      </c>
      <c r="AA386">
        <v>3.1785580000000002E-3</v>
      </c>
      <c r="AB386">
        <v>-1</v>
      </c>
      <c r="AC386">
        <v>2.735094E-3</v>
      </c>
      <c r="AD386">
        <v>0.84829687499999995</v>
      </c>
      <c r="AE386">
        <v>0.138739627</v>
      </c>
      <c r="AF386">
        <v>0.53297015999999997</v>
      </c>
      <c r="AG386">
        <v>6.5777088999999997E-2</v>
      </c>
      <c r="AH386">
        <v>9.8615300000000003E-4</v>
      </c>
      <c r="AI386">
        <v>0.27335586099999998</v>
      </c>
    </row>
    <row r="387" spans="1:35" x14ac:dyDescent="0.2">
      <c r="A387">
        <v>431</v>
      </c>
      <c r="B387" t="s">
        <v>551</v>
      </c>
      <c r="C387" t="s">
        <v>204</v>
      </c>
      <c r="D387" t="s">
        <v>134</v>
      </c>
      <c r="E387" s="11">
        <v>8.9600000000000006E-6</v>
      </c>
      <c r="F387" s="11">
        <v>2.9699999999999999E-6</v>
      </c>
      <c r="G387">
        <v>0.33117001200000001</v>
      </c>
      <c r="H387">
        <v>-0.37476078000000002</v>
      </c>
      <c r="I387" s="11">
        <v>1.19E-5</v>
      </c>
      <c r="J387">
        <v>0.28456421799999998</v>
      </c>
      <c r="K387">
        <v>9.7601379999999998E-3</v>
      </c>
      <c r="L387">
        <v>1.726905584</v>
      </c>
      <c r="M387">
        <v>1.1321337000000001E-2</v>
      </c>
      <c r="N387">
        <v>1.1403506000000001E-2</v>
      </c>
      <c r="O387">
        <v>3.5075129999999999E-3</v>
      </c>
      <c r="P387">
        <v>2.863251E-2</v>
      </c>
      <c r="Q387">
        <v>0.83476231300000003</v>
      </c>
      <c r="R387">
        <v>5.0658388920000004</v>
      </c>
      <c r="S387">
        <v>1.8094539999999999E-2</v>
      </c>
      <c r="T387">
        <v>1.8130723000000001E-2</v>
      </c>
      <c r="U387">
        <v>0.138392924</v>
      </c>
      <c r="V387">
        <v>0.15045365499999999</v>
      </c>
      <c r="W387">
        <v>1.0871484659999999</v>
      </c>
      <c r="X387">
        <v>4.2291564690000003</v>
      </c>
      <c r="Y387">
        <v>1.6277318569999999</v>
      </c>
      <c r="Z387">
        <v>0.38812350400000001</v>
      </c>
      <c r="AA387">
        <v>9.6615529999999998E-3</v>
      </c>
      <c r="AB387">
        <v>-6.0927558E-2</v>
      </c>
      <c r="AC387">
        <v>8.2963350000000002E-3</v>
      </c>
      <c r="AD387">
        <v>0.87318702199999998</v>
      </c>
      <c r="AE387">
        <v>0.26929068499999997</v>
      </c>
      <c r="AF387">
        <v>0.72000277999999995</v>
      </c>
      <c r="AG387">
        <v>0.13891355999999999</v>
      </c>
      <c r="AH387">
        <v>2.9912879999999999E-3</v>
      </c>
      <c r="AI387">
        <v>0.37219379000000002</v>
      </c>
    </row>
    <row r="388" spans="1:35" x14ac:dyDescent="0.2">
      <c r="A388">
        <v>432</v>
      </c>
      <c r="B388" t="s">
        <v>552</v>
      </c>
      <c r="C388" t="s">
        <v>204</v>
      </c>
      <c r="D388" t="s">
        <v>136</v>
      </c>
      <c r="E388" s="11">
        <v>7.1300000000000003E-6</v>
      </c>
      <c r="F388" s="11">
        <v>2.26E-6</v>
      </c>
      <c r="G388">
        <v>0.31686245600000001</v>
      </c>
      <c r="H388">
        <v>-2.9832303000000001E-2</v>
      </c>
      <c r="I388" s="11">
        <v>9.3999999999999998E-6</v>
      </c>
      <c r="J388">
        <v>0.22374667600000001</v>
      </c>
      <c r="K388">
        <v>7.0272340000000003E-3</v>
      </c>
      <c r="L388">
        <v>1.3565345259999999</v>
      </c>
      <c r="M388">
        <v>1.0327997E-2</v>
      </c>
      <c r="N388">
        <v>8.1617200000000008E-3</v>
      </c>
      <c r="O388">
        <v>2.5253860000000001E-3</v>
      </c>
      <c r="P388">
        <v>2.1981359999999998E-2</v>
      </c>
      <c r="Q388">
        <v>0.69960758099999998</v>
      </c>
      <c r="R388">
        <v>4.2416081999999999</v>
      </c>
      <c r="S388">
        <v>1.3711482000000001E-2</v>
      </c>
      <c r="T388">
        <v>1.3062931E-2</v>
      </c>
      <c r="U388">
        <v>0.10486986700000001</v>
      </c>
      <c r="V388">
        <v>0.10839974500000001</v>
      </c>
      <c r="W388">
        <v>1.033659602</v>
      </c>
      <c r="X388">
        <v>4.3924375329999998</v>
      </c>
      <c r="Y388">
        <v>1.124506097</v>
      </c>
      <c r="Z388">
        <v>0.30755176400000001</v>
      </c>
      <c r="AA388">
        <v>8.2598319999999999E-3</v>
      </c>
      <c r="AB388">
        <v>-0.20633808000000001</v>
      </c>
      <c r="AC388">
        <v>7.0963099999999998E-3</v>
      </c>
      <c r="AD388">
        <v>0.85122984000000002</v>
      </c>
      <c r="AE388">
        <v>0.18505479399999999</v>
      </c>
      <c r="AF388">
        <v>0.63668349400000002</v>
      </c>
      <c r="AG388">
        <v>0.152865906</v>
      </c>
      <c r="AH388">
        <v>2.5586129999999999E-3</v>
      </c>
      <c r="AI388">
        <v>0.330869254</v>
      </c>
    </row>
    <row r="389" spans="1:35" x14ac:dyDescent="0.2">
      <c r="A389">
        <v>433</v>
      </c>
      <c r="B389" t="s">
        <v>553</v>
      </c>
      <c r="C389" t="s">
        <v>204</v>
      </c>
      <c r="D389" t="s">
        <v>138</v>
      </c>
      <c r="E389" s="11">
        <v>4.9900000000000001E-7</v>
      </c>
      <c r="F389" s="11">
        <v>1.5999999999999999E-6</v>
      </c>
      <c r="G389">
        <v>3.2111601680000001</v>
      </c>
      <c r="H389">
        <v>-0.23816970400000001</v>
      </c>
      <c r="I389" s="11">
        <v>2.0999999999999998E-6</v>
      </c>
      <c r="J389">
        <v>5.492186716</v>
      </c>
      <c r="K389">
        <v>4.1159839999999996E-3</v>
      </c>
      <c r="L389">
        <v>32.961352259999998</v>
      </c>
      <c r="M389">
        <v>2.4975600000000001E-4</v>
      </c>
      <c r="N389">
        <v>4.8891550000000001E-3</v>
      </c>
      <c r="O389">
        <v>1.4791660000000001E-3</v>
      </c>
      <c r="P389">
        <v>1.27878E-3</v>
      </c>
      <c r="Q389">
        <v>1.706351991</v>
      </c>
      <c r="R389">
        <v>10.24066951</v>
      </c>
      <c r="S389">
        <v>9.5630460000000004E-3</v>
      </c>
      <c r="T389">
        <v>1.1319256E-2</v>
      </c>
      <c r="U389">
        <v>7.3141285E-2</v>
      </c>
      <c r="V389">
        <v>9.3930252000000006E-2</v>
      </c>
      <c r="W389">
        <v>1.2842302670000001</v>
      </c>
      <c r="X389">
        <v>3.1689966090000001</v>
      </c>
      <c r="Y389">
        <v>10.417676370000001</v>
      </c>
      <c r="Z389">
        <v>0.35921181600000002</v>
      </c>
      <c r="AA389">
        <v>2.5462901999999999E-2</v>
      </c>
      <c r="AB389">
        <v>-1</v>
      </c>
      <c r="AC389">
        <v>2.2879711E-2</v>
      </c>
      <c r="AD389">
        <v>0.87782119300000006</v>
      </c>
      <c r="AE389">
        <v>1.7452473529999999</v>
      </c>
      <c r="AF389">
        <v>3.1834022759999998</v>
      </c>
      <c r="AG389">
        <v>0.32484763700000002</v>
      </c>
      <c r="AH389">
        <v>8.2494030000000006E-3</v>
      </c>
      <c r="AI389">
        <v>1.628783868</v>
      </c>
    </row>
    <row r="390" spans="1:35" x14ac:dyDescent="0.2">
      <c r="A390">
        <v>434</v>
      </c>
      <c r="B390" t="s">
        <v>554</v>
      </c>
      <c r="C390" t="s">
        <v>204</v>
      </c>
      <c r="D390" t="s">
        <v>140</v>
      </c>
      <c r="E390" s="11">
        <v>6.19E-6</v>
      </c>
      <c r="F390" s="11">
        <v>1.9300000000000002E-6</v>
      </c>
      <c r="G390">
        <v>0.311044133</v>
      </c>
      <c r="H390">
        <v>-0.68149325999999999</v>
      </c>
      <c r="I390" s="11">
        <v>8.1100000000000003E-6</v>
      </c>
      <c r="J390">
        <v>0.231239366</v>
      </c>
      <c r="K390">
        <v>5.066274E-3</v>
      </c>
      <c r="L390">
        <v>1.397568742</v>
      </c>
      <c r="M390">
        <v>7.2338899999999998E-3</v>
      </c>
      <c r="N390">
        <v>5.87632E-3</v>
      </c>
      <c r="O390">
        <v>1.8206730000000001E-3</v>
      </c>
      <c r="P390">
        <v>1.597005E-2</v>
      </c>
      <c r="Q390">
        <v>0.72880293200000001</v>
      </c>
      <c r="R390">
        <v>4.4047577000000002</v>
      </c>
      <c r="S390">
        <v>1.047215E-2</v>
      </c>
      <c r="T390">
        <v>9.4878080000000004E-3</v>
      </c>
      <c r="U390">
        <v>8.0094407000000006E-2</v>
      </c>
      <c r="V390">
        <v>7.8732400999999994E-2</v>
      </c>
      <c r="W390">
        <v>0.98299499199999996</v>
      </c>
      <c r="X390">
        <v>5.5862112330000002</v>
      </c>
      <c r="Y390">
        <v>0.726022952</v>
      </c>
      <c r="Z390">
        <v>0.28519287599999998</v>
      </c>
      <c r="AA390">
        <v>2.632358E-3</v>
      </c>
      <c r="AB390">
        <v>-0.924964958</v>
      </c>
      <c r="AC390">
        <v>2.2643479999999998E-3</v>
      </c>
      <c r="AD390">
        <v>0.83102252600000004</v>
      </c>
      <c r="AE390">
        <v>0.12114657700000001</v>
      </c>
      <c r="AF390">
        <v>0.47144153500000002</v>
      </c>
      <c r="AG390">
        <v>5.5171662000000003E-2</v>
      </c>
      <c r="AH390">
        <v>8.1642300000000004E-4</v>
      </c>
      <c r="AI390">
        <v>0.241623225</v>
      </c>
    </row>
    <row r="391" spans="1:35" x14ac:dyDescent="0.2">
      <c r="A391">
        <v>435</v>
      </c>
      <c r="B391" t="s">
        <v>555</v>
      </c>
      <c r="C391" t="s">
        <v>204</v>
      </c>
      <c r="D391" t="s">
        <v>144</v>
      </c>
      <c r="E391" s="11">
        <v>7.9200000000000004E-6</v>
      </c>
      <c r="F391" s="11">
        <v>2.4700000000000001E-6</v>
      </c>
      <c r="G391">
        <v>0.312307695</v>
      </c>
      <c r="H391">
        <v>1.0437695E-2</v>
      </c>
      <c r="I391" s="11">
        <v>1.04E-5</v>
      </c>
      <c r="J391">
        <v>0.29074334200000002</v>
      </c>
      <c r="K391">
        <v>1.1690387E-2</v>
      </c>
      <c r="L391">
        <v>1.7678408249999999</v>
      </c>
      <c r="M391">
        <v>2.2514589999999999E-3</v>
      </c>
      <c r="N391">
        <v>1.3577382000000001E-2</v>
      </c>
      <c r="O391">
        <v>4.2011890000000001E-3</v>
      </c>
      <c r="P391">
        <v>3.5860580000000003E-2</v>
      </c>
      <c r="Q391">
        <v>0.93340708500000003</v>
      </c>
      <c r="R391">
        <v>5.6721636640000002</v>
      </c>
      <c r="S391">
        <v>1.5889804E-2</v>
      </c>
      <c r="T391">
        <v>1.4508312000000001E-2</v>
      </c>
      <c r="U391">
        <v>0.12153038200000001</v>
      </c>
      <c r="V391">
        <v>0.12039390699999999</v>
      </c>
      <c r="W391">
        <v>0.990648635</v>
      </c>
      <c r="X391">
        <v>4.038111571</v>
      </c>
      <c r="Y391">
        <v>1.5701383010000001</v>
      </c>
      <c r="Z391">
        <v>0.29793837299999998</v>
      </c>
      <c r="AA391">
        <v>1.1597268000000001E-2</v>
      </c>
      <c r="AB391">
        <v>-0.12591408300000001</v>
      </c>
      <c r="AC391">
        <v>9.9604199999999993E-3</v>
      </c>
      <c r="AD391">
        <v>0.86666745999999995</v>
      </c>
      <c r="AE391">
        <v>0.25835306800000002</v>
      </c>
      <c r="AF391">
        <v>0.82887902000000002</v>
      </c>
      <c r="AG391">
        <v>0.200123834</v>
      </c>
      <c r="AH391">
        <v>3.5912829999999998E-3</v>
      </c>
      <c r="AI391">
        <v>0.430813373</v>
      </c>
    </row>
    <row r="392" spans="1:35" x14ac:dyDescent="0.2">
      <c r="A392">
        <v>436</v>
      </c>
      <c r="B392" t="s">
        <v>556</v>
      </c>
      <c r="C392" t="s">
        <v>204</v>
      </c>
      <c r="D392" t="s">
        <v>146</v>
      </c>
      <c r="E392" s="11">
        <v>7.8099999999999998E-6</v>
      </c>
      <c r="F392" s="11">
        <v>2.4600000000000002E-6</v>
      </c>
      <c r="G392">
        <v>0.31474651399999998</v>
      </c>
      <c r="H392">
        <v>-0.480968165</v>
      </c>
      <c r="I392" s="11">
        <v>1.03E-5</v>
      </c>
      <c r="J392">
        <v>0.28348155600000002</v>
      </c>
      <c r="K392">
        <v>7.2098400000000003E-3</v>
      </c>
      <c r="L392">
        <v>1.715309019</v>
      </c>
      <c r="M392">
        <v>8.3788479999999995E-3</v>
      </c>
      <c r="N392">
        <v>8.3765939999999994E-3</v>
      </c>
      <c r="O392">
        <v>2.591009E-3</v>
      </c>
      <c r="P392">
        <v>2.2541149999999999E-2</v>
      </c>
      <c r="Q392">
        <v>0.88631010099999996</v>
      </c>
      <c r="R392">
        <v>5.362942898</v>
      </c>
      <c r="S392">
        <v>1.4056999000000001E-2</v>
      </c>
      <c r="T392">
        <v>1.3464459999999999E-2</v>
      </c>
      <c r="U392">
        <v>0.107512495</v>
      </c>
      <c r="V392">
        <v>0.111731737</v>
      </c>
      <c r="W392">
        <v>1.039244201</v>
      </c>
      <c r="X392">
        <v>4.5355243779999999</v>
      </c>
      <c r="Y392">
        <v>1.7051264559999999</v>
      </c>
      <c r="Z392">
        <v>0.29345257400000002</v>
      </c>
      <c r="AA392">
        <v>7.2038670000000001E-3</v>
      </c>
      <c r="AB392">
        <v>-5.9717349999999997E-3</v>
      </c>
      <c r="AC392">
        <v>6.1882919999999998E-3</v>
      </c>
      <c r="AD392">
        <v>0.85062274699999996</v>
      </c>
      <c r="AE392">
        <v>0.28389645499999999</v>
      </c>
      <c r="AF392">
        <v>0.99941498500000003</v>
      </c>
      <c r="AG392">
        <v>0.136423972</v>
      </c>
      <c r="AH392">
        <v>2.2312220000000002E-3</v>
      </c>
      <c r="AI392">
        <v>0.51335201699999999</v>
      </c>
    </row>
    <row r="393" spans="1:35" x14ac:dyDescent="0.2">
      <c r="A393">
        <v>438</v>
      </c>
      <c r="B393" t="s">
        <v>557</v>
      </c>
      <c r="C393" t="s">
        <v>204</v>
      </c>
      <c r="D393" t="s">
        <v>150</v>
      </c>
      <c r="E393" s="11">
        <v>7.8199999999999997E-6</v>
      </c>
      <c r="F393" s="11">
        <v>2.48E-6</v>
      </c>
      <c r="G393">
        <v>0.31704323699999998</v>
      </c>
      <c r="H393">
        <v>-0.48905659200000001</v>
      </c>
      <c r="I393" s="11">
        <v>1.03E-5</v>
      </c>
      <c r="J393">
        <v>0.28315888900000002</v>
      </c>
      <c r="K393">
        <v>7.1889420000000002E-3</v>
      </c>
      <c r="L393">
        <v>1.713331218</v>
      </c>
      <c r="M393">
        <v>8.403443E-3</v>
      </c>
      <c r="N393">
        <v>8.3535099999999998E-3</v>
      </c>
      <c r="O393">
        <v>2.583499E-3</v>
      </c>
      <c r="P393">
        <v>2.2481359999999999E-2</v>
      </c>
      <c r="Q393">
        <v>0.88546507100000005</v>
      </c>
      <c r="R393">
        <v>5.3577531399999998</v>
      </c>
      <c r="S393">
        <v>1.4005750000000001E-2</v>
      </c>
      <c r="T393">
        <v>1.3432075E-2</v>
      </c>
      <c r="U393">
        <v>0.10712052399999999</v>
      </c>
      <c r="V393">
        <v>0.11146299799999999</v>
      </c>
      <c r="W393">
        <v>1.040538207</v>
      </c>
      <c r="X393">
        <v>4.5427779179999996</v>
      </c>
      <c r="Y393">
        <v>1.695135308</v>
      </c>
      <c r="Z393">
        <v>0.293080691</v>
      </c>
      <c r="AA393">
        <v>7.1540500000000003E-3</v>
      </c>
      <c r="AB393">
        <v>-1.0734193E-2</v>
      </c>
      <c r="AC393">
        <v>6.14549E-3</v>
      </c>
      <c r="AD393">
        <v>0.85054861000000004</v>
      </c>
      <c r="AE393">
        <v>0.28223768100000002</v>
      </c>
      <c r="AF393">
        <v>0.99464700299999997</v>
      </c>
      <c r="AG393">
        <v>0.13562692100000001</v>
      </c>
      <c r="AH393">
        <v>2.2157890000000001E-3</v>
      </c>
      <c r="AI393">
        <v>0.51089443099999998</v>
      </c>
    </row>
    <row r="394" spans="1:35" x14ac:dyDescent="0.2">
      <c r="A394">
        <v>439</v>
      </c>
      <c r="B394" t="s">
        <v>558</v>
      </c>
      <c r="C394" t="s">
        <v>204</v>
      </c>
      <c r="D394" t="s">
        <v>156</v>
      </c>
      <c r="E394" s="11">
        <v>6.9700000000000002E-6</v>
      </c>
      <c r="F394" s="11">
        <v>2.1799999999999999E-6</v>
      </c>
      <c r="G394">
        <v>0.31237928700000001</v>
      </c>
      <c r="H394">
        <v>0.16075681</v>
      </c>
      <c r="I394" s="11">
        <v>9.1400000000000006E-6</v>
      </c>
      <c r="J394">
        <v>0.222577566</v>
      </c>
      <c r="K394">
        <v>6.9550929999999999E-3</v>
      </c>
      <c r="L394">
        <v>1.349375585</v>
      </c>
      <c r="M394">
        <v>1.0297616000000001E-2</v>
      </c>
      <c r="N394">
        <v>8.0757980000000004E-3</v>
      </c>
      <c r="O394">
        <v>2.4994599999999998E-3</v>
      </c>
      <c r="P394">
        <v>2.175713E-2</v>
      </c>
      <c r="Q394">
        <v>0.696039768</v>
      </c>
      <c r="R394">
        <v>4.2197528660000003</v>
      </c>
      <c r="S394">
        <v>1.3583256E-2</v>
      </c>
      <c r="T394">
        <v>1.2918748000000001E-2</v>
      </c>
      <c r="U394">
        <v>0.103889153</v>
      </c>
      <c r="V394">
        <v>0.107203272</v>
      </c>
      <c r="W394">
        <v>1.0319005299999999</v>
      </c>
      <c r="X394">
        <v>4.2229318679999999</v>
      </c>
      <c r="Y394">
        <v>1.311970249</v>
      </c>
      <c r="Z394">
        <v>0.310221156</v>
      </c>
      <c r="AA394">
        <v>9.7132659999999999E-3</v>
      </c>
      <c r="AB394">
        <v>-2.8510811E-2</v>
      </c>
      <c r="AC394">
        <v>8.3458969999999997E-3</v>
      </c>
      <c r="AD394">
        <v>0.84685198100000003</v>
      </c>
      <c r="AE394">
        <v>0.21585697600000001</v>
      </c>
      <c r="AF394">
        <v>0.71969555100000004</v>
      </c>
      <c r="AG394">
        <v>0.17430473799999999</v>
      </c>
      <c r="AH394">
        <v>3.0091580000000001E-3</v>
      </c>
      <c r="AI394">
        <v>0.37409632399999998</v>
      </c>
    </row>
    <row r="395" spans="1:35" x14ac:dyDescent="0.2">
      <c r="A395">
        <v>440</v>
      </c>
      <c r="B395" t="s">
        <v>559</v>
      </c>
      <c r="C395" t="s">
        <v>204</v>
      </c>
      <c r="D395" t="s">
        <v>158</v>
      </c>
      <c r="E395" s="11">
        <v>3.8799999999999998E-7</v>
      </c>
      <c r="F395" s="11">
        <v>1.2700000000000001E-7</v>
      </c>
      <c r="G395">
        <v>0.32713195499999997</v>
      </c>
      <c r="H395">
        <v>-1.586342683</v>
      </c>
      <c r="I395" s="11">
        <v>5.1500000000000005E-7</v>
      </c>
      <c r="J395">
        <v>0.29191489399999998</v>
      </c>
      <c r="K395">
        <v>0.66826957099999995</v>
      </c>
      <c r="L395">
        <v>3.088028504</v>
      </c>
      <c r="M395">
        <v>0.23237331</v>
      </c>
      <c r="N395">
        <v>4.2416750000000003E-3</v>
      </c>
      <c r="O395">
        <v>1.4695400000000001E-3</v>
      </c>
      <c r="P395">
        <v>3.11499733</v>
      </c>
      <c r="Q395">
        <v>0.84652122900000004</v>
      </c>
      <c r="R395">
        <v>11.309122029999999</v>
      </c>
      <c r="S395">
        <v>3.180553E-3</v>
      </c>
      <c r="T395">
        <v>2.8939199999999999E-3</v>
      </c>
      <c r="U395">
        <v>2.4325901E-2</v>
      </c>
      <c r="V395">
        <v>2.4014533000000001E-2</v>
      </c>
      <c r="W395">
        <v>0.98720014499999997</v>
      </c>
      <c r="X395">
        <v>5.3652568130000002</v>
      </c>
      <c r="Y395">
        <v>0.64786233500000001</v>
      </c>
      <c r="Z395">
        <v>0.28606026299999998</v>
      </c>
      <c r="AA395">
        <v>3.243278E-3</v>
      </c>
      <c r="AB395">
        <v>-1</v>
      </c>
      <c r="AC395">
        <v>2.7974599999999999E-3</v>
      </c>
      <c r="AD395">
        <v>0.83164323100000004</v>
      </c>
      <c r="AE395">
        <v>0.107545128</v>
      </c>
      <c r="AF395">
        <v>0.53726862200000003</v>
      </c>
      <c r="AG395">
        <v>0.11580813199999999</v>
      </c>
      <c r="AH395">
        <v>1.008639E-3</v>
      </c>
      <c r="AI395">
        <v>0.278438833</v>
      </c>
    </row>
    <row r="396" spans="1:35" x14ac:dyDescent="0.2">
      <c r="A396">
        <v>441</v>
      </c>
      <c r="B396" t="s">
        <v>560</v>
      </c>
      <c r="C396" t="s">
        <v>204</v>
      </c>
      <c r="D396" t="s">
        <v>160</v>
      </c>
      <c r="E396" s="11">
        <v>7.4200000000000001E-6</v>
      </c>
      <c r="F396" s="11">
        <v>2.3099999999999999E-6</v>
      </c>
      <c r="G396">
        <v>0.31114532</v>
      </c>
      <c r="H396">
        <v>-0.38498121000000002</v>
      </c>
      <c r="I396" s="11">
        <v>9.73E-6</v>
      </c>
      <c r="J396">
        <v>0.29191437199999998</v>
      </c>
      <c r="K396">
        <v>1.560103E-2</v>
      </c>
      <c r="L396">
        <v>1.7826882909999999</v>
      </c>
      <c r="M396">
        <v>1.1879775E-2</v>
      </c>
      <c r="N396">
        <v>1.8093864000000001E-2</v>
      </c>
      <c r="O396">
        <v>5.6065610000000004E-3</v>
      </c>
      <c r="P396">
        <v>8.255854E-2</v>
      </c>
      <c r="Q396">
        <v>1.108253226</v>
      </c>
      <c r="R396">
        <v>6.814636428</v>
      </c>
      <c r="S396">
        <v>1.7412352999999998E-2</v>
      </c>
      <c r="T396">
        <v>1.6615037999999999E-2</v>
      </c>
      <c r="U396">
        <v>0.13317533300000001</v>
      </c>
      <c r="V396">
        <v>0.13787609200000001</v>
      </c>
      <c r="W396">
        <v>1.0352975200000001</v>
      </c>
      <c r="X396">
        <v>4.0921589630000001</v>
      </c>
      <c r="Y396">
        <v>1.3269688719999999</v>
      </c>
      <c r="Z396">
        <v>0.30272209500000002</v>
      </c>
      <c r="AA396">
        <v>1.0996366E-2</v>
      </c>
      <c r="AB396">
        <v>-0.34342886900000003</v>
      </c>
      <c r="AC396">
        <v>9.4583960000000009E-3</v>
      </c>
      <c r="AD396">
        <v>0.85132234600000001</v>
      </c>
      <c r="AE396">
        <v>0.217592437</v>
      </c>
      <c r="AF396">
        <v>0.80230819399999997</v>
      </c>
      <c r="AG396">
        <v>0.19507624000000001</v>
      </c>
      <c r="AH396">
        <v>3.4102759999999998E-3</v>
      </c>
      <c r="AI396">
        <v>0.417082599</v>
      </c>
    </row>
    <row r="397" spans="1:35" x14ac:dyDescent="0.2">
      <c r="A397">
        <v>442</v>
      </c>
      <c r="B397" t="s">
        <v>561</v>
      </c>
      <c r="C397" t="s">
        <v>204</v>
      </c>
      <c r="D397" t="s">
        <v>162</v>
      </c>
      <c r="E397" s="11">
        <v>7.8299999999999996E-6</v>
      </c>
      <c r="F397" s="11">
        <v>2.4600000000000002E-6</v>
      </c>
      <c r="G397">
        <v>0.31392005099999998</v>
      </c>
      <c r="H397">
        <v>-0.48482477400000001</v>
      </c>
      <c r="I397" s="11">
        <v>1.03E-5</v>
      </c>
      <c r="J397">
        <v>0.283140699</v>
      </c>
      <c r="K397">
        <v>7.2038930000000003E-3</v>
      </c>
      <c r="L397">
        <v>1.7132519799999999</v>
      </c>
      <c r="M397">
        <v>8.4209090000000007E-3</v>
      </c>
      <c r="N397">
        <v>8.3698330000000001E-3</v>
      </c>
      <c r="O397">
        <v>2.5888719999999999E-3</v>
      </c>
      <c r="P397">
        <v>2.2523729999999999E-2</v>
      </c>
      <c r="Q397">
        <v>0.88528388300000005</v>
      </c>
      <c r="R397">
        <v>5.3567507540000001</v>
      </c>
      <c r="S397">
        <v>1.4039301000000001E-2</v>
      </c>
      <c r="T397">
        <v>1.3467208E-2</v>
      </c>
      <c r="U397">
        <v>0.107377138</v>
      </c>
      <c r="V397">
        <v>0.111754542</v>
      </c>
      <c r="W397">
        <v>1.0407666289999999</v>
      </c>
      <c r="X397">
        <v>4.540788525</v>
      </c>
      <c r="Y397">
        <v>1.694773383</v>
      </c>
      <c r="Z397">
        <v>0.307957078</v>
      </c>
      <c r="AA397">
        <v>7.1679480000000004E-3</v>
      </c>
      <c r="AB397">
        <v>-1.0903285E-2</v>
      </c>
      <c r="AC397">
        <v>6.1571990000000004E-3</v>
      </c>
      <c r="AD397">
        <v>0.85177035099999998</v>
      </c>
      <c r="AE397">
        <v>0.28216804600000001</v>
      </c>
      <c r="AF397">
        <v>0.99414200900000005</v>
      </c>
      <c r="AG397">
        <v>0.13583848600000001</v>
      </c>
      <c r="AH397">
        <v>2.220011E-3</v>
      </c>
      <c r="AI397">
        <v>0.51065134899999998</v>
      </c>
    </row>
    <row r="398" spans="1:35" x14ac:dyDescent="0.2">
      <c r="A398">
        <v>443</v>
      </c>
      <c r="B398" t="s">
        <v>562</v>
      </c>
      <c r="C398" t="s">
        <v>204</v>
      </c>
      <c r="D398" t="s">
        <v>164</v>
      </c>
      <c r="E398" s="11">
        <v>3.4300000000000002E-6</v>
      </c>
      <c r="F398" s="11">
        <v>1.0699999999999999E-6</v>
      </c>
      <c r="G398">
        <v>0.312609466</v>
      </c>
      <c r="H398">
        <v>-0.16616816400000001</v>
      </c>
      <c r="I398" s="11">
        <v>4.5000000000000001E-6</v>
      </c>
      <c r="J398">
        <v>0.29194447800000001</v>
      </c>
      <c r="K398">
        <v>1.2029397000000001E-2</v>
      </c>
      <c r="L398">
        <v>1.775725663</v>
      </c>
      <c r="M398">
        <v>1.2557707E-2</v>
      </c>
      <c r="N398">
        <v>1.3876528000000001E-2</v>
      </c>
      <c r="O398">
        <v>4.323019E-3</v>
      </c>
      <c r="P398">
        <v>7.1385680000000007E-2</v>
      </c>
      <c r="Q398">
        <v>0.93710464400000004</v>
      </c>
      <c r="R398">
        <v>5.7653992260000004</v>
      </c>
      <c r="S398">
        <v>1.2560187E-2</v>
      </c>
      <c r="T398">
        <v>1.1133255E-2</v>
      </c>
      <c r="U398">
        <v>9.606439E-2</v>
      </c>
      <c r="V398">
        <v>9.2386768999999994E-2</v>
      </c>
      <c r="W398">
        <v>0.96171712499999995</v>
      </c>
      <c r="X398">
        <v>3.7827602100000002</v>
      </c>
      <c r="Y398">
        <v>2.1105329319999999</v>
      </c>
      <c r="Z398">
        <v>0.32620951999999998</v>
      </c>
      <c r="AA398">
        <v>1.4795605E-2</v>
      </c>
      <c r="AB398">
        <v>0.158636363</v>
      </c>
      <c r="AC398">
        <v>1.2717229E-2</v>
      </c>
      <c r="AD398">
        <v>0.84571844100000004</v>
      </c>
      <c r="AE398">
        <v>0.34775374100000001</v>
      </c>
      <c r="AF398">
        <v>1.044315023</v>
      </c>
      <c r="AG398">
        <v>0.23911495099999999</v>
      </c>
      <c r="AH398">
        <v>4.5852649999999998E-3</v>
      </c>
      <c r="AI398">
        <v>0.542029859</v>
      </c>
    </row>
    <row r="399" spans="1:35" x14ac:dyDescent="0.2">
      <c r="A399">
        <v>444</v>
      </c>
      <c r="B399" t="s">
        <v>563</v>
      </c>
      <c r="C399" t="s">
        <v>204</v>
      </c>
      <c r="D399" t="s">
        <v>166</v>
      </c>
      <c r="E399" s="11">
        <v>8.8200000000000003E-6</v>
      </c>
      <c r="F399" s="11">
        <v>2.7499999999999999E-6</v>
      </c>
      <c r="G399">
        <v>0.31140299700000001</v>
      </c>
      <c r="H399">
        <v>-8.8015493E-2</v>
      </c>
      <c r="I399" s="11">
        <v>1.1600000000000001E-5</v>
      </c>
      <c r="J399">
        <v>0.28440804800000002</v>
      </c>
      <c r="K399">
        <v>1.0916617999999999E-2</v>
      </c>
      <c r="L399">
        <v>1.7282815220000001</v>
      </c>
      <c r="M399">
        <v>8.6212919999999992E-3</v>
      </c>
      <c r="N399">
        <v>1.2688328E-2</v>
      </c>
      <c r="O399">
        <v>3.9231190000000001E-3</v>
      </c>
      <c r="P399">
        <v>3.3601020000000002E-2</v>
      </c>
      <c r="Q399">
        <v>0.89147433799999998</v>
      </c>
      <c r="R399">
        <v>5.4160480580000003</v>
      </c>
      <c r="S399">
        <v>1.9225828E-2</v>
      </c>
      <c r="T399">
        <v>1.8136019E-2</v>
      </c>
      <c r="U399">
        <v>0.14704538</v>
      </c>
      <c r="V399">
        <v>0.15049760000000001</v>
      </c>
      <c r="W399">
        <v>1.023477242</v>
      </c>
      <c r="X399">
        <v>3.9423121970000001</v>
      </c>
      <c r="Y399">
        <v>1.7282817150000001</v>
      </c>
      <c r="Z399">
        <v>0.311293072</v>
      </c>
      <c r="AA399">
        <v>1.2709778E-2</v>
      </c>
      <c r="AB399" s="11">
        <v>1.11E-7</v>
      </c>
      <c r="AC399">
        <v>1.0916626E-2</v>
      </c>
      <c r="AD399">
        <v>0.86689377300000003</v>
      </c>
      <c r="AE399">
        <v>0.28440807699999998</v>
      </c>
      <c r="AF399">
        <v>0.89177491600000003</v>
      </c>
      <c r="AG399">
        <v>0.21431032</v>
      </c>
      <c r="AH399">
        <v>3.9360480000000002E-3</v>
      </c>
      <c r="AI399">
        <v>0.46344568899999999</v>
      </c>
    </row>
    <row r="400" spans="1:35" x14ac:dyDescent="0.2">
      <c r="A400">
        <v>445</v>
      </c>
      <c r="B400" t="s">
        <v>564</v>
      </c>
      <c r="C400" t="s">
        <v>204</v>
      </c>
      <c r="D400" t="s">
        <v>168</v>
      </c>
      <c r="E400" s="11">
        <v>4.8999999999999997E-6</v>
      </c>
      <c r="F400" s="11">
        <v>1.5200000000000001E-6</v>
      </c>
      <c r="G400">
        <v>0.30967110399999997</v>
      </c>
      <c r="H400">
        <v>-0.86578311799999996</v>
      </c>
      <c r="I400" s="11">
        <v>6.4099999999999996E-6</v>
      </c>
      <c r="J400">
        <v>0.29192046300000002</v>
      </c>
      <c r="K400">
        <v>8.0944480000000006E-3</v>
      </c>
      <c r="L400">
        <v>1.7677116719999999</v>
      </c>
      <c r="M400">
        <v>8.6692820000000004E-3</v>
      </c>
      <c r="N400">
        <v>9.3672990000000008E-3</v>
      </c>
      <c r="O400">
        <v>2.908912E-3</v>
      </c>
      <c r="P400">
        <v>4.9402979999999999E-2</v>
      </c>
      <c r="Q400">
        <v>0.940032019</v>
      </c>
      <c r="R400">
        <v>5.7389980679999999</v>
      </c>
      <c r="S400">
        <v>8.8416980000000003E-3</v>
      </c>
      <c r="T400">
        <v>7.8598169999999998E-3</v>
      </c>
      <c r="U400">
        <v>6.7624180000000006E-2</v>
      </c>
      <c r="V400">
        <v>6.5222893000000004E-2</v>
      </c>
      <c r="W400">
        <v>0.96449070400000003</v>
      </c>
      <c r="X400">
        <v>5.0512376640000003</v>
      </c>
      <c r="Y400">
        <v>1.022345155</v>
      </c>
      <c r="Z400">
        <v>0.27802142000000002</v>
      </c>
      <c r="AA400">
        <v>4.3844899999999996E-3</v>
      </c>
      <c r="AB400">
        <v>-0.72907521900000005</v>
      </c>
      <c r="AC400">
        <v>3.7779739999999999E-3</v>
      </c>
      <c r="AD400">
        <v>0.83639319099999998</v>
      </c>
      <c r="AE400">
        <v>0.170167507</v>
      </c>
      <c r="AF400">
        <v>0.67731681499999996</v>
      </c>
      <c r="AG400">
        <v>0.13347432400000001</v>
      </c>
      <c r="AH400">
        <v>1.3621690000000001E-3</v>
      </c>
      <c r="AI400">
        <v>0.35029057200000002</v>
      </c>
    </row>
    <row r="401" spans="1:35" x14ac:dyDescent="0.2">
      <c r="A401">
        <v>446</v>
      </c>
      <c r="B401" t="s">
        <v>565</v>
      </c>
      <c r="C401" t="s">
        <v>152</v>
      </c>
      <c r="D401" t="s">
        <v>130</v>
      </c>
      <c r="E401" s="11">
        <v>1.5E-5</v>
      </c>
      <c r="F401" s="11">
        <v>4.8799999999999999E-6</v>
      </c>
      <c r="G401">
        <v>0.32511517099999998</v>
      </c>
      <c r="H401">
        <v>0.60622523500000003</v>
      </c>
      <c r="I401" s="11">
        <v>1.9899999999999999E-5</v>
      </c>
      <c r="J401">
        <v>0.77154279800000003</v>
      </c>
      <c r="K401">
        <v>3.6535157999999998E-2</v>
      </c>
      <c r="L401">
        <v>4.7023271070000003</v>
      </c>
      <c r="M401">
        <v>1.5378942E-2</v>
      </c>
      <c r="N401">
        <v>4.2373207000000003E-2</v>
      </c>
      <c r="O401">
        <v>1.3129685E-2</v>
      </c>
      <c r="P401">
        <v>0.1007976</v>
      </c>
      <c r="Q401">
        <v>2.12815938</v>
      </c>
      <c r="R401">
        <v>12.97055149</v>
      </c>
      <c r="S401">
        <v>6.3076770000000004E-2</v>
      </c>
      <c r="T401">
        <v>5.7349834000000002E-2</v>
      </c>
      <c r="U401">
        <v>0.482431634</v>
      </c>
      <c r="V401">
        <v>0.47590447200000002</v>
      </c>
      <c r="W401">
        <v>0.98647028599999997</v>
      </c>
      <c r="X401">
        <v>2.3336243990000001</v>
      </c>
      <c r="Y401">
        <v>57.701629580000002</v>
      </c>
      <c r="Z401">
        <v>1.219020427</v>
      </c>
      <c r="AA401">
        <v>0.10942766</v>
      </c>
      <c r="AB401">
        <v>0.91850616500000004</v>
      </c>
      <c r="AC401">
        <v>4.4239185430000001</v>
      </c>
      <c r="AD401">
        <v>1.080959676</v>
      </c>
      <c r="AE401">
        <v>7.1327202029999999</v>
      </c>
      <c r="AF401">
        <v>5.4060775999999997</v>
      </c>
      <c r="AG401">
        <v>20.689590330000001</v>
      </c>
      <c r="AH401">
        <v>3.2798906000000003E-2</v>
      </c>
      <c r="AI401">
        <v>3.7086839469999999</v>
      </c>
    </row>
    <row r="402" spans="1:35" x14ac:dyDescent="0.2">
      <c r="A402">
        <v>447</v>
      </c>
      <c r="B402" t="s">
        <v>566</v>
      </c>
      <c r="C402" t="s">
        <v>152</v>
      </c>
      <c r="D402" t="s">
        <v>132</v>
      </c>
      <c r="E402" s="11">
        <v>4.25E-6</v>
      </c>
      <c r="F402" s="11">
        <v>1.3799999999999999E-6</v>
      </c>
      <c r="G402">
        <v>0.32369541299999999</v>
      </c>
      <c r="H402">
        <v>0.30754393099999999</v>
      </c>
      <c r="I402" s="11">
        <v>5.6300000000000003E-6</v>
      </c>
      <c r="J402">
        <v>0.51947027400000001</v>
      </c>
      <c r="K402">
        <v>1.1836360000000001E-2</v>
      </c>
      <c r="L402">
        <v>3.1404943630000002</v>
      </c>
      <c r="M402" s="11">
        <v>3.65E-7</v>
      </c>
      <c r="N402">
        <v>2.981497E-2</v>
      </c>
      <c r="O402">
        <v>9.2834270000000003E-3</v>
      </c>
      <c r="P402">
        <v>3.4990069999999998E-2</v>
      </c>
      <c r="Q402">
        <v>1.6192136079999999</v>
      </c>
      <c r="R402">
        <v>9.7852617780000006</v>
      </c>
      <c r="S402">
        <v>1.6620784E-2</v>
      </c>
      <c r="T402">
        <v>1.5242247E-2</v>
      </c>
      <c r="U402">
        <v>0.12712115700000001</v>
      </c>
      <c r="V402">
        <v>0.126484297</v>
      </c>
      <c r="W402">
        <v>0.99499013400000003</v>
      </c>
      <c r="X402">
        <v>2.7687185300000001</v>
      </c>
      <c r="Y402">
        <v>28.325014530000001</v>
      </c>
      <c r="Z402">
        <v>1.160562911</v>
      </c>
      <c r="AA402">
        <v>4.8580989999999998E-2</v>
      </c>
      <c r="AB402">
        <v>0.88912646900000003</v>
      </c>
      <c r="AC402">
        <v>1.967404379</v>
      </c>
      <c r="AD402">
        <v>1.077236171</v>
      </c>
      <c r="AE402">
        <v>3.506530454</v>
      </c>
      <c r="AF402">
        <v>2.8972975409999999</v>
      </c>
      <c r="AG402">
        <v>10.028373520000001</v>
      </c>
      <c r="AH402">
        <v>1.4586323999999999E-2</v>
      </c>
      <c r="AI402">
        <v>1.984672736</v>
      </c>
    </row>
    <row r="403" spans="1:35" x14ac:dyDescent="0.2">
      <c r="A403">
        <v>448</v>
      </c>
      <c r="B403" t="s">
        <v>567</v>
      </c>
      <c r="C403" t="s">
        <v>152</v>
      </c>
      <c r="D403" t="s">
        <v>134</v>
      </c>
      <c r="E403" s="11">
        <v>1.66E-5</v>
      </c>
      <c r="F403" s="11">
        <v>8.9600000000000006E-6</v>
      </c>
      <c r="G403">
        <v>0.53909914999999997</v>
      </c>
      <c r="H403">
        <v>0.20523798400000001</v>
      </c>
      <c r="I403" s="11">
        <v>2.5599999999999999E-5</v>
      </c>
      <c r="J403">
        <v>1.6653522670000001</v>
      </c>
      <c r="K403">
        <v>9.0989611999999997E-2</v>
      </c>
      <c r="L403">
        <v>10.174092829999999</v>
      </c>
      <c r="M403">
        <v>1.7870778E-2</v>
      </c>
      <c r="N403">
        <v>0.106219904</v>
      </c>
      <c r="O403">
        <v>3.269905E-2</v>
      </c>
      <c r="P403">
        <v>0.14056605999999999</v>
      </c>
      <c r="Q403">
        <v>2.5718133769999998</v>
      </c>
      <c r="R403">
        <v>15.712012380000001</v>
      </c>
      <c r="S403">
        <v>0.15473939</v>
      </c>
      <c r="T403">
        <v>0.16037584299999999</v>
      </c>
      <c r="U403">
        <v>1.1834971430000001</v>
      </c>
      <c r="V403">
        <v>1.3308422369999999</v>
      </c>
      <c r="W403">
        <v>1.1244997459999999</v>
      </c>
      <c r="X403">
        <v>2.172896143</v>
      </c>
      <c r="Y403">
        <v>55.41123322</v>
      </c>
      <c r="Z403">
        <v>1.585635949</v>
      </c>
      <c r="AA403">
        <v>0.14766690800000001</v>
      </c>
      <c r="AB403">
        <v>0.81638934500000004</v>
      </c>
      <c r="AC403">
        <v>5.9677084990000004</v>
      </c>
      <c r="AD403">
        <v>1.1088436989999999</v>
      </c>
      <c r="AE403">
        <v>6.806101516</v>
      </c>
      <c r="AF403">
        <v>3.9140320430000002</v>
      </c>
      <c r="AG403">
        <v>21.178758439999999</v>
      </c>
      <c r="AH403">
        <v>4.4244553999999998E-2</v>
      </c>
      <c r="AI403">
        <v>2.7022755740000002</v>
      </c>
    </row>
    <row r="404" spans="1:35" x14ac:dyDescent="0.2">
      <c r="A404">
        <v>449</v>
      </c>
      <c r="B404" t="s">
        <v>568</v>
      </c>
      <c r="C404" t="s">
        <v>152</v>
      </c>
      <c r="D404" t="s">
        <v>136</v>
      </c>
      <c r="E404" s="11">
        <v>1.19E-5</v>
      </c>
      <c r="F404" s="11">
        <v>4.0300000000000004E-6</v>
      </c>
      <c r="G404">
        <v>0.33761703100000001</v>
      </c>
      <c r="H404">
        <v>0.89387874199999995</v>
      </c>
      <c r="I404" s="11">
        <v>1.5999999999999999E-5</v>
      </c>
      <c r="J404">
        <v>0.39012043200000002</v>
      </c>
      <c r="K404">
        <v>3.4391208999999999E-2</v>
      </c>
      <c r="L404">
        <v>2.4095050100000002</v>
      </c>
      <c r="M404">
        <v>1.0751996E-2</v>
      </c>
      <c r="N404">
        <v>3.9873398999999997E-2</v>
      </c>
      <c r="O404">
        <v>1.2359212E-2</v>
      </c>
      <c r="P404">
        <v>9.6193119999999993E-2</v>
      </c>
      <c r="Q404">
        <v>1.192337762</v>
      </c>
      <c r="R404">
        <v>7.3464128180000001</v>
      </c>
      <c r="S404">
        <v>4.3737412000000003E-2</v>
      </c>
      <c r="T404">
        <v>4.5284111000000002E-2</v>
      </c>
      <c r="U404">
        <v>0.33451794000000001</v>
      </c>
      <c r="V404">
        <v>0.37577982999999998</v>
      </c>
      <c r="W404">
        <v>1.123347316</v>
      </c>
      <c r="X404">
        <v>2.2567882369999999</v>
      </c>
      <c r="Y404">
        <v>38.280426439999999</v>
      </c>
      <c r="Z404">
        <v>1.2564689529999999</v>
      </c>
      <c r="AA404">
        <v>0.126243042</v>
      </c>
      <c r="AB404">
        <v>0.93705647400000003</v>
      </c>
      <c r="AC404">
        <v>5.1045077389999998</v>
      </c>
      <c r="AD404">
        <v>1.080960688</v>
      </c>
      <c r="AE404">
        <v>4.6771083600000001</v>
      </c>
      <c r="AF404">
        <v>3.4610971840000002</v>
      </c>
      <c r="AG404">
        <v>23.305932819999999</v>
      </c>
      <c r="AH404">
        <v>3.7844790000000003E-2</v>
      </c>
      <c r="AI404">
        <v>2.402242942</v>
      </c>
    </row>
    <row r="405" spans="1:35" x14ac:dyDescent="0.2">
      <c r="A405">
        <v>450</v>
      </c>
      <c r="B405" t="s">
        <v>569</v>
      </c>
      <c r="C405" t="s">
        <v>152</v>
      </c>
      <c r="D405" t="s">
        <v>140</v>
      </c>
      <c r="E405" s="11">
        <v>9.9499999999999996E-6</v>
      </c>
      <c r="F405" s="11">
        <v>3.1599999999999998E-6</v>
      </c>
      <c r="G405">
        <v>0.317803683</v>
      </c>
      <c r="H405">
        <v>0.68300365699999999</v>
      </c>
      <c r="I405" s="11">
        <v>1.31E-5</v>
      </c>
      <c r="J405">
        <v>0.37696642299999999</v>
      </c>
      <c r="K405">
        <v>1.6587876000000001E-2</v>
      </c>
      <c r="L405">
        <v>2.2949742909999999</v>
      </c>
      <c r="M405">
        <v>6.1361719999999996E-3</v>
      </c>
      <c r="N405">
        <v>1.9291861E-2</v>
      </c>
      <c r="O405">
        <v>5.9612060000000001E-3</v>
      </c>
      <c r="P405">
        <v>5.009802E-2</v>
      </c>
      <c r="Q405">
        <v>1.1696048750000001</v>
      </c>
      <c r="R405">
        <v>7.1178252940000002</v>
      </c>
      <c r="S405">
        <v>2.4310828999999999E-2</v>
      </c>
      <c r="T405">
        <v>2.3140061999999999E-2</v>
      </c>
      <c r="U405">
        <v>0.18593712300000001</v>
      </c>
      <c r="V405">
        <v>0.19202251000000001</v>
      </c>
      <c r="W405">
        <v>1.032728198</v>
      </c>
      <c r="X405">
        <v>2.870136617</v>
      </c>
      <c r="Y405">
        <v>24.71526682</v>
      </c>
      <c r="Z405">
        <v>1.165124174</v>
      </c>
      <c r="AA405">
        <v>4.0232891E-2</v>
      </c>
      <c r="AB405">
        <v>0.90714345500000004</v>
      </c>
      <c r="AC405">
        <v>1.6287878549999999</v>
      </c>
      <c r="AD405">
        <v>1.0552998010000001</v>
      </c>
      <c r="AE405">
        <v>3.0618805199999999</v>
      </c>
      <c r="AF405">
        <v>2.5628196540000001</v>
      </c>
      <c r="AG405">
        <v>8.4114703459999998</v>
      </c>
      <c r="AH405">
        <v>1.2075822999999999E-2</v>
      </c>
      <c r="AI405">
        <v>1.7542811199999999</v>
      </c>
    </row>
    <row r="406" spans="1:35" x14ac:dyDescent="0.2">
      <c r="A406">
        <v>451</v>
      </c>
      <c r="B406" t="s">
        <v>570</v>
      </c>
      <c r="C406" t="s">
        <v>152</v>
      </c>
      <c r="D406" t="s">
        <v>146</v>
      </c>
      <c r="E406" s="11">
        <v>1.5099999999999999E-5</v>
      </c>
      <c r="F406" s="11">
        <v>4.9200000000000003E-6</v>
      </c>
      <c r="G406">
        <v>0.32690408900000001</v>
      </c>
      <c r="H406">
        <v>0.60673575199999996</v>
      </c>
      <c r="I406" s="11">
        <v>2.0000000000000002E-5</v>
      </c>
      <c r="J406">
        <v>0.77951554999999995</v>
      </c>
      <c r="K406">
        <v>3.6956844000000003E-2</v>
      </c>
      <c r="L406">
        <v>4.7510069880000003</v>
      </c>
      <c r="M406">
        <v>1.5515315E-2</v>
      </c>
      <c r="N406">
        <v>4.2825738000000002E-2</v>
      </c>
      <c r="O406">
        <v>1.3281227E-2</v>
      </c>
      <c r="P406">
        <v>0.10177708000000001</v>
      </c>
      <c r="Q406">
        <v>2.14674224</v>
      </c>
      <c r="R406">
        <v>13.08400761</v>
      </c>
      <c r="S406">
        <v>6.3515268999999999E-2</v>
      </c>
      <c r="T406">
        <v>5.7744797E-2</v>
      </c>
      <c r="U406">
        <v>0.48578542200000002</v>
      </c>
      <c r="V406">
        <v>0.47918198299999998</v>
      </c>
      <c r="W406">
        <v>0.98640667500000001</v>
      </c>
      <c r="X406">
        <v>2.3303047549999998</v>
      </c>
      <c r="Y406">
        <v>58.045899480000003</v>
      </c>
      <c r="Z406">
        <v>1.198868263</v>
      </c>
      <c r="AA406">
        <v>0.1101037</v>
      </c>
      <c r="AB406">
        <v>0.91815085900000004</v>
      </c>
      <c r="AC406">
        <v>4.4513539700000004</v>
      </c>
      <c r="AD406">
        <v>1.0801897519999999</v>
      </c>
      <c r="AE406">
        <v>7.1752503970000001</v>
      </c>
      <c r="AF406">
        <v>5.4329544040000002</v>
      </c>
      <c r="AG406">
        <v>20.799195869999998</v>
      </c>
      <c r="AH406">
        <v>3.3002310999999999E-2</v>
      </c>
      <c r="AI406">
        <v>3.7271406869999999</v>
      </c>
    </row>
    <row r="407" spans="1:35" x14ac:dyDescent="0.2">
      <c r="A407">
        <v>452</v>
      </c>
      <c r="B407" t="s">
        <v>571</v>
      </c>
      <c r="C407" t="s">
        <v>152</v>
      </c>
      <c r="D407" t="s">
        <v>148</v>
      </c>
      <c r="E407" s="11">
        <v>9.2499999999999995E-6</v>
      </c>
      <c r="F407" s="11">
        <v>2.9699999999999999E-6</v>
      </c>
      <c r="G407">
        <v>0.32115959500000002</v>
      </c>
      <c r="H407">
        <v>1.124012537</v>
      </c>
      <c r="I407" s="11">
        <v>1.22E-5</v>
      </c>
      <c r="J407">
        <v>0.29540224900000001</v>
      </c>
      <c r="K407">
        <v>2.3747685000000001E-2</v>
      </c>
      <c r="L407">
        <v>1.8199088649999999</v>
      </c>
      <c r="M407">
        <v>1.918723E-3</v>
      </c>
      <c r="N407">
        <v>2.762705E-2</v>
      </c>
      <c r="O407">
        <v>8.5342349999999994E-3</v>
      </c>
      <c r="P407">
        <v>6.9238179999999996E-2</v>
      </c>
      <c r="Q407">
        <v>0.94315290799999996</v>
      </c>
      <c r="R407">
        <v>5.79739381</v>
      </c>
      <c r="S407">
        <v>2.5727808000000001E-2</v>
      </c>
      <c r="T407">
        <v>2.3858395000000001E-2</v>
      </c>
      <c r="U407">
        <v>0.196774638</v>
      </c>
      <c r="V407">
        <v>0.19798343500000001</v>
      </c>
      <c r="W407">
        <v>1.006143053</v>
      </c>
      <c r="X407">
        <v>2.813565804</v>
      </c>
      <c r="Y407">
        <v>18.456841699999998</v>
      </c>
      <c r="Z407">
        <v>1.1490958250000001</v>
      </c>
      <c r="AA407">
        <v>4.4693249999999997E-2</v>
      </c>
      <c r="AB407">
        <v>0.90139651799999998</v>
      </c>
      <c r="AC407">
        <v>14.535008700000001</v>
      </c>
      <c r="AD407">
        <v>1.068392703</v>
      </c>
      <c r="AE407">
        <v>1.949637193</v>
      </c>
      <c r="AF407">
        <v>1.619843513</v>
      </c>
      <c r="AG407">
        <v>74.546137880000003</v>
      </c>
      <c r="AH407">
        <v>1.3417525E-2</v>
      </c>
      <c r="AI407">
        <v>1.300504592</v>
      </c>
    </row>
    <row r="408" spans="1:35" x14ac:dyDescent="0.2">
      <c r="A408">
        <v>453</v>
      </c>
      <c r="B408" t="s">
        <v>572</v>
      </c>
      <c r="C408" t="s">
        <v>152</v>
      </c>
      <c r="D408" t="s">
        <v>150</v>
      </c>
      <c r="E408" s="11">
        <v>1.5E-5</v>
      </c>
      <c r="F408" s="11">
        <v>4.9599999999999999E-6</v>
      </c>
      <c r="G408">
        <v>0.33032333200000003</v>
      </c>
      <c r="H408">
        <v>0.61010772700000004</v>
      </c>
      <c r="I408" s="11">
        <v>2.0000000000000002E-5</v>
      </c>
      <c r="J408">
        <v>0.76837311200000002</v>
      </c>
      <c r="K408">
        <v>3.6342072000000003E-2</v>
      </c>
      <c r="L408">
        <v>4.6829228159999996</v>
      </c>
      <c r="M408">
        <v>1.5504799999999999E-2</v>
      </c>
      <c r="N408">
        <v>4.2141326E-2</v>
      </c>
      <c r="O408">
        <v>1.3060296000000001E-2</v>
      </c>
      <c r="P408">
        <v>0.10027047</v>
      </c>
      <c r="Q408">
        <v>2.120180672</v>
      </c>
      <c r="R408">
        <v>12.92162497</v>
      </c>
      <c r="S408">
        <v>6.2260949000000003E-2</v>
      </c>
      <c r="T408">
        <v>5.6581515999999998E-2</v>
      </c>
      <c r="U408">
        <v>0.47619197400000002</v>
      </c>
      <c r="V408">
        <v>0.46952876100000002</v>
      </c>
      <c r="W408">
        <v>0.986007297</v>
      </c>
      <c r="X408">
        <v>2.3340315469999999</v>
      </c>
      <c r="Y408">
        <v>57.705780910000001</v>
      </c>
      <c r="Z408">
        <v>1.197348976</v>
      </c>
      <c r="AA408">
        <v>0.10934229500000001</v>
      </c>
      <c r="AB408">
        <v>0.91884829000000001</v>
      </c>
      <c r="AC408">
        <v>4.4205653409999996</v>
      </c>
      <c r="AD408">
        <v>1.0800956070000001</v>
      </c>
      <c r="AE408">
        <v>7.1333262309999999</v>
      </c>
      <c r="AF408">
        <v>5.4070350129999998</v>
      </c>
      <c r="AG408">
        <v>20.677677490000001</v>
      </c>
      <c r="AH408">
        <v>3.2774045000000002E-2</v>
      </c>
      <c r="AI408">
        <v>3.7092976270000002</v>
      </c>
    </row>
    <row r="409" spans="1:35" x14ac:dyDescent="0.2">
      <c r="A409">
        <v>454</v>
      </c>
      <c r="B409" t="s">
        <v>573</v>
      </c>
      <c r="C409" t="s">
        <v>152</v>
      </c>
      <c r="D409" t="s">
        <v>204</v>
      </c>
      <c r="E409" s="11">
        <v>1.7799999999999999E-6</v>
      </c>
      <c r="F409" s="11">
        <v>5.6400000000000002E-7</v>
      </c>
      <c r="G409">
        <v>0.31774699200000001</v>
      </c>
      <c r="H409">
        <v>4.4068028000000002E-2</v>
      </c>
      <c r="I409" s="11">
        <v>2.34E-6</v>
      </c>
      <c r="J409">
        <v>0.29191489399999998</v>
      </c>
      <c r="K409">
        <v>1.2141659000000001E-2</v>
      </c>
      <c r="L409">
        <v>1.7757726789999999</v>
      </c>
      <c r="M409">
        <v>1.2652615000000001E-2</v>
      </c>
      <c r="N409">
        <v>1.3853488000000001E-2</v>
      </c>
      <c r="O409">
        <v>4.3633630000000003E-3</v>
      </c>
      <c r="P409">
        <v>7.1189569999999994E-2</v>
      </c>
      <c r="Q409">
        <v>0.92674197899999999</v>
      </c>
      <c r="R409">
        <v>5.7028310119999999</v>
      </c>
      <c r="S409">
        <v>1.1278132999999999E-2</v>
      </c>
      <c r="T409">
        <v>1.0548388000000001E-2</v>
      </c>
      <c r="U409">
        <v>8.6258829999999995E-2</v>
      </c>
      <c r="V409">
        <v>8.7533385000000005E-2</v>
      </c>
      <c r="W409">
        <v>1.014775937</v>
      </c>
      <c r="X409">
        <v>2.9751536820000002</v>
      </c>
      <c r="Y409">
        <v>21.362243020000001</v>
      </c>
      <c r="Z409">
        <v>1.141055508</v>
      </c>
      <c r="AA409">
        <v>3.3016062999999998E-2</v>
      </c>
      <c r="AB409">
        <v>0.916873304</v>
      </c>
      <c r="AC409">
        <v>1.3394436169999999</v>
      </c>
      <c r="AD409">
        <v>1.0353942890000001</v>
      </c>
      <c r="AE409">
        <v>2.6482167080000001</v>
      </c>
      <c r="AF409">
        <v>2.2787529110000002</v>
      </c>
      <c r="AG409">
        <v>6.983308268</v>
      </c>
      <c r="AH409">
        <v>9.9306269999999992E-3</v>
      </c>
      <c r="AI409">
        <v>1.5584610189999999</v>
      </c>
    </row>
    <row r="410" spans="1:35" x14ac:dyDescent="0.2">
      <c r="A410">
        <v>455</v>
      </c>
      <c r="B410" t="s">
        <v>574</v>
      </c>
      <c r="C410" t="s">
        <v>152</v>
      </c>
      <c r="D410" t="s">
        <v>156</v>
      </c>
      <c r="E410" s="11">
        <v>1.1E-5</v>
      </c>
      <c r="F410" s="11">
        <v>3.4400000000000001E-6</v>
      </c>
      <c r="G410">
        <v>0.31341590699999999</v>
      </c>
      <c r="H410">
        <v>0.96095078499999997</v>
      </c>
      <c r="I410" s="11">
        <v>1.4399999999999999E-5</v>
      </c>
      <c r="J410">
        <v>0.24312513299999999</v>
      </c>
      <c r="K410">
        <v>1.5659896999999999E-2</v>
      </c>
      <c r="L410">
        <v>1.490070593</v>
      </c>
      <c r="M410">
        <v>2.1003266999999999E-2</v>
      </c>
      <c r="N410">
        <v>1.8231132000000001E-2</v>
      </c>
      <c r="O410">
        <v>5.627717E-3</v>
      </c>
      <c r="P410">
        <v>4.7208519999999997E-2</v>
      </c>
      <c r="Q410">
        <v>0.73270234199999995</v>
      </c>
      <c r="R410">
        <v>4.4906310940000003</v>
      </c>
      <c r="S410">
        <v>3.7289010999999997E-2</v>
      </c>
      <c r="T410">
        <v>3.3797634999999999E-2</v>
      </c>
      <c r="U410">
        <v>0.28519847399999998</v>
      </c>
      <c r="V410">
        <v>0.28046194400000002</v>
      </c>
      <c r="W410">
        <v>0.98339216200000001</v>
      </c>
      <c r="X410">
        <v>2.1696980090000002</v>
      </c>
      <c r="Y410">
        <v>44.662079419999998</v>
      </c>
      <c r="Z410">
        <v>1.267374461</v>
      </c>
      <c r="AA410">
        <v>0.14845728</v>
      </c>
      <c r="AB410">
        <v>0.96663678399999997</v>
      </c>
      <c r="AC410">
        <v>6.0033590209999996</v>
      </c>
      <c r="AD410">
        <v>1.075401327</v>
      </c>
      <c r="AE410">
        <v>5.4556082879999996</v>
      </c>
      <c r="AF410">
        <v>3.912361905</v>
      </c>
      <c r="AG410">
        <v>26.574496709999998</v>
      </c>
      <c r="AH410">
        <v>4.4508868E-2</v>
      </c>
      <c r="AI410">
        <v>2.716088729</v>
      </c>
    </row>
    <row r="411" spans="1:35" x14ac:dyDescent="0.2">
      <c r="A411">
        <v>456</v>
      </c>
      <c r="B411" t="s">
        <v>575</v>
      </c>
      <c r="C411" t="s">
        <v>152</v>
      </c>
      <c r="D411" t="s">
        <v>158</v>
      </c>
      <c r="E411" s="11">
        <v>2.6800000000000002E-7</v>
      </c>
      <c r="F411" s="11">
        <v>7.61E-7</v>
      </c>
      <c r="G411">
        <v>2.8410951529999999</v>
      </c>
      <c r="H411">
        <v>-0.23492997600000001</v>
      </c>
      <c r="I411" s="11">
        <v>1.0300000000000001E-6</v>
      </c>
      <c r="J411">
        <v>0</v>
      </c>
      <c r="K411">
        <v>6.3537650000000001</v>
      </c>
      <c r="L411">
        <v>12.70753</v>
      </c>
      <c r="M411">
        <v>0.99980566500000001</v>
      </c>
      <c r="N411">
        <v>4.6386509999999997E-3</v>
      </c>
      <c r="O411">
        <v>1.4257320000000001E-3</v>
      </c>
      <c r="P411">
        <v>2.2068397000000002</v>
      </c>
      <c r="Q411">
        <v>0.58382979999999995</v>
      </c>
      <c r="R411">
        <v>7.9166581960000002</v>
      </c>
      <c r="S411">
        <v>9.2195590000000004E-3</v>
      </c>
      <c r="T411">
        <v>1.6752928E-2</v>
      </c>
      <c r="U411">
        <v>7.0514180999999995E-2</v>
      </c>
      <c r="V411">
        <v>0.13902033999999999</v>
      </c>
      <c r="W411">
        <v>1.9715231470000001</v>
      </c>
      <c r="X411">
        <v>2.7566125590000001</v>
      </c>
      <c r="Y411">
        <v>22.054523769999999</v>
      </c>
      <c r="Z411">
        <v>1.1686677889999999</v>
      </c>
      <c r="AA411">
        <v>4.9570164999999999E-2</v>
      </c>
      <c r="AB411">
        <v>0.42381299500000003</v>
      </c>
      <c r="AC411">
        <v>2.012265196</v>
      </c>
      <c r="AD411">
        <v>1.056088023</v>
      </c>
      <c r="AE411">
        <v>2.7181150330000001</v>
      </c>
      <c r="AF411">
        <v>2.920664559</v>
      </c>
      <c r="AG411">
        <v>17.65610538</v>
      </c>
      <c r="AH411">
        <v>1.4918921999999999E-2</v>
      </c>
      <c r="AI411">
        <v>2.0215771409999999</v>
      </c>
    </row>
    <row r="412" spans="1:35" x14ac:dyDescent="0.2">
      <c r="A412">
        <v>457</v>
      </c>
      <c r="B412" t="s">
        <v>576</v>
      </c>
      <c r="C412" t="s">
        <v>152</v>
      </c>
      <c r="D412" t="s">
        <v>160</v>
      </c>
      <c r="E412" s="11">
        <v>1.11E-5</v>
      </c>
      <c r="F412" s="11">
        <v>3.4699999999999998E-6</v>
      </c>
      <c r="G412">
        <v>0.31162925699999999</v>
      </c>
      <c r="H412">
        <v>0.94305928100000003</v>
      </c>
      <c r="I412" s="11">
        <v>1.4600000000000001E-5</v>
      </c>
      <c r="J412">
        <v>0.234261793</v>
      </c>
      <c r="K412">
        <v>1.4655002E-2</v>
      </c>
      <c r="L412">
        <v>1.4348807619999999</v>
      </c>
      <c r="M412">
        <v>2.0481395999999999E-2</v>
      </c>
      <c r="N412">
        <v>1.7058302000000001E-2</v>
      </c>
      <c r="O412">
        <v>5.2665860000000002E-3</v>
      </c>
      <c r="P412">
        <v>4.4372549999999997E-2</v>
      </c>
      <c r="Q412">
        <v>0.70910434499999997</v>
      </c>
      <c r="R412">
        <v>4.3433711779999999</v>
      </c>
      <c r="S412">
        <v>3.5147772000000001E-2</v>
      </c>
      <c r="T412">
        <v>3.0606898E-2</v>
      </c>
      <c r="U412">
        <v>0.26882158099999998</v>
      </c>
      <c r="V412">
        <v>0.253984337</v>
      </c>
      <c r="W412">
        <v>0.94480635099999999</v>
      </c>
      <c r="X412">
        <v>2.102508265</v>
      </c>
      <c r="Y412">
        <v>45.1726624</v>
      </c>
      <c r="Z412">
        <v>1.236737872</v>
      </c>
      <c r="AA412">
        <v>0.168068155</v>
      </c>
      <c r="AB412">
        <v>0.96823563899999998</v>
      </c>
      <c r="AC412">
        <v>6.8036008240000001</v>
      </c>
      <c r="AD412">
        <v>1.0810781599999999</v>
      </c>
      <c r="AE412">
        <v>5.4994706249999998</v>
      </c>
      <c r="AF412">
        <v>4.3614553559999996</v>
      </c>
      <c r="AG412">
        <v>29.741319350000001</v>
      </c>
      <c r="AH412">
        <v>5.0441856E-2</v>
      </c>
      <c r="AI412">
        <v>3.0281862579999999</v>
      </c>
    </row>
    <row r="413" spans="1:35" x14ac:dyDescent="0.2">
      <c r="A413">
        <v>458</v>
      </c>
      <c r="B413" t="s">
        <v>577</v>
      </c>
      <c r="C413" t="s">
        <v>152</v>
      </c>
      <c r="D413" t="s">
        <v>162</v>
      </c>
      <c r="E413" s="11">
        <v>1.5099999999999999E-5</v>
      </c>
      <c r="F413" s="11">
        <v>4.9100000000000004E-6</v>
      </c>
      <c r="G413">
        <v>0.32588080800000002</v>
      </c>
      <c r="H413">
        <v>0.603940068</v>
      </c>
      <c r="I413" s="11">
        <v>2.0000000000000002E-5</v>
      </c>
      <c r="J413">
        <v>0.777390688</v>
      </c>
      <c r="K413">
        <v>3.6891459000000001E-2</v>
      </c>
      <c r="L413">
        <v>4.738127049</v>
      </c>
      <c r="M413">
        <v>1.5524491E-2</v>
      </c>
      <c r="N413">
        <v>4.2751753000000003E-2</v>
      </c>
      <c r="O413">
        <v>1.3257728999999999E-2</v>
      </c>
      <c r="P413">
        <v>0.10161397</v>
      </c>
      <c r="Q413">
        <v>2.1412477029999999</v>
      </c>
      <c r="R413">
        <v>13.050714149999999</v>
      </c>
      <c r="S413">
        <v>6.3542737000000002E-2</v>
      </c>
      <c r="T413">
        <v>5.7770350999999998E-2</v>
      </c>
      <c r="U413">
        <v>0.485995499</v>
      </c>
      <c r="V413">
        <v>0.479394037</v>
      </c>
      <c r="W413">
        <v>0.98641661899999999</v>
      </c>
      <c r="X413">
        <v>2.3330094180000001</v>
      </c>
      <c r="Y413">
        <v>57.693460279999996</v>
      </c>
      <c r="Z413">
        <v>1.258124818</v>
      </c>
      <c r="AA413">
        <v>0.109554717</v>
      </c>
      <c r="AB413">
        <v>0.917874105</v>
      </c>
      <c r="AC413">
        <v>4.428988285</v>
      </c>
      <c r="AD413">
        <v>1.0816470730000001</v>
      </c>
      <c r="AE413">
        <v>7.1315662690000003</v>
      </c>
      <c r="AF413">
        <v>5.4042897959999996</v>
      </c>
      <c r="AG413">
        <v>20.709932760000001</v>
      </c>
      <c r="AH413">
        <v>3.2836493000000001E-2</v>
      </c>
      <c r="AI413">
        <v>3.707532756</v>
      </c>
    </row>
    <row r="414" spans="1:35" x14ac:dyDescent="0.2">
      <c r="A414">
        <v>459</v>
      </c>
      <c r="B414" t="s">
        <v>578</v>
      </c>
      <c r="C414" t="s">
        <v>152</v>
      </c>
      <c r="D414" t="s">
        <v>168</v>
      </c>
      <c r="E414" s="11">
        <v>6.2600000000000002E-6</v>
      </c>
      <c r="F414" s="11">
        <v>1.9400000000000001E-6</v>
      </c>
      <c r="G414">
        <v>0.31048038900000002</v>
      </c>
      <c r="H414">
        <v>0.628207607</v>
      </c>
      <c r="I414" s="11">
        <v>8.2099999999999993E-6</v>
      </c>
      <c r="J414">
        <v>0.29192780899999998</v>
      </c>
      <c r="K414">
        <v>1.3368896999999999E-2</v>
      </c>
      <c r="L414">
        <v>1.778304648</v>
      </c>
      <c r="M414">
        <v>1.2780811E-2</v>
      </c>
      <c r="N414">
        <v>1.5504618E-2</v>
      </c>
      <c r="O414">
        <v>4.8043970000000002E-3</v>
      </c>
      <c r="P414">
        <v>7.633529E-2</v>
      </c>
      <c r="Q414">
        <v>0.99323870999999997</v>
      </c>
      <c r="R414">
        <v>6.1121028419999996</v>
      </c>
      <c r="S414">
        <v>1.3487683E-2</v>
      </c>
      <c r="T414">
        <v>1.2028308999999999E-2</v>
      </c>
      <c r="U414">
        <v>0.103158185</v>
      </c>
      <c r="V414">
        <v>9.9814172000000007E-2</v>
      </c>
      <c r="W414">
        <v>0.967583639</v>
      </c>
      <c r="X414">
        <v>2.5952728199999999</v>
      </c>
      <c r="Y414">
        <v>34.802664559999997</v>
      </c>
      <c r="Z414">
        <v>1.135825978</v>
      </c>
      <c r="AA414">
        <v>6.7012426999999999E-2</v>
      </c>
      <c r="AB414">
        <v>0.94890320399999994</v>
      </c>
      <c r="AC414">
        <v>2.7175670360000002</v>
      </c>
      <c r="AD414">
        <v>1.062119907</v>
      </c>
      <c r="AE414">
        <v>4.3008443769999998</v>
      </c>
      <c r="AF414">
        <v>3.6819853899999999</v>
      </c>
      <c r="AG414">
        <v>20.349492649999998</v>
      </c>
      <c r="AH414">
        <v>2.0148025E-2</v>
      </c>
      <c r="AI414">
        <v>2.5432494619999999</v>
      </c>
    </row>
    <row r="415" spans="1:35" x14ac:dyDescent="0.2">
      <c r="A415">
        <v>460</v>
      </c>
      <c r="B415" t="s">
        <v>579</v>
      </c>
      <c r="C415" t="s">
        <v>207</v>
      </c>
      <c r="D415" t="s">
        <v>129</v>
      </c>
      <c r="E415" s="11">
        <v>7.0999999999999998E-6</v>
      </c>
      <c r="F415" s="11">
        <v>2.1900000000000002E-6</v>
      </c>
      <c r="G415">
        <v>0.30879293800000002</v>
      </c>
      <c r="H415">
        <v>-0.73407088300000001</v>
      </c>
      <c r="I415" s="11">
        <v>9.2900000000000008E-6</v>
      </c>
      <c r="J415">
        <v>0.623636364</v>
      </c>
      <c r="K415">
        <v>1.2472727269999999</v>
      </c>
      <c r="L415">
        <v>6.2363636360000001</v>
      </c>
      <c r="M415">
        <v>0.39976294899999998</v>
      </c>
      <c r="N415">
        <v>3.0133341000000001E-2</v>
      </c>
      <c r="O415">
        <v>9.3273130000000003E-3</v>
      </c>
      <c r="P415">
        <v>1.26454434</v>
      </c>
      <c r="Q415">
        <v>2.0146898310000001</v>
      </c>
      <c r="R415">
        <v>14.61722767</v>
      </c>
      <c r="S415">
        <v>2.6523947999999999E-2</v>
      </c>
      <c r="T415">
        <v>2.365445E-2</v>
      </c>
      <c r="U415">
        <v>0.202863775</v>
      </c>
      <c r="V415">
        <v>0.19629104</v>
      </c>
      <c r="W415">
        <v>0.96760025299999997</v>
      </c>
      <c r="X415">
        <v>3.9417640980000002</v>
      </c>
      <c r="Y415">
        <v>3.322509685</v>
      </c>
      <c r="Z415">
        <v>0.29242321500000001</v>
      </c>
      <c r="AA415">
        <v>1.4441910000000001E-2</v>
      </c>
      <c r="AB415">
        <v>-0.87700389999999995</v>
      </c>
      <c r="AC415">
        <v>0.354521162</v>
      </c>
      <c r="AD415">
        <v>0.86097108200000005</v>
      </c>
      <c r="AE415">
        <v>0.33653398499999998</v>
      </c>
      <c r="AF415">
        <v>1.3844610340000001</v>
      </c>
      <c r="AG415">
        <v>4.0057616960000004</v>
      </c>
      <c r="AH415">
        <v>4.4747620000000002E-3</v>
      </c>
      <c r="AI415">
        <v>0.90297697600000004</v>
      </c>
    </row>
    <row r="416" spans="1:35" x14ac:dyDescent="0.2">
      <c r="A416">
        <v>461</v>
      </c>
      <c r="B416" t="s">
        <v>580</v>
      </c>
      <c r="C416" t="s">
        <v>207</v>
      </c>
      <c r="D416" t="s">
        <v>130</v>
      </c>
      <c r="E416" s="11">
        <v>7.9100000000000005E-6</v>
      </c>
      <c r="F416" s="11">
        <v>2.48E-6</v>
      </c>
      <c r="G416">
        <v>0.314304998</v>
      </c>
      <c r="H416">
        <v>0.30879868100000002</v>
      </c>
      <c r="I416" s="11">
        <v>1.04E-5</v>
      </c>
      <c r="J416">
        <v>0.33728077200000001</v>
      </c>
      <c r="K416">
        <v>6.6193099999999998E-3</v>
      </c>
      <c r="L416">
        <v>2.0369232510000002</v>
      </c>
      <c r="M416">
        <v>6.48622E-3</v>
      </c>
      <c r="N416">
        <v>7.6908059999999997E-3</v>
      </c>
      <c r="O416">
        <v>2.37879E-3</v>
      </c>
      <c r="P416">
        <v>2.0752300000000001E-2</v>
      </c>
      <c r="Q416">
        <v>1.057460624</v>
      </c>
      <c r="R416">
        <v>6.3862683459999996</v>
      </c>
      <c r="S416">
        <v>1.2913361999999999E-2</v>
      </c>
      <c r="T416">
        <v>1.2386293E-2</v>
      </c>
      <c r="U416">
        <v>9.8765592999999999E-2</v>
      </c>
      <c r="V416">
        <v>0.102784816</v>
      </c>
      <c r="W416">
        <v>1.0406945670000001</v>
      </c>
      <c r="X416">
        <v>4.1234053450000001</v>
      </c>
      <c r="Y416">
        <v>2.4870848560000001</v>
      </c>
      <c r="Z416">
        <v>0.30207240699999999</v>
      </c>
      <c r="AA416">
        <v>1.1955123E-2</v>
      </c>
      <c r="AB416">
        <v>0.18099969699999999</v>
      </c>
      <c r="AC416">
        <v>1.02483E-2</v>
      </c>
      <c r="AD416">
        <v>0.86755583999999997</v>
      </c>
      <c r="AE416">
        <v>0.41337204799999999</v>
      </c>
      <c r="AF416">
        <v>1.385770495</v>
      </c>
      <c r="AG416">
        <v>0.21906883599999999</v>
      </c>
      <c r="AH416">
        <v>3.6950799999999999E-3</v>
      </c>
      <c r="AI416">
        <v>0.71320054700000002</v>
      </c>
    </row>
    <row r="417" spans="1:35" x14ac:dyDescent="0.2">
      <c r="A417">
        <v>462</v>
      </c>
      <c r="B417" t="s">
        <v>581</v>
      </c>
      <c r="C417" t="s">
        <v>207</v>
      </c>
      <c r="D417" t="s">
        <v>132</v>
      </c>
      <c r="E417" s="11">
        <v>7.0600000000000002E-6</v>
      </c>
      <c r="F417" s="11">
        <v>2.21E-6</v>
      </c>
      <c r="G417">
        <v>0.31369987900000001</v>
      </c>
      <c r="H417">
        <v>-0.84160361900000002</v>
      </c>
      <c r="I417" s="11">
        <v>9.2799999999999992E-6</v>
      </c>
      <c r="J417">
        <v>0.38299445100000001</v>
      </c>
      <c r="K417">
        <v>1.4040161000000001E-2</v>
      </c>
      <c r="L417">
        <v>2.3260470280000001</v>
      </c>
      <c r="M417">
        <v>8.4904079999999996E-3</v>
      </c>
      <c r="N417">
        <v>1.6284283E-2</v>
      </c>
      <c r="O417">
        <v>5.0456299999999997E-3</v>
      </c>
      <c r="P417">
        <v>6.698643E-2</v>
      </c>
      <c r="Q417">
        <v>1.373207882</v>
      </c>
      <c r="R417">
        <v>8.3732201499999999</v>
      </c>
      <c r="S417">
        <v>1.6408485E-2</v>
      </c>
      <c r="T417">
        <v>1.5083071E-2</v>
      </c>
      <c r="U417">
        <v>0.12549742799999999</v>
      </c>
      <c r="V417">
        <v>0.125163415</v>
      </c>
      <c r="W417">
        <v>0.99733848700000005</v>
      </c>
      <c r="X417">
        <v>4.8921963579999996</v>
      </c>
      <c r="Y417">
        <v>1.2208791189999999</v>
      </c>
      <c r="Z417">
        <v>0.28758667500000001</v>
      </c>
      <c r="AA417">
        <v>5.3075400000000003E-3</v>
      </c>
      <c r="AB417">
        <v>-0.90522304200000003</v>
      </c>
      <c r="AC417">
        <v>4.5576219999999999E-3</v>
      </c>
      <c r="AD417">
        <v>0.86456743199999997</v>
      </c>
      <c r="AE417">
        <v>0.20321863700000001</v>
      </c>
      <c r="AF417">
        <v>0.742680691</v>
      </c>
      <c r="AG417">
        <v>0.106184031</v>
      </c>
      <c r="AH417">
        <v>1.643275E-3</v>
      </c>
      <c r="AI417">
        <v>0.38166360399999999</v>
      </c>
    </row>
    <row r="418" spans="1:35" x14ac:dyDescent="0.2">
      <c r="A418">
        <v>463</v>
      </c>
      <c r="B418" t="s">
        <v>582</v>
      </c>
      <c r="C418" t="s">
        <v>207</v>
      </c>
      <c r="D418" t="s">
        <v>134</v>
      </c>
      <c r="E418" s="11">
        <v>1.15E-5</v>
      </c>
      <c r="F418" s="11">
        <v>3.9600000000000002E-6</v>
      </c>
      <c r="G418">
        <v>0.34321171099999997</v>
      </c>
      <c r="H418">
        <v>-0.36725720099999998</v>
      </c>
      <c r="I418" s="11">
        <v>1.5500000000000001E-5</v>
      </c>
      <c r="J418">
        <v>0.39714959999999999</v>
      </c>
      <c r="K418">
        <v>1.5354886999999999E-2</v>
      </c>
      <c r="L418">
        <v>2.4136073730000001</v>
      </c>
      <c r="M418">
        <v>1.2733265000000001E-2</v>
      </c>
      <c r="N418">
        <v>1.7884845E-2</v>
      </c>
      <c r="O418">
        <v>5.5181049999999997E-3</v>
      </c>
      <c r="P418">
        <v>4.274729E-2</v>
      </c>
      <c r="Q418">
        <v>1.1056967129999999</v>
      </c>
      <c r="R418">
        <v>6.719674854</v>
      </c>
      <c r="S418">
        <v>3.2673180000000003E-2</v>
      </c>
      <c r="T418">
        <v>3.0848054999999999E-2</v>
      </c>
      <c r="U418">
        <v>0.24989509900000001</v>
      </c>
      <c r="V418">
        <v>0.25598552600000002</v>
      </c>
      <c r="W418">
        <v>1.024371935</v>
      </c>
      <c r="X418">
        <v>3.8394060219999999</v>
      </c>
      <c r="Y418">
        <v>2.388363032</v>
      </c>
      <c r="Z418">
        <v>0.39291947599999999</v>
      </c>
      <c r="AA418">
        <v>1.6132813999999999E-2</v>
      </c>
      <c r="AB418">
        <v>-1.0569725E-2</v>
      </c>
      <c r="AC418">
        <v>1.3824591000000001E-2</v>
      </c>
      <c r="AD418">
        <v>0.88993497899999996</v>
      </c>
      <c r="AE418">
        <v>0.39444307899999997</v>
      </c>
      <c r="AF418">
        <v>1.0033060060000001</v>
      </c>
      <c r="AG418">
        <v>0.224248324</v>
      </c>
      <c r="AH418">
        <v>4.9845310000000004E-3</v>
      </c>
      <c r="AI418">
        <v>0.51966261999999996</v>
      </c>
    </row>
    <row r="419" spans="1:35" x14ac:dyDescent="0.2">
      <c r="A419">
        <v>464</v>
      </c>
      <c r="B419" t="s">
        <v>583</v>
      </c>
      <c r="C419" t="s">
        <v>207</v>
      </c>
      <c r="D419" t="s">
        <v>136</v>
      </c>
      <c r="E419" s="11">
        <v>8.8799999999999997E-6</v>
      </c>
      <c r="F419" s="11">
        <v>2.7599999999999998E-6</v>
      </c>
      <c r="G419">
        <v>0.31064264400000002</v>
      </c>
      <c r="H419">
        <v>0.159100662</v>
      </c>
      <c r="I419" s="11">
        <v>1.1600000000000001E-5</v>
      </c>
      <c r="J419">
        <v>0.275339326</v>
      </c>
      <c r="K419">
        <v>1.0120898E-2</v>
      </c>
      <c r="L419">
        <v>1.672277749</v>
      </c>
      <c r="M419">
        <v>1.2112738E-2</v>
      </c>
      <c r="N419">
        <v>1.1767398E-2</v>
      </c>
      <c r="O419">
        <v>3.63716E-3</v>
      </c>
      <c r="P419">
        <v>3.1246289999999999E-2</v>
      </c>
      <c r="Q419">
        <v>0.85008824900000002</v>
      </c>
      <c r="R419">
        <v>5.1630220700000002</v>
      </c>
      <c r="S419">
        <v>2.0112735E-2</v>
      </c>
      <c r="T419">
        <v>1.8967907999999999E-2</v>
      </c>
      <c r="U419">
        <v>0.15382873699999999</v>
      </c>
      <c r="V419">
        <v>0.15740084100000001</v>
      </c>
      <c r="W419">
        <v>1.0232213050000001</v>
      </c>
      <c r="X419">
        <v>3.9876394350000002</v>
      </c>
      <c r="Y419">
        <v>1.649982324</v>
      </c>
      <c r="Z419">
        <v>0.31135212499999998</v>
      </c>
      <c r="AA419">
        <v>1.3792227000000001E-2</v>
      </c>
      <c r="AB419">
        <v>-1.3512524E-2</v>
      </c>
      <c r="AC419">
        <v>1.1824929E-2</v>
      </c>
      <c r="AD419">
        <v>0.86755665199999998</v>
      </c>
      <c r="AE419">
        <v>0.27105869900000001</v>
      </c>
      <c r="AF419">
        <v>0.88720264800000004</v>
      </c>
      <c r="AG419">
        <v>0.246771613</v>
      </c>
      <c r="AH419">
        <v>4.2635420000000004E-3</v>
      </c>
      <c r="AI419">
        <v>0.46196467699999999</v>
      </c>
    </row>
    <row r="420" spans="1:35" x14ac:dyDescent="0.2">
      <c r="A420">
        <v>465</v>
      </c>
      <c r="B420" t="s">
        <v>584</v>
      </c>
      <c r="C420" t="s">
        <v>207</v>
      </c>
      <c r="D420" t="s">
        <v>138</v>
      </c>
      <c r="E420" s="11">
        <v>9.3300000000000005E-6</v>
      </c>
      <c r="F420" s="11">
        <v>2.9799999999999998E-6</v>
      </c>
      <c r="G420">
        <v>0.31898463900000001</v>
      </c>
      <c r="H420">
        <v>0.664404408</v>
      </c>
      <c r="I420" s="11">
        <v>1.2300000000000001E-5</v>
      </c>
      <c r="J420">
        <v>0.51007478699999997</v>
      </c>
      <c r="K420">
        <v>1.6504364000000001E-2</v>
      </c>
      <c r="L420">
        <v>3.093457447</v>
      </c>
      <c r="M420">
        <v>1.3659844000000001E-2</v>
      </c>
      <c r="N420">
        <v>1.9192594E-2</v>
      </c>
      <c r="O420">
        <v>5.9311939999999999E-3</v>
      </c>
      <c r="P420">
        <v>4.9552110000000003E-2</v>
      </c>
      <c r="Q420">
        <v>1.5666816569999999</v>
      </c>
      <c r="R420">
        <v>9.4991941559999997</v>
      </c>
      <c r="S420">
        <v>3.0413073999999998E-2</v>
      </c>
      <c r="T420">
        <v>2.7352894999999999E-2</v>
      </c>
      <c r="U420">
        <v>0.232609076</v>
      </c>
      <c r="V420">
        <v>0.22698174099999999</v>
      </c>
      <c r="W420">
        <v>0.97580775799999997</v>
      </c>
      <c r="X420">
        <v>2.8769483349999998</v>
      </c>
      <c r="Y420">
        <v>15.28580584</v>
      </c>
      <c r="Z420">
        <v>0.363650531</v>
      </c>
      <c r="AA420">
        <v>4.2517829E-2</v>
      </c>
      <c r="AB420">
        <v>0.79762549100000002</v>
      </c>
      <c r="AC420">
        <v>3.8125587000000002E-2</v>
      </c>
      <c r="AD420">
        <v>0.89465803499999996</v>
      </c>
      <c r="AE420">
        <v>2.5563481349999999</v>
      </c>
      <c r="AF420">
        <v>4.4359920690000001</v>
      </c>
      <c r="AG420">
        <v>0.52440192299999999</v>
      </c>
      <c r="AH420">
        <v>1.3746385999999999E-2</v>
      </c>
      <c r="AI420">
        <v>2.2741327660000001</v>
      </c>
    </row>
    <row r="421" spans="1:35" x14ac:dyDescent="0.2">
      <c r="A421">
        <v>466</v>
      </c>
      <c r="B421" t="s">
        <v>585</v>
      </c>
      <c r="C421" t="s">
        <v>207</v>
      </c>
      <c r="D421" t="s">
        <v>182</v>
      </c>
      <c r="E421" s="11">
        <v>7.6000000000000001E-6</v>
      </c>
      <c r="F421" s="11">
        <v>2.4099999999999998E-6</v>
      </c>
      <c r="G421">
        <v>0.31680355599999999</v>
      </c>
      <c r="H421">
        <v>0.85791258299999995</v>
      </c>
      <c r="I421" s="11">
        <v>1.0000000000000001E-5</v>
      </c>
      <c r="J421">
        <v>0.49786186199999999</v>
      </c>
      <c r="K421">
        <v>1.6053714E-2</v>
      </c>
      <c r="L421">
        <v>3.0192785999999998</v>
      </c>
      <c r="M421">
        <v>2.3500278999999999E-2</v>
      </c>
      <c r="N421">
        <v>1.8652083999999999E-2</v>
      </c>
      <c r="O421">
        <v>5.7692430000000003E-3</v>
      </c>
      <c r="P421">
        <v>4.9303310000000003E-2</v>
      </c>
      <c r="Q421">
        <v>1.539153773</v>
      </c>
      <c r="R421">
        <v>9.3335292479999996</v>
      </c>
      <c r="S421">
        <v>1.8722049000000001E-2</v>
      </c>
      <c r="T421">
        <v>1.7951951000000001E-2</v>
      </c>
      <c r="U421">
        <v>0.14319231700000001</v>
      </c>
      <c r="V421">
        <v>0.14897015399999999</v>
      </c>
      <c r="W421">
        <v>1.040350189</v>
      </c>
      <c r="X421">
        <v>2.7013114680000001</v>
      </c>
      <c r="Y421">
        <v>33.426365240000003</v>
      </c>
      <c r="Z421">
        <v>0.52714708200000004</v>
      </c>
      <c r="AA421">
        <v>5.3173975999999998E-2</v>
      </c>
      <c r="AB421">
        <v>0.90967373900000004</v>
      </c>
      <c r="AC421">
        <v>2.8423699500000001</v>
      </c>
      <c r="AD421">
        <v>0.94914291399999995</v>
      </c>
      <c r="AE421">
        <v>3.8441049409999999</v>
      </c>
      <c r="AF421">
        <v>6.2046678469999996</v>
      </c>
      <c r="AG421">
        <v>21.346471560000001</v>
      </c>
      <c r="AH421">
        <v>1.654193E-2</v>
      </c>
      <c r="AI421">
        <v>4.2175189519999998</v>
      </c>
    </row>
    <row r="422" spans="1:35" x14ac:dyDescent="0.2">
      <c r="A422">
        <v>467</v>
      </c>
      <c r="B422" t="s">
        <v>586</v>
      </c>
      <c r="C422" t="s">
        <v>207</v>
      </c>
      <c r="D422" t="s">
        <v>188</v>
      </c>
      <c r="E422" s="11">
        <v>8.3100000000000001E-6</v>
      </c>
      <c r="F422" s="11">
        <v>2.5900000000000002E-6</v>
      </c>
      <c r="G422">
        <v>0.31147933999999999</v>
      </c>
      <c r="H422">
        <v>0.86955095999999998</v>
      </c>
      <c r="I422" s="11">
        <v>1.0900000000000001E-5</v>
      </c>
      <c r="J422">
        <v>0.451756624</v>
      </c>
      <c r="K422">
        <v>1.4316732E-2</v>
      </c>
      <c r="L422">
        <v>2.7391732110000002</v>
      </c>
      <c r="M422">
        <v>1.9067453000000002E-2</v>
      </c>
      <c r="N422">
        <v>1.663883E-2</v>
      </c>
      <c r="O422">
        <v>5.145022E-3</v>
      </c>
      <c r="P422">
        <v>4.3720679999999998E-2</v>
      </c>
      <c r="Q422">
        <v>1.408869325</v>
      </c>
      <c r="R422">
        <v>8.5406573179999992</v>
      </c>
      <c r="S422">
        <v>1.8560134999999998E-2</v>
      </c>
      <c r="T422">
        <v>1.7329942000000001E-2</v>
      </c>
      <c r="U422">
        <v>0.141953941</v>
      </c>
      <c r="V422">
        <v>0.143808555</v>
      </c>
      <c r="W422">
        <v>1.0130649</v>
      </c>
      <c r="X422">
        <v>2.7017434069999999</v>
      </c>
      <c r="Y422">
        <v>41.46405601</v>
      </c>
      <c r="Z422">
        <v>0.434102718</v>
      </c>
      <c r="AA422">
        <v>5.0189475999999997E-2</v>
      </c>
      <c r="AB422">
        <v>0.93393860900000003</v>
      </c>
      <c r="AC422">
        <v>2.8423700709999999</v>
      </c>
      <c r="AD422">
        <v>0.92970656100000004</v>
      </c>
      <c r="AE422">
        <v>5.2009888440000003</v>
      </c>
      <c r="AF422">
        <v>5.8755522750000004</v>
      </c>
      <c r="AG422">
        <v>22.005815819999999</v>
      </c>
      <c r="AH422">
        <v>1.6534401000000001E-2</v>
      </c>
      <c r="AI422">
        <v>4.083912615</v>
      </c>
    </row>
    <row r="423" spans="1:35" x14ac:dyDescent="0.2">
      <c r="A423">
        <v>468</v>
      </c>
      <c r="B423" t="s">
        <v>587</v>
      </c>
      <c r="C423" t="s">
        <v>207</v>
      </c>
      <c r="D423" t="s">
        <v>140</v>
      </c>
      <c r="E423" s="11">
        <v>7.3900000000000004E-6</v>
      </c>
      <c r="F423" s="11">
        <v>2.3099999999999999E-6</v>
      </c>
      <c r="G423">
        <v>0.31256271400000002</v>
      </c>
      <c r="H423">
        <v>-0.81700110000000004</v>
      </c>
      <c r="I423" s="11">
        <v>9.7100000000000002E-6</v>
      </c>
      <c r="J423">
        <v>0.26642222500000001</v>
      </c>
      <c r="K423">
        <v>6.5170690000000003E-3</v>
      </c>
      <c r="L423">
        <v>1.6115674870000001</v>
      </c>
      <c r="M423">
        <v>8.0913909999999999E-3</v>
      </c>
      <c r="N423">
        <v>7.5690749999999998E-3</v>
      </c>
      <c r="O423">
        <v>2.3420469999999999E-3</v>
      </c>
      <c r="P423">
        <v>2.043331E-2</v>
      </c>
      <c r="Q423">
        <v>0.83528047299999997</v>
      </c>
      <c r="R423">
        <v>5.0525494520000001</v>
      </c>
      <c r="S423">
        <v>1.2434907E-2</v>
      </c>
      <c r="T423">
        <v>1.2153786999999999E-2</v>
      </c>
      <c r="U423">
        <v>9.5106207999999998E-2</v>
      </c>
      <c r="V423">
        <v>0.100855424</v>
      </c>
      <c r="W423">
        <v>1.0604504809999999</v>
      </c>
      <c r="X423">
        <v>5.0713973819999998</v>
      </c>
      <c r="Y423">
        <v>1.065289945</v>
      </c>
      <c r="Z423">
        <v>0.288716953</v>
      </c>
      <c r="AA423">
        <v>4.3954989999999998E-3</v>
      </c>
      <c r="AB423">
        <v>-0.51279705099999995</v>
      </c>
      <c r="AC423">
        <v>3.773195E-3</v>
      </c>
      <c r="AD423">
        <v>0.84696175600000001</v>
      </c>
      <c r="AE423">
        <v>0.177449246</v>
      </c>
      <c r="AF423">
        <v>0.65694207999999998</v>
      </c>
      <c r="AG423">
        <v>8.9063677999999993E-2</v>
      </c>
      <c r="AH423">
        <v>1.360446E-3</v>
      </c>
      <c r="AI423">
        <v>0.33735801500000001</v>
      </c>
    </row>
    <row r="424" spans="1:35" x14ac:dyDescent="0.2">
      <c r="A424">
        <v>469</v>
      </c>
      <c r="B424" t="s">
        <v>588</v>
      </c>
      <c r="C424" t="s">
        <v>207</v>
      </c>
      <c r="D424" t="s">
        <v>191</v>
      </c>
      <c r="E424" s="11">
        <v>7.3300000000000001E-6</v>
      </c>
      <c r="F424" s="11">
        <v>2.2800000000000002E-6</v>
      </c>
      <c r="G424">
        <v>0.310522572</v>
      </c>
      <c r="H424">
        <v>-0.82063144899999996</v>
      </c>
      <c r="I424" s="11">
        <v>9.6099999999999995E-6</v>
      </c>
      <c r="J424">
        <v>0.25323605300000002</v>
      </c>
      <c r="K424">
        <v>5.9688370000000003E-3</v>
      </c>
      <c r="L424">
        <v>1.531353991</v>
      </c>
      <c r="M424">
        <v>7.7985880000000004E-3</v>
      </c>
      <c r="N424">
        <v>6.931029E-3</v>
      </c>
      <c r="O424">
        <v>2.1450290000000001E-3</v>
      </c>
      <c r="P424">
        <v>1.8758360000000002E-2</v>
      </c>
      <c r="Q424">
        <v>0.79580073200000001</v>
      </c>
      <c r="R424">
        <v>4.8123211179999998</v>
      </c>
      <c r="S424">
        <v>1.1883692E-2</v>
      </c>
      <c r="T424">
        <v>1.0869327999999999E-2</v>
      </c>
      <c r="U424">
        <v>9.0890340999999999E-2</v>
      </c>
      <c r="V424">
        <v>9.019663E-2</v>
      </c>
      <c r="W424">
        <v>0.99236760499999999</v>
      </c>
      <c r="X424">
        <v>5.2286333889999996</v>
      </c>
      <c r="Y424">
        <v>0.95267763400000005</v>
      </c>
      <c r="Z424">
        <v>0.287403146</v>
      </c>
      <c r="AA424">
        <v>3.7235850000000002E-3</v>
      </c>
      <c r="AB424">
        <v>-0.60742095299999999</v>
      </c>
      <c r="AC424">
        <v>3.1969400000000001E-3</v>
      </c>
      <c r="AD424">
        <v>0.84217588300000001</v>
      </c>
      <c r="AE424">
        <v>0.15880326</v>
      </c>
      <c r="AF424">
        <v>0.59325483300000004</v>
      </c>
      <c r="AG424">
        <v>7.6147360999999997E-2</v>
      </c>
      <c r="AH424">
        <v>1.152674E-3</v>
      </c>
      <c r="AI424">
        <v>0.304437491</v>
      </c>
    </row>
    <row r="425" spans="1:35" x14ac:dyDescent="0.2">
      <c r="A425">
        <v>470</v>
      </c>
      <c r="B425" t="s">
        <v>589</v>
      </c>
      <c r="C425" t="s">
        <v>207</v>
      </c>
      <c r="D425" t="s">
        <v>193</v>
      </c>
      <c r="E425" s="11">
        <v>6.5899999999999996E-6</v>
      </c>
      <c r="F425" s="11">
        <v>2.0499999999999999E-6</v>
      </c>
      <c r="G425">
        <v>0.31133591300000002</v>
      </c>
      <c r="H425">
        <v>-0.79314033799999994</v>
      </c>
      <c r="I425" s="11">
        <v>8.6400000000000003E-6</v>
      </c>
      <c r="J425">
        <v>0.22240718500000001</v>
      </c>
      <c r="K425">
        <v>4.6915220000000001E-3</v>
      </c>
      <c r="L425">
        <v>1.3438261540000001</v>
      </c>
      <c r="M425">
        <v>6.9991610000000003E-3</v>
      </c>
      <c r="N425">
        <v>5.4436679999999996E-3</v>
      </c>
      <c r="O425">
        <v>1.685998E-3</v>
      </c>
      <c r="P425">
        <v>1.482001E-2</v>
      </c>
      <c r="Q425">
        <v>0.70243550499999996</v>
      </c>
      <c r="R425">
        <v>4.2442530439999997</v>
      </c>
      <c r="S425">
        <v>1.0023251E-2</v>
      </c>
      <c r="T425">
        <v>9.0729130000000002E-3</v>
      </c>
      <c r="U425">
        <v>7.6661076999999994E-2</v>
      </c>
      <c r="V425">
        <v>7.5289490000000001E-2</v>
      </c>
      <c r="W425">
        <v>0.98210843000000003</v>
      </c>
      <c r="X425">
        <v>5.6154410129999999</v>
      </c>
      <c r="Y425">
        <v>0.74678892100000005</v>
      </c>
      <c r="Z425">
        <v>0.28312710200000002</v>
      </c>
      <c r="AA425">
        <v>2.4747440000000001E-3</v>
      </c>
      <c r="AB425">
        <v>-0.79947253699999998</v>
      </c>
      <c r="AC425">
        <v>2.1265400000000001E-3</v>
      </c>
      <c r="AD425">
        <v>0.86066212200000003</v>
      </c>
      <c r="AE425">
        <v>0.12472352</v>
      </c>
      <c r="AF425">
        <v>0.47354709299999997</v>
      </c>
      <c r="AG425">
        <v>5.1487658999999998E-2</v>
      </c>
      <c r="AH425">
        <v>7.6673599999999996E-4</v>
      </c>
      <c r="AI425">
        <v>0.24254025100000001</v>
      </c>
    </row>
    <row r="426" spans="1:35" x14ac:dyDescent="0.2">
      <c r="A426">
        <v>471</v>
      </c>
      <c r="B426" t="s">
        <v>590</v>
      </c>
      <c r="C426" t="s">
        <v>207</v>
      </c>
      <c r="D426" t="s">
        <v>142</v>
      </c>
      <c r="E426" s="11">
        <v>3.4200000000000002E-7</v>
      </c>
      <c r="F426" s="11">
        <v>1.5799999999999999E-6</v>
      </c>
      <c r="G426">
        <v>4.6254670500000001</v>
      </c>
      <c r="H426">
        <v>-6.9100909000000002E-2</v>
      </c>
      <c r="I426" s="11">
        <v>1.9199999999999998E-6</v>
      </c>
      <c r="J426">
        <v>2.0779087340000002</v>
      </c>
      <c r="K426">
        <v>1.6763851750000001</v>
      </c>
      <c r="L426">
        <v>15.820222749999999</v>
      </c>
      <c r="M426">
        <v>0.211932386</v>
      </c>
      <c r="N426">
        <v>4.2527839999999999E-3</v>
      </c>
      <c r="O426">
        <v>1.308315E-3</v>
      </c>
      <c r="P426">
        <v>0.35847298999999999</v>
      </c>
      <c r="Q426">
        <v>0.44433353799999997</v>
      </c>
      <c r="R426">
        <v>3.3829472059999999</v>
      </c>
      <c r="S426">
        <v>8.4636880000000005E-3</v>
      </c>
      <c r="T426">
        <v>3.3582481999999997E-2</v>
      </c>
      <c r="U426">
        <v>6.4733038000000007E-2</v>
      </c>
      <c r="V426">
        <v>0.27867654600000002</v>
      </c>
      <c r="W426">
        <v>4.305012627</v>
      </c>
      <c r="X426">
        <v>2.7015862469999998</v>
      </c>
      <c r="Y426">
        <v>31.350341400000001</v>
      </c>
      <c r="Z426">
        <v>1.155313786</v>
      </c>
      <c r="AA426">
        <v>5.5125796999999997E-2</v>
      </c>
      <c r="AB426">
        <v>0.49537319099999999</v>
      </c>
      <c r="AC426">
        <v>2.228205864</v>
      </c>
      <c r="AD426">
        <v>1.055542287</v>
      </c>
      <c r="AE426">
        <v>3.882309679</v>
      </c>
      <c r="AF426">
        <v>3.174852891</v>
      </c>
      <c r="AG426">
        <v>11.398678110000001</v>
      </c>
      <c r="AH426">
        <v>1.6537139999999999E-2</v>
      </c>
      <c r="AI426">
        <v>2.1819893979999998</v>
      </c>
    </row>
    <row r="427" spans="1:35" x14ac:dyDescent="0.2">
      <c r="A427">
        <v>472</v>
      </c>
      <c r="B427" t="s">
        <v>591</v>
      </c>
      <c r="C427" t="s">
        <v>207</v>
      </c>
      <c r="D427" t="s">
        <v>144</v>
      </c>
      <c r="E427" s="11">
        <v>1.1399999999999999E-5</v>
      </c>
      <c r="F427" s="11">
        <v>3.5700000000000001E-6</v>
      </c>
      <c r="G427">
        <v>0.31354520400000002</v>
      </c>
      <c r="H427">
        <v>6.3446805999999994E-2</v>
      </c>
      <c r="I427" s="11">
        <v>1.5E-5</v>
      </c>
      <c r="J427">
        <v>0.36747787500000001</v>
      </c>
      <c r="K427">
        <v>1.5653750000000001E-2</v>
      </c>
      <c r="L427">
        <v>2.2361747489999999</v>
      </c>
      <c r="M427">
        <v>1.0345149E-2</v>
      </c>
      <c r="N427">
        <v>1.8216982999999999E-2</v>
      </c>
      <c r="O427">
        <v>5.6255080000000004E-3</v>
      </c>
      <c r="P427">
        <v>4.7457800000000001E-2</v>
      </c>
      <c r="Q427">
        <v>1.122101912</v>
      </c>
      <c r="R427">
        <v>6.8275270739999998</v>
      </c>
      <c r="S427">
        <v>2.905632E-2</v>
      </c>
      <c r="T427">
        <v>2.7233857E-2</v>
      </c>
      <c r="U427">
        <v>0.222232179</v>
      </c>
      <c r="V427">
        <v>0.22599393400000001</v>
      </c>
      <c r="W427">
        <v>1.0169271390000001</v>
      </c>
      <c r="X427">
        <v>3.665967432</v>
      </c>
      <c r="Y427">
        <v>2.3038562890000001</v>
      </c>
      <c r="Z427">
        <v>0.301619943</v>
      </c>
      <c r="AA427">
        <v>1.9365060999999999E-2</v>
      </c>
      <c r="AB427">
        <v>2.9377501E-2</v>
      </c>
      <c r="AC427">
        <v>1.6597537999999998E-2</v>
      </c>
      <c r="AD427">
        <v>0.88329036999999999</v>
      </c>
      <c r="AE427">
        <v>0.378422223</v>
      </c>
      <c r="AF427">
        <v>1.155022343</v>
      </c>
      <c r="AG427">
        <v>0.32306014100000002</v>
      </c>
      <c r="AH427">
        <v>5.9843320000000002E-3</v>
      </c>
      <c r="AI427">
        <v>0.60150817199999995</v>
      </c>
    </row>
    <row r="428" spans="1:35" x14ac:dyDescent="0.2">
      <c r="A428">
        <v>473</v>
      </c>
      <c r="B428" t="s">
        <v>592</v>
      </c>
      <c r="C428" t="s">
        <v>207</v>
      </c>
      <c r="D428" t="s">
        <v>146</v>
      </c>
      <c r="E428" s="11">
        <v>9.9299999999999998E-6</v>
      </c>
      <c r="F428" s="11">
        <v>3.1E-6</v>
      </c>
      <c r="G428">
        <v>0.312320447</v>
      </c>
      <c r="H428">
        <v>-0.103927108</v>
      </c>
      <c r="I428" s="11">
        <v>1.2999999999999999E-5</v>
      </c>
      <c r="J428">
        <v>0.36387140499999998</v>
      </c>
      <c r="K428">
        <v>1.0425709999999999E-2</v>
      </c>
      <c r="L428">
        <v>2.204079852</v>
      </c>
      <c r="M428">
        <v>9.4721389999999992E-3</v>
      </c>
      <c r="N428">
        <v>1.2127611999999999E-2</v>
      </c>
      <c r="O428">
        <v>3.7466999999999999E-3</v>
      </c>
      <c r="P428">
        <v>3.215838E-2</v>
      </c>
      <c r="Q428">
        <v>1.122470678</v>
      </c>
      <c r="R428">
        <v>6.7991408340000001</v>
      </c>
      <c r="S428">
        <v>2.0387298000000002E-2</v>
      </c>
      <c r="T428">
        <v>1.9608029999999999E-2</v>
      </c>
      <c r="U428">
        <v>0.15592867699999999</v>
      </c>
      <c r="V428">
        <v>0.16271275099999999</v>
      </c>
      <c r="W428">
        <v>1.043507545</v>
      </c>
      <c r="X428">
        <v>4.1175396879999999</v>
      </c>
      <c r="Y428">
        <v>2.5019237510000001</v>
      </c>
      <c r="Z428">
        <v>0.29707871499999999</v>
      </c>
      <c r="AA428">
        <v>1.2028982000000001E-2</v>
      </c>
      <c r="AB428">
        <v>0.119045954</v>
      </c>
      <c r="AC428">
        <v>1.0311855999999999E-2</v>
      </c>
      <c r="AD428">
        <v>0.86693791499999995</v>
      </c>
      <c r="AE428">
        <v>0.415836857</v>
      </c>
      <c r="AF428">
        <v>1.392659979</v>
      </c>
      <c r="AG428">
        <v>0.220229379</v>
      </c>
      <c r="AH428">
        <v>3.717995E-3</v>
      </c>
      <c r="AI428">
        <v>0.71674988100000003</v>
      </c>
    </row>
    <row r="429" spans="1:35" x14ac:dyDescent="0.2">
      <c r="A429">
        <v>474</v>
      </c>
      <c r="B429" t="s">
        <v>593</v>
      </c>
      <c r="C429" t="s">
        <v>207</v>
      </c>
      <c r="D429" t="s">
        <v>200</v>
      </c>
      <c r="E429" s="11">
        <v>6.55E-6</v>
      </c>
      <c r="F429" s="11">
        <v>2.1100000000000001E-6</v>
      </c>
      <c r="G429">
        <v>0.32179861799999998</v>
      </c>
      <c r="H429">
        <v>0.46697580999999999</v>
      </c>
      <c r="I429" s="11">
        <v>8.6500000000000002E-6</v>
      </c>
      <c r="J429">
        <v>0.50310739100000001</v>
      </c>
      <c r="K429">
        <v>1.6764531999999999E-2</v>
      </c>
      <c r="L429">
        <v>3.0521734079999998</v>
      </c>
      <c r="M429">
        <v>2.2809096000000001E-2</v>
      </c>
      <c r="N429">
        <v>1.9431519000000001E-2</v>
      </c>
      <c r="O429">
        <v>6.0246910000000004E-3</v>
      </c>
      <c r="P429">
        <v>5.0212569999999998E-2</v>
      </c>
      <c r="Q429">
        <v>1.588586769</v>
      </c>
      <c r="R429">
        <v>9.6319457600000007</v>
      </c>
      <c r="S429">
        <v>1.8667046E-2</v>
      </c>
      <c r="T429">
        <v>1.781742E-2</v>
      </c>
      <c r="U429">
        <v>0.14277163100000001</v>
      </c>
      <c r="V429">
        <v>0.14785378299999999</v>
      </c>
      <c r="W429">
        <v>1.035596371</v>
      </c>
      <c r="X429">
        <v>3.8209616870000001</v>
      </c>
      <c r="Y429">
        <v>3.459684545</v>
      </c>
      <c r="Z429">
        <v>0.31049809499999997</v>
      </c>
      <c r="AA429">
        <v>1.6424431999999999E-2</v>
      </c>
      <c r="AB429">
        <v>0.11778852400000001</v>
      </c>
      <c r="AC429">
        <v>1.4095976E-2</v>
      </c>
      <c r="AD429">
        <v>0.84834414899999999</v>
      </c>
      <c r="AE429">
        <v>0.57512663799999997</v>
      </c>
      <c r="AF429">
        <v>1.8182204870000001</v>
      </c>
      <c r="AG429">
        <v>0.28413173200000003</v>
      </c>
      <c r="AH429">
        <v>5.0823800000000001E-3</v>
      </c>
      <c r="AI429">
        <v>0.93559923</v>
      </c>
    </row>
    <row r="430" spans="1:35" x14ac:dyDescent="0.2">
      <c r="A430">
        <v>475</v>
      </c>
      <c r="B430" t="s">
        <v>594</v>
      </c>
      <c r="C430" t="s">
        <v>207</v>
      </c>
      <c r="D430" t="s">
        <v>148</v>
      </c>
      <c r="E430" s="11">
        <v>6.81E-6</v>
      </c>
      <c r="F430" s="11">
        <v>2.12E-6</v>
      </c>
      <c r="G430">
        <v>0.311196902</v>
      </c>
      <c r="H430">
        <v>-0.62386539100000005</v>
      </c>
      <c r="I430" s="11">
        <v>8.9299999999999992E-6</v>
      </c>
      <c r="J430">
        <v>0.20704001499999999</v>
      </c>
      <c r="K430">
        <v>5.9959970000000003E-3</v>
      </c>
      <c r="L430">
        <v>1.2542320810000001</v>
      </c>
      <c r="M430">
        <v>9.5883549999999998E-3</v>
      </c>
      <c r="N430">
        <v>6.9598680000000001E-3</v>
      </c>
      <c r="O430">
        <v>2.1547889999999998E-3</v>
      </c>
      <c r="P430">
        <v>1.8833599999999999E-2</v>
      </c>
      <c r="Q430">
        <v>0.65011739999999996</v>
      </c>
      <c r="R430">
        <v>3.9383715960000001</v>
      </c>
      <c r="S430">
        <v>1.3105945000000001E-2</v>
      </c>
      <c r="T430">
        <v>1.188666E-2</v>
      </c>
      <c r="U430">
        <v>0.10023852599999999</v>
      </c>
      <c r="V430">
        <v>9.8638723999999997E-2</v>
      </c>
      <c r="W430">
        <v>0.98404004899999997</v>
      </c>
      <c r="X430">
        <v>4.9714393980000002</v>
      </c>
      <c r="Y430">
        <v>0.79553613700000003</v>
      </c>
      <c r="Z430">
        <v>0.28474513899999998</v>
      </c>
      <c r="AA430">
        <v>4.8827990000000002E-3</v>
      </c>
      <c r="AB430">
        <v>-0.57658718799999997</v>
      </c>
      <c r="AC430">
        <v>3.3671307999999997E-2</v>
      </c>
      <c r="AD430">
        <v>0.85746984800000003</v>
      </c>
      <c r="AE430">
        <v>0.112989925</v>
      </c>
      <c r="AF430">
        <v>0.41522366399999999</v>
      </c>
      <c r="AG430">
        <v>0.78932136200000003</v>
      </c>
      <c r="AH430">
        <v>1.5116000000000001E-3</v>
      </c>
      <c r="AI430">
        <v>0.25009426499999998</v>
      </c>
    </row>
    <row r="431" spans="1:35" x14ac:dyDescent="0.2">
      <c r="A431">
        <v>476</v>
      </c>
      <c r="B431" t="s">
        <v>595</v>
      </c>
      <c r="C431" t="s">
        <v>207</v>
      </c>
      <c r="D431" t="s">
        <v>150</v>
      </c>
      <c r="E431" s="11">
        <v>9.8800000000000003E-6</v>
      </c>
      <c r="F431" s="11">
        <v>3.1099999999999999E-6</v>
      </c>
      <c r="G431">
        <v>0.31472428200000002</v>
      </c>
      <c r="H431">
        <v>-0.111589548</v>
      </c>
      <c r="I431" s="11">
        <v>1.2999999999999999E-5</v>
      </c>
      <c r="J431">
        <v>0.36307714699999999</v>
      </c>
      <c r="K431">
        <v>1.0383626999999999E-2</v>
      </c>
      <c r="L431">
        <v>2.1992301360000002</v>
      </c>
      <c r="M431">
        <v>9.4339279999999994E-3</v>
      </c>
      <c r="N431">
        <v>1.2078587999999999E-2</v>
      </c>
      <c r="O431">
        <v>3.7314879999999998E-3</v>
      </c>
      <c r="P431">
        <v>3.2035279999999999E-2</v>
      </c>
      <c r="Q431">
        <v>1.120257348</v>
      </c>
      <c r="R431">
        <v>6.7856146519999996</v>
      </c>
      <c r="S431">
        <v>2.0324201E-2</v>
      </c>
      <c r="T431">
        <v>1.9544898000000002E-2</v>
      </c>
      <c r="U431">
        <v>0.155446098</v>
      </c>
      <c r="V431">
        <v>0.16218886399999999</v>
      </c>
      <c r="W431">
        <v>1.0433768750000001</v>
      </c>
      <c r="X431">
        <v>4.1241247569999997</v>
      </c>
      <c r="Y431">
        <v>2.4872637879999999</v>
      </c>
      <c r="Z431">
        <v>0.29670223600000001</v>
      </c>
      <c r="AA431">
        <v>1.1945796999999999E-2</v>
      </c>
      <c r="AB431">
        <v>0.11580342</v>
      </c>
      <c r="AC431">
        <v>1.0240532E-2</v>
      </c>
      <c r="AD431">
        <v>0.86686235599999995</v>
      </c>
      <c r="AE431">
        <v>0.41340716999999999</v>
      </c>
      <c r="AF431">
        <v>1.386015915</v>
      </c>
      <c r="AG431">
        <v>0.21894269799999999</v>
      </c>
      <c r="AH431">
        <v>3.6922790000000001E-3</v>
      </c>
      <c r="AI431">
        <v>0.71331856100000002</v>
      </c>
    </row>
    <row r="432" spans="1:35" x14ac:dyDescent="0.2">
      <c r="A432">
        <v>477</v>
      </c>
      <c r="B432" t="s">
        <v>596</v>
      </c>
      <c r="C432" t="s">
        <v>207</v>
      </c>
      <c r="D432" t="s">
        <v>204</v>
      </c>
      <c r="E432" s="11">
        <v>4.9200000000000001E-7</v>
      </c>
      <c r="F432" s="11">
        <v>1.5900000000000001E-7</v>
      </c>
      <c r="G432">
        <v>0.32233343199999998</v>
      </c>
      <c r="H432">
        <v>-0.298857814</v>
      </c>
      <c r="I432" s="11">
        <v>6.5099999999999999E-7</v>
      </c>
      <c r="J432">
        <v>0.29191489399999998</v>
      </c>
      <c r="K432">
        <v>1.7292519999999999E-3</v>
      </c>
      <c r="L432">
        <v>1.754947866</v>
      </c>
      <c r="M432">
        <v>1.950467E-3</v>
      </c>
      <c r="N432">
        <v>1.83862E-3</v>
      </c>
      <c r="O432">
        <v>6.2144299999999995E-4</v>
      </c>
      <c r="P432">
        <v>1.010585E-2</v>
      </c>
      <c r="Q432">
        <v>0.86613929599999995</v>
      </c>
      <c r="R432">
        <v>5.2170474779999996</v>
      </c>
      <c r="S432">
        <v>1.60122E-3</v>
      </c>
      <c r="T432">
        <v>1.423512E-3</v>
      </c>
      <c r="U432">
        <v>1.2246651000000001E-2</v>
      </c>
      <c r="V432">
        <v>1.1812693000000001E-2</v>
      </c>
      <c r="W432">
        <v>0.96456516999999997</v>
      </c>
      <c r="X432">
        <v>5.2569576309999997</v>
      </c>
      <c r="Y432">
        <v>0.920766215</v>
      </c>
      <c r="Z432">
        <v>0.282752754</v>
      </c>
      <c r="AA432">
        <v>3.607051E-3</v>
      </c>
      <c r="AB432">
        <v>-0.90596465900000001</v>
      </c>
      <c r="AC432">
        <v>3.10291E-3</v>
      </c>
      <c r="AD432">
        <v>0.83098600499999997</v>
      </c>
      <c r="AE432">
        <v>0.153475635</v>
      </c>
      <c r="AF432">
        <v>0.58412564199999994</v>
      </c>
      <c r="AG432">
        <v>7.3941783999999997E-2</v>
      </c>
      <c r="AH432">
        <v>1.118771E-3</v>
      </c>
      <c r="AI432">
        <v>0.299700721</v>
      </c>
    </row>
    <row r="433" spans="1:35" x14ac:dyDescent="0.2">
      <c r="A433">
        <v>478</v>
      </c>
      <c r="B433" t="s">
        <v>597</v>
      </c>
      <c r="C433" t="s">
        <v>207</v>
      </c>
      <c r="D433" t="s">
        <v>152</v>
      </c>
      <c r="E433" s="11">
        <v>3.4200000000000002E-7</v>
      </c>
      <c r="F433" s="11">
        <v>1.5799999999999999E-6</v>
      </c>
      <c r="G433">
        <v>4.6279905929999998</v>
      </c>
      <c r="H433">
        <v>-6.9149134000000001E-2</v>
      </c>
      <c r="I433" s="11">
        <v>1.9300000000000002E-6</v>
      </c>
      <c r="J433">
        <v>2.081854125</v>
      </c>
      <c r="K433">
        <v>1.6763924349999999</v>
      </c>
      <c r="L433">
        <v>15.84390962</v>
      </c>
      <c r="M433">
        <v>0.21166571100000001</v>
      </c>
      <c r="N433">
        <v>4.2572909999999999E-3</v>
      </c>
      <c r="O433">
        <v>1.3097040000000001E-3</v>
      </c>
      <c r="P433">
        <v>0.35804195999999999</v>
      </c>
      <c r="Q433">
        <v>0.44463999500000001</v>
      </c>
      <c r="R433">
        <v>3.3839238819999999</v>
      </c>
      <c r="S433">
        <v>8.4724629999999995E-3</v>
      </c>
      <c r="T433">
        <v>3.3613065999999997E-2</v>
      </c>
      <c r="U433">
        <v>6.4800150000000001E-2</v>
      </c>
      <c r="V433">
        <v>0.27893034100000003</v>
      </c>
      <c r="W433">
        <v>4.3044706069999998</v>
      </c>
      <c r="X433">
        <v>2.700969577</v>
      </c>
      <c r="Y433">
        <v>31.344715220000001</v>
      </c>
      <c r="Z433">
        <v>1.1551553240000001</v>
      </c>
      <c r="AA433">
        <v>5.5130059000000002E-2</v>
      </c>
      <c r="AB433">
        <v>0.49452692399999998</v>
      </c>
      <c r="AC433">
        <v>2.2319807580000002</v>
      </c>
      <c r="AD433">
        <v>1.055253424</v>
      </c>
      <c r="AE433">
        <v>3.8789709819999998</v>
      </c>
      <c r="AF433">
        <v>3.175385629</v>
      </c>
      <c r="AG433">
        <v>11.27316276</v>
      </c>
      <c r="AH433">
        <v>1.6547892000000002E-2</v>
      </c>
      <c r="AI433">
        <v>2.175946937</v>
      </c>
    </row>
    <row r="434" spans="1:35" x14ac:dyDescent="0.2">
      <c r="A434">
        <v>479</v>
      </c>
      <c r="B434" t="s">
        <v>598</v>
      </c>
      <c r="C434" t="s">
        <v>207</v>
      </c>
      <c r="D434" t="s">
        <v>209</v>
      </c>
      <c r="E434" s="11">
        <v>6.9299999999999997E-6</v>
      </c>
      <c r="F434" s="11">
        <v>2.1900000000000002E-6</v>
      </c>
      <c r="G434">
        <v>0.31638363899999999</v>
      </c>
      <c r="H434">
        <v>-0.65444151900000003</v>
      </c>
      <c r="I434" s="11">
        <v>9.1200000000000008E-6</v>
      </c>
      <c r="J434">
        <v>0.31762863000000002</v>
      </c>
      <c r="K434">
        <v>8.5875610000000005E-3</v>
      </c>
      <c r="L434">
        <v>1.922946901</v>
      </c>
      <c r="M434">
        <v>8.9256579999999995E-3</v>
      </c>
      <c r="N434">
        <v>9.9745479999999997E-3</v>
      </c>
      <c r="O434">
        <v>3.0861220000000002E-3</v>
      </c>
      <c r="P434">
        <v>2.6664469999999999E-2</v>
      </c>
      <c r="Q434">
        <v>0.98635016099999995</v>
      </c>
      <c r="R434">
        <v>5.9714299000000004</v>
      </c>
      <c r="S434">
        <v>1.5042396E-2</v>
      </c>
      <c r="T434">
        <v>1.4625397E-2</v>
      </c>
      <c r="U434">
        <v>0.115049137</v>
      </c>
      <c r="V434">
        <v>0.12136551499999999</v>
      </c>
      <c r="W434">
        <v>1.054901568</v>
      </c>
      <c r="X434">
        <v>4.5972711830000001</v>
      </c>
      <c r="Y434">
        <v>1.5412615249999999</v>
      </c>
      <c r="Z434">
        <v>0.29492033499999998</v>
      </c>
      <c r="AA434">
        <v>7.2282120000000004E-3</v>
      </c>
      <c r="AB434">
        <v>-0.24764478300000001</v>
      </c>
      <c r="AC434">
        <v>6.2192799999999998E-3</v>
      </c>
      <c r="AD434">
        <v>0.84813022000000005</v>
      </c>
      <c r="AE434">
        <v>0.25625247400000001</v>
      </c>
      <c r="AF434">
        <v>0.933231598</v>
      </c>
      <c r="AG434">
        <v>0.145198197</v>
      </c>
      <c r="AH434">
        <v>2.2423949999999999E-3</v>
      </c>
      <c r="AI434">
        <v>0.480179666</v>
      </c>
    </row>
    <row r="435" spans="1:35" x14ac:dyDescent="0.2">
      <c r="A435">
        <v>480</v>
      </c>
      <c r="B435" t="s">
        <v>599</v>
      </c>
      <c r="C435" t="s">
        <v>207</v>
      </c>
      <c r="D435" t="s">
        <v>154</v>
      </c>
      <c r="E435" s="11">
        <v>5.2300000000000001E-7</v>
      </c>
      <c r="F435" s="11">
        <v>1.6899999999999999E-7</v>
      </c>
      <c r="G435">
        <v>0.32250223099999997</v>
      </c>
      <c r="H435">
        <v>-0.317295145</v>
      </c>
      <c r="I435" s="11">
        <v>6.9100000000000003E-7</v>
      </c>
      <c r="J435">
        <v>0.29191489399999998</v>
      </c>
      <c r="K435">
        <v>1.735721E-3</v>
      </c>
      <c r="L435">
        <v>1.7549608050000001</v>
      </c>
      <c r="M435">
        <v>1.9578769999999998E-3</v>
      </c>
      <c r="N435">
        <v>1.8560359999999999E-3</v>
      </c>
      <c r="O435">
        <v>6.2376800000000002E-4</v>
      </c>
      <c r="P435">
        <v>1.020156E-2</v>
      </c>
      <c r="Q435">
        <v>0.87092607300000002</v>
      </c>
      <c r="R435">
        <v>5.245959558</v>
      </c>
      <c r="S435">
        <v>1.6315699999999999E-3</v>
      </c>
      <c r="T435">
        <v>1.2271560000000001E-3</v>
      </c>
      <c r="U435">
        <v>1.247878E-2</v>
      </c>
      <c r="V435">
        <v>1.0183274000000001E-2</v>
      </c>
      <c r="W435">
        <v>0.81604724200000001</v>
      </c>
      <c r="X435">
        <v>5.3871461199999997</v>
      </c>
      <c r="Y435">
        <v>0.85704351199999995</v>
      </c>
      <c r="Z435">
        <v>0.28414004300000001</v>
      </c>
      <c r="AA435">
        <v>3.1456710000000001E-3</v>
      </c>
      <c r="AB435">
        <v>-1</v>
      </c>
      <c r="AC435">
        <v>2.705051E-3</v>
      </c>
      <c r="AD435">
        <v>0.82731082300000003</v>
      </c>
      <c r="AE435">
        <v>0.14297005900000001</v>
      </c>
      <c r="AF435">
        <v>0.53743664000000002</v>
      </c>
      <c r="AG435">
        <v>6.4836808999999995E-2</v>
      </c>
      <c r="AH435">
        <v>9.7532100000000002E-4</v>
      </c>
      <c r="AI435">
        <v>0.27558505100000003</v>
      </c>
    </row>
    <row r="436" spans="1:35" x14ac:dyDescent="0.2">
      <c r="A436">
        <v>481</v>
      </c>
      <c r="B436" t="s">
        <v>600</v>
      </c>
      <c r="C436" t="s">
        <v>207</v>
      </c>
      <c r="D436" t="s">
        <v>156</v>
      </c>
      <c r="E436" s="11">
        <v>8.6100000000000006E-6</v>
      </c>
      <c r="F436" s="11">
        <v>2.6900000000000001E-6</v>
      </c>
      <c r="G436">
        <v>0.312852352</v>
      </c>
      <c r="H436">
        <v>0.36235442699999998</v>
      </c>
      <c r="I436" s="11">
        <v>1.13E-5</v>
      </c>
      <c r="J436">
        <v>0.27289742</v>
      </c>
      <c r="K436">
        <v>9.9751189999999993E-3</v>
      </c>
      <c r="L436">
        <v>1.6573347599999999</v>
      </c>
      <c r="M436">
        <v>1.2009994E-2</v>
      </c>
      <c r="N436">
        <v>1.1597806E-2</v>
      </c>
      <c r="O436">
        <v>3.5847710000000001E-3</v>
      </c>
      <c r="P436">
        <v>3.0816369999999999E-2</v>
      </c>
      <c r="Q436">
        <v>0.84303295700000003</v>
      </c>
      <c r="R436">
        <v>5.1198304739999996</v>
      </c>
      <c r="S436">
        <v>1.8887747999999999E-2</v>
      </c>
      <c r="T436">
        <v>1.8644826E-2</v>
      </c>
      <c r="U436">
        <v>0.14445963100000001</v>
      </c>
      <c r="V436">
        <v>0.15471982400000001</v>
      </c>
      <c r="W436">
        <v>1.0710246379999999</v>
      </c>
      <c r="X436">
        <v>3.8337550679999999</v>
      </c>
      <c r="Y436">
        <v>1.925047562</v>
      </c>
      <c r="Z436">
        <v>0.31405450200000001</v>
      </c>
      <c r="AA436">
        <v>1.6219163000000002E-2</v>
      </c>
      <c r="AB436">
        <v>0.139068149</v>
      </c>
      <c r="AC436">
        <v>1.3907177999999999E-2</v>
      </c>
      <c r="AD436">
        <v>0.86309482400000004</v>
      </c>
      <c r="AE436">
        <v>0.31617614399999999</v>
      </c>
      <c r="AF436">
        <v>1.0028778899999999</v>
      </c>
      <c r="AG436">
        <v>0.281380344</v>
      </c>
      <c r="AH436">
        <v>5.0143080000000003E-3</v>
      </c>
      <c r="AI436">
        <v>0.52231896700000002</v>
      </c>
    </row>
    <row r="437" spans="1:35" x14ac:dyDescent="0.2">
      <c r="A437">
        <v>482</v>
      </c>
      <c r="B437" t="s">
        <v>601</v>
      </c>
      <c r="C437" t="s">
        <v>207</v>
      </c>
      <c r="D437" t="s">
        <v>158</v>
      </c>
      <c r="E437" s="11">
        <v>5.7699999999999998E-6</v>
      </c>
      <c r="F437" s="11">
        <v>1.7999999999999999E-6</v>
      </c>
      <c r="G437">
        <v>0.312467457</v>
      </c>
      <c r="H437">
        <v>-0.684458228</v>
      </c>
      <c r="I437" s="11">
        <v>7.5700000000000004E-6</v>
      </c>
      <c r="J437">
        <v>0.29191489399999998</v>
      </c>
      <c r="K437">
        <v>1.1853974999999999E-2</v>
      </c>
      <c r="L437">
        <v>1.775197312</v>
      </c>
      <c r="M437">
        <v>8.5312679999999998E-3</v>
      </c>
      <c r="N437">
        <v>1.3734849E-2</v>
      </c>
      <c r="O437">
        <v>4.2599780000000002E-3</v>
      </c>
      <c r="P437">
        <v>6.0472819999999997E-2</v>
      </c>
      <c r="Q437">
        <v>1.2158209799999999</v>
      </c>
      <c r="R437">
        <v>7.4158715260000001</v>
      </c>
      <c r="S437">
        <v>1.0899489E-2</v>
      </c>
      <c r="T437">
        <v>9.7875689999999994E-3</v>
      </c>
      <c r="U437">
        <v>8.3362832999999997E-2</v>
      </c>
      <c r="V437">
        <v>8.1219900999999997E-2</v>
      </c>
      <c r="W437">
        <v>0.97429391600000004</v>
      </c>
      <c r="X437">
        <v>4.8708056720000004</v>
      </c>
      <c r="Y437">
        <v>0.95060525100000004</v>
      </c>
      <c r="Z437">
        <v>0.28959505800000002</v>
      </c>
      <c r="AA437">
        <v>5.415609E-3</v>
      </c>
      <c r="AB437">
        <v>-0.86743899300000005</v>
      </c>
      <c r="AC437">
        <v>4.6615449999999996E-3</v>
      </c>
      <c r="AD437">
        <v>0.84759436700000002</v>
      </c>
      <c r="AE437">
        <v>0.15752654599999999</v>
      </c>
      <c r="AF437">
        <v>0.74867049100000005</v>
      </c>
      <c r="AG437">
        <v>0.18694920400000001</v>
      </c>
      <c r="AH437">
        <v>1.680745E-3</v>
      </c>
      <c r="AI437">
        <v>0.388760526</v>
      </c>
    </row>
    <row r="438" spans="1:35" x14ac:dyDescent="0.2">
      <c r="A438">
        <v>483</v>
      </c>
      <c r="B438" t="s">
        <v>602</v>
      </c>
      <c r="C438" t="s">
        <v>207</v>
      </c>
      <c r="D438" t="s">
        <v>214</v>
      </c>
      <c r="E438" s="11">
        <v>5.6899999999999997E-6</v>
      </c>
      <c r="F438" s="11">
        <v>1.79E-6</v>
      </c>
      <c r="G438">
        <v>0.31501373900000001</v>
      </c>
      <c r="H438">
        <v>-0.68881464999999997</v>
      </c>
      <c r="I438" s="11">
        <v>7.4900000000000003E-6</v>
      </c>
      <c r="J438">
        <v>0.29191489399999998</v>
      </c>
      <c r="K438">
        <v>1.0740533999999999E-2</v>
      </c>
      <c r="L438">
        <v>1.7729704289999999</v>
      </c>
      <c r="M438">
        <v>8.5691499999999993E-3</v>
      </c>
      <c r="N438">
        <v>1.2445015E-2</v>
      </c>
      <c r="O438">
        <v>3.8598389999999999E-3</v>
      </c>
      <c r="P438">
        <v>5.7231310000000001E-2</v>
      </c>
      <c r="Q438">
        <v>1.134529753</v>
      </c>
      <c r="R438">
        <v>6.9216411439999996</v>
      </c>
      <c r="S438">
        <v>1.0176648999999999E-2</v>
      </c>
      <c r="T438">
        <v>9.5363549999999998E-3</v>
      </c>
      <c r="U438">
        <v>7.7834316000000001E-2</v>
      </c>
      <c r="V438">
        <v>7.9135258E-2</v>
      </c>
      <c r="W438">
        <v>1.0167142469999999</v>
      </c>
      <c r="X438">
        <v>4.8018777339999996</v>
      </c>
      <c r="Y438">
        <v>0.95192206300000004</v>
      </c>
      <c r="Z438">
        <v>0.286063597</v>
      </c>
      <c r="AA438">
        <v>5.8258470000000003E-3</v>
      </c>
      <c r="AB438">
        <v>-0.86251637299999995</v>
      </c>
      <c r="AC438">
        <v>5.012814E-3</v>
      </c>
      <c r="AD438">
        <v>0.84949771600000001</v>
      </c>
      <c r="AE438">
        <v>0.15752654599999999</v>
      </c>
      <c r="AF438">
        <v>0.78761719900000005</v>
      </c>
      <c r="AG438">
        <v>0.19462384499999999</v>
      </c>
      <c r="AH438">
        <v>1.8073970000000001E-3</v>
      </c>
      <c r="AI438">
        <v>0.40888116800000002</v>
      </c>
    </row>
    <row r="439" spans="1:35" x14ac:dyDescent="0.2">
      <c r="A439">
        <v>484</v>
      </c>
      <c r="B439" t="s">
        <v>603</v>
      </c>
      <c r="C439" t="s">
        <v>207</v>
      </c>
      <c r="D439" t="s">
        <v>160</v>
      </c>
      <c r="E439" s="11">
        <v>9.5999999999999996E-6</v>
      </c>
      <c r="F439" s="11">
        <v>3.0900000000000001E-6</v>
      </c>
      <c r="G439">
        <v>0.321897355</v>
      </c>
      <c r="H439">
        <v>-0.27166847500000002</v>
      </c>
      <c r="I439" s="11">
        <v>1.27E-5</v>
      </c>
      <c r="J439">
        <v>0.35535551399999998</v>
      </c>
      <c r="K439">
        <v>1.4753051E-2</v>
      </c>
      <c r="L439">
        <v>2.161639187</v>
      </c>
      <c r="M439">
        <v>1.3648713E-2</v>
      </c>
      <c r="N439">
        <v>1.7168648000000002E-2</v>
      </c>
      <c r="O439">
        <v>5.3018220000000003E-3</v>
      </c>
      <c r="P439">
        <v>4.463905E-2</v>
      </c>
      <c r="Q439">
        <v>1.0752805990000001</v>
      </c>
      <c r="R439">
        <v>6.540961684</v>
      </c>
      <c r="S439">
        <v>2.8688449000000001E-2</v>
      </c>
      <c r="T439">
        <v>2.7657971999999999E-2</v>
      </c>
      <c r="U439">
        <v>0.219418581</v>
      </c>
      <c r="V439">
        <v>0.229513353</v>
      </c>
      <c r="W439">
        <v>1.046006915</v>
      </c>
      <c r="X439">
        <v>3.7150339269999999</v>
      </c>
      <c r="Y439">
        <v>1.947054968</v>
      </c>
      <c r="Z439">
        <v>0.30646277700000002</v>
      </c>
      <c r="AA439">
        <v>1.8361678999999999E-2</v>
      </c>
      <c r="AB439">
        <v>-0.110209636</v>
      </c>
      <c r="AC439">
        <v>1.5760990999999999E-2</v>
      </c>
      <c r="AD439">
        <v>0.86765093299999996</v>
      </c>
      <c r="AE439">
        <v>0.318718157</v>
      </c>
      <c r="AF439">
        <v>1.117996558</v>
      </c>
      <c r="AG439">
        <v>0.31491180299999999</v>
      </c>
      <c r="AH439">
        <v>5.6827099999999997E-3</v>
      </c>
      <c r="AI439">
        <v>0.58233705700000005</v>
      </c>
    </row>
    <row r="440" spans="1:35" x14ac:dyDescent="0.2">
      <c r="A440">
        <v>485</v>
      </c>
      <c r="B440" t="s">
        <v>604</v>
      </c>
      <c r="C440" t="s">
        <v>207</v>
      </c>
      <c r="D440" t="s">
        <v>162</v>
      </c>
      <c r="E440" s="11">
        <v>3.8600000000000003E-6</v>
      </c>
      <c r="F440" s="11">
        <v>1.1999999999999999E-6</v>
      </c>
      <c r="G440">
        <v>0.31099675100000002</v>
      </c>
      <c r="H440">
        <v>0.79108472699999999</v>
      </c>
      <c r="I440" s="11">
        <v>5.0599999999999998E-6</v>
      </c>
      <c r="J440">
        <v>0.30756952599999998</v>
      </c>
      <c r="K440">
        <v>2.2841810000000001E-3</v>
      </c>
      <c r="L440">
        <v>1.849985518</v>
      </c>
      <c r="M440">
        <v>2.4684559999999999E-3</v>
      </c>
      <c r="N440">
        <v>2.637361E-3</v>
      </c>
      <c r="O440">
        <v>8.20869E-4</v>
      </c>
      <c r="P440">
        <v>7.2520600000000003E-3</v>
      </c>
      <c r="Q440">
        <v>0.97772647400000001</v>
      </c>
      <c r="R440">
        <v>5.8808629540000004</v>
      </c>
      <c r="S440">
        <v>4.3572120000000001E-3</v>
      </c>
      <c r="T440">
        <v>4.1228530000000001E-3</v>
      </c>
      <c r="U440">
        <v>3.3325374999999997E-2</v>
      </c>
      <c r="V440">
        <v>3.4212552E-2</v>
      </c>
      <c r="W440">
        <v>1.026621666</v>
      </c>
      <c r="X440">
        <v>4.1223187020000003</v>
      </c>
      <c r="Y440">
        <v>2.4867327380000002</v>
      </c>
      <c r="Z440">
        <v>0.311762447</v>
      </c>
      <c r="AA440">
        <v>1.1969004E-2</v>
      </c>
      <c r="AB440">
        <v>0.25605776200000002</v>
      </c>
      <c r="AC440">
        <v>1.0260043999999999E-2</v>
      </c>
      <c r="AD440">
        <v>0.86810753100000004</v>
      </c>
      <c r="AE440">
        <v>0.413305172</v>
      </c>
      <c r="AF440">
        <v>1.3853122170000001</v>
      </c>
      <c r="AG440">
        <v>0.219284229</v>
      </c>
      <c r="AH440">
        <v>3.699314E-3</v>
      </c>
      <c r="AI440">
        <v>0.71297916699999997</v>
      </c>
    </row>
    <row r="441" spans="1:35" x14ac:dyDescent="0.2">
      <c r="A441">
        <v>486</v>
      </c>
      <c r="B441" t="s">
        <v>605</v>
      </c>
      <c r="C441" t="s">
        <v>207</v>
      </c>
      <c r="D441" t="s">
        <v>218</v>
      </c>
      <c r="E441" s="11">
        <v>1.73E-6</v>
      </c>
      <c r="F441" s="11">
        <v>5.4000000000000002E-7</v>
      </c>
      <c r="G441">
        <v>0.31313146400000003</v>
      </c>
      <c r="H441">
        <v>-0.11560514099999999</v>
      </c>
      <c r="I441" s="11">
        <v>2.2699999999999999E-6</v>
      </c>
      <c r="J441">
        <v>0.62499262099999997</v>
      </c>
      <c r="K441">
        <v>5.6070060000000003E-3</v>
      </c>
      <c r="L441">
        <v>3.7611697390000001</v>
      </c>
      <c r="M441">
        <v>2.865551E-3</v>
      </c>
      <c r="N441">
        <v>6.376891E-3</v>
      </c>
      <c r="O441">
        <v>2.0149970000000001E-3</v>
      </c>
      <c r="P441">
        <v>1.737352E-2</v>
      </c>
      <c r="Q441">
        <v>1.8534388660000001</v>
      </c>
      <c r="R441">
        <v>11.15538024</v>
      </c>
      <c r="S441">
        <v>7.8173889999999992E-3</v>
      </c>
      <c r="T441">
        <v>6.486754E-3</v>
      </c>
      <c r="U441">
        <v>5.9789935000000002E-2</v>
      </c>
      <c r="V441">
        <v>5.3828845E-2</v>
      </c>
      <c r="W441">
        <v>0.90029943999999995</v>
      </c>
      <c r="X441">
        <v>3.5828610329999999</v>
      </c>
      <c r="Y441">
        <v>4.5746677760000001</v>
      </c>
      <c r="Z441">
        <v>0.32158830599999999</v>
      </c>
      <c r="AA441">
        <v>2.1126473999999999E-2</v>
      </c>
      <c r="AB441">
        <v>0.17782669200000001</v>
      </c>
      <c r="AC441">
        <v>1.811697E-2</v>
      </c>
      <c r="AD441">
        <v>0.85726737600000003</v>
      </c>
      <c r="AE441">
        <v>0.76080804599999996</v>
      </c>
      <c r="AF441">
        <v>2.2708315529999998</v>
      </c>
      <c r="AG441">
        <v>0.34477645400000001</v>
      </c>
      <c r="AH441">
        <v>6.5321709999999998E-3</v>
      </c>
      <c r="AI441">
        <v>1.167991523</v>
      </c>
    </row>
    <row r="442" spans="1:35" x14ac:dyDescent="0.2">
      <c r="A442">
        <v>487</v>
      </c>
      <c r="B442" t="s">
        <v>606</v>
      </c>
      <c r="C442" t="s">
        <v>207</v>
      </c>
      <c r="D442" t="s">
        <v>220</v>
      </c>
      <c r="E442" s="11">
        <v>9.8800000000000003E-6</v>
      </c>
      <c r="F442" s="11">
        <v>3.1700000000000001E-6</v>
      </c>
      <c r="G442">
        <v>0.32109627800000001</v>
      </c>
      <c r="H442">
        <v>-0.112124295</v>
      </c>
      <c r="I442" s="11">
        <v>1.31E-5</v>
      </c>
      <c r="J442">
        <v>0.363321693</v>
      </c>
      <c r="K442">
        <v>1.0419028E-2</v>
      </c>
      <c r="L442">
        <v>2.2007682169999998</v>
      </c>
      <c r="M442">
        <v>9.4660130000000006E-3</v>
      </c>
      <c r="N442">
        <v>1.2122763E-2</v>
      </c>
      <c r="O442">
        <v>3.744299E-3</v>
      </c>
      <c r="P442">
        <v>3.2146470000000003E-2</v>
      </c>
      <c r="Q442">
        <v>1.1209788540000001</v>
      </c>
      <c r="R442">
        <v>6.7901660660000003</v>
      </c>
      <c r="S442">
        <v>2.0411749999999999E-2</v>
      </c>
      <c r="T442">
        <v>1.9642094999999998E-2</v>
      </c>
      <c r="U442">
        <v>0.156115701</v>
      </c>
      <c r="V442">
        <v>0.162995431</v>
      </c>
      <c r="W442">
        <v>1.0440681489999999</v>
      </c>
      <c r="X442">
        <v>4.1228581240000004</v>
      </c>
      <c r="Y442">
        <v>2.48689319</v>
      </c>
      <c r="Z442">
        <v>0.31138877100000001</v>
      </c>
      <c r="AA442">
        <v>1.1962222E-2</v>
      </c>
      <c r="AB442">
        <v>0.115053181</v>
      </c>
      <c r="AC442">
        <v>1.0254212E-2</v>
      </c>
      <c r="AD442">
        <v>0.86958356299999995</v>
      </c>
      <c r="AE442">
        <v>0.41333595000000001</v>
      </c>
      <c r="AF442">
        <v>1.3855405750000001</v>
      </c>
      <c r="AG442">
        <v>0.219179349</v>
      </c>
      <c r="AH442">
        <v>3.6972110000000002E-3</v>
      </c>
      <c r="AI442">
        <v>0.71308960300000002</v>
      </c>
    </row>
    <row r="443" spans="1:35" x14ac:dyDescent="0.2">
      <c r="A443">
        <v>488</v>
      </c>
      <c r="B443" t="s">
        <v>607</v>
      </c>
      <c r="C443" t="s">
        <v>207</v>
      </c>
      <c r="D443" t="s">
        <v>164</v>
      </c>
      <c r="E443" s="11">
        <v>7.1300000000000003E-6</v>
      </c>
      <c r="F443" s="11">
        <v>2.3E-6</v>
      </c>
      <c r="G443">
        <v>0.32271105999999999</v>
      </c>
      <c r="H443">
        <v>0.68799649399999996</v>
      </c>
      <c r="I443" s="11">
        <v>9.4299999999999995E-6</v>
      </c>
      <c r="J443">
        <v>0.29192270399999998</v>
      </c>
      <c r="K443">
        <v>1.7421289999999999E-2</v>
      </c>
      <c r="L443">
        <v>1.7863788030000001</v>
      </c>
      <c r="M443">
        <v>1.2345541999999999E-2</v>
      </c>
      <c r="N443">
        <v>2.0224606999999999E-2</v>
      </c>
      <c r="O443">
        <v>6.2607110000000004E-3</v>
      </c>
      <c r="P443">
        <v>8.7159169999999994E-2</v>
      </c>
      <c r="Q443">
        <v>1.206465831</v>
      </c>
      <c r="R443">
        <v>7.4131133279999997</v>
      </c>
      <c r="S443">
        <v>1.5759757999999999E-2</v>
      </c>
      <c r="T443">
        <v>1.4207496E-2</v>
      </c>
      <c r="U443">
        <v>0.120535749</v>
      </c>
      <c r="V443">
        <v>0.11789765300000001</v>
      </c>
      <c r="W443">
        <v>0.97811358000000004</v>
      </c>
      <c r="X443">
        <v>3.4341487329999998</v>
      </c>
      <c r="Y443">
        <v>3.0967747000000001</v>
      </c>
      <c r="Z443">
        <v>0.33024043199999997</v>
      </c>
      <c r="AA443">
        <v>2.4705628E-2</v>
      </c>
      <c r="AB443">
        <v>0.42314860599999998</v>
      </c>
      <c r="AC443">
        <v>2.1191344000000001E-2</v>
      </c>
      <c r="AD443">
        <v>0.86193954299999997</v>
      </c>
      <c r="AE443">
        <v>0.50937171000000003</v>
      </c>
      <c r="AF443">
        <v>1.4552270679999999</v>
      </c>
      <c r="AG443">
        <v>0.386003547</v>
      </c>
      <c r="AH443">
        <v>7.6406529999999999E-3</v>
      </c>
      <c r="AI443">
        <v>0.75679031900000004</v>
      </c>
    </row>
    <row r="444" spans="1:35" x14ac:dyDescent="0.2">
      <c r="A444">
        <v>489</v>
      </c>
      <c r="B444" t="s">
        <v>608</v>
      </c>
      <c r="C444" t="s">
        <v>207</v>
      </c>
      <c r="D444" t="s">
        <v>166</v>
      </c>
      <c r="E444" s="11">
        <v>1.22E-5</v>
      </c>
      <c r="F444" s="11">
        <v>3.8500000000000004E-6</v>
      </c>
      <c r="G444">
        <v>0.31513966399999999</v>
      </c>
      <c r="H444">
        <v>-3.8222702999999997E-2</v>
      </c>
      <c r="I444" s="11">
        <v>1.6099999999999998E-5</v>
      </c>
      <c r="J444">
        <v>0.41658626999999998</v>
      </c>
      <c r="K444">
        <v>1.8190909000000002E-2</v>
      </c>
      <c r="L444">
        <v>2.5358994410000002</v>
      </c>
      <c r="M444">
        <v>1.4311931E-2</v>
      </c>
      <c r="N444">
        <v>2.1186901000000001E-2</v>
      </c>
      <c r="O444">
        <v>6.5372900000000003E-3</v>
      </c>
      <c r="P444">
        <v>5.4242150000000003E-2</v>
      </c>
      <c r="Q444">
        <v>1.242246551</v>
      </c>
      <c r="R444">
        <v>7.5619636059999999</v>
      </c>
      <c r="S444">
        <v>3.5428345E-2</v>
      </c>
      <c r="T444">
        <v>3.4281918000000002E-2</v>
      </c>
      <c r="U444">
        <v>0.270967497</v>
      </c>
      <c r="V444">
        <v>0.28448065500000003</v>
      </c>
      <c r="W444">
        <v>1.0498700329999999</v>
      </c>
      <c r="X444">
        <v>3.5789967329999999</v>
      </c>
      <c r="Y444">
        <v>2.5358993490000001</v>
      </c>
      <c r="Z444">
        <v>0.31513966399999999</v>
      </c>
      <c r="AA444">
        <v>2.1222723999999998E-2</v>
      </c>
      <c r="AB444" s="11">
        <v>-3.6099999999999999E-8</v>
      </c>
      <c r="AC444">
        <v>1.8190910000000001E-2</v>
      </c>
      <c r="AD444">
        <v>0.88352102399999999</v>
      </c>
      <c r="AE444">
        <v>0.41658625399999999</v>
      </c>
      <c r="AF444">
        <v>1.242666214</v>
      </c>
      <c r="AG444">
        <v>0.34596140199999997</v>
      </c>
      <c r="AH444">
        <v>6.5588310000000002E-3</v>
      </c>
      <c r="AI444">
        <v>0.647069907</v>
      </c>
    </row>
    <row r="445" spans="1:35" x14ac:dyDescent="0.2">
      <c r="A445">
        <v>490</v>
      </c>
      <c r="B445" t="s">
        <v>609</v>
      </c>
      <c r="C445" t="s">
        <v>207</v>
      </c>
      <c r="D445" t="s">
        <v>226</v>
      </c>
      <c r="E445" s="11">
        <v>6.3500000000000002E-6</v>
      </c>
      <c r="F445" s="11">
        <v>1.9800000000000001E-6</v>
      </c>
      <c r="G445">
        <v>0.31250919799999999</v>
      </c>
      <c r="H445">
        <v>-0.83862015899999998</v>
      </c>
      <c r="I445" s="11">
        <v>8.3299999999999999E-6</v>
      </c>
      <c r="J445">
        <v>0.26300717800000001</v>
      </c>
      <c r="K445">
        <v>6.3464639999999996E-3</v>
      </c>
      <c r="L445">
        <v>1.590735996</v>
      </c>
      <c r="M445">
        <v>7.9781160000000004E-3</v>
      </c>
      <c r="N445">
        <v>7.3645680000000002E-3</v>
      </c>
      <c r="O445">
        <v>2.2807370000000001E-3</v>
      </c>
      <c r="P445">
        <v>1.9896569999999999E-2</v>
      </c>
      <c r="Q445">
        <v>0.82447717600000003</v>
      </c>
      <c r="R445">
        <v>4.9866561919999999</v>
      </c>
      <c r="S445">
        <v>1.2247067E-2</v>
      </c>
      <c r="T445">
        <v>1.1731291E-2</v>
      </c>
      <c r="U445">
        <v>9.3669551000000004E-2</v>
      </c>
      <c r="V445">
        <v>9.7349432E-2</v>
      </c>
      <c r="W445">
        <v>1.039285776</v>
      </c>
      <c r="X445">
        <v>5.1169425390000001</v>
      </c>
      <c r="Y445">
        <v>1.033020587</v>
      </c>
      <c r="Z445">
        <v>0.29025463200000001</v>
      </c>
      <c r="AA445">
        <v>4.1861939999999999E-3</v>
      </c>
      <c r="AB445">
        <v>-0.53988798999999998</v>
      </c>
      <c r="AC445">
        <v>3.5963420000000002E-3</v>
      </c>
      <c r="AD445">
        <v>0.83825615099999995</v>
      </c>
      <c r="AE445">
        <v>0.172113609</v>
      </c>
      <c r="AF445">
        <v>0.63847991100000001</v>
      </c>
      <c r="AG445">
        <v>8.5059807000000001E-2</v>
      </c>
      <c r="AH445">
        <v>1.2966799999999999E-3</v>
      </c>
      <c r="AI445">
        <v>0.327801695</v>
      </c>
    </row>
    <row r="446" spans="1:35" x14ac:dyDescent="0.2">
      <c r="A446">
        <v>491</v>
      </c>
      <c r="B446" t="s">
        <v>610</v>
      </c>
      <c r="C446" t="s">
        <v>207</v>
      </c>
      <c r="D446" t="s">
        <v>168</v>
      </c>
      <c r="E446" s="11">
        <v>4.33E-6</v>
      </c>
      <c r="F446" s="11">
        <v>1.35E-6</v>
      </c>
      <c r="G446">
        <v>0.31153655200000002</v>
      </c>
      <c r="H446">
        <v>-0.95790817299999997</v>
      </c>
      <c r="I446" s="11">
        <v>5.6799999999999998E-6</v>
      </c>
      <c r="J446">
        <v>0.29192575300000001</v>
      </c>
      <c r="K446">
        <v>8.0811000000000008E-3</v>
      </c>
      <c r="L446">
        <v>1.767716718</v>
      </c>
      <c r="M446">
        <v>8.6548179999999999E-3</v>
      </c>
      <c r="N446">
        <v>9.3411659999999997E-3</v>
      </c>
      <c r="O446">
        <v>2.9041150000000001E-3</v>
      </c>
      <c r="P446">
        <v>4.9267079999999998E-2</v>
      </c>
      <c r="Q446">
        <v>0.93897483400000004</v>
      </c>
      <c r="R446">
        <v>5.7323831580000002</v>
      </c>
      <c r="S446">
        <v>8.7806280000000004E-3</v>
      </c>
      <c r="T446">
        <v>7.7213309999999997E-3</v>
      </c>
      <c r="U446">
        <v>6.7157096999999999E-2</v>
      </c>
      <c r="V446">
        <v>6.4073699999999997E-2</v>
      </c>
      <c r="W446">
        <v>0.95408680300000004</v>
      </c>
      <c r="X446">
        <v>4.5857258879999998</v>
      </c>
      <c r="Y446">
        <v>1.5000820699999999</v>
      </c>
      <c r="Z446">
        <v>0.28145688000000002</v>
      </c>
      <c r="AA446">
        <v>7.3211999999999999E-3</v>
      </c>
      <c r="AB446">
        <v>-0.17841333700000001</v>
      </c>
      <c r="AC446">
        <v>6.295424E-3</v>
      </c>
      <c r="AD446">
        <v>0.85243543200000005</v>
      </c>
      <c r="AE446">
        <v>0.24925257100000001</v>
      </c>
      <c r="AF446">
        <v>0.94382417299999999</v>
      </c>
      <c r="AG446">
        <v>0.21546775900000001</v>
      </c>
      <c r="AH446">
        <v>2.269849E-3</v>
      </c>
      <c r="AI446">
        <v>0.48908101399999998</v>
      </c>
    </row>
    <row r="447" spans="1:35" x14ac:dyDescent="0.2">
      <c r="A447">
        <v>492</v>
      </c>
      <c r="B447" t="s">
        <v>611</v>
      </c>
      <c r="C447" t="s">
        <v>209</v>
      </c>
      <c r="D447" t="s">
        <v>129</v>
      </c>
      <c r="E447" s="11">
        <v>1.8500000000000001E-6</v>
      </c>
      <c r="F447" s="11">
        <v>5.8500000000000001E-7</v>
      </c>
      <c r="G447">
        <v>0.316543829</v>
      </c>
      <c r="H447">
        <v>-0.83197169199999998</v>
      </c>
      <c r="I447" s="11">
        <v>2.43E-6</v>
      </c>
      <c r="J447">
        <v>0.62363636300000003</v>
      </c>
      <c r="K447">
        <v>1.2808565810000001</v>
      </c>
      <c r="L447">
        <v>6.3035313400000001</v>
      </c>
      <c r="M447">
        <v>0.39975402399999999</v>
      </c>
      <c r="N447">
        <v>1.4402928000000001E-2</v>
      </c>
      <c r="O447">
        <v>4.5377919999999997E-3</v>
      </c>
      <c r="P447">
        <v>2.2529247300000002</v>
      </c>
      <c r="Q447">
        <v>1.9798800780000001</v>
      </c>
      <c r="R447">
        <v>16.385129930000002</v>
      </c>
      <c r="S447">
        <v>1.245489E-2</v>
      </c>
      <c r="T447">
        <v>1.0994111000000001E-2</v>
      </c>
      <c r="U447">
        <v>9.5259044000000001E-2</v>
      </c>
      <c r="V447">
        <v>9.1232113000000004E-2</v>
      </c>
      <c r="W447">
        <v>0.95772652300000005</v>
      </c>
      <c r="X447">
        <v>3.7970471240000001</v>
      </c>
      <c r="Y447">
        <v>3.7903188000000001</v>
      </c>
      <c r="Z447">
        <v>0.30128402799999998</v>
      </c>
      <c r="AA447">
        <v>1.7331658999999999E-2</v>
      </c>
      <c r="AB447">
        <v>-0.66306099100000004</v>
      </c>
      <c r="AC447">
        <v>0.42642939000000002</v>
      </c>
      <c r="AD447">
        <v>0.86219676300000003</v>
      </c>
      <c r="AE447">
        <v>0.38361408499999999</v>
      </c>
      <c r="AF447">
        <v>1.5873206339999999</v>
      </c>
      <c r="AG447">
        <v>4.872724378</v>
      </c>
      <c r="AH447">
        <v>5.3823869999999998E-3</v>
      </c>
      <c r="AI447">
        <v>1.0361921519999999</v>
      </c>
    </row>
    <row r="448" spans="1:35" x14ac:dyDescent="0.2">
      <c r="A448">
        <v>493</v>
      </c>
      <c r="B448" t="s">
        <v>612</v>
      </c>
      <c r="C448" t="s">
        <v>209</v>
      </c>
      <c r="D448" t="s">
        <v>130</v>
      </c>
      <c r="E448" s="11">
        <v>1.03E-5</v>
      </c>
      <c r="F448" s="11">
        <v>3.3000000000000002E-6</v>
      </c>
      <c r="G448">
        <v>0.32018607300000002</v>
      </c>
      <c r="H448">
        <v>-0.57178589599999996</v>
      </c>
      <c r="I448" s="11">
        <v>1.36E-5</v>
      </c>
      <c r="J448">
        <v>0.48142067399999999</v>
      </c>
      <c r="K448">
        <v>1.5134091000000001E-2</v>
      </c>
      <c r="L448">
        <v>2.918792227</v>
      </c>
      <c r="M448">
        <v>9.3597490000000005E-3</v>
      </c>
      <c r="N448">
        <v>1.7593441000000001E-2</v>
      </c>
      <c r="O448">
        <v>5.4387569999999998E-3</v>
      </c>
      <c r="P448">
        <v>4.5675550000000002E-2</v>
      </c>
      <c r="Q448">
        <v>1.4660722900000001</v>
      </c>
      <c r="R448">
        <v>8.8877848440000005</v>
      </c>
      <c r="S448">
        <v>2.7545963E-2</v>
      </c>
      <c r="T448">
        <v>2.6957531999999999E-2</v>
      </c>
      <c r="U448">
        <v>0.21068048</v>
      </c>
      <c r="V448">
        <v>0.223700909</v>
      </c>
      <c r="W448">
        <v>1.0618017820000001</v>
      </c>
      <c r="X448">
        <v>3.9720196379999999</v>
      </c>
      <c r="Y448">
        <v>2.8372662179999999</v>
      </c>
      <c r="Z448">
        <v>0.31122560300000002</v>
      </c>
      <c r="AA448">
        <v>1.434728E-2</v>
      </c>
      <c r="AB448">
        <v>-2.8734000999999999E-2</v>
      </c>
      <c r="AC448">
        <v>1.2326983E-2</v>
      </c>
      <c r="AD448">
        <v>0.86879089600000003</v>
      </c>
      <c r="AE448">
        <v>0.47120156499999999</v>
      </c>
      <c r="AF448">
        <v>1.5888219649999999</v>
      </c>
      <c r="AG448">
        <v>0.26648166699999998</v>
      </c>
      <c r="AH448">
        <v>4.4445600000000002E-3</v>
      </c>
      <c r="AI448">
        <v>0.81841822099999995</v>
      </c>
    </row>
    <row r="449" spans="1:35" x14ac:dyDescent="0.2">
      <c r="A449">
        <v>494</v>
      </c>
      <c r="B449" t="s">
        <v>613</v>
      </c>
      <c r="C449" t="s">
        <v>209</v>
      </c>
      <c r="D449" t="s">
        <v>132</v>
      </c>
      <c r="E449" s="11">
        <v>6.1500000000000004E-6</v>
      </c>
      <c r="F449" s="11">
        <v>1.9199999999999998E-6</v>
      </c>
      <c r="G449">
        <v>0.31184114000000002</v>
      </c>
      <c r="H449">
        <v>-0.71045994099999998</v>
      </c>
      <c r="I449" s="11">
        <v>8.0700000000000007E-6</v>
      </c>
      <c r="J449">
        <v>0.34500905700000001</v>
      </c>
      <c r="K449">
        <v>9.9222809999999998E-3</v>
      </c>
      <c r="L449">
        <v>2.0898989060000002</v>
      </c>
      <c r="M449">
        <v>1.0174019999999999E-3</v>
      </c>
      <c r="N449">
        <v>1.1505635E-2</v>
      </c>
      <c r="O449">
        <v>3.5657829999999999E-3</v>
      </c>
      <c r="P449">
        <v>3.115277E-2</v>
      </c>
      <c r="Q449">
        <v>1.0874042239999999</v>
      </c>
      <c r="R449">
        <v>6.586730888</v>
      </c>
      <c r="S449">
        <v>1.3563781E-2</v>
      </c>
      <c r="T449">
        <v>1.2165811E-2</v>
      </c>
      <c r="U449">
        <v>0.103740207</v>
      </c>
      <c r="V449">
        <v>0.10095520099999999</v>
      </c>
      <c r="W449">
        <v>0.97315403499999997</v>
      </c>
      <c r="X449">
        <v>4.712585443</v>
      </c>
      <c r="Y449">
        <v>1.3927788080000001</v>
      </c>
      <c r="Z449">
        <v>0.29630093499999999</v>
      </c>
      <c r="AA449">
        <v>6.3695510000000002E-3</v>
      </c>
      <c r="AB449">
        <v>-0.500524631</v>
      </c>
      <c r="AC449">
        <v>5.4820540000000001E-3</v>
      </c>
      <c r="AD449">
        <v>0.86579823300000003</v>
      </c>
      <c r="AE449">
        <v>0.23164831799999999</v>
      </c>
      <c r="AF449">
        <v>0.85150275499999994</v>
      </c>
      <c r="AG449">
        <v>0.129165327</v>
      </c>
      <c r="AH449">
        <v>1.976584E-3</v>
      </c>
      <c r="AI449">
        <v>0.43797000600000002</v>
      </c>
    </row>
    <row r="450" spans="1:35" x14ac:dyDescent="0.2">
      <c r="A450">
        <v>495</v>
      </c>
      <c r="B450" t="s">
        <v>614</v>
      </c>
      <c r="C450" t="s">
        <v>209</v>
      </c>
      <c r="D450" t="s">
        <v>134</v>
      </c>
      <c r="E450" s="11">
        <v>1.0200000000000001E-5</v>
      </c>
      <c r="F450" s="11">
        <v>3.2600000000000001E-6</v>
      </c>
      <c r="G450">
        <v>0.31934787199999998</v>
      </c>
      <c r="H450">
        <v>7.5243109999999997E-3</v>
      </c>
      <c r="I450" s="11">
        <v>1.3499999999999999E-5</v>
      </c>
      <c r="J450">
        <v>0.33201367300000001</v>
      </c>
      <c r="K450">
        <v>2.3538367000000001E-2</v>
      </c>
      <c r="L450">
        <v>2.039158773</v>
      </c>
      <c r="M450">
        <v>3.9521399999999998E-3</v>
      </c>
      <c r="N450">
        <v>1.5913895000000001E-2</v>
      </c>
      <c r="O450">
        <v>8.4590120000000001E-3</v>
      </c>
      <c r="P450">
        <v>7.0010799999999998E-2</v>
      </c>
      <c r="Q450">
        <v>1.029697885</v>
      </c>
      <c r="R450">
        <v>6.3182089140000004</v>
      </c>
      <c r="S450">
        <v>2.2438084000000001E-2</v>
      </c>
      <c r="T450">
        <v>2.0498427999999999E-2</v>
      </c>
      <c r="U450">
        <v>0.171613761</v>
      </c>
      <c r="V450">
        <v>0.17010151600000001</v>
      </c>
      <c r="W450">
        <v>0.99118808999999997</v>
      </c>
      <c r="X450">
        <v>3.6984469980000001</v>
      </c>
      <c r="Y450">
        <v>2.724644369</v>
      </c>
      <c r="Z450">
        <v>0.40482546000000003</v>
      </c>
      <c r="AA450">
        <v>1.9360904000000002E-2</v>
      </c>
      <c r="AB450">
        <v>0.25158718099999999</v>
      </c>
      <c r="AC450">
        <v>1.662866E-2</v>
      </c>
      <c r="AD450">
        <v>0.89120189400000005</v>
      </c>
      <c r="AE450">
        <v>0.44962448999999999</v>
      </c>
      <c r="AF450">
        <v>1.1503164669999999</v>
      </c>
      <c r="AG450">
        <v>0.27278214699999997</v>
      </c>
      <c r="AH450">
        <v>5.9955529999999998E-3</v>
      </c>
      <c r="AI450">
        <v>0.59632786100000001</v>
      </c>
    </row>
    <row r="451" spans="1:35" x14ac:dyDescent="0.2">
      <c r="A451">
        <v>496</v>
      </c>
      <c r="B451" t="s">
        <v>615</v>
      </c>
      <c r="C451" t="s">
        <v>209</v>
      </c>
      <c r="D451" t="s">
        <v>136</v>
      </c>
      <c r="E451" s="11">
        <v>9.4599999999999992E-6</v>
      </c>
      <c r="F451" s="11">
        <v>3.0199999999999999E-6</v>
      </c>
      <c r="G451">
        <v>0.31963467099999998</v>
      </c>
      <c r="H451">
        <v>-0.22233020000000001</v>
      </c>
      <c r="I451" s="11">
        <v>1.2500000000000001E-5</v>
      </c>
      <c r="J451">
        <v>0.37778850600000002</v>
      </c>
      <c r="K451">
        <v>1.6122790000000001E-2</v>
      </c>
      <c r="L451">
        <v>2.2989766180000002</v>
      </c>
      <c r="M451">
        <v>1.3748076999999999E-2</v>
      </c>
      <c r="N451">
        <v>1.8725964000000001E-2</v>
      </c>
      <c r="O451">
        <v>5.7939829999999999E-3</v>
      </c>
      <c r="P451">
        <v>4.8464050000000002E-2</v>
      </c>
      <c r="Q451">
        <v>1.1392905579999999</v>
      </c>
      <c r="R451">
        <v>6.9326714559999996</v>
      </c>
      <c r="S451">
        <v>2.6668187999999999E-2</v>
      </c>
      <c r="T451">
        <v>2.7454603000000001E-2</v>
      </c>
      <c r="U451">
        <v>0.20396697</v>
      </c>
      <c r="V451">
        <v>0.227825739</v>
      </c>
      <c r="W451">
        <v>1.1169736889999999</v>
      </c>
      <c r="X451">
        <v>3.8412382049999998</v>
      </c>
      <c r="Y451">
        <v>1.882299712</v>
      </c>
      <c r="Z451">
        <v>0.32078651000000002</v>
      </c>
      <c r="AA451">
        <v>1.6551977999999998E-2</v>
      </c>
      <c r="AB451">
        <v>-0.22136586599999999</v>
      </c>
      <c r="AC451">
        <v>1.4223403000000001E-2</v>
      </c>
      <c r="AD451">
        <v>0.86879170900000002</v>
      </c>
      <c r="AE451">
        <v>0.30897900299999997</v>
      </c>
      <c r="AF451">
        <v>1.017200943</v>
      </c>
      <c r="AG451">
        <v>0.30018012599999999</v>
      </c>
      <c r="AH451">
        <v>5.1283250000000004E-3</v>
      </c>
      <c r="AI451">
        <v>0.53011780500000005</v>
      </c>
    </row>
    <row r="452" spans="1:35" x14ac:dyDescent="0.2">
      <c r="A452">
        <v>497</v>
      </c>
      <c r="B452" t="s">
        <v>616</v>
      </c>
      <c r="C452" t="s">
        <v>209</v>
      </c>
      <c r="D452" t="s">
        <v>138</v>
      </c>
      <c r="E452" s="11">
        <v>8.5199999999999997E-6</v>
      </c>
      <c r="F452" s="11">
        <v>2.6800000000000002E-6</v>
      </c>
      <c r="G452">
        <v>0.31495125000000002</v>
      </c>
      <c r="H452">
        <v>0.74081870299999997</v>
      </c>
      <c r="I452" s="11">
        <v>1.1199999999999999E-5</v>
      </c>
      <c r="J452">
        <v>0.36192140099999998</v>
      </c>
      <c r="K452">
        <v>1.0413367999999999E-2</v>
      </c>
      <c r="L452">
        <v>2.192355144</v>
      </c>
      <c r="M452">
        <v>9.5034590000000006E-3</v>
      </c>
      <c r="N452">
        <v>1.2106441000000001E-2</v>
      </c>
      <c r="O452">
        <v>3.7422649999999998E-3</v>
      </c>
      <c r="P452">
        <v>3.2103659999999999E-2</v>
      </c>
      <c r="Q452">
        <v>1.115888303</v>
      </c>
      <c r="R452">
        <v>6.7595371320000002</v>
      </c>
      <c r="S452">
        <v>2.300259E-2</v>
      </c>
      <c r="T452">
        <v>2.0732855000000001E-2</v>
      </c>
      <c r="U452">
        <v>0.17593128399999999</v>
      </c>
      <c r="V452">
        <v>0.172046857</v>
      </c>
      <c r="W452">
        <v>0.97792077200000005</v>
      </c>
      <c r="X452">
        <v>2.7713247490000001</v>
      </c>
      <c r="Y452">
        <v>17.438046159999999</v>
      </c>
      <c r="Z452">
        <v>0.37466962700000001</v>
      </c>
      <c r="AA452">
        <v>5.1025420000000002E-2</v>
      </c>
      <c r="AB452">
        <v>0.874277478</v>
      </c>
      <c r="AC452">
        <v>4.5858676000000001E-2</v>
      </c>
      <c r="AD452">
        <v>0.89593167299999998</v>
      </c>
      <c r="AE452">
        <v>2.9139736159999998</v>
      </c>
      <c r="AF452">
        <v>5.0859804430000004</v>
      </c>
      <c r="AG452">
        <v>0.637897665</v>
      </c>
      <c r="AH452">
        <v>1.6534592000000001E-2</v>
      </c>
      <c r="AI452">
        <v>2.6096330120000002</v>
      </c>
    </row>
    <row r="453" spans="1:35" x14ac:dyDescent="0.2">
      <c r="A453">
        <v>498</v>
      </c>
      <c r="B453" t="s">
        <v>617</v>
      </c>
      <c r="C453" t="s">
        <v>209</v>
      </c>
      <c r="D453" t="s">
        <v>182</v>
      </c>
      <c r="E453" s="11">
        <v>6.9299999999999997E-6</v>
      </c>
      <c r="F453" s="11">
        <v>2.1900000000000002E-6</v>
      </c>
      <c r="G453">
        <v>0.31525592600000002</v>
      </c>
      <c r="H453">
        <v>0.84913921400000003</v>
      </c>
      <c r="I453" s="11">
        <v>9.1200000000000008E-6</v>
      </c>
      <c r="J453">
        <v>0.38646308200000001</v>
      </c>
      <c r="K453">
        <v>1.1710468999999999E-2</v>
      </c>
      <c r="L453">
        <v>2.3421994279999998</v>
      </c>
      <c r="M453">
        <v>8.0604400000000003E-3</v>
      </c>
      <c r="N453">
        <v>1.3556673E-2</v>
      </c>
      <c r="O453">
        <v>4.2084059999999996E-3</v>
      </c>
      <c r="P453">
        <v>3.6341640000000001E-2</v>
      </c>
      <c r="Q453">
        <v>1.2138537570000001</v>
      </c>
      <c r="R453">
        <v>7.3558058239999999</v>
      </c>
      <c r="S453">
        <v>1.7007642E-2</v>
      </c>
      <c r="T453">
        <v>1.5390927E-2</v>
      </c>
      <c r="U453">
        <v>0.13007997600000001</v>
      </c>
      <c r="V453">
        <v>0.12771808200000001</v>
      </c>
      <c r="W453">
        <v>0.98184275499999996</v>
      </c>
      <c r="X453">
        <v>2.6021361710000002</v>
      </c>
      <c r="Y453">
        <v>38.132794969999999</v>
      </c>
      <c r="Z453">
        <v>0.54312034099999995</v>
      </c>
      <c r="AA453">
        <v>6.3813805000000001E-2</v>
      </c>
      <c r="AB453">
        <v>0.93857781900000004</v>
      </c>
      <c r="AC453">
        <v>3.4188934600000001</v>
      </c>
      <c r="AD453">
        <v>0.95049411699999997</v>
      </c>
      <c r="AE453">
        <v>4.38188376</v>
      </c>
      <c r="AF453">
        <v>7.1138132860000001</v>
      </c>
      <c r="AG453">
        <v>25.966465360000001</v>
      </c>
      <c r="AH453">
        <v>1.9897161999999999E-2</v>
      </c>
      <c r="AI453">
        <v>4.8397247739999996</v>
      </c>
    </row>
    <row r="454" spans="1:35" x14ac:dyDescent="0.2">
      <c r="A454">
        <v>499</v>
      </c>
      <c r="B454" t="s">
        <v>618</v>
      </c>
      <c r="C454" t="s">
        <v>209</v>
      </c>
      <c r="D454" t="s">
        <v>188</v>
      </c>
      <c r="E454" s="11">
        <v>7.5900000000000002E-6</v>
      </c>
      <c r="F454" s="11">
        <v>2.39E-6</v>
      </c>
      <c r="G454">
        <v>0.31502771600000001</v>
      </c>
      <c r="H454">
        <v>0.85847191199999995</v>
      </c>
      <c r="I454" s="11">
        <v>9.9799999999999993E-6</v>
      </c>
      <c r="J454">
        <v>0.36245398400000001</v>
      </c>
      <c r="K454">
        <v>1.0665166E-2</v>
      </c>
      <c r="L454">
        <v>2.1960542350000001</v>
      </c>
      <c r="M454">
        <v>8.3132689999999999E-3</v>
      </c>
      <c r="N454">
        <v>1.2356218E-2</v>
      </c>
      <c r="O454">
        <v>3.8327539999999998E-3</v>
      </c>
      <c r="P454">
        <v>3.3138180000000003E-2</v>
      </c>
      <c r="Q454">
        <v>1.135836638</v>
      </c>
      <c r="R454">
        <v>6.8812961780000004</v>
      </c>
      <c r="S454">
        <v>1.7648776000000001E-2</v>
      </c>
      <c r="T454">
        <v>1.5721257999999998E-2</v>
      </c>
      <c r="U454">
        <v>0.134983572</v>
      </c>
      <c r="V454">
        <v>0.13045926199999999</v>
      </c>
      <c r="W454">
        <v>0.96648251399999996</v>
      </c>
      <c r="X454">
        <v>2.6025522529999998</v>
      </c>
      <c r="Y454">
        <v>47.302191999999998</v>
      </c>
      <c r="Z454">
        <v>0.44725660900000003</v>
      </c>
      <c r="AA454">
        <v>6.0232122999999999E-2</v>
      </c>
      <c r="AB454">
        <v>0.95357394399999995</v>
      </c>
      <c r="AC454">
        <v>3.4188936060000001</v>
      </c>
      <c r="AD454">
        <v>0.931030095</v>
      </c>
      <c r="AE454">
        <v>5.9285916749999998</v>
      </c>
      <c r="AF454">
        <v>6.7364737119999996</v>
      </c>
      <c r="AG454">
        <v>26.768510790000001</v>
      </c>
      <c r="AH454">
        <v>1.9888105E-2</v>
      </c>
      <c r="AI454">
        <v>4.6864076450000001</v>
      </c>
    </row>
    <row r="455" spans="1:35" x14ac:dyDescent="0.2">
      <c r="A455">
        <v>503</v>
      </c>
      <c r="B455" t="s">
        <v>619</v>
      </c>
      <c r="C455" t="s">
        <v>209</v>
      </c>
      <c r="D455" t="s">
        <v>142</v>
      </c>
      <c r="E455" s="11">
        <v>7.9500000000000001E-6</v>
      </c>
      <c r="F455" s="11">
        <v>2.5100000000000001E-6</v>
      </c>
      <c r="G455">
        <v>0.31559139200000003</v>
      </c>
      <c r="H455">
        <v>0.86192096900000004</v>
      </c>
      <c r="I455" s="11">
        <v>1.0499999999999999E-5</v>
      </c>
      <c r="J455">
        <v>0.36648424600000001</v>
      </c>
      <c r="K455">
        <v>1.6052719E-2</v>
      </c>
      <c r="L455">
        <v>2.2310109140000001</v>
      </c>
      <c r="M455">
        <v>3.48468E-3</v>
      </c>
      <c r="N455">
        <v>1.8648700000000001E-2</v>
      </c>
      <c r="O455">
        <v>5.768886E-3</v>
      </c>
      <c r="P455">
        <v>4.8826170000000002E-2</v>
      </c>
      <c r="Q455">
        <v>1.1454432670000001</v>
      </c>
      <c r="R455">
        <v>6.970311948</v>
      </c>
      <c r="S455">
        <v>2.0127526999999999E-2</v>
      </c>
      <c r="T455">
        <v>1.8249606000000002E-2</v>
      </c>
      <c r="U455">
        <v>0.15394186500000001</v>
      </c>
      <c r="V455">
        <v>0.15144018300000001</v>
      </c>
      <c r="W455">
        <v>0.98374917699999997</v>
      </c>
      <c r="X455">
        <v>2.6024008620000001</v>
      </c>
      <c r="Y455">
        <v>35.76446713</v>
      </c>
      <c r="Z455">
        <v>1.1903213340000001</v>
      </c>
      <c r="AA455">
        <v>6.6156175999999997E-2</v>
      </c>
      <c r="AB455">
        <v>0.93761934400000002</v>
      </c>
      <c r="AC455">
        <v>2.6801572600000001</v>
      </c>
      <c r="AD455">
        <v>1.0570449609999999</v>
      </c>
      <c r="AE455">
        <v>4.4254332270000001</v>
      </c>
      <c r="AF455">
        <v>3.6400515279999999</v>
      </c>
      <c r="AG455">
        <v>13.86568172</v>
      </c>
      <c r="AH455">
        <v>1.98914E-2</v>
      </c>
      <c r="AI455">
        <v>2.5038958359999999</v>
      </c>
    </row>
    <row r="456" spans="1:35" x14ac:dyDescent="0.2">
      <c r="A456">
        <v>504</v>
      </c>
      <c r="B456" t="s">
        <v>620</v>
      </c>
      <c r="C456" t="s">
        <v>209</v>
      </c>
      <c r="D456" t="s">
        <v>144</v>
      </c>
      <c r="E456" s="11">
        <v>1.0000000000000001E-5</v>
      </c>
      <c r="F456" s="11">
        <v>3.1599999999999998E-6</v>
      </c>
      <c r="G456">
        <v>0.31587472900000002</v>
      </c>
      <c r="H456">
        <v>0.32601170000000002</v>
      </c>
      <c r="I456" s="11">
        <v>1.3200000000000001E-5</v>
      </c>
      <c r="J456">
        <v>0.37724275600000001</v>
      </c>
      <c r="K456">
        <v>1.9129835000000001E-2</v>
      </c>
      <c r="L456">
        <v>2.3017162029999998</v>
      </c>
      <c r="M456">
        <v>1.3160382999999999E-2</v>
      </c>
      <c r="N456">
        <v>2.2211930000000001E-2</v>
      </c>
      <c r="O456">
        <v>6.8747119999999998E-3</v>
      </c>
      <c r="P456">
        <v>0.10038453</v>
      </c>
      <c r="Q456">
        <v>1.2724371249999999</v>
      </c>
      <c r="R456">
        <v>7.8353918159999996</v>
      </c>
      <c r="S456">
        <v>2.0109215E-2</v>
      </c>
      <c r="T456">
        <v>1.8216985000000002E-2</v>
      </c>
      <c r="U456">
        <v>0.15380181500000001</v>
      </c>
      <c r="V456">
        <v>0.151169478</v>
      </c>
      <c r="W456">
        <v>0.98288487700000005</v>
      </c>
      <c r="X456">
        <v>3.5313759899999999</v>
      </c>
      <c r="Y456">
        <v>2.6282390819999999</v>
      </c>
      <c r="Z456">
        <v>0.31075942899999998</v>
      </c>
      <c r="AA456">
        <v>2.3239906000000001E-2</v>
      </c>
      <c r="AB456">
        <v>0.124236368</v>
      </c>
      <c r="AC456">
        <v>1.9964049000000001E-2</v>
      </c>
      <c r="AD456">
        <v>0.88454782600000004</v>
      </c>
      <c r="AE456">
        <v>0.43136236300000003</v>
      </c>
      <c r="AF456">
        <v>1.324263199</v>
      </c>
      <c r="AG456">
        <v>0.39297969900000002</v>
      </c>
      <c r="AH456">
        <v>7.1981450000000004E-3</v>
      </c>
      <c r="AI456">
        <v>0.69024799599999997</v>
      </c>
    </row>
    <row r="457" spans="1:35" x14ac:dyDescent="0.2">
      <c r="A457">
        <v>505</v>
      </c>
      <c r="B457" t="s">
        <v>621</v>
      </c>
      <c r="C457" t="s">
        <v>209</v>
      </c>
      <c r="D457" t="s">
        <v>146</v>
      </c>
      <c r="E457" s="11">
        <v>1.03E-5</v>
      </c>
      <c r="F457" s="11">
        <v>3.3000000000000002E-6</v>
      </c>
      <c r="G457">
        <v>0.31979624200000001</v>
      </c>
      <c r="H457">
        <v>-0.56722929799999999</v>
      </c>
      <c r="I457" s="11">
        <v>1.36E-5</v>
      </c>
      <c r="J457">
        <v>0.48248313199999998</v>
      </c>
      <c r="K457">
        <v>1.5174972E-2</v>
      </c>
      <c r="L457">
        <v>2.9252487380000001</v>
      </c>
      <c r="M457">
        <v>1.1004598000000001E-2</v>
      </c>
      <c r="N457">
        <v>1.7632557E-2</v>
      </c>
      <c r="O457">
        <v>5.4534479999999996E-3</v>
      </c>
      <c r="P457">
        <v>4.581781E-2</v>
      </c>
      <c r="Q457">
        <v>1.468891306</v>
      </c>
      <c r="R457">
        <v>8.9049834459999992</v>
      </c>
      <c r="S457">
        <v>2.7641644999999999E-2</v>
      </c>
      <c r="T457">
        <v>2.7033255999999999E-2</v>
      </c>
      <c r="U457">
        <v>0.21141228300000001</v>
      </c>
      <c r="V457">
        <v>0.22432928699999999</v>
      </c>
      <c r="W457">
        <v>1.061098645</v>
      </c>
      <c r="X457">
        <v>3.9663693310000001</v>
      </c>
      <c r="Y457">
        <v>2.8541944290000001</v>
      </c>
      <c r="Z457">
        <v>0.30608059599999998</v>
      </c>
      <c r="AA457">
        <v>1.4435916999999999E-2</v>
      </c>
      <c r="AB457">
        <v>-2.4894698E-2</v>
      </c>
      <c r="AC457">
        <v>1.240343E-2</v>
      </c>
      <c r="AD457">
        <v>0.86817209100000003</v>
      </c>
      <c r="AE457">
        <v>0.474011193</v>
      </c>
      <c r="AF457">
        <v>1.596720938</v>
      </c>
      <c r="AG457">
        <v>0.26789338499999998</v>
      </c>
      <c r="AH457">
        <v>4.4721229999999997E-3</v>
      </c>
      <c r="AI457">
        <v>0.82249118399999999</v>
      </c>
    </row>
    <row r="458" spans="1:35" x14ac:dyDescent="0.2">
      <c r="A458">
        <v>506</v>
      </c>
      <c r="B458" t="s">
        <v>622</v>
      </c>
      <c r="C458" t="s">
        <v>209</v>
      </c>
      <c r="D458" t="s">
        <v>200</v>
      </c>
      <c r="E458" s="11">
        <v>5.9200000000000001E-6</v>
      </c>
      <c r="F458" s="11">
        <v>1.8500000000000001E-6</v>
      </c>
      <c r="G458">
        <v>0.312980814</v>
      </c>
      <c r="H458">
        <v>0.51313826100000004</v>
      </c>
      <c r="I458" s="11">
        <v>7.7700000000000001E-6</v>
      </c>
      <c r="J458">
        <v>0.36278391399999999</v>
      </c>
      <c r="K458">
        <v>1.0706693999999999E-2</v>
      </c>
      <c r="L458">
        <v>2.1981168719999999</v>
      </c>
      <c r="M458">
        <v>7.8182240000000004E-3</v>
      </c>
      <c r="N458">
        <v>1.2407194E-2</v>
      </c>
      <c r="O458">
        <v>3.8476780000000002E-3</v>
      </c>
      <c r="P458">
        <v>3.4214429999999997E-2</v>
      </c>
      <c r="Q458">
        <v>1.141471635</v>
      </c>
      <c r="R458">
        <v>6.9172586640000002</v>
      </c>
      <c r="S458">
        <v>1.6414584999999999E-2</v>
      </c>
      <c r="T458">
        <v>1.4761982E-2</v>
      </c>
      <c r="U458">
        <v>0.12554408</v>
      </c>
      <c r="V458">
        <v>0.12249892800000001</v>
      </c>
      <c r="W458">
        <v>0.97574435999999998</v>
      </c>
      <c r="X458">
        <v>3.6806798230000002</v>
      </c>
      <c r="Y458">
        <v>3.9468078709999999</v>
      </c>
      <c r="Z458">
        <v>0.31990660100000001</v>
      </c>
      <c r="AA458">
        <v>1.9710873E-2</v>
      </c>
      <c r="AB458">
        <v>0.44306463800000001</v>
      </c>
      <c r="AC458">
        <v>1.6955090999999999E-2</v>
      </c>
      <c r="AD458">
        <v>0.84955185499999997</v>
      </c>
      <c r="AE458">
        <v>0.65558514000000001</v>
      </c>
      <c r="AF458">
        <v>2.0846371440000002</v>
      </c>
      <c r="AG458">
        <v>0.34562605699999999</v>
      </c>
      <c r="AH458">
        <v>6.1132490000000003E-3</v>
      </c>
      <c r="AI458">
        <v>1.0736271310000001</v>
      </c>
    </row>
    <row r="459" spans="1:35" x14ac:dyDescent="0.2">
      <c r="A459">
        <v>507</v>
      </c>
      <c r="B459" t="s">
        <v>623</v>
      </c>
      <c r="C459" t="s">
        <v>209</v>
      </c>
      <c r="D459" t="s">
        <v>148</v>
      </c>
      <c r="E459" s="11">
        <v>6.9199999999999998E-6</v>
      </c>
      <c r="F459" s="11">
        <v>2.17E-6</v>
      </c>
      <c r="G459">
        <v>0.313664214</v>
      </c>
      <c r="H459">
        <v>-0.42764041200000003</v>
      </c>
      <c r="I459" s="11">
        <v>9.0999999999999993E-6</v>
      </c>
      <c r="J459">
        <v>0.218938934</v>
      </c>
      <c r="K459">
        <v>6.7331630000000003E-3</v>
      </c>
      <c r="L459">
        <v>1.3270999290000001</v>
      </c>
      <c r="M459">
        <v>1.011915E-2</v>
      </c>
      <c r="N459">
        <v>7.8169869999999992E-3</v>
      </c>
      <c r="O459">
        <v>2.4197049999999999E-3</v>
      </c>
      <c r="P459">
        <v>2.1081430000000002E-2</v>
      </c>
      <c r="Q459">
        <v>0.68530517899999999</v>
      </c>
      <c r="R459">
        <v>4.153993936</v>
      </c>
      <c r="S459">
        <v>1.3180598E-2</v>
      </c>
      <c r="T459">
        <v>1.2514437E-2</v>
      </c>
      <c r="U459">
        <v>0.100809495</v>
      </c>
      <c r="V459">
        <v>0.103848195</v>
      </c>
      <c r="W459">
        <v>1.030142994</v>
      </c>
      <c r="X459">
        <v>4.788919173</v>
      </c>
      <c r="Y459">
        <v>0.907547565</v>
      </c>
      <c r="Z459">
        <v>0.29337329699999998</v>
      </c>
      <c r="AA459">
        <v>5.8598210000000003E-3</v>
      </c>
      <c r="AB459">
        <v>-0.46229242399999998</v>
      </c>
      <c r="AC459">
        <v>4.0500926E-2</v>
      </c>
      <c r="AD459">
        <v>0.85869054499999997</v>
      </c>
      <c r="AE459">
        <v>0.128796878</v>
      </c>
      <c r="AF459">
        <v>0.47606474500000001</v>
      </c>
      <c r="AG459">
        <v>0.96015333300000005</v>
      </c>
      <c r="AH459">
        <v>1.818201E-3</v>
      </c>
      <c r="AI459">
        <v>0.28699039100000001</v>
      </c>
    </row>
    <row r="460" spans="1:35" x14ac:dyDescent="0.2">
      <c r="A460">
        <v>508</v>
      </c>
      <c r="B460" t="s">
        <v>624</v>
      </c>
      <c r="C460" t="s">
        <v>209</v>
      </c>
      <c r="D460" t="s">
        <v>150</v>
      </c>
      <c r="E460" s="11">
        <v>1.03E-5</v>
      </c>
      <c r="F460" s="11">
        <v>3.3299999999999999E-6</v>
      </c>
      <c r="G460">
        <v>0.32259792700000001</v>
      </c>
      <c r="H460">
        <v>-0.57606301000000004</v>
      </c>
      <c r="I460" s="11">
        <v>1.3699999999999999E-5</v>
      </c>
      <c r="J460">
        <v>0.48117999500000003</v>
      </c>
      <c r="K460">
        <v>1.5091968000000001E-2</v>
      </c>
      <c r="L460">
        <v>2.9172639089999999</v>
      </c>
      <c r="M460">
        <v>9.3167470000000002E-3</v>
      </c>
      <c r="N460">
        <v>1.7536844999999999E-2</v>
      </c>
      <c r="O460">
        <v>5.423504E-3</v>
      </c>
      <c r="P460">
        <v>4.5587500000000003E-2</v>
      </c>
      <c r="Q460">
        <v>1.464080032</v>
      </c>
      <c r="R460">
        <v>8.8756551859999995</v>
      </c>
      <c r="S460">
        <v>2.7532171000000001E-2</v>
      </c>
      <c r="T460">
        <v>2.6950331000000001E-2</v>
      </c>
      <c r="U460">
        <v>0.21057498999999999</v>
      </c>
      <c r="V460">
        <v>0.22364115500000001</v>
      </c>
      <c r="W460">
        <v>1.0620499379999999</v>
      </c>
      <c r="X460">
        <v>3.9727126369999999</v>
      </c>
      <c r="Y460">
        <v>2.8374703440000002</v>
      </c>
      <c r="Z460">
        <v>0.30569270999999998</v>
      </c>
      <c r="AA460">
        <v>1.4336087000000001E-2</v>
      </c>
      <c r="AB460">
        <v>-2.8121374000000001E-2</v>
      </c>
      <c r="AC460">
        <v>1.2317639E-2</v>
      </c>
      <c r="AD460">
        <v>0.86809642499999995</v>
      </c>
      <c r="AE460">
        <v>0.47124159999999998</v>
      </c>
      <c r="AF460">
        <v>1.5891033450000001</v>
      </c>
      <c r="AG460">
        <v>0.26632823</v>
      </c>
      <c r="AH460">
        <v>4.4411909999999997E-3</v>
      </c>
      <c r="AI460">
        <v>0.81855364500000005</v>
      </c>
    </row>
    <row r="461" spans="1:35" x14ac:dyDescent="0.2">
      <c r="A461">
        <v>509</v>
      </c>
      <c r="B461" t="s">
        <v>625</v>
      </c>
      <c r="C461" t="s">
        <v>209</v>
      </c>
      <c r="D461" t="s">
        <v>204</v>
      </c>
      <c r="E461" s="11">
        <v>5.8799999999999996E-6</v>
      </c>
      <c r="F461" s="11">
        <v>1.84E-6</v>
      </c>
      <c r="G461">
        <v>0.313798829</v>
      </c>
      <c r="H461">
        <v>-0.68160250499999997</v>
      </c>
      <c r="I461" s="11">
        <v>7.7200000000000006E-6</v>
      </c>
      <c r="J461">
        <v>0.28907191700000001</v>
      </c>
      <c r="K461">
        <v>7.523549E-3</v>
      </c>
      <c r="L461">
        <v>1.749478603</v>
      </c>
      <c r="M461">
        <v>8.1823390000000003E-3</v>
      </c>
      <c r="N461">
        <v>8.7081820000000001E-3</v>
      </c>
      <c r="O461">
        <v>2.7037469999999998E-3</v>
      </c>
      <c r="P461">
        <v>2.3456399999999999E-2</v>
      </c>
      <c r="Q461">
        <v>0.90703952399999999</v>
      </c>
      <c r="R461">
        <v>5.4891499340000003</v>
      </c>
      <c r="S461">
        <v>1.2740859E-2</v>
      </c>
      <c r="T461">
        <v>1.2178657000000001E-2</v>
      </c>
      <c r="U461">
        <v>9.7446230999999994E-2</v>
      </c>
      <c r="V461">
        <v>0.10106179999999999</v>
      </c>
      <c r="W461">
        <v>1.037103221</v>
      </c>
      <c r="X461">
        <v>5.0639549590000001</v>
      </c>
      <c r="Y461">
        <v>1.0504100300000001</v>
      </c>
      <c r="Z461">
        <v>0.29132054000000002</v>
      </c>
      <c r="AA461">
        <v>4.3288019999999997E-3</v>
      </c>
      <c r="AB461">
        <v>-0.66551970500000002</v>
      </c>
      <c r="AC461">
        <v>3.7322789999999998E-3</v>
      </c>
      <c r="AD461">
        <v>0.83216900000000005</v>
      </c>
      <c r="AE461">
        <v>0.17494641899999999</v>
      </c>
      <c r="AF461">
        <v>0.66971526199999998</v>
      </c>
      <c r="AG461">
        <v>8.9944923999999996E-2</v>
      </c>
      <c r="AH461">
        <v>1.345693E-3</v>
      </c>
      <c r="AI461">
        <v>0.34391523000000002</v>
      </c>
    </row>
    <row r="462" spans="1:35" x14ac:dyDescent="0.2">
      <c r="A462">
        <v>510</v>
      </c>
      <c r="B462" t="s">
        <v>626</v>
      </c>
      <c r="C462" t="s">
        <v>209</v>
      </c>
      <c r="D462" t="s">
        <v>152</v>
      </c>
      <c r="E462" s="11">
        <v>7.96E-6</v>
      </c>
      <c r="F462" s="11">
        <v>2.52E-6</v>
      </c>
      <c r="G462">
        <v>0.31622963799999998</v>
      </c>
      <c r="H462">
        <v>0.86311179400000004</v>
      </c>
      <c r="I462" s="11">
        <v>1.0499999999999999E-5</v>
      </c>
      <c r="J462">
        <v>0.36632979300000001</v>
      </c>
      <c r="K462">
        <v>1.6039199000000001E-2</v>
      </c>
      <c r="L462">
        <v>2.2300571580000002</v>
      </c>
      <c r="M462">
        <v>3.4792899999999999E-3</v>
      </c>
      <c r="N462">
        <v>1.8646781000000001E-2</v>
      </c>
      <c r="O462">
        <v>5.7640269999999997E-3</v>
      </c>
      <c r="P462">
        <v>4.8775180000000001E-2</v>
      </c>
      <c r="Q462">
        <v>1.1453640890000001</v>
      </c>
      <c r="R462">
        <v>6.9697348960000003</v>
      </c>
      <c r="S462">
        <v>2.0045272999999999E-2</v>
      </c>
      <c r="T462">
        <v>1.8178400000000001E-2</v>
      </c>
      <c r="U462">
        <v>0.15331276099999999</v>
      </c>
      <c r="V462">
        <v>0.150849291</v>
      </c>
      <c r="W462">
        <v>0.98393173499999997</v>
      </c>
      <c r="X462">
        <v>2.6018068329999999</v>
      </c>
      <c r="Y462">
        <v>35.758048789999997</v>
      </c>
      <c r="Z462">
        <v>1.1901580700000001</v>
      </c>
      <c r="AA462">
        <v>6.6161288999999998E-2</v>
      </c>
      <c r="AB462">
        <v>0.93763481999999998</v>
      </c>
      <c r="AC462">
        <v>2.684697823</v>
      </c>
      <c r="AD462">
        <v>1.0567556870000001</v>
      </c>
      <c r="AE462">
        <v>4.4216274560000004</v>
      </c>
      <c r="AF462">
        <v>3.6406623269999998</v>
      </c>
      <c r="AG462">
        <v>13.71300121</v>
      </c>
      <c r="AH462">
        <v>1.9904333E-2</v>
      </c>
      <c r="AI462">
        <v>2.4969619380000001</v>
      </c>
    </row>
    <row r="463" spans="1:35" x14ac:dyDescent="0.2">
      <c r="A463">
        <v>511</v>
      </c>
      <c r="B463" t="s">
        <v>627</v>
      </c>
      <c r="C463" t="s">
        <v>209</v>
      </c>
      <c r="D463" t="s">
        <v>154</v>
      </c>
      <c r="E463" s="11">
        <v>5.9900000000000002E-6</v>
      </c>
      <c r="F463" s="11">
        <v>1.88E-6</v>
      </c>
      <c r="G463">
        <v>0.31380916399999997</v>
      </c>
      <c r="H463">
        <v>-0.68152654599999996</v>
      </c>
      <c r="I463" s="11">
        <v>7.8599999999999993E-6</v>
      </c>
      <c r="J463">
        <v>0.27800811399999997</v>
      </c>
      <c r="K463">
        <v>6.9954489999999999E-3</v>
      </c>
      <c r="L463">
        <v>1.682039584</v>
      </c>
      <c r="M463">
        <v>8.2214550000000008E-3</v>
      </c>
      <c r="N463">
        <v>8.1025070000000001E-3</v>
      </c>
      <c r="O463">
        <v>2.5139630000000001E-3</v>
      </c>
      <c r="P463">
        <v>2.1840289999999998E-2</v>
      </c>
      <c r="Q463">
        <v>0.86856039699999998</v>
      </c>
      <c r="R463">
        <v>5.2550429520000002</v>
      </c>
      <c r="S463">
        <v>1.2340642000000001E-2</v>
      </c>
      <c r="T463">
        <v>1.1931893000000001E-2</v>
      </c>
      <c r="U463">
        <v>9.4385236999999997E-2</v>
      </c>
      <c r="V463">
        <v>9.9014086000000001E-2</v>
      </c>
      <c r="W463">
        <v>1.0490420869999999</v>
      </c>
      <c r="X463">
        <v>5.1893637400000001</v>
      </c>
      <c r="Y463">
        <v>0.97771517399999996</v>
      </c>
      <c r="Z463">
        <v>0.292749865</v>
      </c>
      <c r="AA463">
        <v>3.7751019999999998E-3</v>
      </c>
      <c r="AB463">
        <v>-0.72037790599999996</v>
      </c>
      <c r="AC463">
        <v>3.2537220000000001E-3</v>
      </c>
      <c r="AD463">
        <v>0.828488585</v>
      </c>
      <c r="AE463">
        <v>0.16297114400000001</v>
      </c>
      <c r="AF463">
        <v>0.61618510599999998</v>
      </c>
      <c r="AG463">
        <v>7.8869368999999995E-2</v>
      </c>
      <c r="AH463">
        <v>1.173147E-3</v>
      </c>
      <c r="AI463">
        <v>0.31624180299999999</v>
      </c>
    </row>
    <row r="464" spans="1:35" x14ac:dyDescent="0.2">
      <c r="A464">
        <v>512</v>
      </c>
      <c r="B464" t="s">
        <v>628</v>
      </c>
      <c r="C464" t="s">
        <v>209</v>
      </c>
      <c r="D464" t="s">
        <v>156</v>
      </c>
      <c r="E464" s="11">
        <v>9.1400000000000006E-6</v>
      </c>
      <c r="F464" s="11">
        <v>2.92E-6</v>
      </c>
      <c r="G464">
        <v>0.31933035799999998</v>
      </c>
      <c r="H464">
        <v>-0.14550001100000001</v>
      </c>
      <c r="I464" s="11">
        <v>1.2099999999999999E-5</v>
      </c>
      <c r="J464">
        <v>0.40233349899999998</v>
      </c>
      <c r="K464">
        <v>1.7589961000000001E-2</v>
      </c>
      <c r="L464">
        <v>2.4491809149999999</v>
      </c>
      <c r="M464">
        <v>1.3517829E-2</v>
      </c>
      <c r="N464">
        <v>2.0420041E-2</v>
      </c>
      <c r="O464">
        <v>6.3211860000000003E-3</v>
      </c>
      <c r="P464">
        <v>5.2934120000000001E-2</v>
      </c>
      <c r="Q464">
        <v>1.211840472</v>
      </c>
      <c r="R464">
        <v>7.3769110759999998</v>
      </c>
      <c r="S464">
        <v>2.9065334000000002E-2</v>
      </c>
      <c r="T464">
        <v>2.9383603000000001E-2</v>
      </c>
      <c r="U464">
        <v>0.22230111799999999</v>
      </c>
      <c r="V464">
        <v>0.24383310699999999</v>
      </c>
      <c r="W464">
        <v>1.0968595619999999</v>
      </c>
      <c r="X464">
        <v>3.6930035110000001</v>
      </c>
      <c r="Y464">
        <v>2.1960941150000002</v>
      </c>
      <c r="Z464">
        <v>0.32357077299999998</v>
      </c>
      <c r="AA464">
        <v>1.9464531E-2</v>
      </c>
      <c r="AB464">
        <v>-0.115244059</v>
      </c>
      <c r="AC464">
        <v>1.6727998000000001E-2</v>
      </c>
      <c r="AD464">
        <v>0.86432352899999998</v>
      </c>
      <c r="AE464">
        <v>0.36040824399999999</v>
      </c>
      <c r="AF464">
        <v>1.1498256200000001</v>
      </c>
      <c r="AG464">
        <v>0.34227918899999998</v>
      </c>
      <c r="AH464">
        <v>6.0313700000000003E-3</v>
      </c>
      <c r="AI464">
        <v>0.59937609599999997</v>
      </c>
    </row>
    <row r="465" spans="1:35" x14ac:dyDescent="0.2">
      <c r="A465">
        <v>513</v>
      </c>
      <c r="B465" t="s">
        <v>629</v>
      </c>
      <c r="C465" t="s">
        <v>209</v>
      </c>
      <c r="D465" t="s">
        <v>158</v>
      </c>
      <c r="E465" s="11">
        <v>4.9400000000000001E-6</v>
      </c>
      <c r="F465" s="11">
        <v>1.57E-6</v>
      </c>
      <c r="G465">
        <v>0.318829851</v>
      </c>
      <c r="H465">
        <v>-0.68083330500000006</v>
      </c>
      <c r="I465" s="11">
        <v>6.5100000000000004E-6</v>
      </c>
      <c r="J465">
        <v>0.28132127200000001</v>
      </c>
      <c r="K465">
        <v>7.4034979999999997E-3</v>
      </c>
      <c r="L465">
        <v>1.702734631</v>
      </c>
      <c r="M465">
        <v>7.7130700000000005E-4</v>
      </c>
      <c r="N465">
        <v>8.5681490000000006E-3</v>
      </c>
      <c r="O465">
        <v>2.660604E-3</v>
      </c>
      <c r="P465">
        <v>2.3065510000000001E-2</v>
      </c>
      <c r="Q465">
        <v>0.90345962300000004</v>
      </c>
      <c r="R465">
        <v>5.4668887599999998</v>
      </c>
      <c r="S465">
        <v>8.9300620000000008E-3</v>
      </c>
      <c r="T465">
        <v>8.0862980000000004E-3</v>
      </c>
      <c r="U465">
        <v>6.8300014000000006E-2</v>
      </c>
      <c r="V465">
        <v>6.7102297000000005E-2</v>
      </c>
      <c r="W465">
        <v>0.98246388399999995</v>
      </c>
      <c r="X465">
        <v>4.6919800900000004</v>
      </c>
      <c r="Y465">
        <v>1.0844503990000001</v>
      </c>
      <c r="Z465">
        <v>0.29837017500000002</v>
      </c>
      <c r="AA465">
        <v>6.4992440000000004E-3</v>
      </c>
      <c r="AB465">
        <v>-0.57013601700000005</v>
      </c>
      <c r="AC465">
        <v>5.607056E-3</v>
      </c>
      <c r="AD465">
        <v>0.848801005</v>
      </c>
      <c r="AE465">
        <v>0.17956404000000001</v>
      </c>
      <c r="AF465">
        <v>0.85837021700000005</v>
      </c>
      <c r="AG465">
        <v>0.227410419</v>
      </c>
      <c r="AH465">
        <v>2.0216539999999999E-3</v>
      </c>
      <c r="AI465">
        <v>0.44611392900000002</v>
      </c>
    </row>
    <row r="466" spans="1:35" x14ac:dyDescent="0.2">
      <c r="A466">
        <v>514</v>
      </c>
      <c r="B466" t="s">
        <v>630</v>
      </c>
      <c r="C466" t="s">
        <v>209</v>
      </c>
      <c r="D466" t="s">
        <v>214</v>
      </c>
      <c r="E466" s="11">
        <v>5.0000000000000004E-6</v>
      </c>
      <c r="F466" s="11">
        <v>1.57E-6</v>
      </c>
      <c r="G466">
        <v>0.31493818800000001</v>
      </c>
      <c r="H466">
        <v>-0.68245435799999998</v>
      </c>
      <c r="I466" s="11">
        <v>6.5699999999999998E-6</v>
      </c>
      <c r="J466">
        <v>0.24746132200000001</v>
      </c>
      <c r="K466">
        <v>5.8215539999999996E-3</v>
      </c>
      <c r="L466">
        <v>1.496411038</v>
      </c>
      <c r="M466">
        <v>6.2339709999999996E-3</v>
      </c>
      <c r="N466">
        <v>6.730598E-3</v>
      </c>
      <c r="O466">
        <v>2.092099E-3</v>
      </c>
      <c r="P466">
        <v>1.8314299999999999E-2</v>
      </c>
      <c r="Q466">
        <v>0.78555316399999997</v>
      </c>
      <c r="R466">
        <v>4.7499475919999998</v>
      </c>
      <c r="S466">
        <v>8.4365340000000007E-3</v>
      </c>
      <c r="T466">
        <v>7.5669049999999996E-3</v>
      </c>
      <c r="U466">
        <v>6.4525356000000006E-2</v>
      </c>
      <c r="V466">
        <v>6.2792226000000007E-2</v>
      </c>
      <c r="W466">
        <v>0.973140326</v>
      </c>
      <c r="X466">
        <v>4.625582756</v>
      </c>
      <c r="Y466">
        <v>1.085952619</v>
      </c>
      <c r="Z466">
        <v>0.29473170500000001</v>
      </c>
      <c r="AA466">
        <v>6.9915680000000001E-3</v>
      </c>
      <c r="AB466">
        <v>-0.37797083599999998</v>
      </c>
      <c r="AC466">
        <v>6.0295729999999999E-3</v>
      </c>
      <c r="AD466">
        <v>0.85070706399999996</v>
      </c>
      <c r="AE466">
        <v>0.17956404000000001</v>
      </c>
      <c r="AF466">
        <v>0.90302363200000002</v>
      </c>
      <c r="AG466">
        <v>0.236746073</v>
      </c>
      <c r="AH466">
        <v>2.1739950000000002E-3</v>
      </c>
      <c r="AI466">
        <v>0.46920294600000001</v>
      </c>
    </row>
    <row r="467" spans="1:35" x14ac:dyDescent="0.2">
      <c r="A467">
        <v>515</v>
      </c>
      <c r="B467" t="s">
        <v>631</v>
      </c>
      <c r="C467" t="s">
        <v>209</v>
      </c>
      <c r="D467" t="s">
        <v>160</v>
      </c>
      <c r="E467" s="11">
        <v>8.7399999999999993E-6</v>
      </c>
      <c r="F467" s="11">
        <v>2.7599999999999998E-6</v>
      </c>
      <c r="G467">
        <v>0.31566656900000001</v>
      </c>
      <c r="H467">
        <v>-0.13141776399999999</v>
      </c>
      <c r="I467" s="11">
        <v>1.15E-5</v>
      </c>
      <c r="J467">
        <v>0.42168059499999999</v>
      </c>
      <c r="K467">
        <v>1.9816097000000001E-2</v>
      </c>
      <c r="L467">
        <v>2.5697157609999999</v>
      </c>
      <c r="M467">
        <v>1.2561724E-2</v>
      </c>
      <c r="N467">
        <v>2.3039853999999999E-2</v>
      </c>
      <c r="O467">
        <v>7.1213350000000003E-3</v>
      </c>
      <c r="P467">
        <v>5.9684210000000001E-2</v>
      </c>
      <c r="Q467">
        <v>1.3247554450000001</v>
      </c>
      <c r="R467">
        <v>8.0679010879999993</v>
      </c>
      <c r="S467">
        <v>2.5028650999999999E-2</v>
      </c>
      <c r="T467">
        <v>2.3136315000000001E-2</v>
      </c>
      <c r="U467">
        <v>0.19142726099999999</v>
      </c>
      <c r="V467">
        <v>0.191991418</v>
      </c>
      <c r="W467">
        <v>1.0029471089999999</v>
      </c>
      <c r="X467">
        <v>3.5786410700000002</v>
      </c>
      <c r="Y467">
        <v>2.2212001620000001</v>
      </c>
      <c r="Z467">
        <v>0.315749008</v>
      </c>
      <c r="AA467">
        <v>2.2035753000000002E-2</v>
      </c>
      <c r="AB467">
        <v>-0.156904184</v>
      </c>
      <c r="AC467">
        <v>1.8957824000000002E-2</v>
      </c>
      <c r="AD467">
        <v>0.86888612399999998</v>
      </c>
      <c r="AE467">
        <v>0.36330587600000003</v>
      </c>
      <c r="AF467">
        <v>1.281812172</v>
      </c>
      <c r="AG467">
        <v>0.38306782499999997</v>
      </c>
      <c r="AH467">
        <v>6.8353449999999996E-3</v>
      </c>
      <c r="AI467">
        <v>0.668248587</v>
      </c>
    </row>
    <row r="468" spans="1:35" x14ac:dyDescent="0.2">
      <c r="A468">
        <v>516</v>
      </c>
      <c r="B468" t="s">
        <v>632</v>
      </c>
      <c r="C468" t="s">
        <v>209</v>
      </c>
      <c r="D468" t="s">
        <v>162</v>
      </c>
      <c r="E468" s="11">
        <v>1.03E-5</v>
      </c>
      <c r="F468" s="11">
        <v>3.3299999999999999E-6</v>
      </c>
      <c r="G468">
        <v>0.32234524399999998</v>
      </c>
      <c r="H468">
        <v>-0.56956174900000001</v>
      </c>
      <c r="I468" s="11">
        <v>1.3699999999999999E-5</v>
      </c>
      <c r="J468">
        <v>0.48149022699999999</v>
      </c>
      <c r="K468">
        <v>1.5149176E-2</v>
      </c>
      <c r="L468">
        <v>2.9192397130000001</v>
      </c>
      <c r="M468">
        <v>9.3655539999999999E-3</v>
      </c>
      <c r="N468">
        <v>1.7622353E-2</v>
      </c>
      <c r="O468">
        <v>5.444178E-3</v>
      </c>
      <c r="P468">
        <v>4.5798579999999998E-2</v>
      </c>
      <c r="Q468">
        <v>1.4669702950000001</v>
      </c>
      <c r="R468">
        <v>8.8934189240000006</v>
      </c>
      <c r="S468">
        <v>2.7561783999999999E-2</v>
      </c>
      <c r="T468">
        <v>2.6973792999999999E-2</v>
      </c>
      <c r="U468">
        <v>0.21080148400000001</v>
      </c>
      <c r="V468">
        <v>0.223835849</v>
      </c>
      <c r="W468">
        <v>1.0618324159999999</v>
      </c>
      <c r="X468">
        <v>3.9709728900000001</v>
      </c>
      <c r="Y468">
        <v>2.8368645219999999</v>
      </c>
      <c r="Z468">
        <v>0.32120926500000002</v>
      </c>
      <c r="AA468">
        <v>1.4363938E-2</v>
      </c>
      <c r="AB468">
        <v>-2.9037407000000001E-2</v>
      </c>
      <c r="AC468">
        <v>1.2341108999999999E-2</v>
      </c>
      <c r="AD468">
        <v>0.869343372</v>
      </c>
      <c r="AE468">
        <v>0.47112533400000001</v>
      </c>
      <c r="AF468">
        <v>1.588296538</v>
      </c>
      <c r="AG468">
        <v>0.26674367799999998</v>
      </c>
      <c r="AH468">
        <v>4.4496529999999996E-3</v>
      </c>
      <c r="AI468">
        <v>0.81816418000000002</v>
      </c>
    </row>
    <row r="469" spans="1:35" x14ac:dyDescent="0.2">
      <c r="A469">
        <v>517</v>
      </c>
      <c r="B469" t="s">
        <v>633</v>
      </c>
      <c r="C469" t="s">
        <v>209</v>
      </c>
      <c r="D469" t="s">
        <v>220</v>
      </c>
      <c r="E469" s="11">
        <v>1.03E-5</v>
      </c>
      <c r="F469" s="11">
        <v>3.3000000000000002E-6</v>
      </c>
      <c r="G469">
        <v>0.31908252599999998</v>
      </c>
      <c r="H469">
        <v>-0.57529571899999998</v>
      </c>
      <c r="I469" s="11">
        <v>1.36E-5</v>
      </c>
      <c r="J469">
        <v>0.481368448</v>
      </c>
      <c r="K469">
        <v>1.5150356E-2</v>
      </c>
      <c r="L469">
        <v>2.9185114009999999</v>
      </c>
      <c r="M469">
        <v>1.1022209E-2</v>
      </c>
      <c r="N469">
        <v>1.7616090000000001E-2</v>
      </c>
      <c r="O469">
        <v>5.4446019999999998E-3</v>
      </c>
      <c r="P469">
        <v>4.5717519999999998E-2</v>
      </c>
      <c r="Q469">
        <v>1.4661568380000001</v>
      </c>
      <c r="R469">
        <v>8.8883760719999998</v>
      </c>
      <c r="S469">
        <v>2.7624557000000001E-2</v>
      </c>
      <c r="T469">
        <v>2.6930102000000001E-2</v>
      </c>
      <c r="U469">
        <v>0.21128158899999999</v>
      </c>
      <c r="V469">
        <v>0.22347328699999999</v>
      </c>
      <c r="W469">
        <v>1.0577035509999999</v>
      </c>
      <c r="X469">
        <v>3.9714925079999999</v>
      </c>
      <c r="Y469">
        <v>2.8370475650000002</v>
      </c>
      <c r="Z469">
        <v>0.32082426600000002</v>
      </c>
      <c r="AA469">
        <v>1.4355799000000001E-2</v>
      </c>
      <c r="AB469">
        <v>-2.8714300000000002E-2</v>
      </c>
      <c r="AC469">
        <v>1.2334094E-2</v>
      </c>
      <c r="AD469">
        <v>0.87082150599999997</v>
      </c>
      <c r="AE469">
        <v>0.471160417</v>
      </c>
      <c r="AF469">
        <v>1.5885583560000001</v>
      </c>
      <c r="AG469">
        <v>0.266616099</v>
      </c>
      <c r="AH469">
        <v>4.4471240000000002E-3</v>
      </c>
      <c r="AI469">
        <v>0.81829090900000001</v>
      </c>
    </row>
    <row r="470" spans="1:35" x14ac:dyDescent="0.2">
      <c r="A470">
        <v>518</v>
      </c>
      <c r="B470" t="s">
        <v>634</v>
      </c>
      <c r="C470" t="s">
        <v>209</v>
      </c>
      <c r="D470" t="s">
        <v>164</v>
      </c>
      <c r="E470" s="11">
        <v>7.0099999999999998E-6</v>
      </c>
      <c r="F470" s="11">
        <v>2.1799999999999999E-6</v>
      </c>
      <c r="G470">
        <v>0.31071565400000001</v>
      </c>
      <c r="H470">
        <v>0.62499470700000004</v>
      </c>
      <c r="I470" s="11">
        <v>9.1900000000000001E-6</v>
      </c>
      <c r="J470">
        <v>0.46867355999999999</v>
      </c>
      <c r="K470">
        <v>2.2874676E-2</v>
      </c>
      <c r="L470">
        <v>2.8577907140000001</v>
      </c>
      <c r="M470">
        <v>9.3907320000000006E-3</v>
      </c>
      <c r="N470">
        <v>2.6501309000000001E-2</v>
      </c>
      <c r="O470">
        <v>8.2205009999999998E-3</v>
      </c>
      <c r="P470">
        <v>0.10953710999999999</v>
      </c>
      <c r="Q470">
        <v>1.498046693</v>
      </c>
      <c r="R470">
        <v>9.2073543779999998</v>
      </c>
      <c r="S470">
        <v>1.6493988000000001E-2</v>
      </c>
      <c r="T470">
        <v>1.5891800000000001E-2</v>
      </c>
      <c r="U470">
        <v>0.12615138300000001</v>
      </c>
      <c r="V470">
        <v>0.131874465</v>
      </c>
      <c r="W470">
        <v>1.0453667799999999</v>
      </c>
      <c r="X470">
        <v>3.3080682260000001</v>
      </c>
      <c r="Y470">
        <v>3.5328003469999998</v>
      </c>
      <c r="Z470">
        <v>0.34024715799999999</v>
      </c>
      <c r="AA470">
        <v>2.9649091999999998E-2</v>
      </c>
      <c r="AB470">
        <v>0.19106928400000001</v>
      </c>
      <c r="AC470">
        <v>2.5489626000000001E-2</v>
      </c>
      <c r="AD470">
        <v>0.863166604</v>
      </c>
      <c r="AE470">
        <v>0.58063129300000005</v>
      </c>
      <c r="AF470">
        <v>1.6684557339999999</v>
      </c>
      <c r="AG470">
        <v>0.46954587800000003</v>
      </c>
      <c r="AH470">
        <v>9.1904220000000002E-3</v>
      </c>
      <c r="AI470">
        <v>0.86843874300000001</v>
      </c>
    </row>
    <row r="471" spans="1:35" x14ac:dyDescent="0.2">
      <c r="A471">
        <v>519</v>
      </c>
      <c r="B471" t="s">
        <v>635</v>
      </c>
      <c r="C471" t="s">
        <v>209</v>
      </c>
      <c r="D471" t="s">
        <v>166</v>
      </c>
      <c r="E471" s="11">
        <v>1.13E-5</v>
      </c>
      <c r="F471" s="11">
        <v>3.6100000000000002E-6</v>
      </c>
      <c r="G471">
        <v>0.32003387700000002</v>
      </c>
      <c r="H471">
        <v>1.3277822999999999E-2</v>
      </c>
      <c r="I471" s="11">
        <v>1.49E-5</v>
      </c>
      <c r="J471">
        <v>0.48082430100000001</v>
      </c>
      <c r="K471">
        <v>2.2398041E-2</v>
      </c>
      <c r="L471">
        <v>2.9297418890000002</v>
      </c>
      <c r="M471">
        <v>1.4070655E-2</v>
      </c>
      <c r="N471">
        <v>2.6063432000000001E-2</v>
      </c>
      <c r="O471">
        <v>8.049212E-3</v>
      </c>
      <c r="P471">
        <v>6.6730540000000005E-2</v>
      </c>
      <c r="Q471">
        <v>1.4508494119999999</v>
      </c>
      <c r="R471">
        <v>8.8385575519999993</v>
      </c>
      <c r="S471">
        <v>3.2276042999999997E-2</v>
      </c>
      <c r="T471">
        <v>3.1387908999999999E-2</v>
      </c>
      <c r="U471">
        <v>0.246857666</v>
      </c>
      <c r="V471">
        <v>0.26046537800000003</v>
      </c>
      <c r="W471">
        <v>1.0551237170000001</v>
      </c>
      <c r="X471">
        <v>3.4475983129999999</v>
      </c>
      <c r="Y471">
        <v>2.8929537879999998</v>
      </c>
      <c r="Z471">
        <v>0.32468881599999999</v>
      </c>
      <c r="AA471">
        <v>2.5469278000000001E-2</v>
      </c>
      <c r="AB471">
        <v>-1.2716448999999999E-2</v>
      </c>
      <c r="AC471">
        <v>2.1880608999999999E-2</v>
      </c>
      <c r="AD471">
        <v>0.884778807</v>
      </c>
      <c r="AE471">
        <v>0.47486542900000001</v>
      </c>
      <c r="AF471">
        <v>1.424749179</v>
      </c>
      <c r="AG471">
        <v>0.420837454</v>
      </c>
      <c r="AH471">
        <v>7.8891710000000004E-3</v>
      </c>
      <c r="AI471">
        <v>0.74253140100000004</v>
      </c>
    </row>
    <row r="472" spans="1:35" x14ac:dyDescent="0.2">
      <c r="A472">
        <v>520</v>
      </c>
      <c r="B472" t="s">
        <v>636</v>
      </c>
      <c r="C472" t="s">
        <v>209</v>
      </c>
      <c r="D472" t="s">
        <v>226</v>
      </c>
      <c r="E472" s="11">
        <v>7.4600000000000004E-7</v>
      </c>
      <c r="F472" s="11">
        <v>2.3699999999999999E-7</v>
      </c>
      <c r="G472">
        <v>0.31742161099999999</v>
      </c>
      <c r="H472">
        <v>-0.17939675299999999</v>
      </c>
      <c r="I472" s="11">
        <v>9.8200000000000008E-7</v>
      </c>
      <c r="J472">
        <v>0.29191489399999998</v>
      </c>
      <c r="K472">
        <v>1.425466E-3</v>
      </c>
      <c r="L472">
        <v>1.7543402939999999</v>
      </c>
      <c r="M472">
        <v>1.612282E-3</v>
      </c>
      <c r="N472">
        <v>1.566343E-3</v>
      </c>
      <c r="O472">
        <v>5.1227200000000003E-4</v>
      </c>
      <c r="P472">
        <v>8.6177200000000006E-3</v>
      </c>
      <c r="Q472">
        <v>0.89345892199999999</v>
      </c>
      <c r="R472">
        <v>5.3779889680000004</v>
      </c>
      <c r="S472">
        <v>1.4922589999999999E-3</v>
      </c>
      <c r="T472">
        <v>1.164109E-3</v>
      </c>
      <c r="U472">
        <v>1.1413281000000001E-2</v>
      </c>
      <c r="V472">
        <v>9.6600899999999996E-3</v>
      </c>
      <c r="W472">
        <v>0.84639027099999997</v>
      </c>
      <c r="X472">
        <v>4.9290803470000002</v>
      </c>
      <c r="Y472">
        <v>1.1784698090000001</v>
      </c>
      <c r="Z472">
        <v>0.29904973499999998</v>
      </c>
      <c r="AA472">
        <v>5.0238289999999996E-3</v>
      </c>
      <c r="AB472">
        <v>-0.48865951499999999</v>
      </c>
      <c r="AC472">
        <v>4.3257950000000003E-3</v>
      </c>
      <c r="AD472">
        <v>0.83944949499999999</v>
      </c>
      <c r="AE472">
        <v>0.19619179</v>
      </c>
      <c r="AF472">
        <v>0.73203384699999996</v>
      </c>
      <c r="AG472">
        <v>0.10346920900000001</v>
      </c>
      <c r="AH472">
        <v>1.559689E-3</v>
      </c>
      <c r="AI472">
        <v>0.37616190999999999</v>
      </c>
    </row>
    <row r="473" spans="1:35" x14ac:dyDescent="0.2">
      <c r="A473">
        <v>521</v>
      </c>
      <c r="B473" t="s">
        <v>637</v>
      </c>
      <c r="C473" t="s">
        <v>209</v>
      </c>
      <c r="D473" t="s">
        <v>168</v>
      </c>
      <c r="E473" s="11">
        <v>6.3400000000000003E-6</v>
      </c>
      <c r="F473" s="11">
        <v>2.0099999999999998E-6</v>
      </c>
      <c r="G473">
        <v>0.31734335400000002</v>
      </c>
      <c r="H473">
        <v>-0.87209536799999998</v>
      </c>
      <c r="I473" s="11">
        <v>8.3499999999999997E-6</v>
      </c>
      <c r="J473">
        <v>0.495593538</v>
      </c>
      <c r="K473">
        <v>1.6472932999999999E-2</v>
      </c>
      <c r="L473">
        <v>3.0065070939999998</v>
      </c>
      <c r="M473">
        <v>8.9916700000000002E-3</v>
      </c>
      <c r="N473">
        <v>1.9037411000000001E-2</v>
      </c>
      <c r="O473">
        <v>5.9198979999999998E-3</v>
      </c>
      <c r="P473">
        <v>8.7160639999999998E-2</v>
      </c>
      <c r="Q473">
        <v>1.562976122</v>
      </c>
      <c r="R473">
        <v>9.5521780199999995</v>
      </c>
      <c r="S473">
        <v>1.4501451E-2</v>
      </c>
      <c r="T473">
        <v>1.332825E-2</v>
      </c>
      <c r="U473">
        <v>0.110911807</v>
      </c>
      <c r="V473">
        <v>0.110601433</v>
      </c>
      <c r="W473">
        <v>0.99720161399999996</v>
      </c>
      <c r="X473">
        <v>4.4173666559999996</v>
      </c>
      <c r="Y473">
        <v>1.7112935140000001</v>
      </c>
      <c r="Z473">
        <v>0.28998539899999998</v>
      </c>
      <c r="AA473">
        <v>8.7861339999999993E-3</v>
      </c>
      <c r="AB473">
        <v>-0.75686232099999995</v>
      </c>
      <c r="AC473">
        <v>7.5723370000000002E-3</v>
      </c>
      <c r="AD473">
        <v>0.85364896199999996</v>
      </c>
      <c r="AE473">
        <v>0.28412226200000001</v>
      </c>
      <c r="AF473">
        <v>1.0821189959999999</v>
      </c>
      <c r="AG473">
        <v>0.26210121400000003</v>
      </c>
      <c r="AH473">
        <v>2.7302469999999999E-3</v>
      </c>
      <c r="AI473">
        <v>0.56123458599999998</v>
      </c>
    </row>
    <row r="474" spans="1:35" x14ac:dyDescent="0.2">
      <c r="A474">
        <v>522</v>
      </c>
      <c r="B474" t="s">
        <v>638</v>
      </c>
      <c r="C474" t="s">
        <v>154</v>
      </c>
      <c r="D474" t="s">
        <v>130</v>
      </c>
      <c r="E474" s="11">
        <v>6.4500000000000001E-6</v>
      </c>
      <c r="F474" s="11">
        <v>2.0099999999999998E-6</v>
      </c>
      <c r="G474">
        <v>0.31119117099999999</v>
      </c>
      <c r="H474">
        <v>-5.8958786999999999E-2</v>
      </c>
      <c r="I474" s="11">
        <v>8.4600000000000003E-6</v>
      </c>
      <c r="J474">
        <v>0.27781215999999997</v>
      </c>
      <c r="K474">
        <v>4.9736839999999999E-3</v>
      </c>
      <c r="L474">
        <v>1.676820325</v>
      </c>
      <c r="M474">
        <v>5.9182610000000002E-3</v>
      </c>
      <c r="N474">
        <v>5.7706249999999997E-3</v>
      </c>
      <c r="O474">
        <v>1.7873990000000001E-3</v>
      </c>
      <c r="P474">
        <v>1.5689600000000001E-2</v>
      </c>
      <c r="Q474">
        <v>0.87640342599999999</v>
      </c>
      <c r="R474">
        <v>5.2897997639999996</v>
      </c>
      <c r="S474">
        <v>9.6442330000000003E-3</v>
      </c>
      <c r="T474">
        <v>9.2234870000000007E-3</v>
      </c>
      <c r="U474">
        <v>7.3762227E-2</v>
      </c>
      <c r="V474">
        <v>7.6538999999999996E-2</v>
      </c>
      <c r="W474">
        <v>1.037644918</v>
      </c>
      <c r="X474">
        <v>4.6544676899999997</v>
      </c>
      <c r="Y474">
        <v>1.577707977</v>
      </c>
      <c r="Z474">
        <v>0.29984930100000001</v>
      </c>
      <c r="AA474">
        <v>6.2438420000000003E-3</v>
      </c>
      <c r="AB474">
        <v>-6.2820464000000006E-2</v>
      </c>
      <c r="AC474">
        <v>5.3615720000000002E-3</v>
      </c>
      <c r="AD474">
        <v>0.84746433300000001</v>
      </c>
      <c r="AE474">
        <v>0.26289586399999998</v>
      </c>
      <c r="AF474">
        <v>0.91498309899999997</v>
      </c>
      <c r="AG474">
        <v>0.118994735</v>
      </c>
      <c r="AH474">
        <v>1.9331439999999999E-3</v>
      </c>
      <c r="AI474">
        <v>0.46970715899999999</v>
      </c>
    </row>
    <row r="475" spans="1:35" x14ac:dyDescent="0.2">
      <c r="A475">
        <v>523</v>
      </c>
      <c r="B475" t="s">
        <v>639</v>
      </c>
      <c r="C475" t="s">
        <v>154</v>
      </c>
      <c r="D475" t="s">
        <v>132</v>
      </c>
      <c r="E475" s="11">
        <v>4.0199999999999996E-6</v>
      </c>
      <c r="F475" s="11">
        <v>1.24E-6</v>
      </c>
      <c r="G475">
        <v>0.30993711600000001</v>
      </c>
      <c r="H475">
        <v>-1.216995128</v>
      </c>
      <c r="I475" s="11">
        <v>5.2599999999999996E-6</v>
      </c>
      <c r="J475">
        <v>0.353759987</v>
      </c>
      <c r="K475">
        <v>7.8759950000000002E-3</v>
      </c>
      <c r="L475">
        <v>2.138311909</v>
      </c>
      <c r="M475">
        <v>2.2026429999999998E-3</v>
      </c>
      <c r="N475">
        <v>9.0808750000000004E-3</v>
      </c>
      <c r="O475">
        <v>2.8304060000000002E-3</v>
      </c>
      <c r="P475">
        <v>2.4425619999999999E-2</v>
      </c>
      <c r="Q475">
        <v>1.123255251</v>
      </c>
      <c r="R475">
        <v>6.7883827520000004</v>
      </c>
      <c r="S475">
        <v>1.1139619E-2</v>
      </c>
      <c r="T475">
        <v>1.1179579E-2</v>
      </c>
      <c r="U475">
        <v>8.5199424999999995E-2</v>
      </c>
      <c r="V475">
        <v>9.2771179999999995E-2</v>
      </c>
      <c r="W475">
        <v>1.0888709640000001</v>
      </c>
      <c r="X475">
        <v>5.5222729690000003</v>
      </c>
      <c r="Y475">
        <v>0.77447728400000004</v>
      </c>
      <c r="Z475">
        <v>0.28547017800000002</v>
      </c>
      <c r="AA475">
        <v>2.7719870000000001E-3</v>
      </c>
      <c r="AB475">
        <v>-1</v>
      </c>
      <c r="AC475">
        <v>2.3843969999999999E-3</v>
      </c>
      <c r="AD475">
        <v>0.84454513200000003</v>
      </c>
      <c r="AE475">
        <v>0.12924274699999999</v>
      </c>
      <c r="AF475">
        <v>0.49037000200000003</v>
      </c>
      <c r="AG475">
        <v>5.7677489999999998E-2</v>
      </c>
      <c r="AH475">
        <v>8.5970700000000003E-4</v>
      </c>
      <c r="AI475">
        <v>0.25136005300000003</v>
      </c>
    </row>
    <row r="476" spans="1:35" x14ac:dyDescent="0.2">
      <c r="A476">
        <v>524</v>
      </c>
      <c r="B476" t="s">
        <v>640</v>
      </c>
      <c r="C476" t="s">
        <v>154</v>
      </c>
      <c r="D476" t="s">
        <v>134</v>
      </c>
      <c r="E476" s="11">
        <v>8.7700000000000007E-6</v>
      </c>
      <c r="F476" s="11">
        <v>2.8200000000000001E-6</v>
      </c>
      <c r="G476">
        <v>0.32142765699999998</v>
      </c>
      <c r="H476">
        <v>-0.40247504200000001</v>
      </c>
      <c r="I476" s="11">
        <v>1.1600000000000001E-5</v>
      </c>
      <c r="J476">
        <v>0.28669583599999998</v>
      </c>
      <c r="K476">
        <v>2.9651739999999999E-2</v>
      </c>
      <c r="L476">
        <v>1.779478498</v>
      </c>
      <c r="M476">
        <v>7.0346050000000002E-3</v>
      </c>
      <c r="N476">
        <v>1.7271683999999999E-2</v>
      </c>
      <c r="O476">
        <v>1.0655983000000001E-2</v>
      </c>
      <c r="P476">
        <v>9.6048999999999995E-2</v>
      </c>
      <c r="Q476">
        <v>1.0727063619999999</v>
      </c>
      <c r="R476">
        <v>6.6283361760000004</v>
      </c>
      <c r="S476">
        <v>1.7633863E-2</v>
      </c>
      <c r="T476">
        <v>1.6576436999999999E-2</v>
      </c>
      <c r="U476">
        <v>0.134869514</v>
      </c>
      <c r="V476">
        <v>0.13755577199999999</v>
      </c>
      <c r="W476">
        <v>1.019917459</v>
      </c>
      <c r="X476">
        <v>4.3338914759999998</v>
      </c>
      <c r="Y476">
        <v>1.5150827680000001</v>
      </c>
      <c r="Z476">
        <v>0.39002777999999999</v>
      </c>
      <c r="AA476">
        <v>8.4257380000000003E-3</v>
      </c>
      <c r="AB476">
        <v>-0.174509099</v>
      </c>
      <c r="AC476">
        <v>7.2325699999999998E-3</v>
      </c>
      <c r="AD476">
        <v>0.86932519900000005</v>
      </c>
      <c r="AE476">
        <v>0.25085744100000001</v>
      </c>
      <c r="AF476">
        <v>0.66245315599999999</v>
      </c>
      <c r="AG476">
        <v>0.121808151</v>
      </c>
      <c r="AH476">
        <v>2.6077420000000001E-3</v>
      </c>
      <c r="AI476">
        <v>0.34224490400000002</v>
      </c>
    </row>
    <row r="477" spans="1:35" x14ac:dyDescent="0.2">
      <c r="A477">
        <v>525</v>
      </c>
      <c r="B477" t="s">
        <v>641</v>
      </c>
      <c r="C477" t="s">
        <v>154</v>
      </c>
      <c r="D477" t="s">
        <v>136</v>
      </c>
      <c r="E477" s="11">
        <v>6.99E-6</v>
      </c>
      <c r="F477" s="11">
        <v>2.17E-6</v>
      </c>
      <c r="G477">
        <v>0.31067889100000001</v>
      </c>
      <c r="H477">
        <v>-5.0288149999999998E-3</v>
      </c>
      <c r="I477" s="11">
        <v>9.1600000000000004E-6</v>
      </c>
      <c r="J477">
        <v>0.217028046</v>
      </c>
      <c r="K477">
        <v>6.6166469999999998E-3</v>
      </c>
      <c r="L477">
        <v>1.3154015720000001</v>
      </c>
      <c r="M477">
        <v>1.0019444000000001E-2</v>
      </c>
      <c r="N477">
        <v>7.6825360000000002E-3</v>
      </c>
      <c r="O477">
        <v>2.3778330000000002E-3</v>
      </c>
      <c r="P477">
        <v>2.0729919999999999E-2</v>
      </c>
      <c r="Q477">
        <v>0.67970548900000005</v>
      </c>
      <c r="R477">
        <v>4.1196927739999998</v>
      </c>
      <c r="S477">
        <v>1.3000262E-2</v>
      </c>
      <c r="T477">
        <v>1.2288973E-2</v>
      </c>
      <c r="U477">
        <v>9.9430229999999994E-2</v>
      </c>
      <c r="V477">
        <v>0.101977227</v>
      </c>
      <c r="W477">
        <v>1.0256159220000001</v>
      </c>
      <c r="X477">
        <v>4.5012161930000003</v>
      </c>
      <c r="Y477">
        <v>1.0466833360000001</v>
      </c>
      <c r="Z477">
        <v>0.30906072600000001</v>
      </c>
      <c r="AA477">
        <v>7.2033119999999999E-3</v>
      </c>
      <c r="AB477">
        <v>-0.25673307899999998</v>
      </c>
      <c r="AC477">
        <v>6.186413E-3</v>
      </c>
      <c r="AD477">
        <v>0.84746512600000001</v>
      </c>
      <c r="AE477">
        <v>0.17238759000000001</v>
      </c>
      <c r="AF477">
        <v>0.58579355700000002</v>
      </c>
      <c r="AG477">
        <v>0.13404244600000001</v>
      </c>
      <c r="AH477">
        <v>2.2305440000000001E-3</v>
      </c>
      <c r="AI477">
        <v>0.30424558299999999</v>
      </c>
    </row>
    <row r="478" spans="1:35" x14ac:dyDescent="0.2">
      <c r="A478">
        <v>526</v>
      </c>
      <c r="B478" t="s">
        <v>642</v>
      </c>
      <c r="C478" t="s">
        <v>154</v>
      </c>
      <c r="D478" t="s">
        <v>140</v>
      </c>
      <c r="E478" s="11">
        <v>6.0499999999999997E-6</v>
      </c>
      <c r="F478" s="11">
        <v>1.8899999999999999E-6</v>
      </c>
      <c r="G478">
        <v>0.31190094800000001</v>
      </c>
      <c r="H478">
        <v>-0.66844830200000005</v>
      </c>
      <c r="I478" s="11">
        <v>7.9400000000000002E-6</v>
      </c>
      <c r="J478">
        <v>0.22600752900000001</v>
      </c>
      <c r="K478">
        <v>4.8482899999999999E-3</v>
      </c>
      <c r="L478">
        <v>1.3657417519999999</v>
      </c>
      <c r="M478">
        <v>7.0743139999999999E-3</v>
      </c>
      <c r="N478">
        <v>5.6226929999999998E-3</v>
      </c>
      <c r="O478">
        <v>1.7423359999999999E-3</v>
      </c>
      <c r="P478">
        <v>1.5296179999999999E-2</v>
      </c>
      <c r="Q478">
        <v>0.71291609899999997</v>
      </c>
      <c r="R478">
        <v>4.3080889520000003</v>
      </c>
      <c r="S478">
        <v>1.0238885E-2</v>
      </c>
      <c r="T478">
        <v>9.2502959999999999E-3</v>
      </c>
      <c r="U478">
        <v>7.8310322000000002E-2</v>
      </c>
      <c r="V478">
        <v>7.6761467999999999E-2</v>
      </c>
      <c r="W478">
        <v>0.98022158599999998</v>
      </c>
      <c r="X478">
        <v>5.7245536829999999</v>
      </c>
      <c r="Y478">
        <v>0.67577768400000005</v>
      </c>
      <c r="Z478">
        <v>0.28659213700000002</v>
      </c>
      <c r="AA478">
        <v>2.295652E-3</v>
      </c>
      <c r="AB478">
        <v>-1</v>
      </c>
      <c r="AC478">
        <v>1.9740109999999999E-3</v>
      </c>
      <c r="AD478">
        <v>0.82734718200000001</v>
      </c>
      <c r="AE478">
        <v>0.112853961</v>
      </c>
      <c r="AF478">
        <v>0.43375934300000002</v>
      </c>
      <c r="AG478">
        <v>4.8377984999999998E-2</v>
      </c>
      <c r="AH478">
        <v>7.1173999999999999E-4</v>
      </c>
      <c r="AI478">
        <v>0.22218080900000001</v>
      </c>
    </row>
    <row r="479" spans="1:35" x14ac:dyDescent="0.2">
      <c r="A479">
        <v>527</v>
      </c>
      <c r="B479" t="s">
        <v>643</v>
      </c>
      <c r="C479" t="s">
        <v>154</v>
      </c>
      <c r="D479" t="s">
        <v>142</v>
      </c>
      <c r="E479" s="11">
        <v>2.79E-7</v>
      </c>
      <c r="F479" s="11">
        <v>6.1799999999999995E-7</v>
      </c>
      <c r="G479">
        <v>2.2130180820000001</v>
      </c>
      <c r="H479">
        <v>-0.21414919099999999</v>
      </c>
      <c r="I479" s="11">
        <v>8.9700000000000005E-7</v>
      </c>
      <c r="J479">
        <v>0</v>
      </c>
      <c r="K479">
        <v>4.8010760000000001</v>
      </c>
      <c r="L479">
        <v>9.6021520000000002</v>
      </c>
      <c r="M479">
        <v>1</v>
      </c>
      <c r="N479">
        <v>4.8466639999999997E-3</v>
      </c>
      <c r="O479">
        <v>1.489502E-3</v>
      </c>
      <c r="P479">
        <v>2.1359351800000002</v>
      </c>
      <c r="Q479">
        <v>0.58382979999999995</v>
      </c>
      <c r="R479">
        <v>7.7748491599999996</v>
      </c>
      <c r="S479">
        <v>9.6300359999999998E-3</v>
      </c>
      <c r="T479">
        <v>1.0708949000000001E-2</v>
      </c>
      <c r="U479">
        <v>7.3653647000000003E-2</v>
      </c>
      <c r="V479">
        <v>8.8865765999999999E-2</v>
      </c>
      <c r="W479">
        <v>1.2065358559999999</v>
      </c>
      <c r="X479">
        <v>3.049529417</v>
      </c>
      <c r="Y479">
        <v>19.88741301</v>
      </c>
      <c r="Z479">
        <v>1.146811241</v>
      </c>
      <c r="AA479">
        <v>2.8790732999999999E-2</v>
      </c>
      <c r="AB479">
        <v>0.51717440599999998</v>
      </c>
      <c r="AC479">
        <v>1.165723742</v>
      </c>
      <c r="AD479">
        <v>1.031097248</v>
      </c>
      <c r="AE479">
        <v>2.4690666970000001</v>
      </c>
      <c r="AF479">
        <v>2.0962610659999998</v>
      </c>
      <c r="AG479">
        <v>6.191582092</v>
      </c>
      <c r="AH479">
        <v>8.6516849999999992E-3</v>
      </c>
      <c r="AI479">
        <v>1.4370376540000001</v>
      </c>
    </row>
    <row r="480" spans="1:35" x14ac:dyDescent="0.2">
      <c r="A480">
        <v>528</v>
      </c>
      <c r="B480" t="s">
        <v>644</v>
      </c>
      <c r="C480" t="s">
        <v>154</v>
      </c>
      <c r="D480" t="s">
        <v>144</v>
      </c>
      <c r="E480" s="11">
        <v>8.4200000000000007E-6</v>
      </c>
      <c r="F480" s="11">
        <v>2.6599999999999999E-6</v>
      </c>
      <c r="G480">
        <v>0.31576384699999999</v>
      </c>
      <c r="H480">
        <v>-0.17327010900000001</v>
      </c>
      <c r="I480" s="11">
        <v>1.11E-5</v>
      </c>
      <c r="J480">
        <v>0.28667393400000002</v>
      </c>
      <c r="K480">
        <v>1.1153112E-2</v>
      </c>
      <c r="L480">
        <v>1.74234983</v>
      </c>
      <c r="M480">
        <v>8.7760479999999998E-3</v>
      </c>
      <c r="N480">
        <v>1.2958996E-2</v>
      </c>
      <c r="O480">
        <v>4.0079770000000002E-3</v>
      </c>
      <c r="P480">
        <v>3.4359149999999998E-2</v>
      </c>
      <c r="Q480">
        <v>0.90645203900000004</v>
      </c>
      <c r="R480">
        <v>5.5074305319999999</v>
      </c>
      <c r="S480">
        <v>1.7910227000000001E-2</v>
      </c>
      <c r="T480">
        <v>1.6989230000000001E-2</v>
      </c>
      <c r="U480">
        <v>0.13698323300000001</v>
      </c>
      <c r="V480">
        <v>0.14098123800000001</v>
      </c>
      <c r="W480">
        <v>1.0291860900000001</v>
      </c>
      <c r="X480">
        <v>4.1381153529999999</v>
      </c>
      <c r="Y480">
        <v>1.4614750430000001</v>
      </c>
      <c r="Z480">
        <v>0.29940016800000002</v>
      </c>
      <c r="AA480">
        <v>1.0113854E-2</v>
      </c>
      <c r="AB480">
        <v>-0.192185825</v>
      </c>
      <c r="AC480">
        <v>8.6832839999999994E-3</v>
      </c>
      <c r="AD480">
        <v>0.86283447099999999</v>
      </c>
      <c r="AE480">
        <v>0.240668516</v>
      </c>
      <c r="AF480">
        <v>0.762626947</v>
      </c>
      <c r="AG480">
        <v>0.17548117099999999</v>
      </c>
      <c r="AH480">
        <v>3.130805E-3</v>
      </c>
      <c r="AI480">
        <v>0.39614761399999998</v>
      </c>
    </row>
    <row r="481" spans="1:35" x14ac:dyDescent="0.2">
      <c r="A481">
        <v>529</v>
      </c>
      <c r="B481" t="s">
        <v>645</v>
      </c>
      <c r="C481" t="s">
        <v>154</v>
      </c>
      <c r="D481" t="s">
        <v>146</v>
      </c>
      <c r="E481" s="11">
        <v>7.6699999999999994E-6</v>
      </c>
      <c r="F481" s="11">
        <v>2.3800000000000001E-6</v>
      </c>
      <c r="G481">
        <v>0.31057662899999999</v>
      </c>
      <c r="H481">
        <v>-0.45580994200000002</v>
      </c>
      <c r="I481" s="11">
        <v>1.01E-5</v>
      </c>
      <c r="J481">
        <v>0.27301186900000002</v>
      </c>
      <c r="K481">
        <v>6.7829810000000004E-3</v>
      </c>
      <c r="L481">
        <v>1.651637177</v>
      </c>
      <c r="M481">
        <v>8.2174329999999997E-3</v>
      </c>
      <c r="N481">
        <v>7.8790979999999993E-3</v>
      </c>
      <c r="O481">
        <v>2.437608E-3</v>
      </c>
      <c r="P481">
        <v>2.1244280000000001E-2</v>
      </c>
      <c r="Q481">
        <v>0.85509508899999997</v>
      </c>
      <c r="R481">
        <v>5.1730590840000001</v>
      </c>
      <c r="S481">
        <v>1.3214824999999999E-2</v>
      </c>
      <c r="T481">
        <v>1.2659243000000001E-2</v>
      </c>
      <c r="U481">
        <v>0.101071275</v>
      </c>
      <c r="V481">
        <v>0.105049832</v>
      </c>
      <c r="W481">
        <v>1.039363875</v>
      </c>
      <c r="X481">
        <v>4.6478465819999997</v>
      </c>
      <c r="Y481">
        <v>1.5871211839999999</v>
      </c>
      <c r="Z481">
        <v>0.29489236000000002</v>
      </c>
      <c r="AA481">
        <v>6.2824159999999999E-3</v>
      </c>
      <c r="AB481">
        <v>-4.0649695E-2</v>
      </c>
      <c r="AC481">
        <v>5.3948219999999996E-3</v>
      </c>
      <c r="AD481">
        <v>0.84686071799999996</v>
      </c>
      <c r="AE481">
        <v>0.26446343</v>
      </c>
      <c r="AF481">
        <v>0.91953202000000001</v>
      </c>
      <c r="AG481">
        <v>0.119625124</v>
      </c>
      <c r="AH481">
        <v>1.945132E-3</v>
      </c>
      <c r="AI481">
        <v>0.472044717</v>
      </c>
    </row>
    <row r="482" spans="1:35" x14ac:dyDescent="0.2">
      <c r="A482">
        <v>531</v>
      </c>
      <c r="B482" t="s">
        <v>646</v>
      </c>
      <c r="C482" t="s">
        <v>154</v>
      </c>
      <c r="D482" t="s">
        <v>150</v>
      </c>
      <c r="E482" s="11">
        <v>7.6599999999999995E-6</v>
      </c>
      <c r="F482" s="11">
        <v>2.3800000000000001E-6</v>
      </c>
      <c r="G482">
        <v>0.311144751</v>
      </c>
      <c r="H482">
        <v>-0.463898172</v>
      </c>
      <c r="I482" s="11">
        <v>1.0000000000000001E-5</v>
      </c>
      <c r="J482">
        <v>0.27273800999999998</v>
      </c>
      <c r="K482">
        <v>6.7641070000000001E-3</v>
      </c>
      <c r="L482">
        <v>1.6499562759999999</v>
      </c>
      <c r="M482">
        <v>8.1945679999999993E-3</v>
      </c>
      <c r="N482">
        <v>7.8576730000000008E-3</v>
      </c>
      <c r="O482">
        <v>2.4308250000000002E-3</v>
      </c>
      <c r="P482">
        <v>2.118834E-2</v>
      </c>
      <c r="Q482">
        <v>0.85431236899999996</v>
      </c>
      <c r="R482">
        <v>5.1682508880000002</v>
      </c>
      <c r="S482">
        <v>1.3167771E-2</v>
      </c>
      <c r="T482">
        <v>1.262829E-2</v>
      </c>
      <c r="U482">
        <v>0.100711392</v>
      </c>
      <c r="V482">
        <v>0.10479297799999999</v>
      </c>
      <c r="W482">
        <v>1.04052755</v>
      </c>
      <c r="X482">
        <v>4.6552797559999997</v>
      </c>
      <c r="Y482">
        <v>1.5778214850000001</v>
      </c>
      <c r="Z482">
        <v>0.29451865300000002</v>
      </c>
      <c r="AA482">
        <v>6.2389710000000003E-3</v>
      </c>
      <c r="AB482">
        <v>-4.5717966999999998E-2</v>
      </c>
      <c r="AC482">
        <v>5.3575080000000004E-3</v>
      </c>
      <c r="AD482">
        <v>0.84678690899999998</v>
      </c>
      <c r="AE482">
        <v>0.26291820100000002</v>
      </c>
      <c r="AF482">
        <v>0.91514514199999997</v>
      </c>
      <c r="AG482">
        <v>0.118926219</v>
      </c>
      <c r="AH482">
        <v>1.931678E-3</v>
      </c>
      <c r="AI482">
        <v>0.46978488200000001</v>
      </c>
    </row>
    <row r="483" spans="1:35" x14ac:dyDescent="0.2">
      <c r="A483">
        <v>532</v>
      </c>
      <c r="B483" t="s">
        <v>647</v>
      </c>
      <c r="C483" t="s">
        <v>154</v>
      </c>
      <c r="D483" t="s">
        <v>204</v>
      </c>
      <c r="E483" s="11">
        <v>2.4700000000000001E-6</v>
      </c>
      <c r="F483" s="11">
        <v>7.8800000000000002E-7</v>
      </c>
      <c r="G483">
        <v>0.31865697100000001</v>
      </c>
      <c r="H483">
        <v>-1.4950381370000001</v>
      </c>
      <c r="I483" s="11">
        <v>3.2600000000000001E-6</v>
      </c>
      <c r="J483">
        <v>0.29191489399999998</v>
      </c>
      <c r="K483">
        <v>1.2192036E-2</v>
      </c>
      <c r="L483">
        <v>1.775873434</v>
      </c>
      <c r="M483">
        <v>1.2710612E-2</v>
      </c>
      <c r="N483">
        <v>1.4001421E-2</v>
      </c>
      <c r="O483">
        <v>4.381467E-3</v>
      </c>
      <c r="P483">
        <v>7.1948609999999996E-2</v>
      </c>
      <c r="Q483">
        <v>0.932785486</v>
      </c>
      <c r="R483">
        <v>5.7406101380000001</v>
      </c>
      <c r="S483">
        <v>1.1473064E-2</v>
      </c>
      <c r="T483">
        <v>1.0814526E-2</v>
      </c>
      <c r="U483">
        <v>8.7749721000000003E-2</v>
      </c>
      <c r="V483">
        <v>8.9741872E-2</v>
      </c>
      <c r="W483">
        <v>1.0227026480000001</v>
      </c>
      <c r="X483">
        <v>5.9340126399999997</v>
      </c>
      <c r="Y483">
        <v>0.58409756300000004</v>
      </c>
      <c r="Z483">
        <v>0.28067183200000001</v>
      </c>
      <c r="AA483">
        <v>1.8838660000000001E-3</v>
      </c>
      <c r="AB483">
        <v>-1</v>
      </c>
      <c r="AC483">
        <v>1.62334E-3</v>
      </c>
      <c r="AD483">
        <v>0.81174140900000002</v>
      </c>
      <c r="AE483">
        <v>9.7607252000000005E-2</v>
      </c>
      <c r="AF483">
        <v>0.38568081199999998</v>
      </c>
      <c r="AG483">
        <v>4.016401E-2</v>
      </c>
      <c r="AH483">
        <v>5.8530400000000003E-4</v>
      </c>
      <c r="AI483">
        <v>0.19738006999999999</v>
      </c>
    </row>
    <row r="484" spans="1:35" x14ac:dyDescent="0.2">
      <c r="A484">
        <v>533</v>
      </c>
      <c r="B484" t="s">
        <v>648</v>
      </c>
      <c r="C484" t="s">
        <v>154</v>
      </c>
      <c r="D484" t="s">
        <v>152</v>
      </c>
      <c r="E484" s="11">
        <v>2.79E-7</v>
      </c>
      <c r="F484" s="11">
        <v>6.1999999999999999E-7</v>
      </c>
      <c r="G484">
        <v>2.2180884870000002</v>
      </c>
      <c r="H484">
        <v>-0.214281693</v>
      </c>
      <c r="I484" s="11">
        <v>8.9899999999999999E-7</v>
      </c>
      <c r="J484">
        <v>0</v>
      </c>
      <c r="K484">
        <v>4.8013890000000004</v>
      </c>
      <c r="L484">
        <v>9.6027780000000007</v>
      </c>
      <c r="M484">
        <v>1</v>
      </c>
      <c r="N484">
        <v>4.8517780000000002E-3</v>
      </c>
      <c r="O484">
        <v>1.4910819999999999E-3</v>
      </c>
      <c r="P484">
        <v>2.13677246</v>
      </c>
      <c r="Q484">
        <v>0.58382979999999995</v>
      </c>
      <c r="R484">
        <v>7.7765237139999996</v>
      </c>
      <c r="S484">
        <v>9.6399439999999992E-3</v>
      </c>
      <c r="T484">
        <v>1.0718459E-2</v>
      </c>
      <c r="U484">
        <v>7.3729422000000003E-2</v>
      </c>
      <c r="V484">
        <v>8.8944681999999997E-2</v>
      </c>
      <c r="W484">
        <v>1.2063661910000001</v>
      </c>
      <c r="X484">
        <v>3.0488333249999999</v>
      </c>
      <c r="Y484">
        <v>19.883843989999999</v>
      </c>
      <c r="Z484">
        <v>1.146653945</v>
      </c>
      <c r="AA484">
        <v>2.8792958E-2</v>
      </c>
      <c r="AB484">
        <v>0.51705625899999996</v>
      </c>
      <c r="AC484">
        <v>1.167698642</v>
      </c>
      <c r="AD484">
        <v>1.0308150760000001</v>
      </c>
      <c r="AE484">
        <v>2.4669433559999998</v>
      </c>
      <c r="AF484">
        <v>2.096612817</v>
      </c>
      <c r="AG484">
        <v>6.1234041330000002</v>
      </c>
      <c r="AH484">
        <v>8.6573110000000009E-3</v>
      </c>
      <c r="AI484">
        <v>1.4330581469999999</v>
      </c>
    </row>
    <row r="485" spans="1:35" x14ac:dyDescent="0.2">
      <c r="A485">
        <v>534</v>
      </c>
      <c r="B485" t="s">
        <v>649</v>
      </c>
      <c r="C485" t="s">
        <v>154</v>
      </c>
      <c r="D485" t="s">
        <v>156</v>
      </c>
      <c r="E485" s="11">
        <v>6.8499999999999996E-6</v>
      </c>
      <c r="F485" s="11">
        <v>2.12E-6</v>
      </c>
      <c r="G485">
        <v>0.30970151000000001</v>
      </c>
      <c r="H485">
        <v>0.20612668200000001</v>
      </c>
      <c r="I485" s="11">
        <v>8.9700000000000005E-6</v>
      </c>
      <c r="J485">
        <v>0.21599220299999999</v>
      </c>
      <c r="K485">
        <v>6.5525510000000002E-3</v>
      </c>
      <c r="L485">
        <v>1.3090583220000001</v>
      </c>
      <c r="M485">
        <v>9.9980690000000001E-3</v>
      </c>
      <c r="N485">
        <v>7.6062539999999998E-3</v>
      </c>
      <c r="O485">
        <v>2.354798E-3</v>
      </c>
      <c r="P485">
        <v>2.0530130000000001E-2</v>
      </c>
      <c r="Q485">
        <v>0.67653808699999995</v>
      </c>
      <c r="R485">
        <v>4.1002887860000001</v>
      </c>
      <c r="S485">
        <v>1.2865892E-2</v>
      </c>
      <c r="T485">
        <v>1.2166041000000001E-2</v>
      </c>
      <c r="U485">
        <v>9.8402527000000004E-2</v>
      </c>
      <c r="V485">
        <v>0.10095710500000001</v>
      </c>
      <c r="W485">
        <v>1.0259604920000001</v>
      </c>
      <c r="X485">
        <v>4.3275127229999999</v>
      </c>
      <c r="Y485">
        <v>1.2211738130000001</v>
      </c>
      <c r="Z485">
        <v>0.31174321500000002</v>
      </c>
      <c r="AA485">
        <v>8.4708360000000007E-3</v>
      </c>
      <c r="AB485">
        <v>-7.1967240000000002E-2</v>
      </c>
      <c r="AC485">
        <v>7.2757760000000003E-3</v>
      </c>
      <c r="AD485">
        <v>0.84310662800000002</v>
      </c>
      <c r="AE485">
        <v>0.201081328</v>
      </c>
      <c r="AF485">
        <v>0.662170484</v>
      </c>
      <c r="AG485">
        <v>0.15284136300000001</v>
      </c>
      <c r="AH485">
        <v>2.6233200000000002E-3</v>
      </c>
      <c r="AI485">
        <v>0.34399434899999998</v>
      </c>
    </row>
    <row r="486" spans="1:35" x14ac:dyDescent="0.2">
      <c r="A486">
        <v>535</v>
      </c>
      <c r="B486" t="s">
        <v>650</v>
      </c>
      <c r="C486" t="s">
        <v>154</v>
      </c>
      <c r="D486" t="s">
        <v>158</v>
      </c>
      <c r="E486" s="11">
        <v>4.15E-7</v>
      </c>
      <c r="F486" s="11">
        <v>1.35E-7</v>
      </c>
      <c r="G486">
        <v>0.32633127299999998</v>
      </c>
      <c r="H486">
        <v>-1.5849891389999999</v>
      </c>
      <c r="I486" s="11">
        <v>5.5000000000000003E-7</v>
      </c>
      <c r="J486">
        <v>0.29191489399999998</v>
      </c>
      <c r="K486">
        <v>0.58777288000000005</v>
      </c>
      <c r="L486">
        <v>2.9270351219999999</v>
      </c>
      <c r="M486">
        <v>0.20700575700000001</v>
      </c>
      <c r="N486">
        <v>4.1032810000000003E-3</v>
      </c>
      <c r="O486">
        <v>1.4103259999999999E-3</v>
      </c>
      <c r="P486">
        <v>2.8147062599999999</v>
      </c>
      <c r="Q486">
        <v>0.85287406899999996</v>
      </c>
      <c r="R486">
        <v>10.74665693</v>
      </c>
      <c r="S486">
        <v>3.0496830000000001E-3</v>
      </c>
      <c r="T486">
        <v>2.7293500000000002E-3</v>
      </c>
      <c r="U486">
        <v>2.3324964E-2</v>
      </c>
      <c r="V486">
        <v>2.2648887999999999E-2</v>
      </c>
      <c r="W486">
        <v>0.97101491799999995</v>
      </c>
      <c r="X486">
        <v>5.49812733</v>
      </c>
      <c r="Y486">
        <v>0.60302626400000003</v>
      </c>
      <c r="Z486">
        <v>0.28746378</v>
      </c>
      <c r="AA486">
        <v>2.828428E-3</v>
      </c>
      <c r="AB486">
        <v>-1</v>
      </c>
      <c r="AC486">
        <v>2.4387670000000001E-3</v>
      </c>
      <c r="AD486">
        <v>0.82796514200000004</v>
      </c>
      <c r="AE486">
        <v>0.100183546</v>
      </c>
      <c r="AF486">
        <v>0.49432488899999999</v>
      </c>
      <c r="AG486">
        <v>0.101547858</v>
      </c>
      <c r="AH486">
        <v>8.7931000000000001E-4</v>
      </c>
      <c r="AI486">
        <v>0.256034019</v>
      </c>
    </row>
    <row r="487" spans="1:35" x14ac:dyDescent="0.2">
      <c r="A487">
        <v>536</v>
      </c>
      <c r="B487" t="s">
        <v>651</v>
      </c>
      <c r="C487" t="s">
        <v>154</v>
      </c>
      <c r="D487" t="s">
        <v>160</v>
      </c>
      <c r="E487" s="11">
        <v>7.5000000000000002E-6</v>
      </c>
      <c r="F487" s="11">
        <v>2.3700000000000002E-6</v>
      </c>
      <c r="G487">
        <v>0.31586693399999999</v>
      </c>
      <c r="H487">
        <v>-0.32082157300000003</v>
      </c>
      <c r="I487" s="11">
        <v>9.8700000000000004E-6</v>
      </c>
      <c r="J487">
        <v>0.246636198</v>
      </c>
      <c r="K487">
        <v>8.4103200000000006E-3</v>
      </c>
      <c r="L487">
        <v>1.4966378300000001</v>
      </c>
      <c r="M487">
        <v>1.1206244000000001E-2</v>
      </c>
      <c r="N487">
        <v>9.7708840000000005E-3</v>
      </c>
      <c r="O487">
        <v>3.0224269999999998E-3</v>
      </c>
      <c r="P487">
        <v>2.6148480000000002E-2</v>
      </c>
      <c r="Q487">
        <v>0.76666152899999995</v>
      </c>
      <c r="R487">
        <v>4.6522661239999996</v>
      </c>
      <c r="S487">
        <v>1.6344048E-2</v>
      </c>
      <c r="T487">
        <v>1.5650198000000001E-2</v>
      </c>
      <c r="U487">
        <v>0.125004588</v>
      </c>
      <c r="V487">
        <v>0.12986958500000001</v>
      </c>
      <c r="W487">
        <v>1.0389185480000001</v>
      </c>
      <c r="X487">
        <v>4.1935012279999997</v>
      </c>
      <c r="Y487">
        <v>1.235134438</v>
      </c>
      <c r="Z487">
        <v>0.30420736100000001</v>
      </c>
      <c r="AA487">
        <v>9.5898149999999998E-3</v>
      </c>
      <c r="AB487">
        <v>-0.21172058999999999</v>
      </c>
      <c r="AC487">
        <v>8.2456300000000003E-3</v>
      </c>
      <c r="AD487">
        <v>0.84755722300000003</v>
      </c>
      <c r="AE487">
        <v>0.20269799499999999</v>
      </c>
      <c r="AF487">
        <v>0.73817992099999996</v>
      </c>
      <c r="AG487">
        <v>0.171055123</v>
      </c>
      <c r="AH487">
        <v>2.9730059999999998E-3</v>
      </c>
      <c r="AI487">
        <v>0.38352169800000002</v>
      </c>
    </row>
    <row r="488" spans="1:35" x14ac:dyDescent="0.2">
      <c r="A488">
        <v>537</v>
      </c>
      <c r="B488" t="s">
        <v>652</v>
      </c>
      <c r="C488" t="s">
        <v>154</v>
      </c>
      <c r="D488" t="s">
        <v>162</v>
      </c>
      <c r="E488" s="11">
        <v>7.6599999999999995E-6</v>
      </c>
      <c r="F488" s="11">
        <v>2.39E-6</v>
      </c>
      <c r="G488">
        <v>0.31181749600000003</v>
      </c>
      <c r="H488">
        <v>-0.459509679</v>
      </c>
      <c r="I488" s="11">
        <v>1.0000000000000001E-5</v>
      </c>
      <c r="J488">
        <v>0.27270046599999997</v>
      </c>
      <c r="K488">
        <v>6.7774080000000004E-3</v>
      </c>
      <c r="L488">
        <v>1.64975761</v>
      </c>
      <c r="M488">
        <v>8.2106269999999999E-3</v>
      </c>
      <c r="N488">
        <v>7.873115E-3</v>
      </c>
      <c r="O488">
        <v>2.4356059999999999E-3</v>
      </c>
      <c r="P488">
        <v>2.122866E-2</v>
      </c>
      <c r="Q488">
        <v>0.85414660099999995</v>
      </c>
      <c r="R488">
        <v>5.1673369320000004</v>
      </c>
      <c r="S488">
        <v>1.3197314999999999E-2</v>
      </c>
      <c r="T488">
        <v>1.2640635000000001E-2</v>
      </c>
      <c r="U488">
        <v>0.10093735500000001</v>
      </c>
      <c r="V488">
        <v>0.10489541600000001</v>
      </c>
      <c r="W488">
        <v>1.0392130449999999</v>
      </c>
      <c r="X488">
        <v>4.6532410960000004</v>
      </c>
      <c r="Y488">
        <v>1.577484608</v>
      </c>
      <c r="Z488">
        <v>0.30946802800000001</v>
      </c>
      <c r="AA488">
        <v>6.2510910000000003E-3</v>
      </c>
      <c r="AB488">
        <v>-4.5815345E-2</v>
      </c>
      <c r="AC488">
        <v>5.3677159999999998E-3</v>
      </c>
      <c r="AD488">
        <v>0.84800324699999996</v>
      </c>
      <c r="AE488">
        <v>0.262853332</v>
      </c>
      <c r="AF488">
        <v>0.91468051100000003</v>
      </c>
      <c r="AG488">
        <v>0.119111733</v>
      </c>
      <c r="AH488">
        <v>1.935359E-3</v>
      </c>
      <c r="AI488">
        <v>0.46956135999999998</v>
      </c>
    </row>
    <row r="489" spans="1:35" x14ac:dyDescent="0.2">
      <c r="A489">
        <v>538</v>
      </c>
      <c r="B489" t="s">
        <v>653</v>
      </c>
      <c r="C489" t="s">
        <v>154</v>
      </c>
      <c r="D489" t="s">
        <v>164</v>
      </c>
      <c r="E489" s="11">
        <v>3.5599999999999998E-6</v>
      </c>
      <c r="F489" s="11">
        <v>1.11E-6</v>
      </c>
      <c r="G489">
        <v>0.31339987499999999</v>
      </c>
      <c r="H489">
        <v>-0.203752869</v>
      </c>
      <c r="I489" s="11">
        <v>4.6700000000000002E-6</v>
      </c>
      <c r="J489">
        <v>0.29194245499999999</v>
      </c>
      <c r="K489">
        <v>1.2032754E-2</v>
      </c>
      <c r="L489">
        <v>1.7757202379999999</v>
      </c>
      <c r="M489">
        <v>1.2561764E-2</v>
      </c>
      <c r="N489">
        <v>1.3886834000000001E-2</v>
      </c>
      <c r="O489">
        <v>4.3242259999999996E-3</v>
      </c>
      <c r="P489">
        <v>7.1439260000000004E-2</v>
      </c>
      <c r="Q489">
        <v>0.93753248</v>
      </c>
      <c r="R489">
        <v>5.7680734019999997</v>
      </c>
      <c r="S489">
        <v>1.316965E-2</v>
      </c>
      <c r="T489">
        <v>1.1720970000000001E-2</v>
      </c>
      <c r="U489">
        <v>0.10072576599999999</v>
      </c>
      <c r="V489">
        <v>9.7263786000000005E-2</v>
      </c>
      <c r="W489">
        <v>0.96562964799999995</v>
      </c>
      <c r="X489">
        <v>3.876440219</v>
      </c>
      <c r="Y489">
        <v>1.9644710299999999</v>
      </c>
      <c r="Z489">
        <v>0.32781002399999998</v>
      </c>
      <c r="AA489">
        <v>1.2903090000000001E-2</v>
      </c>
      <c r="AB489">
        <v>9.6082247999999995E-2</v>
      </c>
      <c r="AC489">
        <v>1.1086611E-2</v>
      </c>
      <c r="AD489">
        <v>0.84197810200000001</v>
      </c>
      <c r="AE489">
        <v>0.32394961500000002</v>
      </c>
      <c r="AF489">
        <v>0.96084320999999995</v>
      </c>
      <c r="AG489">
        <v>0.20967103600000001</v>
      </c>
      <c r="AH489">
        <v>3.9973370000000001E-3</v>
      </c>
      <c r="AI489">
        <v>0.49841497200000001</v>
      </c>
    </row>
    <row r="490" spans="1:35" x14ac:dyDescent="0.2">
      <c r="A490">
        <v>539</v>
      </c>
      <c r="B490" t="s">
        <v>654</v>
      </c>
      <c r="C490" t="s">
        <v>154</v>
      </c>
      <c r="D490" t="s">
        <v>166</v>
      </c>
      <c r="E490" s="11">
        <v>8.9900000000000003E-6</v>
      </c>
      <c r="F490" s="11">
        <v>2.8100000000000002E-6</v>
      </c>
      <c r="G490">
        <v>0.31271532800000001</v>
      </c>
      <c r="H490">
        <v>-0.101445805</v>
      </c>
      <c r="I490" s="11">
        <v>1.1800000000000001E-5</v>
      </c>
      <c r="J490">
        <v>0.26494006199999998</v>
      </c>
      <c r="K490">
        <v>9.5168779999999994E-3</v>
      </c>
      <c r="L490">
        <v>1.6086741309999999</v>
      </c>
      <c r="M490">
        <v>1.1814866E-2</v>
      </c>
      <c r="N490">
        <v>1.1065337999999999E-2</v>
      </c>
      <c r="O490">
        <v>3.420092E-3</v>
      </c>
      <c r="P490">
        <v>2.946344E-2</v>
      </c>
      <c r="Q490">
        <v>0.82021789499999997</v>
      </c>
      <c r="R490">
        <v>4.980234254</v>
      </c>
      <c r="S490">
        <v>1.8597708000000001E-2</v>
      </c>
      <c r="T490">
        <v>1.784026E-2</v>
      </c>
      <c r="U490">
        <v>0.14224131500000001</v>
      </c>
      <c r="V490">
        <v>0.14804331700000001</v>
      </c>
      <c r="W490">
        <v>1.040789851</v>
      </c>
      <c r="X490">
        <v>4.0399435080000003</v>
      </c>
      <c r="Y490">
        <v>1.6086739560000001</v>
      </c>
      <c r="Z490">
        <v>0.31282039</v>
      </c>
      <c r="AA490">
        <v>1.1084062E-2</v>
      </c>
      <c r="AB490" s="11">
        <v>-1.09E-7</v>
      </c>
      <c r="AC490">
        <v>9.5168839999999998E-3</v>
      </c>
      <c r="AD490">
        <v>0.863059782</v>
      </c>
      <c r="AE490">
        <v>0.26494003100000002</v>
      </c>
      <c r="AF490">
        <v>0.820495592</v>
      </c>
      <c r="AG490">
        <v>0.18792077400000001</v>
      </c>
      <c r="AH490">
        <v>3.4313640000000001E-3</v>
      </c>
      <c r="AI490">
        <v>0.42615414299999999</v>
      </c>
    </row>
    <row r="491" spans="1:35" x14ac:dyDescent="0.2">
      <c r="A491">
        <v>540</v>
      </c>
      <c r="B491" t="s">
        <v>655</v>
      </c>
      <c r="C491" t="s">
        <v>154</v>
      </c>
      <c r="D491" t="s">
        <v>168</v>
      </c>
      <c r="E491" s="11">
        <v>4.8999999999999997E-6</v>
      </c>
      <c r="F491" s="11">
        <v>1.5200000000000001E-6</v>
      </c>
      <c r="G491">
        <v>0.31090193199999999</v>
      </c>
      <c r="H491">
        <v>-0.844623919</v>
      </c>
      <c r="I491" s="11">
        <v>6.4200000000000004E-6</v>
      </c>
      <c r="J491">
        <v>0.29192016999999998</v>
      </c>
      <c r="K491">
        <v>8.0955149999999993E-3</v>
      </c>
      <c r="L491">
        <v>1.767712049</v>
      </c>
      <c r="M491">
        <v>8.6693540000000006E-3</v>
      </c>
      <c r="N491">
        <v>9.3697490000000001E-3</v>
      </c>
      <c r="O491">
        <v>2.9091989999999999E-3</v>
      </c>
      <c r="P491">
        <v>4.941715E-2</v>
      </c>
      <c r="Q491">
        <v>0.94018396199999998</v>
      </c>
      <c r="R491">
        <v>5.7399380740000003</v>
      </c>
      <c r="S491">
        <v>8.9146199999999998E-3</v>
      </c>
      <c r="T491">
        <v>7.9126060000000008E-3</v>
      </c>
      <c r="U491">
        <v>6.8181914999999996E-2</v>
      </c>
      <c r="V491">
        <v>6.5660953999999994E-2</v>
      </c>
      <c r="W491">
        <v>0.96302595800000002</v>
      </c>
      <c r="X491">
        <v>5.1763315009999999</v>
      </c>
      <c r="Y491">
        <v>0.95159256199999998</v>
      </c>
      <c r="Z491">
        <v>0.27938549499999998</v>
      </c>
      <c r="AA491">
        <v>3.8236680000000001E-3</v>
      </c>
      <c r="AB491">
        <v>-0.85763542100000001</v>
      </c>
      <c r="AC491">
        <v>3.2935579999999998E-3</v>
      </c>
      <c r="AD491">
        <v>0.83269409400000005</v>
      </c>
      <c r="AE491">
        <v>0.158519354</v>
      </c>
      <c r="AF491">
        <v>0.623179068</v>
      </c>
      <c r="AG491">
        <v>0.117038687</v>
      </c>
      <c r="AH491">
        <v>1.1875099999999999E-3</v>
      </c>
      <c r="AI491">
        <v>0.32210414700000001</v>
      </c>
    </row>
    <row r="492" spans="1:35" x14ac:dyDescent="0.2">
      <c r="A492">
        <v>541</v>
      </c>
      <c r="B492" t="s">
        <v>656</v>
      </c>
      <c r="C492" t="s">
        <v>156</v>
      </c>
      <c r="D492" t="s">
        <v>130</v>
      </c>
      <c r="E492" s="11">
        <v>1.3699999999999999E-5</v>
      </c>
      <c r="F492" s="11">
        <v>4.4000000000000002E-6</v>
      </c>
      <c r="G492">
        <v>0.32068455499999998</v>
      </c>
      <c r="H492">
        <v>0.38809955200000001</v>
      </c>
      <c r="I492" s="11">
        <v>1.8099999999999999E-5</v>
      </c>
      <c r="J492">
        <v>0.36530580499999998</v>
      </c>
      <c r="K492">
        <v>1.5328227E-2</v>
      </c>
      <c r="L492">
        <v>2.2224912859999999</v>
      </c>
      <c r="M492">
        <v>1.3800677000000001E-2</v>
      </c>
      <c r="N492">
        <v>1.7856916E-2</v>
      </c>
      <c r="O492">
        <v>5.5085239999999999E-3</v>
      </c>
      <c r="P492">
        <v>4.6309700000000002E-2</v>
      </c>
      <c r="Q492">
        <v>1.1036632310000001</v>
      </c>
      <c r="R492">
        <v>6.714598778</v>
      </c>
      <c r="S492">
        <v>3.0165854999999998E-2</v>
      </c>
      <c r="T492">
        <v>2.9120200999999998E-2</v>
      </c>
      <c r="U492">
        <v>0.23071826300000001</v>
      </c>
      <c r="V492">
        <v>0.241647321</v>
      </c>
      <c r="W492">
        <v>1.0473697129999999</v>
      </c>
      <c r="X492">
        <v>3.3123454780000001</v>
      </c>
      <c r="Y492">
        <v>3.5437674440000002</v>
      </c>
      <c r="Z492">
        <v>0.33141764200000001</v>
      </c>
      <c r="AA492">
        <v>3.2193419000000001E-2</v>
      </c>
      <c r="AB492">
        <v>0.37284505200000001</v>
      </c>
      <c r="AC492">
        <v>2.7564853E-2</v>
      </c>
      <c r="AD492">
        <v>0.88412004200000005</v>
      </c>
      <c r="AE492">
        <v>0.58139026599999999</v>
      </c>
      <c r="AF492">
        <v>1.7073944169999999</v>
      </c>
      <c r="AG492">
        <v>0.51641621599999998</v>
      </c>
      <c r="AH492">
        <v>9.9386560000000006E-3</v>
      </c>
      <c r="AI492">
        <v>0.89024044400000002</v>
      </c>
    </row>
    <row r="493" spans="1:35" x14ac:dyDescent="0.2">
      <c r="A493">
        <v>542</v>
      </c>
      <c r="B493" t="s">
        <v>657</v>
      </c>
      <c r="C493" t="s">
        <v>156</v>
      </c>
      <c r="D493" t="s">
        <v>132</v>
      </c>
      <c r="E493" s="11">
        <v>9.0699999999999996E-6</v>
      </c>
      <c r="F493" s="11">
        <v>2.9900000000000002E-6</v>
      </c>
      <c r="G493">
        <v>0.33000030899999999</v>
      </c>
      <c r="H493">
        <v>-9.4650412000000003E-2</v>
      </c>
      <c r="I493" s="11">
        <v>1.2099999999999999E-5</v>
      </c>
      <c r="J493">
        <v>0.472816713</v>
      </c>
      <c r="K493">
        <v>2.2102977999999999E-2</v>
      </c>
      <c r="L493">
        <v>2.8811062330000001</v>
      </c>
      <c r="M493">
        <v>3.9813278000000001E-2</v>
      </c>
      <c r="N493">
        <v>2.5707776000000002E-2</v>
      </c>
      <c r="O493">
        <v>7.9431750000000002E-3</v>
      </c>
      <c r="P493">
        <v>6.7493090000000006E-2</v>
      </c>
      <c r="Q493">
        <v>1.4423774309999999</v>
      </c>
      <c r="R493">
        <v>8.7892507660000003</v>
      </c>
      <c r="S493">
        <v>2.5202250999999998E-2</v>
      </c>
      <c r="T493">
        <v>2.3315926000000001E-2</v>
      </c>
      <c r="U493">
        <v>0.19275500300000001</v>
      </c>
      <c r="V493">
        <v>0.193481874</v>
      </c>
      <c r="W493">
        <v>1.003770958</v>
      </c>
      <c r="X493">
        <v>3.9299179020000001</v>
      </c>
      <c r="Y493">
        <v>1.7395915</v>
      </c>
      <c r="Z493">
        <v>0.315524674</v>
      </c>
      <c r="AA493">
        <v>1.4292439000000001E-2</v>
      </c>
      <c r="AB493">
        <v>-0.65619700599999997</v>
      </c>
      <c r="AC493">
        <v>1.2258636999999999E-2</v>
      </c>
      <c r="AD493">
        <v>0.88107457600000005</v>
      </c>
      <c r="AE493">
        <v>0.28581839999999997</v>
      </c>
      <c r="AF493">
        <v>0.91504969199999997</v>
      </c>
      <c r="AG493">
        <v>0.250310162</v>
      </c>
      <c r="AH493">
        <v>4.4199180000000001E-3</v>
      </c>
      <c r="AI493">
        <v>0.47640509800000003</v>
      </c>
    </row>
    <row r="494" spans="1:35" x14ac:dyDescent="0.2">
      <c r="A494">
        <v>543</v>
      </c>
      <c r="B494" t="s">
        <v>658</v>
      </c>
      <c r="C494" t="s">
        <v>156</v>
      </c>
      <c r="D494" t="s">
        <v>140</v>
      </c>
      <c r="E494" s="11">
        <v>9.3999999999999998E-6</v>
      </c>
      <c r="F494" s="11">
        <v>2.9399999999999998E-6</v>
      </c>
      <c r="G494">
        <v>0.31285744399999998</v>
      </c>
      <c r="H494">
        <v>0.12234047200000001</v>
      </c>
      <c r="I494" s="11">
        <v>1.2300000000000001E-5</v>
      </c>
      <c r="J494">
        <v>0.24264048399999999</v>
      </c>
      <c r="K494">
        <v>8.1859020000000001E-3</v>
      </c>
      <c r="L494">
        <v>1.4722147059999999</v>
      </c>
      <c r="M494">
        <v>1.1131544E-2</v>
      </c>
      <c r="N494">
        <v>9.5186639999999996E-3</v>
      </c>
      <c r="O494">
        <v>2.9417779999999999E-3</v>
      </c>
      <c r="P494">
        <v>2.5500399999999999E-2</v>
      </c>
      <c r="Q494">
        <v>0.75577612199999999</v>
      </c>
      <c r="R494">
        <v>4.5856575319999999</v>
      </c>
      <c r="S494">
        <v>1.6887503000000002E-2</v>
      </c>
      <c r="T494">
        <v>1.5489486E-2</v>
      </c>
      <c r="U494">
        <v>0.129161109</v>
      </c>
      <c r="V494">
        <v>0.12853595100000001</v>
      </c>
      <c r="W494">
        <v>0.99515985900000004</v>
      </c>
      <c r="X494">
        <v>4.0738706919999998</v>
      </c>
      <c r="Y494">
        <v>1.5178974759999999</v>
      </c>
      <c r="Z494">
        <v>0.31676475500000001</v>
      </c>
      <c r="AA494">
        <v>1.1836444E-2</v>
      </c>
      <c r="AB494">
        <v>3.0096083999999999E-2</v>
      </c>
      <c r="AC494">
        <v>1.0148762E-2</v>
      </c>
      <c r="AD494">
        <v>0.86313275599999995</v>
      </c>
      <c r="AE494">
        <v>0.24957484399999999</v>
      </c>
      <c r="AF494">
        <v>0.80941197899999995</v>
      </c>
      <c r="AG494">
        <v>0.209951943</v>
      </c>
      <c r="AH494">
        <v>3.659191E-3</v>
      </c>
      <c r="AI494">
        <v>0.42110140000000001</v>
      </c>
    </row>
    <row r="495" spans="1:35" x14ac:dyDescent="0.2">
      <c r="A495">
        <v>544</v>
      </c>
      <c r="B495" t="s">
        <v>659</v>
      </c>
      <c r="C495" t="s">
        <v>156</v>
      </c>
      <c r="D495" t="s">
        <v>142</v>
      </c>
      <c r="E495" s="11">
        <v>1.1E-5</v>
      </c>
      <c r="F495" s="11">
        <v>3.4199999999999999E-6</v>
      </c>
      <c r="G495">
        <v>0.31020469099999998</v>
      </c>
      <c r="H495">
        <v>0.96262539599999997</v>
      </c>
      <c r="I495" s="11">
        <v>1.4399999999999999E-5</v>
      </c>
      <c r="J495">
        <v>0.24312435299999999</v>
      </c>
      <c r="K495">
        <v>1.5661102999999999E-2</v>
      </c>
      <c r="L495">
        <v>1.4900683240000001</v>
      </c>
      <c r="M495">
        <v>2.1005322E-2</v>
      </c>
      <c r="N495">
        <v>1.8230856E-2</v>
      </c>
      <c r="O495">
        <v>5.6281500000000002E-3</v>
      </c>
      <c r="P495">
        <v>4.720771E-2</v>
      </c>
      <c r="Q495">
        <v>0.73269673700000004</v>
      </c>
      <c r="R495">
        <v>4.4905958420000003</v>
      </c>
      <c r="S495">
        <v>3.6961116000000002E-2</v>
      </c>
      <c r="T495">
        <v>3.3471230999999997E-2</v>
      </c>
      <c r="U495">
        <v>0.282690624</v>
      </c>
      <c r="V495">
        <v>0.27775335299999998</v>
      </c>
      <c r="W495">
        <v>0.98253471999999997</v>
      </c>
      <c r="X495">
        <v>2.1701933809999998</v>
      </c>
      <c r="Y495">
        <v>44.670095979999999</v>
      </c>
      <c r="Z495">
        <v>1.2675483169999999</v>
      </c>
      <c r="AA495">
        <v>0.14844580600000001</v>
      </c>
      <c r="AB495">
        <v>0.96664282199999996</v>
      </c>
      <c r="AC495">
        <v>5.9932056879999998</v>
      </c>
      <c r="AD495">
        <v>1.075695705</v>
      </c>
      <c r="AE495">
        <v>5.460304023</v>
      </c>
      <c r="AF495">
        <v>3.9117055230000002</v>
      </c>
      <c r="AG495">
        <v>26.870377059999999</v>
      </c>
      <c r="AH495">
        <v>4.4479946999999999E-2</v>
      </c>
      <c r="AI495">
        <v>2.7236311280000001</v>
      </c>
    </row>
    <row r="496" spans="1:35" x14ac:dyDescent="0.2">
      <c r="A496">
        <v>545</v>
      </c>
      <c r="B496" t="s">
        <v>660</v>
      </c>
      <c r="C496" t="s">
        <v>156</v>
      </c>
      <c r="D496" t="s">
        <v>146</v>
      </c>
      <c r="E496" s="11">
        <v>1.3699999999999999E-5</v>
      </c>
      <c r="F496" s="11">
        <v>4.4100000000000001E-6</v>
      </c>
      <c r="G496">
        <v>0.32135188399999998</v>
      </c>
      <c r="H496">
        <v>0.39017551499999997</v>
      </c>
      <c r="I496" s="11">
        <v>1.8099999999999999E-5</v>
      </c>
      <c r="J496">
        <v>0.36627741400000002</v>
      </c>
      <c r="K496">
        <v>1.5376058999999999E-2</v>
      </c>
      <c r="L496">
        <v>2.2284166010000002</v>
      </c>
      <c r="M496">
        <v>1.3781488999999999E-2</v>
      </c>
      <c r="N496">
        <v>1.7912573000000001E-2</v>
      </c>
      <c r="O496">
        <v>5.5257140000000001E-3</v>
      </c>
      <c r="P496">
        <v>4.6444230000000003E-2</v>
      </c>
      <c r="Q496">
        <v>1.1063610669999999</v>
      </c>
      <c r="R496">
        <v>6.7310548680000002</v>
      </c>
      <c r="S496">
        <v>3.0283834999999999E-2</v>
      </c>
      <c r="T496">
        <v>2.9246807E-2</v>
      </c>
      <c r="U496">
        <v>0.231620612</v>
      </c>
      <c r="V496">
        <v>0.242697939</v>
      </c>
      <c r="W496">
        <v>1.047825308</v>
      </c>
      <c r="X496">
        <v>3.3076335760000002</v>
      </c>
      <c r="Y496">
        <v>3.56491091</v>
      </c>
      <c r="Z496">
        <v>0.32593883099999998</v>
      </c>
      <c r="AA496">
        <v>3.2392309000000001E-2</v>
      </c>
      <c r="AB496">
        <v>0.37490258300000001</v>
      </c>
      <c r="AC496">
        <v>2.7735800000000001E-2</v>
      </c>
      <c r="AD496">
        <v>0.88349031899999997</v>
      </c>
      <c r="AE496">
        <v>0.58485691500000003</v>
      </c>
      <c r="AF496">
        <v>1.7158828829999999</v>
      </c>
      <c r="AG496">
        <v>0.51915199199999995</v>
      </c>
      <c r="AH496">
        <v>1.0000291999999999E-2</v>
      </c>
      <c r="AI496">
        <v>0.89467083999999997</v>
      </c>
    </row>
    <row r="497" spans="1:35" x14ac:dyDescent="0.2">
      <c r="A497">
        <v>546</v>
      </c>
      <c r="B497" t="s">
        <v>661</v>
      </c>
      <c r="C497" t="s">
        <v>156</v>
      </c>
      <c r="D497" t="s">
        <v>150</v>
      </c>
      <c r="E497" s="11">
        <v>1.3699999999999999E-5</v>
      </c>
      <c r="F497" s="11">
        <v>4.4100000000000001E-6</v>
      </c>
      <c r="G497">
        <v>0.32228887899999997</v>
      </c>
      <c r="H497">
        <v>0.38735979599999998</v>
      </c>
      <c r="I497" s="11">
        <v>1.8099999999999999E-5</v>
      </c>
      <c r="J497">
        <v>0.36510222599999997</v>
      </c>
      <c r="K497">
        <v>1.5286182000000001E-2</v>
      </c>
      <c r="L497">
        <v>2.2211857190000002</v>
      </c>
      <c r="M497">
        <v>1.3762730000000001E-2</v>
      </c>
      <c r="N497">
        <v>1.7805287999999999E-2</v>
      </c>
      <c r="O497">
        <v>5.493309E-3</v>
      </c>
      <c r="P497">
        <v>4.6185759999999999E-2</v>
      </c>
      <c r="Q497">
        <v>1.1031688420000001</v>
      </c>
      <c r="R497">
        <v>6.711384572</v>
      </c>
      <c r="S497">
        <v>3.0111209999999999E-2</v>
      </c>
      <c r="T497">
        <v>2.9096576999999998E-2</v>
      </c>
      <c r="U497">
        <v>0.230300317</v>
      </c>
      <c r="V497">
        <v>0.24145128399999999</v>
      </c>
      <c r="W497">
        <v>1.0484192429999999</v>
      </c>
      <c r="X497">
        <v>3.3129233839999999</v>
      </c>
      <c r="Y497">
        <v>3.5440223990000002</v>
      </c>
      <c r="Z497">
        <v>0.32552577900000002</v>
      </c>
      <c r="AA497">
        <v>3.2168305000000001E-2</v>
      </c>
      <c r="AB497">
        <v>0.37325855499999999</v>
      </c>
      <c r="AC497">
        <v>2.7543959999999999E-2</v>
      </c>
      <c r="AD497">
        <v>0.88341331700000003</v>
      </c>
      <c r="AE497">
        <v>0.58143966300000005</v>
      </c>
      <c r="AF497">
        <v>1.707696796</v>
      </c>
      <c r="AG497">
        <v>0.51611886900000004</v>
      </c>
      <c r="AH497">
        <v>9.931123E-3</v>
      </c>
      <c r="AI497">
        <v>0.89038775299999995</v>
      </c>
    </row>
    <row r="498" spans="1:35" x14ac:dyDescent="0.2">
      <c r="A498">
        <v>547</v>
      </c>
      <c r="B498" t="s">
        <v>662</v>
      </c>
      <c r="C498" t="s">
        <v>156</v>
      </c>
      <c r="D498" t="s">
        <v>158</v>
      </c>
      <c r="E498" s="11">
        <v>6.8800000000000002E-6</v>
      </c>
      <c r="F498" s="11">
        <v>2.1600000000000001E-6</v>
      </c>
      <c r="G498">
        <v>0.31434642800000001</v>
      </c>
      <c r="H498">
        <v>0.10641518799999999</v>
      </c>
      <c r="I498" s="11">
        <v>9.0399999999999998E-6</v>
      </c>
      <c r="J498">
        <v>0.29191489399999998</v>
      </c>
      <c r="K498">
        <v>1.227114E-2</v>
      </c>
      <c r="L498">
        <v>1.7760316410000001</v>
      </c>
      <c r="M498">
        <v>1.2801979999999999E-2</v>
      </c>
      <c r="N498">
        <v>1.4240444999999999E-2</v>
      </c>
      <c r="O498">
        <v>4.4098949999999996E-3</v>
      </c>
      <c r="P498">
        <v>7.3175480000000001E-2</v>
      </c>
      <c r="Q498">
        <v>0.94262632899999999</v>
      </c>
      <c r="R498">
        <v>5.8021089379999999</v>
      </c>
      <c r="S498">
        <v>1.2817782E-2</v>
      </c>
      <c r="T498">
        <v>1.1383107999999999E-2</v>
      </c>
      <c r="U498">
        <v>9.8034565000000004E-2</v>
      </c>
      <c r="V498">
        <v>9.4460120999999994E-2</v>
      </c>
      <c r="W498">
        <v>0.96353894200000001</v>
      </c>
      <c r="X498">
        <v>3.9127346919999999</v>
      </c>
      <c r="Y498">
        <v>1.3544869340000001</v>
      </c>
      <c r="Z498">
        <v>0.31772816500000001</v>
      </c>
      <c r="AA498">
        <v>1.4583453E-2</v>
      </c>
      <c r="AB498">
        <v>-0.311220948</v>
      </c>
      <c r="AC498">
        <v>1.2538159E-2</v>
      </c>
      <c r="AD498">
        <v>0.86377744499999998</v>
      </c>
      <c r="AE498">
        <v>0.22155441100000001</v>
      </c>
      <c r="AF498">
        <v>0.92242966699999995</v>
      </c>
      <c r="AG498">
        <v>0.44069983899999998</v>
      </c>
      <c r="AH498">
        <v>4.5207010000000002E-3</v>
      </c>
      <c r="AI498">
        <v>0.48526371000000001</v>
      </c>
    </row>
    <row r="499" spans="1:35" x14ac:dyDescent="0.2">
      <c r="A499">
        <v>548</v>
      </c>
      <c r="B499" t="s">
        <v>663</v>
      </c>
      <c r="C499" t="s">
        <v>156</v>
      </c>
      <c r="D499" t="s">
        <v>162</v>
      </c>
      <c r="E499" s="11">
        <v>1.3900000000000001E-5</v>
      </c>
      <c r="F499" s="11">
        <v>4.3599999999999998E-6</v>
      </c>
      <c r="G499">
        <v>0.31391265299999999</v>
      </c>
      <c r="H499">
        <v>0.38828637500000002</v>
      </c>
      <c r="I499" s="11">
        <v>1.8199999999999999E-5</v>
      </c>
      <c r="J499">
        <v>0.365419944</v>
      </c>
      <c r="K499">
        <v>1.5352190999999999E-2</v>
      </c>
      <c r="L499">
        <v>2.2232240490000001</v>
      </c>
      <c r="M499">
        <v>1.3822269999999999E-2</v>
      </c>
      <c r="N499">
        <v>1.7883250999999999E-2</v>
      </c>
      <c r="O499">
        <v>5.5171359999999997E-3</v>
      </c>
      <c r="P499">
        <v>4.6373299999999999E-2</v>
      </c>
      <c r="Q499">
        <v>1.1038449450000001</v>
      </c>
      <c r="R499">
        <v>6.7158162739999998</v>
      </c>
      <c r="S499">
        <v>3.022244E-2</v>
      </c>
      <c r="T499">
        <v>2.9173429000000001E-2</v>
      </c>
      <c r="U499">
        <v>0.231151042</v>
      </c>
      <c r="V499">
        <v>0.24208902700000001</v>
      </c>
      <c r="W499">
        <v>1.0473196440000001</v>
      </c>
      <c r="X499">
        <v>3.3114725740000002</v>
      </c>
      <c r="Y499">
        <v>3.5432657230000002</v>
      </c>
      <c r="Z499">
        <v>0.342049035</v>
      </c>
      <c r="AA499">
        <v>3.2230798999999997E-2</v>
      </c>
      <c r="AB499">
        <v>0.37254944400000001</v>
      </c>
      <c r="AC499">
        <v>2.7596441999999999E-2</v>
      </c>
      <c r="AD499">
        <v>0.88468226599999999</v>
      </c>
      <c r="AE499">
        <v>0.58129620800000004</v>
      </c>
      <c r="AF499">
        <v>1.706829777</v>
      </c>
      <c r="AG499">
        <v>0.51692396699999998</v>
      </c>
      <c r="AH499">
        <v>9.9500460000000006E-3</v>
      </c>
      <c r="AI499">
        <v>0.88996410999999997</v>
      </c>
    </row>
    <row r="500" spans="1:35" x14ac:dyDescent="0.2">
      <c r="A500">
        <v>549</v>
      </c>
      <c r="B500" t="s">
        <v>664</v>
      </c>
      <c r="C500" t="s">
        <v>156</v>
      </c>
      <c r="D500" t="s">
        <v>168</v>
      </c>
      <c r="E500" s="11">
        <v>5.13E-6</v>
      </c>
      <c r="F500" s="11">
        <v>1.5999999999999999E-6</v>
      </c>
      <c r="G500">
        <v>0.31125492900000001</v>
      </c>
      <c r="H500">
        <v>-0.154449104</v>
      </c>
      <c r="I500" s="11">
        <v>6.72E-6</v>
      </c>
      <c r="J500">
        <v>0.29193213299999998</v>
      </c>
      <c r="K500">
        <v>1.2295614E-2</v>
      </c>
      <c r="L500">
        <v>1.7761840259999999</v>
      </c>
      <c r="M500">
        <v>1.2821239999999999E-2</v>
      </c>
      <c r="N500">
        <v>1.4231872E-2</v>
      </c>
      <c r="O500">
        <v>4.4186900000000003E-3</v>
      </c>
      <c r="P500">
        <v>7.3109720000000003E-2</v>
      </c>
      <c r="Q500">
        <v>0.94051054199999995</v>
      </c>
      <c r="R500">
        <v>5.7892826839999998</v>
      </c>
      <c r="S500">
        <v>1.2162973000000001E-2</v>
      </c>
      <c r="T500">
        <v>1.1205074000000001E-2</v>
      </c>
      <c r="U500">
        <v>9.3026370999999997E-2</v>
      </c>
      <c r="V500">
        <v>9.2982743000000007E-2</v>
      </c>
      <c r="W500">
        <v>0.99953101499999997</v>
      </c>
      <c r="X500">
        <v>3.6837291360000002</v>
      </c>
      <c r="Y500">
        <v>2.1374188310000002</v>
      </c>
      <c r="Z500">
        <v>0.30879939200000001</v>
      </c>
      <c r="AA500">
        <v>1.9714934999999999E-2</v>
      </c>
      <c r="AB500">
        <v>0.16900515699999999</v>
      </c>
      <c r="AC500">
        <v>1.6932802E-2</v>
      </c>
      <c r="AD500">
        <v>0.86871094100000001</v>
      </c>
      <c r="AE500">
        <v>0.350563177</v>
      </c>
      <c r="AF500">
        <v>1.16287663</v>
      </c>
      <c r="AG500">
        <v>0.50792731099999999</v>
      </c>
      <c r="AH500">
        <v>6.105213E-3</v>
      </c>
      <c r="AI500">
        <v>0.61048705199999997</v>
      </c>
    </row>
    <row r="501" spans="1:35" x14ac:dyDescent="0.2">
      <c r="A501">
        <v>550</v>
      </c>
      <c r="B501" t="s">
        <v>665</v>
      </c>
      <c r="C501" t="s">
        <v>214</v>
      </c>
      <c r="D501" t="s">
        <v>129</v>
      </c>
      <c r="E501" s="11">
        <v>6.5899999999999996E-6</v>
      </c>
      <c r="F501" s="11">
        <v>2.0499999999999999E-6</v>
      </c>
      <c r="G501">
        <v>0.311401174</v>
      </c>
      <c r="H501">
        <v>-0.75276160700000005</v>
      </c>
      <c r="I501" s="11">
        <v>8.6400000000000003E-6</v>
      </c>
      <c r="J501">
        <v>0.62363636300000003</v>
      </c>
      <c r="K501">
        <v>1.2472727269999999</v>
      </c>
      <c r="L501">
        <v>6.236363635</v>
      </c>
      <c r="M501">
        <v>0.39976243299999997</v>
      </c>
      <c r="N501">
        <v>2.9367614E-2</v>
      </c>
      <c r="O501">
        <v>9.0922539999999993E-3</v>
      </c>
      <c r="P501">
        <v>1.05224757</v>
      </c>
      <c r="Q501">
        <v>2.014251453</v>
      </c>
      <c r="R501">
        <v>14.19000385</v>
      </c>
      <c r="S501">
        <v>2.5781102E-2</v>
      </c>
      <c r="T501">
        <v>2.3472743000000001E-2</v>
      </c>
      <c r="U501">
        <v>0.197182248</v>
      </c>
      <c r="V501">
        <v>0.19478318999999999</v>
      </c>
      <c r="W501">
        <v>0.98783329600000003</v>
      </c>
      <c r="X501">
        <v>3.9660388329999998</v>
      </c>
      <c r="Y501">
        <v>2.3409966670000002</v>
      </c>
      <c r="Z501">
        <v>0.29223618200000001</v>
      </c>
      <c r="AA501">
        <v>1.3969097E-2</v>
      </c>
      <c r="AB501">
        <v>-1</v>
      </c>
      <c r="AC501">
        <v>0.34370718900000002</v>
      </c>
      <c r="AD501">
        <v>0.86358693900000005</v>
      </c>
      <c r="AE501">
        <v>0.23581978000000001</v>
      </c>
      <c r="AF501">
        <v>1.339647131</v>
      </c>
      <c r="AG501">
        <v>6.5314058490000004</v>
      </c>
      <c r="AH501">
        <v>4.3382680000000002E-3</v>
      </c>
      <c r="AI501">
        <v>0.882335274</v>
      </c>
    </row>
    <row r="502" spans="1:35" x14ac:dyDescent="0.2">
      <c r="A502">
        <v>551</v>
      </c>
      <c r="B502" t="s">
        <v>666</v>
      </c>
      <c r="C502" t="s">
        <v>214</v>
      </c>
      <c r="D502" t="s">
        <v>130</v>
      </c>
      <c r="E502" s="11">
        <v>6.2999999999999998E-6</v>
      </c>
      <c r="F502" s="11">
        <v>1.95E-6</v>
      </c>
      <c r="G502">
        <v>0.309805777</v>
      </c>
      <c r="H502">
        <v>-0.18886820600000001</v>
      </c>
      <c r="I502" s="11">
        <v>8.2500000000000006E-6</v>
      </c>
      <c r="J502">
        <v>0.20907225199999999</v>
      </c>
      <c r="K502">
        <v>4.1389360000000002E-3</v>
      </c>
      <c r="L502">
        <v>1.2627113839999999</v>
      </c>
      <c r="M502">
        <v>6.5670670000000002E-3</v>
      </c>
      <c r="N502">
        <v>4.8007400000000004E-3</v>
      </c>
      <c r="O502">
        <v>1.487415E-3</v>
      </c>
      <c r="P502">
        <v>1.3103200000000001E-2</v>
      </c>
      <c r="Q502">
        <v>0.66173667599999997</v>
      </c>
      <c r="R502">
        <v>3.9966264520000001</v>
      </c>
      <c r="S502">
        <v>9.0069650000000005E-3</v>
      </c>
      <c r="T502">
        <v>8.1499580000000005E-3</v>
      </c>
      <c r="U502">
        <v>6.8888198999999997E-2</v>
      </c>
      <c r="V502">
        <v>6.7630557999999993E-2</v>
      </c>
      <c r="W502">
        <v>0.98174373800000003</v>
      </c>
      <c r="X502">
        <v>4.1487986890000004</v>
      </c>
      <c r="Y502">
        <v>1.7523673099999999</v>
      </c>
      <c r="Z502">
        <v>0.30187920200000001</v>
      </c>
      <c r="AA502">
        <v>1.1563725E-2</v>
      </c>
      <c r="AB502">
        <v>0.27942539399999999</v>
      </c>
      <c r="AC502">
        <v>9.9356949999999996E-3</v>
      </c>
      <c r="AD502">
        <v>0.87019170400000001</v>
      </c>
      <c r="AE502">
        <v>0.28966258900000003</v>
      </c>
      <c r="AF502">
        <v>1.340914205</v>
      </c>
      <c r="AG502">
        <v>0.35719235999999999</v>
      </c>
      <c r="AH502">
        <v>3.5823690000000002E-3</v>
      </c>
      <c r="AI502">
        <v>0.69689706100000004</v>
      </c>
    </row>
    <row r="503" spans="1:35" x14ac:dyDescent="0.2">
      <c r="A503">
        <v>552</v>
      </c>
      <c r="B503" t="s">
        <v>667</v>
      </c>
      <c r="C503" t="s">
        <v>214</v>
      </c>
      <c r="D503" t="s">
        <v>132</v>
      </c>
      <c r="E503" s="11">
        <v>6.0900000000000001E-6</v>
      </c>
      <c r="F503" s="11">
        <v>1.9099999999999999E-6</v>
      </c>
      <c r="G503">
        <v>0.31281070900000002</v>
      </c>
      <c r="H503">
        <v>-0.64356666799999995</v>
      </c>
      <c r="I503" s="11">
        <v>7.9999999999999996E-6</v>
      </c>
      <c r="J503">
        <v>0.417713952</v>
      </c>
      <c r="K503">
        <v>1.2977643000000001E-2</v>
      </c>
      <c r="L503">
        <v>2.532238998</v>
      </c>
      <c r="M503">
        <v>5.9549609999999999E-3</v>
      </c>
      <c r="N503">
        <v>1.5045461E-2</v>
      </c>
      <c r="O503">
        <v>4.6638410000000002E-3</v>
      </c>
      <c r="P503">
        <v>5.8990000000000001E-2</v>
      </c>
      <c r="Q503">
        <v>1.307541514</v>
      </c>
      <c r="R503">
        <v>7.9632290799999996</v>
      </c>
      <c r="S503">
        <v>1.3394240999999999E-2</v>
      </c>
      <c r="T503">
        <v>1.2090544999999999E-2</v>
      </c>
      <c r="U503">
        <v>0.102443505</v>
      </c>
      <c r="V503">
        <v>0.10033062</v>
      </c>
      <c r="W503">
        <v>0.97937512000000004</v>
      </c>
      <c r="X503">
        <v>4.9223241809999996</v>
      </c>
      <c r="Y503">
        <v>0.86021538500000005</v>
      </c>
      <c r="Z503">
        <v>0.28740273599999999</v>
      </c>
      <c r="AA503">
        <v>5.133777E-3</v>
      </c>
      <c r="AB503">
        <v>-1</v>
      </c>
      <c r="AC503">
        <v>4.4186010000000003E-3</v>
      </c>
      <c r="AD503">
        <v>0.86719421600000002</v>
      </c>
      <c r="AE503">
        <v>0.142401589</v>
      </c>
      <c r="AF503">
        <v>0.71864070700000005</v>
      </c>
      <c r="AG503">
        <v>0.17313336600000001</v>
      </c>
      <c r="AH503">
        <v>1.59315E-3</v>
      </c>
      <c r="AI503">
        <v>0.37293892299999998</v>
      </c>
    </row>
    <row r="504" spans="1:35" x14ac:dyDescent="0.2">
      <c r="A504">
        <v>553</v>
      </c>
      <c r="B504" t="s">
        <v>668</v>
      </c>
      <c r="C504" t="s">
        <v>214</v>
      </c>
      <c r="D504" t="s">
        <v>134</v>
      </c>
      <c r="E504" s="11">
        <v>7.0299999999999996E-6</v>
      </c>
      <c r="F504" s="11">
        <v>2.2400000000000002E-6</v>
      </c>
      <c r="G504">
        <v>0.31795689900000002</v>
      </c>
      <c r="H504">
        <v>8.4588819999999992E-3</v>
      </c>
      <c r="I504" s="11">
        <v>9.2699999999999993E-6</v>
      </c>
      <c r="J504">
        <v>0.194110319</v>
      </c>
      <c r="K504">
        <v>4.8866789999999997E-3</v>
      </c>
      <c r="L504">
        <v>1.1744352709999999</v>
      </c>
      <c r="M504">
        <v>8.3497369999999994E-3</v>
      </c>
      <c r="N504">
        <v>5.6738489999999999E-3</v>
      </c>
      <c r="O504">
        <v>1.7561320000000001E-3</v>
      </c>
      <c r="P504">
        <v>1.501657E-2</v>
      </c>
      <c r="Q504">
        <v>0.59629458999999996</v>
      </c>
      <c r="R504">
        <v>3.6078006839999999</v>
      </c>
      <c r="S504">
        <v>1.0565197E-2</v>
      </c>
      <c r="T504">
        <v>9.1888720000000007E-3</v>
      </c>
      <c r="U504">
        <v>8.0806062999999997E-2</v>
      </c>
      <c r="V504">
        <v>7.6251749999999993E-2</v>
      </c>
      <c r="W504">
        <v>0.94363896899999999</v>
      </c>
      <c r="X504">
        <v>3.8630504010000002</v>
      </c>
      <c r="Y504">
        <v>1.6828092100000001</v>
      </c>
      <c r="Z504">
        <v>0.39266816599999999</v>
      </c>
      <c r="AA504">
        <v>1.5604643E-2</v>
      </c>
      <c r="AB504">
        <v>0.302098382</v>
      </c>
      <c r="AC504">
        <v>1.3402898999999999E-2</v>
      </c>
      <c r="AD504">
        <v>0.89263883700000002</v>
      </c>
      <c r="AE504">
        <v>0.27639847499999998</v>
      </c>
      <c r="AF504">
        <v>0.970829787</v>
      </c>
      <c r="AG504">
        <v>0.36563753100000002</v>
      </c>
      <c r="AH504">
        <v>4.8324880000000002E-3</v>
      </c>
      <c r="AI504">
        <v>0.50778333499999995</v>
      </c>
    </row>
    <row r="505" spans="1:35" x14ac:dyDescent="0.2">
      <c r="A505">
        <v>554</v>
      </c>
      <c r="B505" t="s">
        <v>669</v>
      </c>
      <c r="C505" t="s">
        <v>214</v>
      </c>
      <c r="D505" t="s">
        <v>136</v>
      </c>
      <c r="E505" s="11">
        <v>7.08E-6</v>
      </c>
      <c r="F505" s="11">
        <v>2.26E-6</v>
      </c>
      <c r="G505">
        <v>0.31934377200000003</v>
      </c>
      <c r="H505">
        <v>-0.19502198600000001</v>
      </c>
      <c r="I505" s="11">
        <v>9.3400000000000004E-6</v>
      </c>
      <c r="J505">
        <v>0.29191489399999998</v>
      </c>
      <c r="K505">
        <v>1.2281983999999999E-2</v>
      </c>
      <c r="L505">
        <v>1.776053329</v>
      </c>
      <c r="M505">
        <v>1.2812384E-2</v>
      </c>
      <c r="N505">
        <v>1.4256016E-2</v>
      </c>
      <c r="O505">
        <v>4.4135800000000003E-3</v>
      </c>
      <c r="P505">
        <v>7.3253929999999995E-2</v>
      </c>
      <c r="Q505">
        <v>0.94286767999999999</v>
      </c>
      <c r="R505">
        <v>5.8037139440000001</v>
      </c>
      <c r="S505">
        <v>1.2594306E-2</v>
      </c>
      <c r="T505">
        <v>1.1107142E-2</v>
      </c>
      <c r="U505">
        <v>9.6325342999999994E-2</v>
      </c>
      <c r="V505">
        <v>9.2170074000000005E-2</v>
      </c>
      <c r="W505">
        <v>0.95686214199999997</v>
      </c>
      <c r="X505">
        <v>4.0121966860000002</v>
      </c>
      <c r="Y505">
        <v>1.1625558650000001</v>
      </c>
      <c r="Z505">
        <v>0.31115298600000002</v>
      </c>
      <c r="AA505">
        <v>1.3340684E-2</v>
      </c>
      <c r="AB505">
        <v>-0.52771439399999998</v>
      </c>
      <c r="AC505">
        <v>1.1464233000000001E-2</v>
      </c>
      <c r="AD505">
        <v>0.87019251799999997</v>
      </c>
      <c r="AE505">
        <v>0.18993922099999999</v>
      </c>
      <c r="AF505">
        <v>0.85848460299999996</v>
      </c>
      <c r="AG505">
        <v>0.40236181700000001</v>
      </c>
      <c r="AH505">
        <v>4.1334910000000004E-3</v>
      </c>
      <c r="AI505">
        <v>0.45140434400000001</v>
      </c>
    </row>
    <row r="506" spans="1:35" x14ac:dyDescent="0.2">
      <c r="A506">
        <v>555</v>
      </c>
      <c r="B506" t="s">
        <v>670</v>
      </c>
      <c r="C506" t="s">
        <v>214</v>
      </c>
      <c r="D506" t="s">
        <v>138</v>
      </c>
      <c r="E506" s="11">
        <v>7.3300000000000001E-6</v>
      </c>
      <c r="F506" s="11">
        <v>2.34E-6</v>
      </c>
      <c r="G506">
        <v>0.31897484199999998</v>
      </c>
      <c r="H506">
        <v>1.0384419760000001</v>
      </c>
      <c r="I506" s="11">
        <v>9.6700000000000006E-6</v>
      </c>
      <c r="J506">
        <v>0.30482826299999999</v>
      </c>
      <c r="K506">
        <v>8.1338190000000005E-3</v>
      </c>
      <c r="L506">
        <v>1.8452372130000001</v>
      </c>
      <c r="M506">
        <v>8.8235750000000002E-3</v>
      </c>
      <c r="N506">
        <v>9.4521150000000005E-3</v>
      </c>
      <c r="O506">
        <v>2.9230609999999998E-3</v>
      </c>
      <c r="P506">
        <v>2.532146E-2</v>
      </c>
      <c r="Q506">
        <v>0.94896329800000001</v>
      </c>
      <c r="R506">
        <v>5.7444227000000003</v>
      </c>
      <c r="S506">
        <v>1.4232201E-2</v>
      </c>
      <c r="T506">
        <v>1.3848571E-2</v>
      </c>
      <c r="U506">
        <v>0.10885249499999999</v>
      </c>
      <c r="V506">
        <v>0.114919196</v>
      </c>
      <c r="W506">
        <v>1.0557332290000001</v>
      </c>
      <c r="X506">
        <v>2.8946655699999999</v>
      </c>
      <c r="Y506">
        <v>10.77017794</v>
      </c>
      <c r="Z506">
        <v>0.36341794199999999</v>
      </c>
      <c r="AA506">
        <v>4.1125839999999997E-2</v>
      </c>
      <c r="AB506">
        <v>0.82867161300000003</v>
      </c>
      <c r="AC506">
        <v>3.6962640999999997E-2</v>
      </c>
      <c r="AD506">
        <v>0.89737624199999999</v>
      </c>
      <c r="AE506">
        <v>1.791312265</v>
      </c>
      <c r="AF506">
        <v>4.2924025300000004</v>
      </c>
      <c r="AG506">
        <v>0.85503882799999997</v>
      </c>
      <c r="AH506">
        <v>1.332708E-2</v>
      </c>
      <c r="AI506">
        <v>2.222146977</v>
      </c>
    </row>
    <row r="507" spans="1:35" x14ac:dyDescent="0.2">
      <c r="A507">
        <v>556</v>
      </c>
      <c r="B507" t="s">
        <v>671</v>
      </c>
      <c r="C507" t="s">
        <v>214</v>
      </c>
      <c r="D507" t="s">
        <v>182</v>
      </c>
      <c r="E507" s="11">
        <v>5.7899999999999996E-6</v>
      </c>
      <c r="F507" s="11">
        <v>1.8300000000000001E-6</v>
      </c>
      <c r="G507">
        <v>0.31605901800000002</v>
      </c>
      <c r="H507">
        <v>0.93371709700000005</v>
      </c>
      <c r="I507" s="11">
        <v>7.6199999999999999E-6</v>
      </c>
      <c r="J507">
        <v>0.32274262300000001</v>
      </c>
      <c r="K507">
        <v>9.1125230000000008E-3</v>
      </c>
      <c r="L507">
        <v>1.954680787</v>
      </c>
      <c r="M507">
        <v>1.9258232E-2</v>
      </c>
      <c r="N507">
        <v>1.0564099E-2</v>
      </c>
      <c r="O507">
        <v>3.2747789999999998E-3</v>
      </c>
      <c r="P507">
        <v>2.8228099999999999E-2</v>
      </c>
      <c r="Q507">
        <v>1.025886952</v>
      </c>
      <c r="R507">
        <v>6.2117779200000003</v>
      </c>
      <c r="S507">
        <v>1.1567881E-2</v>
      </c>
      <c r="T507">
        <v>1.0417108E-2</v>
      </c>
      <c r="U507">
        <v>8.8474913000000002E-2</v>
      </c>
      <c r="V507">
        <v>8.6443988999999999E-2</v>
      </c>
      <c r="W507">
        <v>0.97704519899999998</v>
      </c>
      <c r="X507">
        <v>2.7179470700000001</v>
      </c>
      <c r="Y507">
        <v>23.551777730000001</v>
      </c>
      <c r="Z507">
        <v>0.52680992100000001</v>
      </c>
      <c r="AA507">
        <v>5.1433116000000001E-2</v>
      </c>
      <c r="AB507">
        <v>0.91700495800000004</v>
      </c>
      <c r="AC507">
        <v>2.7556690289999999</v>
      </c>
      <c r="AD507">
        <v>0.95202666000000002</v>
      </c>
      <c r="AE507">
        <v>2.6936833189999998</v>
      </c>
      <c r="AF507">
        <v>6.0038276770000003</v>
      </c>
      <c r="AG507">
        <v>34.805482640000001</v>
      </c>
      <c r="AH507">
        <v>1.6037350999999998E-2</v>
      </c>
      <c r="AI507">
        <v>4.121108113</v>
      </c>
    </row>
    <row r="508" spans="1:35" x14ac:dyDescent="0.2">
      <c r="A508">
        <v>557</v>
      </c>
      <c r="B508" t="s">
        <v>672</v>
      </c>
      <c r="C508" t="s">
        <v>214</v>
      </c>
      <c r="D508" t="s">
        <v>188</v>
      </c>
      <c r="E508" s="11">
        <v>6.1800000000000001E-6</v>
      </c>
      <c r="F508" s="11">
        <v>1.95E-6</v>
      </c>
      <c r="G508">
        <v>0.31588754899999999</v>
      </c>
      <c r="H508">
        <v>1.038245694</v>
      </c>
      <c r="I508" s="11">
        <v>8.1300000000000001E-6</v>
      </c>
      <c r="J508">
        <v>0.29798543100000002</v>
      </c>
      <c r="K508">
        <v>8.1066560000000003E-3</v>
      </c>
      <c r="L508">
        <v>1.8041259009999999</v>
      </c>
      <c r="M508">
        <v>2.7363690000000002E-3</v>
      </c>
      <c r="N508">
        <v>9.4051680000000002E-3</v>
      </c>
      <c r="O508">
        <v>2.9132989999999998E-3</v>
      </c>
      <c r="P508">
        <v>2.5209860000000001E-2</v>
      </c>
      <c r="Q508">
        <v>0.95033470600000003</v>
      </c>
      <c r="R508">
        <v>5.7524279539999998</v>
      </c>
      <c r="S508">
        <v>1.1607086000000001E-2</v>
      </c>
      <c r="T508">
        <v>1.0497100000000001E-2</v>
      </c>
      <c r="U508">
        <v>8.8774761999999993E-2</v>
      </c>
      <c r="V508">
        <v>8.7107784999999993E-2</v>
      </c>
      <c r="W508">
        <v>0.98122240000000005</v>
      </c>
      <c r="X508">
        <v>2.7183816689999998</v>
      </c>
      <c r="Y508">
        <v>29.21502903</v>
      </c>
      <c r="Z508">
        <v>0.43382506799999998</v>
      </c>
      <c r="AA508">
        <v>4.8546326000000001E-2</v>
      </c>
      <c r="AB508">
        <v>0.93824664999999996</v>
      </c>
      <c r="AC508">
        <v>2.7556691469999999</v>
      </c>
      <c r="AD508">
        <v>0.932531255</v>
      </c>
      <c r="AE508">
        <v>3.6444938690000002</v>
      </c>
      <c r="AF508">
        <v>5.6853653160000004</v>
      </c>
      <c r="AG508">
        <v>35.880545339999998</v>
      </c>
      <c r="AH508">
        <v>1.6030051999999999E-2</v>
      </c>
      <c r="AI508">
        <v>3.990555965</v>
      </c>
    </row>
    <row r="509" spans="1:35" x14ac:dyDescent="0.2">
      <c r="A509">
        <v>558</v>
      </c>
      <c r="B509" t="s">
        <v>673</v>
      </c>
      <c r="C509" t="s">
        <v>214</v>
      </c>
      <c r="D509" t="s">
        <v>140</v>
      </c>
      <c r="E509" s="11">
        <v>6.2600000000000002E-6</v>
      </c>
      <c r="F509" s="11">
        <v>1.9400000000000001E-6</v>
      </c>
      <c r="G509">
        <v>0.30911584800000003</v>
      </c>
      <c r="H509">
        <v>-0.63930730099999999</v>
      </c>
      <c r="I509" s="11">
        <v>8.1999999999999994E-6</v>
      </c>
      <c r="J509">
        <v>0.29191489399999998</v>
      </c>
      <c r="K509">
        <v>9.9776440000000008E-3</v>
      </c>
      <c r="L509">
        <v>1.771444649</v>
      </c>
      <c r="M509">
        <v>8.6089849999999996E-3</v>
      </c>
      <c r="N509">
        <v>1.1566173000000001E-2</v>
      </c>
      <c r="O509">
        <v>3.5856780000000001E-3</v>
      </c>
      <c r="P509">
        <v>5.506109E-2</v>
      </c>
      <c r="Q509">
        <v>1.078467313</v>
      </c>
      <c r="R509">
        <v>6.580926056</v>
      </c>
      <c r="S509">
        <v>9.9046129999999996E-3</v>
      </c>
      <c r="T509">
        <v>8.7516490000000002E-3</v>
      </c>
      <c r="U509">
        <v>7.5753697999999994E-2</v>
      </c>
      <c r="V509">
        <v>7.2623559000000004E-2</v>
      </c>
      <c r="W509">
        <v>0.95868005000000001</v>
      </c>
      <c r="X509">
        <v>5.1026287860000004</v>
      </c>
      <c r="Y509">
        <v>0.75058929799999996</v>
      </c>
      <c r="Z509">
        <v>0.288532291</v>
      </c>
      <c r="AA509">
        <v>4.2515950000000004E-3</v>
      </c>
      <c r="AB509">
        <v>-1</v>
      </c>
      <c r="AC509">
        <v>3.658101E-3</v>
      </c>
      <c r="AD509">
        <v>0.84953504999999996</v>
      </c>
      <c r="AE509">
        <v>0.124344179</v>
      </c>
      <c r="AF509">
        <v>0.63567738600000001</v>
      </c>
      <c r="AG509">
        <v>0.14521858100000001</v>
      </c>
      <c r="AH509">
        <v>1.3189479999999999E-3</v>
      </c>
      <c r="AI509">
        <v>0.32964614199999998</v>
      </c>
    </row>
    <row r="510" spans="1:35" x14ac:dyDescent="0.2">
      <c r="A510">
        <v>559</v>
      </c>
      <c r="B510" t="s">
        <v>674</v>
      </c>
      <c r="C510" t="s">
        <v>214</v>
      </c>
      <c r="D510" t="s">
        <v>191</v>
      </c>
      <c r="E510" s="11">
        <v>6.2400000000000004E-6</v>
      </c>
      <c r="F510" s="11">
        <v>1.95E-6</v>
      </c>
      <c r="G510">
        <v>0.31333724600000001</v>
      </c>
      <c r="H510">
        <v>-0.631041823</v>
      </c>
      <c r="I510" s="11">
        <v>8.1899999999999995E-6</v>
      </c>
      <c r="J510">
        <v>0.29191489399999998</v>
      </c>
      <c r="K510">
        <v>9.3544920000000007E-3</v>
      </c>
      <c r="L510">
        <v>1.7701983459999999</v>
      </c>
      <c r="M510">
        <v>8.6186519999999992E-3</v>
      </c>
      <c r="N510">
        <v>1.0842625999999999E-2</v>
      </c>
      <c r="O510">
        <v>3.3617349999999998E-3</v>
      </c>
      <c r="P510">
        <v>5.3194270000000002E-2</v>
      </c>
      <c r="Q510">
        <v>1.0339691950000001</v>
      </c>
      <c r="R510">
        <v>6.3102037080000004</v>
      </c>
      <c r="S510">
        <v>9.5933689999999992E-3</v>
      </c>
      <c r="T510">
        <v>8.4831939999999995E-3</v>
      </c>
      <c r="U510">
        <v>7.3373206999999996E-2</v>
      </c>
      <c r="V510">
        <v>7.0395843999999999E-2</v>
      </c>
      <c r="W510">
        <v>0.95942165899999998</v>
      </c>
      <c r="X510">
        <v>5.2608331059999998</v>
      </c>
      <c r="Y510">
        <v>0.67124414300000002</v>
      </c>
      <c r="Z510">
        <v>0.287219324</v>
      </c>
      <c r="AA510">
        <v>3.601679E-3</v>
      </c>
      <c r="AB510">
        <v>-1</v>
      </c>
      <c r="AC510">
        <v>3.0994239999999999E-3</v>
      </c>
      <c r="AD510">
        <v>0.84473463599999998</v>
      </c>
      <c r="AE510">
        <v>0.11127836000000001</v>
      </c>
      <c r="AF510">
        <v>0.57405164500000005</v>
      </c>
      <c r="AG510">
        <v>0.124158489</v>
      </c>
      <c r="AH510">
        <v>1.117514E-3</v>
      </c>
      <c r="AI510">
        <v>0.29747816900000001</v>
      </c>
    </row>
    <row r="511" spans="1:35" x14ac:dyDescent="0.2">
      <c r="A511">
        <v>560</v>
      </c>
      <c r="B511" t="s">
        <v>675</v>
      </c>
      <c r="C511" t="s">
        <v>214</v>
      </c>
      <c r="D511" t="s">
        <v>193</v>
      </c>
      <c r="E511" s="11">
        <v>6.02E-6</v>
      </c>
      <c r="F511" s="11">
        <v>1.88E-6</v>
      </c>
      <c r="G511">
        <v>0.31136684199999998</v>
      </c>
      <c r="H511">
        <v>-0.63863009699999995</v>
      </c>
      <c r="I511" s="11">
        <v>7.9000000000000006E-6</v>
      </c>
      <c r="J511">
        <v>0.29191489399999998</v>
      </c>
      <c r="K511">
        <v>8.0824439999999994E-3</v>
      </c>
      <c r="L511">
        <v>1.7676542500000001</v>
      </c>
      <c r="M511">
        <v>8.6578330000000002E-3</v>
      </c>
      <c r="N511">
        <v>9.3700469999999994E-3</v>
      </c>
      <c r="O511">
        <v>2.904598E-3</v>
      </c>
      <c r="P511">
        <v>4.9425499999999997E-2</v>
      </c>
      <c r="Q511">
        <v>0.94167316499999998</v>
      </c>
      <c r="R511">
        <v>5.7488899839999998</v>
      </c>
      <c r="S511">
        <v>8.6337570000000006E-3</v>
      </c>
      <c r="T511">
        <v>7.570589E-3</v>
      </c>
      <c r="U511">
        <v>6.6033776000000002E-2</v>
      </c>
      <c r="V511">
        <v>6.2822800999999998E-2</v>
      </c>
      <c r="W511">
        <v>0.95137374799999996</v>
      </c>
      <c r="X511">
        <v>5.6500228239999997</v>
      </c>
      <c r="Y511">
        <v>0.52617766099999996</v>
      </c>
      <c r="Z511">
        <v>0.282946015</v>
      </c>
      <c r="AA511">
        <v>2.3937229999999999E-3</v>
      </c>
      <c r="AB511">
        <v>-1</v>
      </c>
      <c r="AC511">
        <v>2.0616749999999998E-3</v>
      </c>
      <c r="AD511">
        <v>0.86327704000000005</v>
      </c>
      <c r="AE511">
        <v>8.7397631000000003E-2</v>
      </c>
      <c r="AF511">
        <v>0.45821874899999998</v>
      </c>
      <c r="AG511">
        <v>8.3950775000000005E-2</v>
      </c>
      <c r="AH511">
        <v>7.4334800000000001E-4</v>
      </c>
      <c r="AI511">
        <v>0.23699587599999999</v>
      </c>
    </row>
    <row r="512" spans="1:35" x14ac:dyDescent="0.2">
      <c r="A512">
        <v>561</v>
      </c>
      <c r="B512" t="s">
        <v>676</v>
      </c>
      <c r="C512" t="s">
        <v>214</v>
      </c>
      <c r="D512" t="s">
        <v>142</v>
      </c>
      <c r="E512" s="11">
        <v>7.1999999999999997E-6</v>
      </c>
      <c r="F512" s="11">
        <v>2.2400000000000002E-6</v>
      </c>
      <c r="G512">
        <v>0.31174210299999999</v>
      </c>
      <c r="H512">
        <v>0.89185860299999997</v>
      </c>
      <c r="I512" s="11">
        <v>9.4399999999999994E-6</v>
      </c>
      <c r="J512">
        <v>0.260338391</v>
      </c>
      <c r="K512">
        <v>9.2731819999999996E-3</v>
      </c>
      <c r="L512">
        <v>1.5805767129999999</v>
      </c>
      <c r="M512">
        <v>1.1545188E-2</v>
      </c>
      <c r="N512">
        <v>1.0758243000000001E-2</v>
      </c>
      <c r="O512">
        <v>3.3325149999999999E-3</v>
      </c>
      <c r="P512">
        <v>2.8713639999999999E-2</v>
      </c>
      <c r="Q512">
        <v>0.80747080900000001</v>
      </c>
      <c r="R512">
        <v>4.9022521240000003</v>
      </c>
      <c r="S512">
        <v>1.5389432999999999E-2</v>
      </c>
      <c r="T512">
        <v>1.5266684000000001E-2</v>
      </c>
      <c r="U512">
        <v>0.11770338800000001</v>
      </c>
      <c r="V512">
        <v>0.126687088</v>
      </c>
      <c r="W512">
        <v>1.076324906</v>
      </c>
      <c r="X512">
        <v>2.718223541</v>
      </c>
      <c r="Y512">
        <v>22.08903862</v>
      </c>
      <c r="Z512">
        <v>1.1545748520000001</v>
      </c>
      <c r="AA512">
        <v>5.3321037000000002E-2</v>
      </c>
      <c r="AB512">
        <v>0.92844520100000005</v>
      </c>
      <c r="AC512">
        <v>2.160238815</v>
      </c>
      <c r="AD512">
        <v>1.0587493029999999</v>
      </c>
      <c r="AE512">
        <v>2.7204545609999999</v>
      </c>
      <c r="AF512">
        <v>3.072085425</v>
      </c>
      <c r="AG512">
        <v>18.585577109999999</v>
      </c>
      <c r="AH512">
        <v>1.6032707E-2</v>
      </c>
      <c r="AI512">
        <v>2.1321099710000002</v>
      </c>
    </row>
    <row r="513" spans="1:35" x14ac:dyDescent="0.2">
      <c r="A513">
        <v>562</v>
      </c>
      <c r="B513" t="s">
        <v>677</v>
      </c>
      <c r="C513" t="s">
        <v>214</v>
      </c>
      <c r="D513" t="s">
        <v>144</v>
      </c>
      <c r="E513" s="11">
        <v>8.5299999999999996E-6</v>
      </c>
      <c r="F513" s="11">
        <v>2.7E-6</v>
      </c>
      <c r="G513">
        <v>0.31669134500000001</v>
      </c>
      <c r="H513">
        <v>-0.22339700800000001</v>
      </c>
      <c r="I513" s="11">
        <v>1.1199999999999999E-5</v>
      </c>
      <c r="J513">
        <v>0.29191489399999998</v>
      </c>
      <c r="K513">
        <v>1.5971393E-2</v>
      </c>
      <c r="L513">
        <v>1.7834321479999999</v>
      </c>
      <c r="M513">
        <v>1.2646028E-2</v>
      </c>
      <c r="N513">
        <v>1.8532626E-2</v>
      </c>
      <c r="O513">
        <v>5.7396590000000003E-3</v>
      </c>
      <c r="P513">
        <v>8.3680690000000002E-2</v>
      </c>
      <c r="Q513">
        <v>1.1205640880000001</v>
      </c>
      <c r="R513">
        <v>6.8907459040000001</v>
      </c>
      <c r="S513">
        <v>1.5575247E-2</v>
      </c>
      <c r="T513">
        <v>1.4154145E-2</v>
      </c>
      <c r="U513">
        <v>0.11912455299999999</v>
      </c>
      <c r="V513">
        <v>0.117454933</v>
      </c>
      <c r="W513">
        <v>0.98598425000000001</v>
      </c>
      <c r="X513">
        <v>3.6885437169999999</v>
      </c>
      <c r="Y513">
        <v>1.6232668690000001</v>
      </c>
      <c r="Z513">
        <v>0.30142702799999999</v>
      </c>
      <c r="AA513">
        <v>1.8731068999999999E-2</v>
      </c>
      <c r="AB513">
        <v>-9.8668483000000001E-2</v>
      </c>
      <c r="AC513">
        <v>1.6091263000000001E-2</v>
      </c>
      <c r="AD513">
        <v>0.88597404000000002</v>
      </c>
      <c r="AE513">
        <v>0.26517216500000002</v>
      </c>
      <c r="AF513">
        <v>1.1176351879999999</v>
      </c>
      <c r="AG513">
        <v>0.52675048000000002</v>
      </c>
      <c r="AH513">
        <v>5.8017920000000001E-3</v>
      </c>
      <c r="AI513">
        <v>0.58775792999999998</v>
      </c>
    </row>
    <row r="514" spans="1:35" x14ac:dyDescent="0.2">
      <c r="A514">
        <v>563</v>
      </c>
      <c r="B514" t="s">
        <v>678</v>
      </c>
      <c r="C514" t="s">
        <v>214</v>
      </c>
      <c r="D514" t="s">
        <v>146</v>
      </c>
      <c r="E514" s="11">
        <v>6.2999999999999998E-6</v>
      </c>
      <c r="F514" s="11">
        <v>1.9599999999999999E-6</v>
      </c>
      <c r="G514">
        <v>0.31080460500000001</v>
      </c>
      <c r="H514">
        <v>-0.18250913699999999</v>
      </c>
      <c r="I514" s="11">
        <v>8.2600000000000005E-6</v>
      </c>
      <c r="J514">
        <v>0.209197683</v>
      </c>
      <c r="K514">
        <v>4.1426600000000003E-3</v>
      </c>
      <c r="L514">
        <v>1.2634714199999999</v>
      </c>
      <c r="M514">
        <v>6.5729680000000002E-3</v>
      </c>
      <c r="N514">
        <v>4.8050150000000002E-3</v>
      </c>
      <c r="O514">
        <v>1.488753E-3</v>
      </c>
      <c r="P514">
        <v>1.311464E-2</v>
      </c>
      <c r="Q514">
        <v>0.66211624800000002</v>
      </c>
      <c r="R514">
        <v>3.9989267659999999</v>
      </c>
      <c r="S514">
        <v>9.0116250000000005E-3</v>
      </c>
      <c r="T514">
        <v>8.1179670000000002E-3</v>
      </c>
      <c r="U514">
        <v>6.8923837000000002E-2</v>
      </c>
      <c r="V514">
        <v>6.7365088000000004E-2</v>
      </c>
      <c r="W514">
        <v>0.977384472</v>
      </c>
      <c r="X514">
        <v>4.1428969100000002</v>
      </c>
      <c r="Y514">
        <v>1.7628226</v>
      </c>
      <c r="Z514">
        <v>0.296888704</v>
      </c>
      <c r="AA514">
        <v>1.1635164999999999E-2</v>
      </c>
      <c r="AB514">
        <v>0.28326797100000001</v>
      </c>
      <c r="AC514">
        <v>9.9973130000000007E-3</v>
      </c>
      <c r="AD514">
        <v>0.86957190100000004</v>
      </c>
      <c r="AE514">
        <v>0.29138975700000003</v>
      </c>
      <c r="AF514">
        <v>1.347580682</v>
      </c>
      <c r="AG514">
        <v>0.35908462899999999</v>
      </c>
      <c r="AH514">
        <v>3.604585E-3</v>
      </c>
      <c r="AI514">
        <v>0.70036525800000005</v>
      </c>
    </row>
    <row r="515" spans="1:35" x14ac:dyDescent="0.2">
      <c r="A515">
        <v>564</v>
      </c>
      <c r="B515" t="s">
        <v>679</v>
      </c>
      <c r="C515" t="s">
        <v>214</v>
      </c>
      <c r="D515" t="s">
        <v>200</v>
      </c>
      <c r="E515" s="11">
        <v>8.8299999999999995E-7</v>
      </c>
      <c r="F515" s="11">
        <v>2.79E-7</v>
      </c>
      <c r="G515">
        <v>0.316367764</v>
      </c>
      <c r="H515">
        <v>0.10832449099999999</v>
      </c>
      <c r="I515" s="11">
        <v>1.1599999999999999E-6</v>
      </c>
      <c r="J515">
        <v>0.29191489399999998</v>
      </c>
      <c r="K515">
        <v>1.628207E-3</v>
      </c>
      <c r="L515">
        <v>1.754745776</v>
      </c>
      <c r="M515">
        <v>1.839203E-3</v>
      </c>
      <c r="N515">
        <v>1.806413E-3</v>
      </c>
      <c r="O515">
        <v>5.8513100000000002E-4</v>
      </c>
      <c r="P515">
        <v>9.9389700000000001E-3</v>
      </c>
      <c r="Q515">
        <v>0.90181962500000001</v>
      </c>
      <c r="R515">
        <v>5.4307956979999998</v>
      </c>
      <c r="S515">
        <v>1.4765830000000001E-3</v>
      </c>
      <c r="T515">
        <v>1.4095749999999999E-3</v>
      </c>
      <c r="U515">
        <v>1.1293387E-2</v>
      </c>
      <c r="V515">
        <v>1.1697032E-2</v>
      </c>
      <c r="W515">
        <v>1.035741713</v>
      </c>
      <c r="X515">
        <v>3.84449248</v>
      </c>
      <c r="Y515">
        <v>2.437648271</v>
      </c>
      <c r="Z515">
        <v>0.31029950099999998</v>
      </c>
      <c r="AA515">
        <v>1.5886713E-2</v>
      </c>
      <c r="AB515">
        <v>0.28014808499999999</v>
      </c>
      <c r="AC515">
        <v>1.3666006E-2</v>
      </c>
      <c r="AD515">
        <v>0.85092164199999998</v>
      </c>
      <c r="AE515">
        <v>0.40300903700000001</v>
      </c>
      <c r="AF515">
        <v>1.759366134</v>
      </c>
      <c r="AG515">
        <v>0.46327759800000001</v>
      </c>
      <c r="AH515">
        <v>4.9273520000000003E-3</v>
      </c>
      <c r="AI515">
        <v>0.91421179600000002</v>
      </c>
    </row>
    <row r="516" spans="1:35" x14ac:dyDescent="0.2">
      <c r="A516">
        <v>565</v>
      </c>
      <c r="B516" t="s">
        <v>680</v>
      </c>
      <c r="C516" t="s">
        <v>214</v>
      </c>
      <c r="D516" t="s">
        <v>148</v>
      </c>
      <c r="E516" s="11">
        <v>6.4699999999999999E-6</v>
      </c>
      <c r="F516" s="11">
        <v>2.0600000000000002E-6</v>
      </c>
      <c r="G516">
        <v>0.31921126999999999</v>
      </c>
      <c r="H516">
        <v>-0.63002372299999998</v>
      </c>
      <c r="I516" s="11">
        <v>8.5299999999999996E-6</v>
      </c>
      <c r="J516">
        <v>0.29191489399999998</v>
      </c>
      <c r="K516">
        <v>1.2277596E-2</v>
      </c>
      <c r="L516">
        <v>1.7760445540000001</v>
      </c>
      <c r="M516">
        <v>1.2807588E-2</v>
      </c>
      <c r="N516">
        <v>1.4243420999999999E-2</v>
      </c>
      <c r="O516">
        <v>4.4120699999999997E-3</v>
      </c>
      <c r="P516">
        <v>7.3188719999999999E-2</v>
      </c>
      <c r="Q516">
        <v>0.94235304499999994</v>
      </c>
      <c r="R516">
        <v>5.8004957079999997</v>
      </c>
      <c r="S516">
        <v>1.218924E-2</v>
      </c>
      <c r="T516">
        <v>1.07289E-2</v>
      </c>
      <c r="U516">
        <v>9.3227269000000001E-2</v>
      </c>
      <c r="V516">
        <v>8.9031317999999998E-2</v>
      </c>
      <c r="W516">
        <v>0.95499223499999997</v>
      </c>
      <c r="X516">
        <v>5.0020552260000004</v>
      </c>
      <c r="Y516">
        <v>0.56052430900000005</v>
      </c>
      <c r="Z516">
        <v>0.28456301699999997</v>
      </c>
      <c r="AA516">
        <v>4.7229419999999999E-3</v>
      </c>
      <c r="AB516">
        <v>-1</v>
      </c>
      <c r="AC516">
        <v>3.2644231000000003E-2</v>
      </c>
      <c r="AD516">
        <v>0.860075068</v>
      </c>
      <c r="AE516">
        <v>7.9175538000000004E-2</v>
      </c>
      <c r="AF516">
        <v>0.401783204</v>
      </c>
      <c r="AG516">
        <v>1.286990729</v>
      </c>
      <c r="AH516">
        <v>1.4654920000000001E-3</v>
      </c>
      <c r="AI516">
        <v>0.24437720800000001</v>
      </c>
    </row>
    <row r="517" spans="1:35" x14ac:dyDescent="0.2">
      <c r="A517">
        <v>566</v>
      </c>
      <c r="B517" t="s">
        <v>681</v>
      </c>
      <c r="C517" t="s">
        <v>214</v>
      </c>
      <c r="D517" t="s">
        <v>150</v>
      </c>
      <c r="E517" s="11">
        <v>6.28E-6</v>
      </c>
      <c r="F517" s="11">
        <v>1.9800000000000001E-6</v>
      </c>
      <c r="G517">
        <v>0.31490479999999998</v>
      </c>
      <c r="H517">
        <v>-0.19119792299999999</v>
      </c>
      <c r="I517" s="11">
        <v>8.2600000000000005E-6</v>
      </c>
      <c r="J517">
        <v>0.209139296</v>
      </c>
      <c r="K517">
        <v>4.1355760000000002E-3</v>
      </c>
      <c r="L517">
        <v>1.2631069269999999</v>
      </c>
      <c r="M517">
        <v>6.5617160000000004E-3</v>
      </c>
      <c r="N517">
        <v>4.7976750000000004E-3</v>
      </c>
      <c r="O517">
        <v>1.486207E-3</v>
      </c>
      <c r="P517">
        <v>1.3095209999999999E-2</v>
      </c>
      <c r="Q517">
        <v>0.66200275200000003</v>
      </c>
      <c r="R517">
        <v>3.9982069400000002</v>
      </c>
      <c r="S517">
        <v>8.9949250000000008E-3</v>
      </c>
      <c r="T517">
        <v>8.1116000000000001E-3</v>
      </c>
      <c r="U517">
        <v>6.8796108999999994E-2</v>
      </c>
      <c r="V517">
        <v>6.7312253000000002E-2</v>
      </c>
      <c r="W517">
        <v>0.97843110600000005</v>
      </c>
      <c r="X517">
        <v>4.1495225309999997</v>
      </c>
      <c r="Y517">
        <v>1.752493383</v>
      </c>
      <c r="Z517">
        <v>0.296512467</v>
      </c>
      <c r="AA517">
        <v>1.1554704000000001E-2</v>
      </c>
      <c r="AB517">
        <v>0.279251529</v>
      </c>
      <c r="AC517">
        <v>9.9281639999999997E-3</v>
      </c>
      <c r="AD517">
        <v>0.86949611299999996</v>
      </c>
      <c r="AE517">
        <v>0.28968719999999998</v>
      </c>
      <c r="AF517">
        <v>1.3411516809999999</v>
      </c>
      <c r="AG517">
        <v>0.35698669300000002</v>
      </c>
      <c r="AH517">
        <v>3.5796529999999999E-3</v>
      </c>
      <c r="AI517">
        <v>0.69701237699999996</v>
      </c>
    </row>
    <row r="518" spans="1:35" x14ac:dyDescent="0.2">
      <c r="A518">
        <v>567</v>
      </c>
      <c r="B518" t="s">
        <v>682</v>
      </c>
      <c r="C518" t="s">
        <v>214</v>
      </c>
      <c r="D518" t="s">
        <v>204</v>
      </c>
      <c r="E518" s="11">
        <v>5.31E-6</v>
      </c>
      <c r="F518" s="11">
        <v>1.6500000000000001E-6</v>
      </c>
      <c r="G518">
        <v>0.31028570300000002</v>
      </c>
      <c r="H518">
        <v>-0.74299166100000003</v>
      </c>
      <c r="I518" s="11">
        <v>6.9600000000000003E-6</v>
      </c>
      <c r="J518">
        <v>0.29191489399999998</v>
      </c>
      <c r="K518">
        <v>1.0611568E-2</v>
      </c>
      <c r="L518">
        <v>1.7727124970000001</v>
      </c>
      <c r="M518">
        <v>8.5786230000000005E-3</v>
      </c>
      <c r="N518">
        <v>1.229152E-2</v>
      </c>
      <c r="O518">
        <v>3.8134919999999999E-3</v>
      </c>
      <c r="P518">
        <v>5.6843169999999998E-2</v>
      </c>
      <c r="Q518">
        <v>1.124167352</v>
      </c>
      <c r="R518">
        <v>6.8586904520000003</v>
      </c>
      <c r="S518">
        <v>9.9544790000000005E-3</v>
      </c>
      <c r="T518">
        <v>8.7136499999999999E-3</v>
      </c>
      <c r="U518">
        <v>7.6135094E-2</v>
      </c>
      <c r="V518">
        <v>7.2308234999999998E-2</v>
      </c>
      <c r="W518">
        <v>0.94973593899999997</v>
      </c>
      <c r="X518">
        <v>5.2893317790000003</v>
      </c>
      <c r="Y518">
        <v>0.64875977699999998</v>
      </c>
      <c r="Z518">
        <v>0.28257190700000001</v>
      </c>
      <c r="AA518">
        <v>3.4889589999999998E-3</v>
      </c>
      <c r="AB518">
        <v>-1</v>
      </c>
      <c r="AC518">
        <v>3.0082609999999999E-3</v>
      </c>
      <c r="AD518">
        <v>0.83351076000000002</v>
      </c>
      <c r="AE518">
        <v>0.107545128</v>
      </c>
      <c r="AF518">
        <v>0.56521795900000005</v>
      </c>
      <c r="AG518">
        <v>0.120562289</v>
      </c>
      <c r="AH518">
        <v>1.084645E-3</v>
      </c>
      <c r="AI518">
        <v>0.29284967899999997</v>
      </c>
    </row>
    <row r="519" spans="1:35" x14ac:dyDescent="0.2">
      <c r="A519">
        <v>568</v>
      </c>
      <c r="B519" t="s">
        <v>683</v>
      </c>
      <c r="C519" t="s">
        <v>214</v>
      </c>
      <c r="D519" t="s">
        <v>152</v>
      </c>
      <c r="E519" s="11">
        <v>7.2200000000000003E-6</v>
      </c>
      <c r="F519" s="11">
        <v>2.2400000000000002E-6</v>
      </c>
      <c r="G519">
        <v>0.31059118200000002</v>
      </c>
      <c r="H519">
        <v>0.89225306800000004</v>
      </c>
      <c r="I519" s="11">
        <v>9.4599999999999992E-6</v>
      </c>
      <c r="J519">
        <v>0.25983105299999998</v>
      </c>
      <c r="K519">
        <v>9.2474270000000008E-3</v>
      </c>
      <c r="L519">
        <v>1.577481175</v>
      </c>
      <c r="M519">
        <v>1.1540109E-2</v>
      </c>
      <c r="N519">
        <v>1.0733474999999999E-2</v>
      </c>
      <c r="O519">
        <v>3.3232589999999998E-3</v>
      </c>
      <c r="P519">
        <v>2.8653020000000001E-2</v>
      </c>
      <c r="Q519">
        <v>0.80637828499999997</v>
      </c>
      <c r="R519">
        <v>4.8955757560000004</v>
      </c>
      <c r="S519">
        <v>1.5374857E-2</v>
      </c>
      <c r="T519">
        <v>1.5251373E-2</v>
      </c>
      <c r="U519">
        <v>0.117591901</v>
      </c>
      <c r="V519">
        <v>0.12656002899999999</v>
      </c>
      <c r="W519">
        <v>1.076264844</v>
      </c>
      <c r="X519">
        <v>2.7176030739999999</v>
      </c>
      <c r="Y519">
        <v>22.085074479999999</v>
      </c>
      <c r="Z519">
        <v>1.1544164910000001</v>
      </c>
      <c r="AA519">
        <v>5.3325158999999997E-2</v>
      </c>
      <c r="AB519">
        <v>0.92857252199999996</v>
      </c>
      <c r="AC519">
        <v>2.1638985630000001</v>
      </c>
      <c r="AD519">
        <v>1.058459563</v>
      </c>
      <c r="AE519">
        <v>2.7181150330000001</v>
      </c>
      <c r="AF519">
        <v>3.0726009190000001</v>
      </c>
      <c r="AG519">
        <v>18.380923970000001</v>
      </c>
      <c r="AH519">
        <v>1.6043132000000002E-2</v>
      </c>
      <c r="AI519">
        <v>2.1262056380000001</v>
      </c>
    </row>
    <row r="520" spans="1:35" x14ac:dyDescent="0.2">
      <c r="A520">
        <v>569</v>
      </c>
      <c r="B520" t="s">
        <v>684</v>
      </c>
      <c r="C520" t="s">
        <v>214</v>
      </c>
      <c r="D520" t="s">
        <v>154</v>
      </c>
      <c r="E520" s="11">
        <v>5.2399999999999998E-6</v>
      </c>
      <c r="F520" s="11">
        <v>1.6199999999999999E-6</v>
      </c>
      <c r="G520">
        <v>0.30913811600000002</v>
      </c>
      <c r="H520">
        <v>-0.74284781099999997</v>
      </c>
      <c r="I520" s="11">
        <v>6.8600000000000004E-6</v>
      </c>
      <c r="J520">
        <v>0.29191489399999998</v>
      </c>
      <c r="K520">
        <v>9.9412259999999992E-3</v>
      </c>
      <c r="L520">
        <v>1.7713718140000001</v>
      </c>
      <c r="M520">
        <v>8.5996230000000007E-3</v>
      </c>
      <c r="N520">
        <v>1.1511805999999999E-2</v>
      </c>
      <c r="O520">
        <v>3.572591E-3</v>
      </c>
      <c r="P520">
        <v>5.4857610000000001E-2</v>
      </c>
      <c r="Q520">
        <v>1.0753113139999999</v>
      </c>
      <c r="R520">
        <v>6.5615831079999998</v>
      </c>
      <c r="S520">
        <v>9.6534399999999992E-3</v>
      </c>
      <c r="T520">
        <v>8.4500900000000004E-3</v>
      </c>
      <c r="U520">
        <v>7.383265E-2</v>
      </c>
      <c r="V520">
        <v>7.0121138E-2</v>
      </c>
      <c r="W520">
        <v>0.94973074899999999</v>
      </c>
      <c r="X520">
        <v>5.4203220129999998</v>
      </c>
      <c r="Y520">
        <v>0.60386159699999997</v>
      </c>
      <c r="Z520">
        <v>0.28395830799999999</v>
      </c>
      <c r="AA520">
        <v>3.0426849999999998E-3</v>
      </c>
      <c r="AB520">
        <v>-1</v>
      </c>
      <c r="AC520">
        <v>2.6225390000000001E-3</v>
      </c>
      <c r="AD520">
        <v>0.82982441100000004</v>
      </c>
      <c r="AE520">
        <v>0.100183546</v>
      </c>
      <c r="AF520">
        <v>0.52004024299999996</v>
      </c>
      <c r="AG520">
        <v>0.10571660099999999</v>
      </c>
      <c r="AH520">
        <v>9.4556999999999996E-4</v>
      </c>
      <c r="AI520">
        <v>0.26928528400000001</v>
      </c>
    </row>
    <row r="521" spans="1:35" x14ac:dyDescent="0.2">
      <c r="A521">
        <v>570</v>
      </c>
      <c r="B521" t="s">
        <v>685</v>
      </c>
      <c r="C521" t="s">
        <v>214</v>
      </c>
      <c r="D521" t="s">
        <v>156</v>
      </c>
      <c r="E521" s="11">
        <v>7.0099999999999998E-6</v>
      </c>
      <c r="F521" s="11">
        <v>2.1799999999999999E-6</v>
      </c>
      <c r="G521">
        <v>0.31056826900000001</v>
      </c>
      <c r="H521">
        <v>-1.1778853000000001E-2</v>
      </c>
      <c r="I521" s="11">
        <v>9.1900000000000001E-6</v>
      </c>
      <c r="J521">
        <v>0.29191489399999998</v>
      </c>
      <c r="K521">
        <v>1.2281286000000001E-2</v>
      </c>
      <c r="L521">
        <v>1.7760519340000001</v>
      </c>
      <c r="M521">
        <v>1.2812129E-2</v>
      </c>
      <c r="N521">
        <v>1.4248164000000001E-2</v>
      </c>
      <c r="O521">
        <v>4.413541E-3</v>
      </c>
      <c r="P521">
        <v>7.3210979999999995E-2</v>
      </c>
      <c r="Q521">
        <v>0.942546043</v>
      </c>
      <c r="R521">
        <v>5.8016982219999997</v>
      </c>
      <c r="S521">
        <v>1.2826755E-2</v>
      </c>
      <c r="T521">
        <v>1.1379822E-2</v>
      </c>
      <c r="U521">
        <v>9.8103191000000006E-2</v>
      </c>
      <c r="V521">
        <v>9.4432848999999999E-2</v>
      </c>
      <c r="W521">
        <v>0.96258692499999998</v>
      </c>
      <c r="X521">
        <v>3.8573646460000002</v>
      </c>
      <c r="Y521">
        <v>1.356363218</v>
      </c>
      <c r="Z521">
        <v>0.31385363399999999</v>
      </c>
      <c r="AA521">
        <v>1.5688165E-2</v>
      </c>
      <c r="AB521">
        <v>-0.30942207199999999</v>
      </c>
      <c r="AC521">
        <v>1.3482967E-2</v>
      </c>
      <c r="AD521">
        <v>0.86571713400000005</v>
      </c>
      <c r="AE521">
        <v>0.22155441100000001</v>
      </c>
      <c r="AF521">
        <v>0.97041552900000005</v>
      </c>
      <c r="AG521">
        <v>0.45879145300000002</v>
      </c>
      <c r="AH521">
        <v>4.8613559999999998E-3</v>
      </c>
      <c r="AI521">
        <v>0.51037895899999997</v>
      </c>
    </row>
    <row r="522" spans="1:35" x14ac:dyDescent="0.2">
      <c r="A522">
        <v>571</v>
      </c>
      <c r="B522" t="s">
        <v>686</v>
      </c>
      <c r="C522" t="s">
        <v>214</v>
      </c>
      <c r="D522" t="s">
        <v>158</v>
      </c>
      <c r="E522" s="11">
        <v>5.0100000000000003E-6</v>
      </c>
      <c r="F522" s="11">
        <v>1.57E-6</v>
      </c>
      <c r="G522">
        <v>0.31257211699999998</v>
      </c>
      <c r="H522">
        <v>-0.74240200099999998</v>
      </c>
      <c r="I522" s="11">
        <v>6.5799999999999997E-6</v>
      </c>
      <c r="J522">
        <v>0.29191489399999998</v>
      </c>
      <c r="K522">
        <v>8.0816640000000006E-3</v>
      </c>
      <c r="L522">
        <v>1.76765269</v>
      </c>
      <c r="M522">
        <v>8.656927E-3</v>
      </c>
      <c r="N522">
        <v>9.3544059999999991E-3</v>
      </c>
      <c r="O522">
        <v>2.9043179999999999E-3</v>
      </c>
      <c r="P522">
        <v>4.9340620000000002E-2</v>
      </c>
      <c r="Q522">
        <v>0.94018802400000001</v>
      </c>
      <c r="R522">
        <v>5.7398093919999997</v>
      </c>
      <c r="S522">
        <v>8.2049589999999995E-3</v>
      </c>
      <c r="T522">
        <v>7.1054220000000001E-3</v>
      </c>
      <c r="U522">
        <v>6.2754190000000001E-2</v>
      </c>
      <c r="V522">
        <v>5.8962717999999997E-2</v>
      </c>
      <c r="W522">
        <v>0.93958216999999999</v>
      </c>
      <c r="X522">
        <v>4.9008017629999996</v>
      </c>
      <c r="Y522">
        <v>0.66978396900000003</v>
      </c>
      <c r="Z522">
        <v>0.28940983399999998</v>
      </c>
      <c r="AA522">
        <v>5.2383079999999997E-3</v>
      </c>
      <c r="AB522">
        <v>-1</v>
      </c>
      <c r="AC522">
        <v>4.5193539999999997E-3</v>
      </c>
      <c r="AD522">
        <v>0.85016958200000003</v>
      </c>
      <c r="AE522">
        <v>0.110383727</v>
      </c>
      <c r="AF522">
        <v>0.72443662200000003</v>
      </c>
      <c r="AG522">
        <v>0.30482121000000001</v>
      </c>
      <c r="AH522">
        <v>1.6294770000000001E-3</v>
      </c>
      <c r="AI522">
        <v>0.37987361200000003</v>
      </c>
    </row>
    <row r="523" spans="1:35" x14ac:dyDescent="0.2">
      <c r="A523">
        <v>572</v>
      </c>
      <c r="B523" t="s">
        <v>687</v>
      </c>
      <c r="C523" t="s">
        <v>214</v>
      </c>
      <c r="D523" t="s">
        <v>160</v>
      </c>
      <c r="E523" s="11">
        <v>7.4100000000000002E-6</v>
      </c>
      <c r="F523" s="11">
        <v>2.3499999999999999E-6</v>
      </c>
      <c r="G523">
        <v>0.31680388399999998</v>
      </c>
      <c r="H523">
        <v>-0.461761168</v>
      </c>
      <c r="I523" s="11">
        <v>9.7599999999999997E-6</v>
      </c>
      <c r="J523">
        <v>0.29191489399999998</v>
      </c>
      <c r="K523">
        <v>1.5969915000000001E-2</v>
      </c>
      <c r="L523">
        <v>1.7834291920000001</v>
      </c>
      <c r="M523">
        <v>1.2631794E-2</v>
      </c>
      <c r="N523">
        <v>1.854242E-2</v>
      </c>
      <c r="O523">
        <v>5.7391279999999996E-3</v>
      </c>
      <c r="P523">
        <v>8.3684289999999995E-2</v>
      </c>
      <c r="Q523">
        <v>1.12138637</v>
      </c>
      <c r="R523">
        <v>6.8956867940000004</v>
      </c>
      <c r="S523">
        <v>1.4887327000000001E-2</v>
      </c>
      <c r="T523">
        <v>1.3313706999999999E-2</v>
      </c>
      <c r="U523">
        <v>0.113863115</v>
      </c>
      <c r="V523">
        <v>0.110480748</v>
      </c>
      <c r="W523">
        <v>0.97029444499999995</v>
      </c>
      <c r="X523">
        <v>3.73791238</v>
      </c>
      <c r="Y523">
        <v>1.3718693470000001</v>
      </c>
      <c r="Z523">
        <v>0.306266765</v>
      </c>
      <c r="AA523">
        <v>1.7760537E-2</v>
      </c>
      <c r="AB523">
        <v>-0.299999301</v>
      </c>
      <c r="AC523">
        <v>1.5280233000000001E-2</v>
      </c>
      <c r="AD523">
        <v>0.87028708499999996</v>
      </c>
      <c r="AE523">
        <v>0.22333567800000001</v>
      </c>
      <c r="AF523">
        <v>1.081807897</v>
      </c>
      <c r="AG523">
        <v>0.51346459200000005</v>
      </c>
      <c r="AH523">
        <v>5.5093700000000004E-3</v>
      </c>
      <c r="AI523">
        <v>0.569025059</v>
      </c>
    </row>
    <row r="524" spans="1:35" x14ac:dyDescent="0.2">
      <c r="A524">
        <v>573</v>
      </c>
      <c r="B524" t="s">
        <v>688</v>
      </c>
      <c r="C524" t="s">
        <v>214</v>
      </c>
      <c r="D524" t="s">
        <v>162</v>
      </c>
      <c r="E524" s="11">
        <v>6.2999999999999998E-6</v>
      </c>
      <c r="F524" s="11">
        <v>1.9599999999999999E-6</v>
      </c>
      <c r="G524">
        <v>0.31049406299999999</v>
      </c>
      <c r="H524">
        <v>-0.18700050800000001</v>
      </c>
      <c r="I524" s="11">
        <v>8.2600000000000005E-6</v>
      </c>
      <c r="J524">
        <v>0.20903907599999999</v>
      </c>
      <c r="K524">
        <v>4.1405840000000001E-3</v>
      </c>
      <c r="L524">
        <v>1.2625156230000001</v>
      </c>
      <c r="M524">
        <v>6.5696779999999998E-3</v>
      </c>
      <c r="N524">
        <v>4.8026279999999998E-3</v>
      </c>
      <c r="O524">
        <v>1.4880169999999999E-3</v>
      </c>
      <c r="P524">
        <v>1.3108170000000001E-2</v>
      </c>
      <c r="Q524">
        <v>0.66161892300000003</v>
      </c>
      <c r="R524">
        <v>3.9959298740000002</v>
      </c>
      <c r="S524">
        <v>9.0106560000000006E-3</v>
      </c>
      <c r="T524">
        <v>8.1168820000000006E-3</v>
      </c>
      <c r="U524">
        <v>6.8916424000000004E-2</v>
      </c>
      <c r="V524">
        <v>6.7356088999999994E-2</v>
      </c>
      <c r="W524">
        <v>0.97735902500000005</v>
      </c>
      <c r="X524">
        <v>4.1477053540000002</v>
      </c>
      <c r="Y524">
        <v>1.752119212</v>
      </c>
      <c r="Z524">
        <v>0.31156304499999998</v>
      </c>
      <c r="AA524">
        <v>1.1577152E-2</v>
      </c>
      <c r="AB524">
        <v>0.27943509</v>
      </c>
      <c r="AC524">
        <v>9.9470819999999995E-3</v>
      </c>
      <c r="AD524">
        <v>0.87074507000000001</v>
      </c>
      <c r="AE524">
        <v>0.28961572699999999</v>
      </c>
      <c r="AF524">
        <v>1.340470761</v>
      </c>
      <c r="AG524">
        <v>0.35754355900000001</v>
      </c>
      <c r="AH524">
        <v>3.5864740000000001E-3</v>
      </c>
      <c r="AI524">
        <v>0.69668074099999999</v>
      </c>
    </row>
    <row r="525" spans="1:35" x14ac:dyDescent="0.2">
      <c r="A525">
        <v>574</v>
      </c>
      <c r="B525" t="s">
        <v>689</v>
      </c>
      <c r="C525" t="s">
        <v>214</v>
      </c>
      <c r="D525" t="s">
        <v>220</v>
      </c>
      <c r="E525" s="11">
        <v>6.28E-6</v>
      </c>
      <c r="F525" s="11">
        <v>1.9599999999999999E-6</v>
      </c>
      <c r="G525">
        <v>0.311902297</v>
      </c>
      <c r="H525">
        <v>-0.18830651100000001</v>
      </c>
      <c r="I525" s="11">
        <v>8.2400000000000007E-6</v>
      </c>
      <c r="J525">
        <v>0.20902246999999999</v>
      </c>
      <c r="K525">
        <v>4.1414249999999998E-3</v>
      </c>
      <c r="L525">
        <v>1.2624176730000001</v>
      </c>
      <c r="M525">
        <v>6.5710480000000003E-3</v>
      </c>
      <c r="N525">
        <v>4.8039900000000002E-3</v>
      </c>
      <c r="O525">
        <v>1.4883089999999999E-3</v>
      </c>
      <c r="P525">
        <v>1.3111879999999999E-2</v>
      </c>
      <c r="Q525">
        <v>0.66157902300000004</v>
      </c>
      <c r="R525">
        <v>3.9956979060000002</v>
      </c>
      <c r="S525">
        <v>9.0082080000000002E-3</v>
      </c>
      <c r="T525">
        <v>8.1210510000000007E-3</v>
      </c>
      <c r="U525">
        <v>6.8897706000000003E-2</v>
      </c>
      <c r="V525">
        <v>6.7390684000000006E-2</v>
      </c>
      <c r="W525">
        <v>0.97812667399999997</v>
      </c>
      <c r="X525">
        <v>4.1482480979999998</v>
      </c>
      <c r="Y525">
        <v>1.7522322640000001</v>
      </c>
      <c r="Z525">
        <v>0.31118960800000001</v>
      </c>
      <c r="AA525">
        <v>1.1570591E-2</v>
      </c>
      <c r="AB525">
        <v>0.27953748</v>
      </c>
      <c r="AC525">
        <v>9.9414280000000004E-3</v>
      </c>
      <c r="AD525">
        <v>0.87222558800000005</v>
      </c>
      <c r="AE525">
        <v>0.28963729399999999</v>
      </c>
      <c r="AF525">
        <v>1.3406917270000001</v>
      </c>
      <c r="AG525">
        <v>0.35737255200000001</v>
      </c>
      <c r="AH525">
        <v>3.584435E-3</v>
      </c>
      <c r="AI525">
        <v>0.69678865199999995</v>
      </c>
    </row>
    <row r="526" spans="1:35" x14ac:dyDescent="0.2">
      <c r="A526">
        <v>575</v>
      </c>
      <c r="B526" t="s">
        <v>690</v>
      </c>
      <c r="C526" t="s">
        <v>214</v>
      </c>
      <c r="D526" t="s">
        <v>164</v>
      </c>
      <c r="E526" s="11">
        <v>6.2999999999999998E-6</v>
      </c>
      <c r="F526" s="11">
        <v>1.9800000000000001E-6</v>
      </c>
      <c r="G526">
        <v>0.31350704600000001</v>
      </c>
      <c r="H526">
        <v>0.39161537000000002</v>
      </c>
      <c r="I526" s="11">
        <v>8.2800000000000003E-6</v>
      </c>
      <c r="J526">
        <v>0.29191905400000001</v>
      </c>
      <c r="K526">
        <v>1.2780521E-2</v>
      </c>
      <c r="L526">
        <v>1.7770753640000001</v>
      </c>
      <c r="M526">
        <v>1.2578235E-2</v>
      </c>
      <c r="N526">
        <v>1.4821393E-2</v>
      </c>
      <c r="O526">
        <v>4.592952E-3</v>
      </c>
      <c r="P526">
        <v>7.4051290000000006E-2</v>
      </c>
      <c r="Q526">
        <v>0.97659962199999995</v>
      </c>
      <c r="R526">
        <v>6.0077003199999996</v>
      </c>
      <c r="S526">
        <v>1.3144553E-2</v>
      </c>
      <c r="T526">
        <v>1.1830521E-2</v>
      </c>
      <c r="U526">
        <v>0.100533813</v>
      </c>
      <c r="V526">
        <v>9.8172866999999997E-2</v>
      </c>
      <c r="W526">
        <v>0.97651590099999996</v>
      </c>
      <c r="X526">
        <v>3.4552973979999999</v>
      </c>
      <c r="Y526">
        <v>2.181946763</v>
      </c>
      <c r="Z526">
        <v>0.33002921200000002</v>
      </c>
      <c r="AA526">
        <v>2.3896792E-2</v>
      </c>
      <c r="AB526">
        <v>0.18555512299999999</v>
      </c>
      <c r="AC526">
        <v>2.0544943E-2</v>
      </c>
      <c r="AD526">
        <v>0.86455834300000001</v>
      </c>
      <c r="AE526">
        <v>0.356932523</v>
      </c>
      <c r="AF526">
        <v>1.4081225239999999</v>
      </c>
      <c r="AG526">
        <v>0.62937988199999995</v>
      </c>
      <c r="AH526">
        <v>7.4075900000000004E-3</v>
      </c>
      <c r="AI526">
        <v>0.739490388</v>
      </c>
    </row>
    <row r="527" spans="1:35" x14ac:dyDescent="0.2">
      <c r="A527">
        <v>576</v>
      </c>
      <c r="B527" t="s">
        <v>691</v>
      </c>
      <c r="C527" t="s">
        <v>214</v>
      </c>
      <c r="D527" t="s">
        <v>166</v>
      </c>
      <c r="E527" s="11">
        <v>8.6300000000000004E-6</v>
      </c>
      <c r="F527" s="11">
        <v>2.7199999999999998E-6</v>
      </c>
      <c r="G527">
        <v>0.31499648899999999</v>
      </c>
      <c r="H527">
        <v>-3.5743017000000002E-2</v>
      </c>
      <c r="I527" s="11">
        <v>1.1399999999999999E-5</v>
      </c>
      <c r="J527">
        <v>0.29191489399999998</v>
      </c>
      <c r="K527">
        <v>1.7635978E-2</v>
      </c>
      <c r="L527">
        <v>1.7867613179999999</v>
      </c>
      <c r="M527">
        <v>1.2567363999999999E-2</v>
      </c>
      <c r="N527">
        <v>2.0493198000000001E-2</v>
      </c>
      <c r="O527">
        <v>6.337863E-3</v>
      </c>
      <c r="P527">
        <v>8.8441770000000003E-2</v>
      </c>
      <c r="Q527">
        <v>1.202033278</v>
      </c>
      <c r="R527">
        <v>7.3890832020000001</v>
      </c>
      <c r="S527">
        <v>1.4630733999999999E-2</v>
      </c>
      <c r="T527">
        <v>1.4110114E-2</v>
      </c>
      <c r="U527">
        <v>0.11190061</v>
      </c>
      <c r="V527">
        <v>0.117089552</v>
      </c>
      <c r="W527">
        <v>1.0463709889999999</v>
      </c>
      <c r="X527">
        <v>3.6010374230000002</v>
      </c>
      <c r="Y527">
        <v>1.7867613600000001</v>
      </c>
      <c r="Z527">
        <v>0.314938102</v>
      </c>
      <c r="AA527">
        <v>2.0527914000000001E-2</v>
      </c>
      <c r="AB527" s="11">
        <v>2.37E-8</v>
      </c>
      <c r="AC527">
        <v>1.7636031999999999E-2</v>
      </c>
      <c r="AD527">
        <v>0.88620539399999998</v>
      </c>
      <c r="AE527">
        <v>0.29191488300000001</v>
      </c>
      <c r="AF527">
        <v>1.202442096</v>
      </c>
      <c r="AG527">
        <v>0.56409105000000004</v>
      </c>
      <c r="AH527">
        <v>6.3587670000000004E-3</v>
      </c>
      <c r="AI527">
        <v>0.63227814100000002</v>
      </c>
    </row>
    <row r="528" spans="1:35" x14ac:dyDescent="0.2">
      <c r="A528">
        <v>577</v>
      </c>
      <c r="B528" t="s">
        <v>692</v>
      </c>
      <c r="C528" t="s">
        <v>214</v>
      </c>
      <c r="D528" t="s">
        <v>226</v>
      </c>
      <c r="E528" s="11">
        <v>4.5200000000000002E-7</v>
      </c>
      <c r="F528" s="11">
        <v>1.4600000000000001E-7</v>
      </c>
      <c r="G528">
        <v>0.32343550100000001</v>
      </c>
      <c r="H528">
        <v>-0.36414727200000002</v>
      </c>
      <c r="I528" s="11">
        <v>5.9800000000000003E-7</v>
      </c>
      <c r="J528">
        <v>0.29191489399999998</v>
      </c>
      <c r="K528">
        <v>1.003604E-3</v>
      </c>
      <c r="L528">
        <v>1.75349657</v>
      </c>
      <c r="M528">
        <v>1.138317E-3</v>
      </c>
      <c r="N528">
        <v>1.057985E-3</v>
      </c>
      <c r="O528">
        <v>3.6085400000000002E-4</v>
      </c>
      <c r="P528">
        <v>5.8419500000000003E-3</v>
      </c>
      <c r="Q528">
        <v>0.85875722200000004</v>
      </c>
      <c r="R528">
        <v>5.1642272399999998</v>
      </c>
      <c r="S528">
        <v>9.5643200000000001E-4</v>
      </c>
      <c r="T528">
        <v>7.0994899999999998E-4</v>
      </c>
      <c r="U528">
        <v>7.3150999999999997E-3</v>
      </c>
      <c r="V528">
        <v>5.8913530000000002E-3</v>
      </c>
      <c r="W528">
        <v>0.80536875799999996</v>
      </c>
      <c r="X528">
        <v>5.1484544249999997</v>
      </c>
      <c r="Y528">
        <v>0.727852732</v>
      </c>
      <c r="Z528">
        <v>0.290068987</v>
      </c>
      <c r="AA528">
        <v>4.0491420000000004E-3</v>
      </c>
      <c r="AB528">
        <v>-1</v>
      </c>
      <c r="AC528">
        <v>3.4866419999999999E-3</v>
      </c>
      <c r="AD528">
        <v>0.84080299400000003</v>
      </c>
      <c r="AE528">
        <v>0.12060533399999999</v>
      </c>
      <c r="AF528">
        <v>0.61781282299999996</v>
      </c>
      <c r="AG528">
        <v>0.13869025700000001</v>
      </c>
      <c r="AH528">
        <v>1.2571279999999999E-3</v>
      </c>
      <c r="AI528">
        <v>0.320308276</v>
      </c>
    </row>
    <row r="529" spans="1:35" x14ac:dyDescent="0.2">
      <c r="A529">
        <v>578</v>
      </c>
      <c r="B529" t="s">
        <v>693</v>
      </c>
      <c r="C529" t="s">
        <v>214</v>
      </c>
      <c r="D529" t="s">
        <v>168</v>
      </c>
      <c r="E529" s="11">
        <v>1.3400000000000001E-6</v>
      </c>
      <c r="F529" s="11">
        <v>4.2E-7</v>
      </c>
      <c r="G529">
        <v>0.31438010900000002</v>
      </c>
      <c r="H529">
        <v>-0.34609911100000001</v>
      </c>
      <c r="I529" s="11">
        <v>1.7600000000000001E-6</v>
      </c>
      <c r="J529">
        <v>0.291914391</v>
      </c>
      <c r="K529">
        <v>2.0523550000000001E-3</v>
      </c>
      <c r="L529">
        <v>1.7555910560000001</v>
      </c>
      <c r="M529">
        <v>2.4212069999999999E-3</v>
      </c>
      <c r="N529">
        <v>2.317464E-3</v>
      </c>
      <c r="O529">
        <v>7.3755700000000001E-4</v>
      </c>
      <c r="P529">
        <v>1.1003799999999999E-2</v>
      </c>
      <c r="Q529">
        <v>1.1297640289999999</v>
      </c>
      <c r="R529">
        <v>6.8005917819999997</v>
      </c>
      <c r="S529">
        <v>1.8426370000000001E-3</v>
      </c>
      <c r="T529">
        <v>1.661683E-3</v>
      </c>
      <c r="U529">
        <v>1.4093085E-2</v>
      </c>
      <c r="V529">
        <v>1.3789098E-2</v>
      </c>
      <c r="W529">
        <v>0.97843005999999999</v>
      </c>
      <c r="X529">
        <v>4.6139663610000001</v>
      </c>
      <c r="Y529">
        <v>1.056938116</v>
      </c>
      <c r="Z529">
        <v>0.28127686200000002</v>
      </c>
      <c r="AA529">
        <v>7.0815119999999999E-3</v>
      </c>
      <c r="AB529">
        <v>-0.66101593800000003</v>
      </c>
      <c r="AC529">
        <v>6.1033939999999998E-3</v>
      </c>
      <c r="AD529">
        <v>0.85502535599999996</v>
      </c>
      <c r="AE529">
        <v>0.17465899200000001</v>
      </c>
      <c r="AF529">
        <v>0.91327333399999999</v>
      </c>
      <c r="AG529">
        <v>0.35132079399999999</v>
      </c>
      <c r="AH529">
        <v>2.2006119999999998E-3</v>
      </c>
      <c r="AI529">
        <v>0.47790081299999998</v>
      </c>
    </row>
    <row r="530" spans="1:35" x14ac:dyDescent="0.2">
      <c r="A530">
        <v>579</v>
      </c>
      <c r="B530" t="s">
        <v>694</v>
      </c>
      <c r="C530" t="s">
        <v>160</v>
      </c>
      <c r="D530" t="s">
        <v>130</v>
      </c>
      <c r="E530" s="11">
        <v>1.6399999999999999E-5</v>
      </c>
      <c r="F530" s="11">
        <v>5.2299999999999999E-6</v>
      </c>
      <c r="G530">
        <v>0.31942094799999998</v>
      </c>
      <c r="H530">
        <v>-0.19635434500000001</v>
      </c>
      <c r="I530" s="11">
        <v>2.16E-5</v>
      </c>
      <c r="J530">
        <v>0.58358813300000001</v>
      </c>
      <c r="K530">
        <v>2.7050128E-2</v>
      </c>
      <c r="L530">
        <v>3.555629057</v>
      </c>
      <c r="M530">
        <v>1.5193794E-2</v>
      </c>
      <c r="N530">
        <v>3.1531927000000001E-2</v>
      </c>
      <c r="O530">
        <v>9.7210379999999996E-3</v>
      </c>
      <c r="P530">
        <v>7.7624200000000004E-2</v>
      </c>
      <c r="Q530">
        <v>1.674320721</v>
      </c>
      <c r="R530">
        <v>10.20117273</v>
      </c>
      <c r="S530">
        <v>5.0947146999999998E-2</v>
      </c>
      <c r="T530">
        <v>5.1999754000000002E-2</v>
      </c>
      <c r="U530">
        <v>0.38966033799999999</v>
      </c>
      <c r="V530">
        <v>0.431508057</v>
      </c>
      <c r="W530">
        <v>1.107395377</v>
      </c>
      <c r="X530">
        <v>3.2097709980000002</v>
      </c>
      <c r="Y530">
        <v>3.5842802759999999</v>
      </c>
      <c r="Z530">
        <v>0.32340619300000001</v>
      </c>
      <c r="AA530">
        <v>3.6446098000000003E-2</v>
      </c>
      <c r="AB530">
        <v>7.993577E-3</v>
      </c>
      <c r="AC530">
        <v>3.1239221000000001E-2</v>
      </c>
      <c r="AD530">
        <v>0.88878713799999998</v>
      </c>
      <c r="AE530">
        <v>0.58606456299999998</v>
      </c>
      <c r="AF530">
        <v>1.903383354</v>
      </c>
      <c r="AG530">
        <v>0.57795636800000005</v>
      </c>
      <c r="AH530">
        <v>1.1263469E-2</v>
      </c>
      <c r="AI530">
        <v>0.99253527699999999</v>
      </c>
    </row>
    <row r="531" spans="1:35" x14ac:dyDescent="0.2">
      <c r="A531">
        <v>580</v>
      </c>
      <c r="B531" t="s">
        <v>695</v>
      </c>
      <c r="C531" t="s">
        <v>160</v>
      </c>
      <c r="D531" t="s">
        <v>132</v>
      </c>
      <c r="E531" s="11">
        <v>9.3600000000000002E-6</v>
      </c>
      <c r="F531" s="11">
        <v>3.1E-6</v>
      </c>
      <c r="G531">
        <v>0.33143019000000001</v>
      </c>
      <c r="H531">
        <v>-0.32424116400000003</v>
      </c>
      <c r="I531" s="11">
        <v>1.2500000000000001E-5</v>
      </c>
      <c r="J531">
        <v>0.49702400499999999</v>
      </c>
      <c r="K531">
        <v>2.3500783000000001E-2</v>
      </c>
      <c r="L531">
        <v>3.029145599</v>
      </c>
      <c r="M531">
        <v>2.7747919999999999E-3</v>
      </c>
      <c r="N531">
        <v>2.7334694999999999E-2</v>
      </c>
      <c r="O531">
        <v>8.4455060000000002E-3</v>
      </c>
      <c r="P531">
        <v>7.1549219999999997E-2</v>
      </c>
      <c r="Q531">
        <v>1.5121133099999999</v>
      </c>
      <c r="R531">
        <v>9.2157782899999994</v>
      </c>
      <c r="S531">
        <v>2.6056533999999999E-2</v>
      </c>
      <c r="T531">
        <v>2.4189704999999999E-2</v>
      </c>
      <c r="U531">
        <v>0.199288838</v>
      </c>
      <c r="V531">
        <v>0.200732733</v>
      </c>
      <c r="W531">
        <v>1.0072452380000001</v>
      </c>
      <c r="X531">
        <v>3.8082188559999999</v>
      </c>
      <c r="Y531">
        <v>1.759478747</v>
      </c>
      <c r="Z531">
        <v>0.30789740999999998</v>
      </c>
      <c r="AA531">
        <v>1.6180439000000001E-2</v>
      </c>
      <c r="AB531">
        <v>-0.72161533899999997</v>
      </c>
      <c r="AC531">
        <v>1.3892702E-2</v>
      </c>
      <c r="AD531">
        <v>0.885725596</v>
      </c>
      <c r="AE531">
        <v>0.28811634000000003</v>
      </c>
      <c r="AF531">
        <v>1.02008671</v>
      </c>
      <c r="AG531">
        <v>0.28013905700000002</v>
      </c>
      <c r="AH531">
        <v>5.0090880000000001E-3</v>
      </c>
      <c r="AI531">
        <v>0.53114736399999996</v>
      </c>
    </row>
    <row r="532" spans="1:35" x14ac:dyDescent="0.2">
      <c r="A532">
        <v>581</v>
      </c>
      <c r="B532" t="s">
        <v>696</v>
      </c>
      <c r="C532" t="s">
        <v>160</v>
      </c>
      <c r="D532" t="s">
        <v>136</v>
      </c>
      <c r="E532" s="11">
        <v>1.38E-5</v>
      </c>
      <c r="F532" s="11">
        <v>4.5600000000000004E-6</v>
      </c>
      <c r="G532">
        <v>0.33059009900000003</v>
      </c>
      <c r="H532">
        <v>6.1306323000000003E-2</v>
      </c>
      <c r="I532" s="11">
        <v>1.8300000000000001E-5</v>
      </c>
      <c r="J532">
        <v>0.36104918600000002</v>
      </c>
      <c r="K532">
        <v>2.8111133E-2</v>
      </c>
      <c r="L532">
        <v>2.2225173840000001</v>
      </c>
      <c r="M532">
        <v>2.5299499E-2</v>
      </c>
      <c r="N532">
        <v>3.2764028000000001E-2</v>
      </c>
      <c r="O532">
        <v>1.0102333E-2</v>
      </c>
      <c r="P532">
        <v>8.0273549999999999E-2</v>
      </c>
      <c r="Q532">
        <v>1.0310671680000001</v>
      </c>
      <c r="R532">
        <v>6.3469500979999998</v>
      </c>
      <c r="S532">
        <v>5.1019881000000003E-2</v>
      </c>
      <c r="T532">
        <v>5.2767939E-2</v>
      </c>
      <c r="U532">
        <v>0.39021662800000001</v>
      </c>
      <c r="V532">
        <v>0.437882667</v>
      </c>
      <c r="W532">
        <v>1.122152762</v>
      </c>
      <c r="X532">
        <v>3.1040871170000002</v>
      </c>
      <c r="Y532">
        <v>2.3778839249999999</v>
      </c>
      <c r="Z532">
        <v>0.33334128899999999</v>
      </c>
      <c r="AA532">
        <v>4.2046647999999999E-2</v>
      </c>
      <c r="AB532">
        <v>6.5338151999999997E-2</v>
      </c>
      <c r="AC532">
        <v>3.6045158000000001E-2</v>
      </c>
      <c r="AD532">
        <v>0.88878796999999998</v>
      </c>
      <c r="AE532">
        <v>0.38429763</v>
      </c>
      <c r="AF532">
        <v>1.218590493</v>
      </c>
      <c r="AG532">
        <v>0.65104296699999997</v>
      </c>
      <c r="AH532">
        <v>1.2996275999999999E-2</v>
      </c>
      <c r="AI532">
        <v>0.64289944799999998</v>
      </c>
    </row>
    <row r="533" spans="1:35" x14ac:dyDescent="0.2">
      <c r="A533">
        <v>582</v>
      </c>
      <c r="B533" t="s">
        <v>697</v>
      </c>
      <c r="C533" t="s">
        <v>160</v>
      </c>
      <c r="D533" t="s">
        <v>140</v>
      </c>
      <c r="E533" s="11">
        <v>1.0699999999999999E-5</v>
      </c>
      <c r="F533" s="11">
        <v>3.3400000000000002E-6</v>
      </c>
      <c r="G533">
        <v>0.31166031</v>
      </c>
      <c r="H533">
        <v>-0.39264438600000001</v>
      </c>
      <c r="I533" s="11">
        <v>1.4100000000000001E-5</v>
      </c>
      <c r="J533">
        <v>0.293975192</v>
      </c>
      <c r="K533">
        <v>1.1237995000000001E-2</v>
      </c>
      <c r="L533">
        <v>1.786327142</v>
      </c>
      <c r="M533">
        <v>1.2548818999999999E-2</v>
      </c>
      <c r="N533">
        <v>1.3076618E-2</v>
      </c>
      <c r="O533">
        <v>4.0386119999999996E-3</v>
      </c>
      <c r="P533">
        <v>3.4546849999999997E-2</v>
      </c>
      <c r="Q533">
        <v>0.90381009999999995</v>
      </c>
      <c r="R533">
        <v>5.4919542899999998</v>
      </c>
      <c r="S533">
        <v>2.2025165999999999E-2</v>
      </c>
      <c r="T533">
        <v>2.1199620999999998E-2</v>
      </c>
      <c r="U533">
        <v>0.168455626</v>
      </c>
      <c r="V533">
        <v>0.175920205</v>
      </c>
      <c r="W533">
        <v>1.0443118419999999</v>
      </c>
      <c r="X533">
        <v>3.947713813</v>
      </c>
      <c r="Y533">
        <v>1.535250287</v>
      </c>
      <c r="Z533">
        <v>0.30910751400000003</v>
      </c>
      <c r="AA533">
        <v>1.3400011E-2</v>
      </c>
      <c r="AB533">
        <v>-0.16354131799999999</v>
      </c>
      <c r="AC533">
        <v>1.1501582E-2</v>
      </c>
      <c r="AD533">
        <v>0.86768906499999998</v>
      </c>
      <c r="AE533">
        <v>0.25158139099999999</v>
      </c>
      <c r="AF533">
        <v>0.90232301999999998</v>
      </c>
      <c r="AG533">
        <v>0.234971441</v>
      </c>
      <c r="AH533">
        <v>4.1469569999999997E-3</v>
      </c>
      <c r="AI533">
        <v>0.46948888700000002</v>
      </c>
    </row>
    <row r="534" spans="1:35" x14ac:dyDescent="0.2">
      <c r="A534">
        <v>583</v>
      </c>
      <c r="B534" t="s">
        <v>698</v>
      </c>
      <c r="C534" t="s">
        <v>160</v>
      </c>
      <c r="D534" t="s">
        <v>142</v>
      </c>
      <c r="E534" s="11">
        <v>1.11E-5</v>
      </c>
      <c r="F534" s="11">
        <v>3.49E-6</v>
      </c>
      <c r="G534">
        <v>0.31535440999999997</v>
      </c>
      <c r="H534">
        <v>0.94541390400000003</v>
      </c>
      <c r="I534" s="11">
        <v>1.4600000000000001E-5</v>
      </c>
      <c r="J534">
        <v>0.23426377100000001</v>
      </c>
      <c r="K534">
        <v>1.46556E-2</v>
      </c>
      <c r="L534">
        <v>1.434893827</v>
      </c>
      <c r="M534">
        <v>2.0482344E-2</v>
      </c>
      <c r="N534">
        <v>1.7059379999999999E-2</v>
      </c>
      <c r="O534">
        <v>5.2668009999999998E-3</v>
      </c>
      <c r="P534">
        <v>4.4375280000000003E-2</v>
      </c>
      <c r="Q534">
        <v>0.70912637599999995</v>
      </c>
      <c r="R534">
        <v>4.3435088139999998</v>
      </c>
      <c r="S534">
        <v>3.4678487000000001E-2</v>
      </c>
      <c r="T534">
        <v>3.0200401000000002E-2</v>
      </c>
      <c r="U534">
        <v>0.26523233600000001</v>
      </c>
      <c r="V534">
        <v>0.25061112099999999</v>
      </c>
      <c r="W534">
        <v>0.94487393500000005</v>
      </c>
      <c r="X534">
        <v>2.102988297</v>
      </c>
      <c r="Y534">
        <v>45.180770610000003</v>
      </c>
      <c r="Z534">
        <v>1.236907526</v>
      </c>
      <c r="AA534">
        <v>0.16805516500000001</v>
      </c>
      <c r="AB534">
        <v>0.96824105000000005</v>
      </c>
      <c r="AC534">
        <v>6.7920940620000003</v>
      </c>
      <c r="AD534">
        <v>1.081374091</v>
      </c>
      <c r="AE534">
        <v>5.5042041140000002</v>
      </c>
      <c r="AF534">
        <v>4.3607236289999998</v>
      </c>
      <c r="AG534">
        <v>30.072459089999999</v>
      </c>
      <c r="AH534">
        <v>5.0409080000000002E-2</v>
      </c>
      <c r="AI534">
        <v>3.036595331</v>
      </c>
    </row>
    <row r="535" spans="1:35" x14ac:dyDescent="0.2">
      <c r="A535">
        <v>584</v>
      </c>
      <c r="B535" t="s">
        <v>699</v>
      </c>
      <c r="C535" t="s">
        <v>160</v>
      </c>
      <c r="D535" t="s">
        <v>146</v>
      </c>
      <c r="E535" s="11">
        <v>1.6200000000000001E-5</v>
      </c>
      <c r="F535" s="11">
        <v>5.3800000000000002E-6</v>
      </c>
      <c r="G535">
        <v>0.33156886099999999</v>
      </c>
      <c r="H535">
        <v>-0.16657386099999999</v>
      </c>
      <c r="I535" s="11">
        <v>2.16E-5</v>
      </c>
      <c r="J535">
        <v>0.58620470899999999</v>
      </c>
      <c r="K535">
        <v>2.7171819999999999E-2</v>
      </c>
      <c r="L535">
        <v>3.5715718980000002</v>
      </c>
      <c r="M535">
        <v>1.5219325000000001E-2</v>
      </c>
      <c r="N535">
        <v>3.1676287999999997E-2</v>
      </c>
      <c r="O535">
        <v>9.7647710000000002E-3</v>
      </c>
      <c r="P535">
        <v>7.7937880000000001E-2</v>
      </c>
      <c r="Q535">
        <v>1.681018632</v>
      </c>
      <c r="R535">
        <v>10.24198754</v>
      </c>
      <c r="S535">
        <v>5.0020052000000002E-2</v>
      </c>
      <c r="T535">
        <v>5.235107E-2</v>
      </c>
      <c r="U535">
        <v>0.382569614</v>
      </c>
      <c r="V535">
        <v>0.43442337399999997</v>
      </c>
      <c r="W535">
        <v>1.1355407179999999</v>
      </c>
      <c r="X535">
        <v>3.2052050109999999</v>
      </c>
      <c r="Y535">
        <v>3.6056654579999998</v>
      </c>
      <c r="Z535">
        <v>0.31805982300000002</v>
      </c>
      <c r="AA535">
        <v>3.6671260999999997E-2</v>
      </c>
      <c r="AB535">
        <v>9.4555530000000002E-3</v>
      </c>
      <c r="AC535">
        <v>3.1432953999999999E-2</v>
      </c>
      <c r="AD535">
        <v>0.88815409099999998</v>
      </c>
      <c r="AE535">
        <v>0.58955908400000001</v>
      </c>
      <c r="AF535">
        <v>1.9128461969999999</v>
      </c>
      <c r="AG535">
        <v>0.58101815999999995</v>
      </c>
      <c r="AH535">
        <v>1.1333321E-2</v>
      </c>
      <c r="AI535">
        <v>0.99747475600000002</v>
      </c>
    </row>
    <row r="536" spans="1:35" x14ac:dyDescent="0.2">
      <c r="A536">
        <v>585</v>
      </c>
      <c r="B536" t="s">
        <v>700</v>
      </c>
      <c r="C536" t="s">
        <v>160</v>
      </c>
      <c r="D536" t="s">
        <v>148</v>
      </c>
      <c r="E536" s="11">
        <v>1.04E-5</v>
      </c>
      <c r="F536" s="11">
        <v>3.2499999999999998E-6</v>
      </c>
      <c r="G536">
        <v>0.313888534</v>
      </c>
      <c r="H536">
        <v>-0.14617618099999999</v>
      </c>
      <c r="I536" s="11">
        <v>1.36E-5</v>
      </c>
      <c r="J536">
        <v>0.29191489399999998</v>
      </c>
      <c r="K536">
        <v>2.5309855999999999E-2</v>
      </c>
      <c r="L536">
        <v>1.8021090740000001</v>
      </c>
      <c r="M536" s="11">
        <v>3.0600000000000001E-7</v>
      </c>
      <c r="N536">
        <v>2.9434854999999999E-2</v>
      </c>
      <c r="O536">
        <v>9.095634E-3</v>
      </c>
      <c r="P536">
        <v>0.14022124999999999</v>
      </c>
      <c r="Q536">
        <v>0.94465939899999996</v>
      </c>
      <c r="R536">
        <v>5.9483988959999996</v>
      </c>
      <c r="S536">
        <v>2.6107525999999999E-2</v>
      </c>
      <c r="T536">
        <v>2.4422263999999999E-2</v>
      </c>
      <c r="U536">
        <v>0.19967884499999999</v>
      </c>
      <c r="V536">
        <v>0.20266256899999999</v>
      </c>
      <c r="W536">
        <v>1.014942614</v>
      </c>
      <c r="X536">
        <v>3.869903796</v>
      </c>
      <c r="Y536">
        <v>1.146492641</v>
      </c>
      <c r="Z536">
        <v>0.304855192</v>
      </c>
      <c r="AA536">
        <v>1.4885583000000001E-2</v>
      </c>
      <c r="AB536">
        <v>-0.571845304</v>
      </c>
      <c r="AC536">
        <v>0.102638044</v>
      </c>
      <c r="AD536">
        <v>0.87845431600000001</v>
      </c>
      <c r="AE536">
        <v>0.16019319900000001</v>
      </c>
      <c r="AF536">
        <v>0.57031796499999998</v>
      </c>
      <c r="AG536">
        <v>2.0824199220000001</v>
      </c>
      <c r="AH536">
        <v>4.6077109999999996E-3</v>
      </c>
      <c r="AI536">
        <v>0.348047098</v>
      </c>
    </row>
    <row r="537" spans="1:35" x14ac:dyDescent="0.2">
      <c r="A537">
        <v>586</v>
      </c>
      <c r="B537" t="s">
        <v>701</v>
      </c>
      <c r="C537" t="s">
        <v>160</v>
      </c>
      <c r="D537" t="s">
        <v>150</v>
      </c>
      <c r="E537" s="11">
        <v>1.6099999999999998E-5</v>
      </c>
      <c r="F537" s="11">
        <v>5.3700000000000003E-6</v>
      </c>
      <c r="G537">
        <v>0.33394908800000001</v>
      </c>
      <c r="H537">
        <v>-0.19695806499999999</v>
      </c>
      <c r="I537" s="11">
        <v>2.1399999999999998E-5</v>
      </c>
      <c r="J537">
        <v>0.58394296499999998</v>
      </c>
      <c r="K537">
        <v>2.7015534000000001E-2</v>
      </c>
      <c r="L537">
        <v>3.5576888580000001</v>
      </c>
      <c r="M537">
        <v>1.5174287999999999E-2</v>
      </c>
      <c r="N537">
        <v>3.1493670000000001E-2</v>
      </c>
      <c r="O537">
        <v>9.7086059999999998E-3</v>
      </c>
      <c r="P537">
        <v>7.7541750000000007E-2</v>
      </c>
      <c r="Q537">
        <v>1.6756552739999999</v>
      </c>
      <c r="R537">
        <v>10.20901514</v>
      </c>
      <c r="S537">
        <v>5.0818001000000002E-2</v>
      </c>
      <c r="T537">
        <v>5.1888667999999999E-2</v>
      </c>
      <c r="U537">
        <v>0.38867258500000001</v>
      </c>
      <c r="V537">
        <v>0.43058624000000001</v>
      </c>
      <c r="W537">
        <v>1.107837951</v>
      </c>
      <c r="X537">
        <v>3.2103310079999998</v>
      </c>
      <c r="Y537">
        <v>3.5845381459999999</v>
      </c>
      <c r="Z537">
        <v>0.31765675599999998</v>
      </c>
      <c r="AA537">
        <v>3.6417666000000001E-2</v>
      </c>
      <c r="AB537">
        <v>7.4903060000000004E-3</v>
      </c>
      <c r="AC537">
        <v>3.1215541999999999E-2</v>
      </c>
      <c r="AD537">
        <v>0.88807668299999998</v>
      </c>
      <c r="AE537">
        <v>0.586114358</v>
      </c>
      <c r="AF537">
        <v>1.903720442</v>
      </c>
      <c r="AG537">
        <v>0.57762358700000005</v>
      </c>
      <c r="AH537">
        <v>1.1254932E-2</v>
      </c>
      <c r="AI537">
        <v>0.99269951300000003</v>
      </c>
    </row>
    <row r="538" spans="1:35" x14ac:dyDescent="0.2">
      <c r="A538">
        <v>587</v>
      </c>
      <c r="B538" t="s">
        <v>702</v>
      </c>
      <c r="C538" t="s">
        <v>160</v>
      </c>
      <c r="D538" t="s">
        <v>156</v>
      </c>
      <c r="E538" s="11">
        <v>1.3699999999999999E-5</v>
      </c>
      <c r="F538" s="11">
        <v>4.3800000000000004E-6</v>
      </c>
      <c r="G538">
        <v>0.32048561599999997</v>
      </c>
      <c r="H538">
        <v>-1.5844932999999999E-2</v>
      </c>
      <c r="I538" s="11">
        <v>1.8099999999999999E-5</v>
      </c>
      <c r="J538">
        <v>0.44940662799999997</v>
      </c>
      <c r="K538">
        <v>3.7531479999999999E-2</v>
      </c>
      <c r="L538">
        <v>2.7715027299999999</v>
      </c>
      <c r="M538">
        <v>2.6606350000000001E-2</v>
      </c>
      <c r="N538">
        <v>4.3714553000000003E-2</v>
      </c>
      <c r="O538">
        <v>1.3487735000000001E-2</v>
      </c>
      <c r="P538">
        <v>0.10331942</v>
      </c>
      <c r="Q538">
        <v>1.260626102</v>
      </c>
      <c r="R538">
        <v>7.7703954499999996</v>
      </c>
      <c r="S538">
        <v>6.2998895999999999E-2</v>
      </c>
      <c r="T538">
        <v>6.3076690000000005E-2</v>
      </c>
      <c r="U538">
        <v>0.481836033</v>
      </c>
      <c r="V538">
        <v>0.52342747700000003</v>
      </c>
      <c r="W538">
        <v>1.086318667</v>
      </c>
      <c r="X538">
        <v>2.9842993350000002</v>
      </c>
      <c r="Y538">
        <v>2.7742961770000001</v>
      </c>
      <c r="Z538">
        <v>0.33623452100000001</v>
      </c>
      <c r="AA538">
        <v>4.9445347000000001E-2</v>
      </c>
      <c r="AB538">
        <v>1.006903E-3</v>
      </c>
      <c r="AC538">
        <v>4.2392340000000001E-2</v>
      </c>
      <c r="AD538">
        <v>0.88421695</v>
      </c>
      <c r="AE538">
        <v>0.44826357900000002</v>
      </c>
      <c r="AF538">
        <v>1.37747274</v>
      </c>
      <c r="AG538">
        <v>0.74234913999999996</v>
      </c>
      <c r="AH538">
        <v>1.5284786E-2</v>
      </c>
      <c r="AI538">
        <v>0.72689232000000004</v>
      </c>
    </row>
    <row r="539" spans="1:35" x14ac:dyDescent="0.2">
      <c r="A539">
        <v>588</v>
      </c>
      <c r="B539" t="s">
        <v>703</v>
      </c>
      <c r="C539" t="s">
        <v>160</v>
      </c>
      <c r="D539" t="s">
        <v>158</v>
      </c>
      <c r="E539" s="11">
        <v>7.2099999999999996E-6</v>
      </c>
      <c r="F539" s="11">
        <v>2.26E-6</v>
      </c>
      <c r="G539">
        <v>0.31365771100000001</v>
      </c>
      <c r="H539">
        <v>-0.26153906199999999</v>
      </c>
      <c r="I539" s="11">
        <v>9.4700000000000008E-6</v>
      </c>
      <c r="J539">
        <v>0.29191489399999998</v>
      </c>
      <c r="K539">
        <v>1.4422196999999999E-2</v>
      </c>
      <c r="L539">
        <v>1.780333757</v>
      </c>
      <c r="M539">
        <v>1.2695323999999999E-2</v>
      </c>
      <c r="N539">
        <v>1.6732178E-2</v>
      </c>
      <c r="O539">
        <v>5.1829229999999999E-3</v>
      </c>
      <c r="P539">
        <v>7.9263390000000003E-2</v>
      </c>
      <c r="Q539">
        <v>1.046596576</v>
      </c>
      <c r="R539">
        <v>6.438106232</v>
      </c>
      <c r="S539">
        <v>1.4450461E-2</v>
      </c>
      <c r="T539">
        <v>1.2890173E-2</v>
      </c>
      <c r="U539">
        <v>0.110521824</v>
      </c>
      <c r="V539">
        <v>0.10696615199999999</v>
      </c>
      <c r="W539">
        <v>0.96782832699999999</v>
      </c>
      <c r="X539">
        <v>3.7915677639999998</v>
      </c>
      <c r="Y539">
        <v>1.3699716129999999</v>
      </c>
      <c r="Z539">
        <v>0.31004763499999999</v>
      </c>
      <c r="AA539">
        <v>1.6509894000000001E-2</v>
      </c>
      <c r="AB539">
        <v>-0.29954061799999998</v>
      </c>
      <c r="AC539">
        <v>1.4209483E-2</v>
      </c>
      <c r="AD539">
        <v>0.86833715700000003</v>
      </c>
      <c r="AE539">
        <v>0.22333567800000001</v>
      </c>
      <c r="AF539">
        <v>1.0283138190000001</v>
      </c>
      <c r="AG539">
        <v>0.49321704199999999</v>
      </c>
      <c r="AH539">
        <v>5.1233060000000002E-3</v>
      </c>
      <c r="AI539">
        <v>0.54102389299999998</v>
      </c>
    </row>
    <row r="540" spans="1:35" x14ac:dyDescent="0.2">
      <c r="A540">
        <v>589</v>
      </c>
      <c r="B540" t="s">
        <v>704</v>
      </c>
      <c r="C540" t="s">
        <v>160</v>
      </c>
      <c r="D540" t="s">
        <v>162</v>
      </c>
      <c r="E540" s="11">
        <v>1.63E-5</v>
      </c>
      <c r="F540" s="11">
        <v>5.2800000000000003E-6</v>
      </c>
      <c r="G540">
        <v>0.324677196</v>
      </c>
      <c r="H540">
        <v>-0.19617003599999999</v>
      </c>
      <c r="I540" s="11">
        <v>2.1500000000000001E-5</v>
      </c>
      <c r="J540">
        <v>0.58339565299999996</v>
      </c>
      <c r="K540">
        <v>2.7068221999999999E-2</v>
      </c>
      <c r="L540">
        <v>3.5545103579999999</v>
      </c>
      <c r="M540">
        <v>1.5246641E-2</v>
      </c>
      <c r="N540">
        <v>3.1554141000000001E-2</v>
      </c>
      <c r="O540">
        <v>9.7275399999999998E-3</v>
      </c>
      <c r="P540">
        <v>7.7672610000000003E-2</v>
      </c>
      <c r="Q540">
        <v>1.6736345180000001</v>
      </c>
      <c r="R540">
        <v>10.19715233</v>
      </c>
      <c r="S540">
        <v>5.1048134000000002E-2</v>
      </c>
      <c r="T540">
        <v>5.2113304999999999E-2</v>
      </c>
      <c r="U540">
        <v>0.39043271600000001</v>
      </c>
      <c r="V540">
        <v>0.43245033399999999</v>
      </c>
      <c r="W540">
        <v>1.1076180769999999</v>
      </c>
      <c r="X540">
        <v>3.208925126</v>
      </c>
      <c r="Y540">
        <v>3.5837728200000001</v>
      </c>
      <c r="Z540">
        <v>0.33378058999999999</v>
      </c>
      <c r="AA540">
        <v>3.6488416000000003E-2</v>
      </c>
      <c r="AB540">
        <v>8.1652670000000004E-3</v>
      </c>
      <c r="AC540">
        <v>3.1275021E-2</v>
      </c>
      <c r="AD540">
        <v>0.88935233000000002</v>
      </c>
      <c r="AE540">
        <v>0.58596974999999996</v>
      </c>
      <c r="AF540">
        <v>1.9027539</v>
      </c>
      <c r="AG540">
        <v>0.57852462599999999</v>
      </c>
      <c r="AH540">
        <v>1.1276377000000001E-2</v>
      </c>
      <c r="AI540">
        <v>0.99222719000000004</v>
      </c>
    </row>
    <row r="541" spans="1:35" x14ac:dyDescent="0.2">
      <c r="A541">
        <v>590</v>
      </c>
      <c r="B541" t="s">
        <v>705</v>
      </c>
      <c r="C541" t="s">
        <v>160</v>
      </c>
      <c r="D541" t="s">
        <v>168</v>
      </c>
      <c r="E541" s="11">
        <v>5.1499999999999998E-6</v>
      </c>
      <c r="F541" s="11">
        <v>1.6300000000000001E-6</v>
      </c>
      <c r="G541">
        <v>0.31693373600000002</v>
      </c>
      <c r="H541">
        <v>-0.27076263499999997</v>
      </c>
      <c r="I541" s="11">
        <v>6.7800000000000003E-6</v>
      </c>
      <c r="J541">
        <v>0.29193312900000001</v>
      </c>
      <c r="K541">
        <v>1.228842E-2</v>
      </c>
      <c r="L541">
        <v>1.776175614</v>
      </c>
      <c r="M541">
        <v>1.2814127E-2</v>
      </c>
      <c r="N541">
        <v>1.4232584E-2</v>
      </c>
      <c r="O541">
        <v>4.416105E-3</v>
      </c>
      <c r="P541">
        <v>7.3116159999999999E-2</v>
      </c>
      <c r="Q541">
        <v>0.94085341199999994</v>
      </c>
      <c r="R541">
        <v>5.791352786</v>
      </c>
      <c r="S541">
        <v>1.1989853999999999E-2</v>
      </c>
      <c r="T541">
        <v>1.1045184E-2</v>
      </c>
      <c r="U541">
        <v>9.1702301999999999E-2</v>
      </c>
      <c r="V541">
        <v>9.1655934999999994E-2</v>
      </c>
      <c r="W541">
        <v>0.99949437500000005</v>
      </c>
      <c r="X541">
        <v>3.5696538969999998</v>
      </c>
      <c r="Y541">
        <v>2.1618540940000002</v>
      </c>
      <c r="Z541">
        <v>0.30133470000000001</v>
      </c>
      <c r="AA541">
        <v>2.2319234E-2</v>
      </c>
      <c r="AB541">
        <v>0.17840171599999999</v>
      </c>
      <c r="AC541">
        <v>1.9189927999999998E-2</v>
      </c>
      <c r="AD541">
        <v>0.87329669499999996</v>
      </c>
      <c r="AE541">
        <v>0.35338165700000002</v>
      </c>
      <c r="AF541">
        <v>1.2963612840000001</v>
      </c>
      <c r="AG541">
        <v>0.56845586000000004</v>
      </c>
      <c r="AH541">
        <v>6.9190320000000003E-3</v>
      </c>
      <c r="AI541">
        <v>0.68063627000000004</v>
      </c>
    </row>
    <row r="542" spans="1:35" x14ac:dyDescent="0.2">
      <c r="A542">
        <v>592</v>
      </c>
      <c r="B542" t="s">
        <v>706</v>
      </c>
      <c r="C542" t="s">
        <v>162</v>
      </c>
      <c r="D542" t="s">
        <v>132</v>
      </c>
      <c r="E542" s="11">
        <v>9.8400000000000007E-6</v>
      </c>
      <c r="F542" s="11">
        <v>3.1200000000000002E-6</v>
      </c>
      <c r="G542">
        <v>0.31663773099999998</v>
      </c>
      <c r="H542">
        <v>-0.372304315</v>
      </c>
      <c r="I542" s="11">
        <v>1.2999999999999999E-5</v>
      </c>
      <c r="J542">
        <v>0.40772114500000001</v>
      </c>
      <c r="K542">
        <v>1.2426213E-2</v>
      </c>
      <c r="L542">
        <v>2.4711792969999999</v>
      </c>
      <c r="M542">
        <v>8.4011339999999993E-3</v>
      </c>
      <c r="N542">
        <v>1.4434102000000001E-2</v>
      </c>
      <c r="O542">
        <v>4.4656239999999996E-3</v>
      </c>
      <c r="P542">
        <v>3.8129969999999999E-2</v>
      </c>
      <c r="Q542">
        <v>1.2667158380000001</v>
      </c>
      <c r="R542">
        <v>7.6765549719999999</v>
      </c>
      <c r="S542">
        <v>2.2134800999999999E-2</v>
      </c>
      <c r="T542">
        <v>2.0126542000000001E-2</v>
      </c>
      <c r="U542">
        <v>0.169294154</v>
      </c>
      <c r="V542">
        <v>0.16701550100000001</v>
      </c>
      <c r="W542">
        <v>0.98654027399999999</v>
      </c>
      <c r="X542">
        <v>4.225719636</v>
      </c>
      <c r="Y542">
        <v>2.2471648069999999</v>
      </c>
      <c r="Z542">
        <v>0.31322189</v>
      </c>
      <c r="AA542">
        <v>1.054717E-2</v>
      </c>
      <c r="AB542">
        <v>-9.9687609999999996E-2</v>
      </c>
      <c r="AC542">
        <v>9.0438299999999992E-3</v>
      </c>
      <c r="AD542">
        <v>0.88619170599999997</v>
      </c>
      <c r="AE542">
        <v>0.37362155600000002</v>
      </c>
      <c r="AF542">
        <v>1.2639918889999999</v>
      </c>
      <c r="AG542">
        <v>0.19507073599999999</v>
      </c>
      <c r="AH542">
        <v>3.2608020000000001E-3</v>
      </c>
      <c r="AI542">
        <v>0.65030552399999997</v>
      </c>
    </row>
    <row r="543" spans="1:35" x14ac:dyDescent="0.2">
      <c r="A543">
        <v>593</v>
      </c>
      <c r="B543" t="s">
        <v>707</v>
      </c>
      <c r="C543" t="s">
        <v>162</v>
      </c>
      <c r="D543" t="s">
        <v>140</v>
      </c>
      <c r="E543" s="11">
        <v>1.0900000000000001E-5</v>
      </c>
      <c r="F543" s="11">
        <v>3.4599999999999999E-6</v>
      </c>
      <c r="G543">
        <v>0.315917789</v>
      </c>
      <c r="H543">
        <v>-0.29630542199999998</v>
      </c>
      <c r="I543" s="11">
        <v>1.4399999999999999E-5</v>
      </c>
      <c r="J543">
        <v>0.31561905899999998</v>
      </c>
      <c r="K543">
        <v>8.5231950000000008E-3</v>
      </c>
      <c r="L543">
        <v>1.910760746</v>
      </c>
      <c r="M543">
        <v>8.9207079999999994E-3</v>
      </c>
      <c r="N543">
        <v>9.9177039999999994E-3</v>
      </c>
      <c r="O543">
        <v>3.0629910000000002E-3</v>
      </c>
      <c r="P543">
        <v>2.6528679999999999E-2</v>
      </c>
      <c r="Q543">
        <v>0.98241116299999998</v>
      </c>
      <c r="R543">
        <v>5.9475243359999999</v>
      </c>
      <c r="S543">
        <v>1.6782136999999999E-2</v>
      </c>
      <c r="T543">
        <v>1.6168030999999999E-2</v>
      </c>
      <c r="U543">
        <v>0.12835523800000001</v>
      </c>
      <c r="V543">
        <v>0.134166707</v>
      </c>
      <c r="W543">
        <v>1.0452764459999999</v>
      </c>
      <c r="X543">
        <v>4.3805076349999998</v>
      </c>
      <c r="Y543">
        <v>1.9607855000000001</v>
      </c>
      <c r="Z543">
        <v>0.314452919</v>
      </c>
      <c r="AA543">
        <v>8.7347569999999992E-3</v>
      </c>
      <c r="AB543">
        <v>2.5512608999999999E-2</v>
      </c>
      <c r="AC543">
        <v>7.4872669999999997E-3</v>
      </c>
      <c r="AD543">
        <v>0.86814568299999995</v>
      </c>
      <c r="AE543">
        <v>0.32624401200000003</v>
      </c>
      <c r="AF543">
        <v>1.1180706199999999</v>
      </c>
      <c r="AG543">
        <v>0.163618926</v>
      </c>
      <c r="AH543">
        <v>2.6995740000000002E-3</v>
      </c>
      <c r="AI543">
        <v>0.57481451800000005</v>
      </c>
    </row>
    <row r="544" spans="1:35" x14ac:dyDescent="0.2">
      <c r="A544">
        <v>594</v>
      </c>
      <c r="B544" t="s">
        <v>708</v>
      </c>
      <c r="C544" t="s">
        <v>162</v>
      </c>
      <c r="D544" t="s">
        <v>146</v>
      </c>
      <c r="E544" s="11">
        <v>1.7399999999999999E-5</v>
      </c>
      <c r="F544" s="11">
        <v>5.5199999999999997E-6</v>
      </c>
      <c r="G544">
        <v>0.318103054</v>
      </c>
      <c r="H544">
        <v>0.19304450500000001</v>
      </c>
      <c r="I544" s="11">
        <v>2.2900000000000001E-5</v>
      </c>
      <c r="J544">
        <v>0.51069174299999998</v>
      </c>
      <c r="K544">
        <v>1.6087488E-2</v>
      </c>
      <c r="L544">
        <v>3.0963254330000001</v>
      </c>
      <c r="M544">
        <v>1.0373781E-2</v>
      </c>
      <c r="N544">
        <v>1.8749279000000001E-2</v>
      </c>
      <c r="O544">
        <v>5.7813810000000004E-3</v>
      </c>
      <c r="P544">
        <v>4.8459170000000003E-2</v>
      </c>
      <c r="Q544">
        <v>1.538356847</v>
      </c>
      <c r="R544">
        <v>9.3270594140000007</v>
      </c>
      <c r="S544">
        <v>3.1684336E-2</v>
      </c>
      <c r="T544">
        <v>3.0842182999999999E-2</v>
      </c>
      <c r="U544">
        <v>0.242332098</v>
      </c>
      <c r="V544">
        <v>0.25593679699999999</v>
      </c>
      <c r="W544">
        <v>1.0561407220000001</v>
      </c>
      <c r="X544">
        <v>3.5565964729999999</v>
      </c>
      <c r="Y544">
        <v>4.6050709830000001</v>
      </c>
      <c r="Z544">
        <v>0.32356004100000002</v>
      </c>
      <c r="AA544">
        <v>2.390405E-2</v>
      </c>
      <c r="AB544">
        <v>0.32762699099999998</v>
      </c>
      <c r="AC544">
        <v>2.0462133E-2</v>
      </c>
      <c r="AD544">
        <v>0.88862147800000002</v>
      </c>
      <c r="AE544">
        <v>0.76452443599999997</v>
      </c>
      <c r="AF544">
        <v>2.370212312</v>
      </c>
      <c r="AG544">
        <v>0.40458349799999999</v>
      </c>
      <c r="AH544">
        <v>7.3777319999999997E-3</v>
      </c>
      <c r="AI544">
        <v>1.2212492939999999</v>
      </c>
    </row>
    <row r="545" spans="1:35" x14ac:dyDescent="0.2">
      <c r="A545">
        <v>595</v>
      </c>
      <c r="B545" t="s">
        <v>709</v>
      </c>
      <c r="C545" t="s">
        <v>162</v>
      </c>
      <c r="D545" t="s">
        <v>150</v>
      </c>
      <c r="E545" s="11">
        <v>1.7399999999999999E-5</v>
      </c>
      <c r="F545" s="11">
        <v>5.5199999999999997E-6</v>
      </c>
      <c r="G545">
        <v>0.316905561</v>
      </c>
      <c r="H545">
        <v>0.223560852</v>
      </c>
      <c r="I545" s="11">
        <v>2.2900000000000001E-5</v>
      </c>
      <c r="J545">
        <v>0.50883614499999996</v>
      </c>
      <c r="K545">
        <v>1.6007935000000001E-2</v>
      </c>
      <c r="L545">
        <v>3.0850327389999999</v>
      </c>
      <c r="M545">
        <v>1.0389521000000001E-2</v>
      </c>
      <c r="N545">
        <v>1.8656433E-2</v>
      </c>
      <c r="O545">
        <v>5.7527910000000002E-3</v>
      </c>
      <c r="P545">
        <v>4.8236469999999997E-2</v>
      </c>
      <c r="Q545">
        <v>1.5333057480000001</v>
      </c>
      <c r="R545">
        <v>9.2963074280000004</v>
      </c>
      <c r="S545">
        <v>3.0260459999999999E-2</v>
      </c>
      <c r="T545">
        <v>3.0672953999999999E-2</v>
      </c>
      <c r="U545">
        <v>0.23144183500000001</v>
      </c>
      <c r="V545">
        <v>0.25453248899999997</v>
      </c>
      <c r="W545">
        <v>1.099768713</v>
      </c>
      <c r="X545">
        <v>3.56228444</v>
      </c>
      <c r="Y545">
        <v>4.5780876790000002</v>
      </c>
      <c r="Z545">
        <v>0.32315000399999999</v>
      </c>
      <c r="AA545">
        <v>2.3738744999999999E-2</v>
      </c>
      <c r="AB545">
        <v>0.3261307</v>
      </c>
      <c r="AC545">
        <v>2.0320603E-2</v>
      </c>
      <c r="AD545">
        <v>0.88854403000000004</v>
      </c>
      <c r="AE545">
        <v>0.76005740700000002</v>
      </c>
      <c r="AF545">
        <v>2.3589045679999998</v>
      </c>
      <c r="AG545">
        <v>0.40221973700000002</v>
      </c>
      <c r="AH545">
        <v>7.3267030000000004E-3</v>
      </c>
      <c r="AI545">
        <v>1.2154027679999999</v>
      </c>
    </row>
    <row r="546" spans="1:35" x14ac:dyDescent="0.2">
      <c r="A546">
        <v>596</v>
      </c>
      <c r="B546" t="s">
        <v>710</v>
      </c>
      <c r="C546" t="s">
        <v>162</v>
      </c>
      <c r="D546" t="s">
        <v>158</v>
      </c>
      <c r="E546" s="11">
        <v>6.19E-6</v>
      </c>
      <c r="F546" s="11">
        <v>1.9199999999999998E-6</v>
      </c>
      <c r="G546">
        <v>0.31010499400000002</v>
      </c>
      <c r="H546">
        <v>-9.5238216000000001E-2</v>
      </c>
      <c r="I546" s="11">
        <v>8.1200000000000002E-6</v>
      </c>
      <c r="J546">
        <v>0.20805188799999999</v>
      </c>
      <c r="K546">
        <v>4.0970169999999997E-3</v>
      </c>
      <c r="L546">
        <v>1.2565053639999999</v>
      </c>
      <c r="M546">
        <v>6.5005430000000001E-3</v>
      </c>
      <c r="N546">
        <v>4.7515589999999998E-3</v>
      </c>
      <c r="O546">
        <v>1.4723500000000001E-3</v>
      </c>
      <c r="P546">
        <v>1.2971480000000001E-2</v>
      </c>
      <c r="Q546">
        <v>0.65855198199999998</v>
      </c>
      <c r="R546">
        <v>3.9772548579999998</v>
      </c>
      <c r="S546">
        <v>8.939799E-3</v>
      </c>
      <c r="T546">
        <v>7.9984849999999996E-3</v>
      </c>
      <c r="U546">
        <v>6.8374488999999997E-2</v>
      </c>
      <c r="V546">
        <v>6.6373602000000004E-2</v>
      </c>
      <c r="W546">
        <v>0.97073635199999997</v>
      </c>
      <c r="X546">
        <v>4.2072430589999996</v>
      </c>
      <c r="Y546">
        <v>1.7496954709999999</v>
      </c>
      <c r="Z546">
        <v>0.315409298</v>
      </c>
      <c r="AA546">
        <v>1.0761924000000001E-2</v>
      </c>
      <c r="AB546">
        <v>0.281871969</v>
      </c>
      <c r="AC546">
        <v>9.2500480000000003E-3</v>
      </c>
      <c r="AD546">
        <v>0.86879411600000001</v>
      </c>
      <c r="AE546">
        <v>0.28961572699999999</v>
      </c>
      <c r="AF546">
        <v>1.2741861210000001</v>
      </c>
      <c r="AG546">
        <v>0.343444474</v>
      </c>
      <c r="AH546">
        <v>3.3351549999999998E-3</v>
      </c>
      <c r="AI546">
        <v>0.66239776400000006</v>
      </c>
    </row>
    <row r="547" spans="1:35" x14ac:dyDescent="0.2">
      <c r="A547">
        <v>597</v>
      </c>
      <c r="B547" t="s">
        <v>711</v>
      </c>
      <c r="C547" t="s">
        <v>162</v>
      </c>
      <c r="D547" t="s">
        <v>168</v>
      </c>
      <c r="E547" s="11">
        <v>8.9299999999999992E-6</v>
      </c>
      <c r="F547" s="11">
        <v>2.7800000000000001E-6</v>
      </c>
      <c r="G547">
        <v>0.31120425800000001</v>
      </c>
      <c r="H547">
        <v>-0.692964252</v>
      </c>
      <c r="I547" s="11">
        <v>1.17E-5</v>
      </c>
      <c r="J547">
        <v>0.46300460999999998</v>
      </c>
      <c r="K547">
        <v>1.7054158999999999E-2</v>
      </c>
      <c r="L547">
        <v>2.8121359780000001</v>
      </c>
      <c r="M547">
        <v>8.4038440000000006E-3</v>
      </c>
      <c r="N547">
        <v>1.9813348000000001E-2</v>
      </c>
      <c r="O547">
        <v>6.128774E-3</v>
      </c>
      <c r="P547">
        <v>7.5780479999999997E-2</v>
      </c>
      <c r="Q547">
        <v>1.594376043</v>
      </c>
      <c r="R547">
        <v>9.7178172140000001</v>
      </c>
      <c r="S547">
        <v>1.8366196000000001E-2</v>
      </c>
      <c r="T547">
        <v>1.7099843E-2</v>
      </c>
      <c r="U547">
        <v>0.14047063800000001</v>
      </c>
      <c r="V547">
        <v>0.14189913600000001</v>
      </c>
      <c r="W547">
        <v>1.0101693709999999</v>
      </c>
      <c r="X547">
        <v>3.9610004399999998</v>
      </c>
      <c r="Y547">
        <v>2.7610691219999999</v>
      </c>
      <c r="Z547">
        <v>0.30654569100000001</v>
      </c>
      <c r="AA547">
        <v>1.4548725E-2</v>
      </c>
      <c r="AB547">
        <v>-1.8495319999999999E-2</v>
      </c>
      <c r="AC547">
        <v>1.2492203E-2</v>
      </c>
      <c r="AD547">
        <v>0.87375626399999995</v>
      </c>
      <c r="AE547">
        <v>0.45825587099999998</v>
      </c>
      <c r="AF547">
        <v>1.6063243780000001</v>
      </c>
      <c r="AG547">
        <v>0.39583592400000001</v>
      </c>
      <c r="AH547">
        <v>4.5041309999999998E-3</v>
      </c>
      <c r="AI547">
        <v>0.83333092900000005</v>
      </c>
    </row>
    <row r="548" spans="1:35" x14ac:dyDescent="0.2">
      <c r="A548">
        <v>598</v>
      </c>
      <c r="B548" t="s">
        <v>712</v>
      </c>
      <c r="C548" t="s">
        <v>218</v>
      </c>
      <c r="D548" t="s">
        <v>129</v>
      </c>
      <c r="E548" s="11">
        <v>7.5000000000000002E-6</v>
      </c>
      <c r="F548" s="11">
        <v>2.3199999999999998E-6</v>
      </c>
      <c r="G548">
        <v>0.30874076900000003</v>
      </c>
      <c r="H548">
        <v>0.62545272600000001</v>
      </c>
      <c r="I548" s="11">
        <v>9.8200000000000008E-6</v>
      </c>
      <c r="J548">
        <v>0.623636364</v>
      </c>
      <c r="K548">
        <v>1.2472727269999999</v>
      </c>
      <c r="L548">
        <v>6.2363636360000001</v>
      </c>
      <c r="M548">
        <v>0.39976374599999998</v>
      </c>
      <c r="N548">
        <v>3.1469362000000001E-2</v>
      </c>
      <c r="O548">
        <v>9.7402070000000007E-3</v>
      </c>
      <c r="P548">
        <v>1.1275536100000001</v>
      </c>
      <c r="Q548">
        <v>2.1377258229999998</v>
      </c>
      <c r="R548">
        <v>15.081462159999999</v>
      </c>
      <c r="S548">
        <v>2.7872785000000001E-2</v>
      </c>
      <c r="T548">
        <v>2.4745115000000002E-2</v>
      </c>
      <c r="U548">
        <v>0.213180115</v>
      </c>
      <c r="V548">
        <v>0.205341675</v>
      </c>
      <c r="W548">
        <v>0.96323090499999997</v>
      </c>
      <c r="X548">
        <v>2.9592102869999999</v>
      </c>
      <c r="Y548">
        <v>11.25016682</v>
      </c>
      <c r="Z548">
        <v>0.32852743200000001</v>
      </c>
      <c r="AA548">
        <v>5.0656623999999997E-2</v>
      </c>
      <c r="AB548">
        <v>0.44566478599999998</v>
      </c>
      <c r="AC548">
        <v>1.2422030159999999</v>
      </c>
      <c r="AD548">
        <v>0.87148546199999999</v>
      </c>
      <c r="AE548">
        <v>1.1389419140000001</v>
      </c>
      <c r="AF548">
        <v>3.8624257800000001</v>
      </c>
      <c r="AG548">
        <v>11.570395980000001</v>
      </c>
      <c r="AH548">
        <v>1.5679071999999999E-2</v>
      </c>
      <c r="AI548">
        <v>2.520439192</v>
      </c>
    </row>
    <row r="549" spans="1:35" x14ac:dyDescent="0.2">
      <c r="A549">
        <v>599</v>
      </c>
      <c r="B549" t="s">
        <v>713</v>
      </c>
      <c r="C549" t="s">
        <v>218</v>
      </c>
      <c r="D549" t="s">
        <v>130</v>
      </c>
      <c r="E549" s="11">
        <v>9.4099999999999997E-6</v>
      </c>
      <c r="F549" s="11">
        <v>2.96E-6</v>
      </c>
      <c r="G549">
        <v>0.31407004599999999</v>
      </c>
      <c r="H549">
        <v>0.733194762</v>
      </c>
      <c r="I549" s="11">
        <v>1.24E-5</v>
      </c>
      <c r="J549">
        <v>0.515926997</v>
      </c>
      <c r="K549">
        <v>9.5297639999999996E-3</v>
      </c>
      <c r="L549">
        <v>3.114621509</v>
      </c>
      <c r="M549">
        <v>6.124745E-3</v>
      </c>
      <c r="N549">
        <v>1.1083347E-2</v>
      </c>
      <c r="O549">
        <v>3.4247230000000002E-3</v>
      </c>
      <c r="P549">
        <v>2.9509770000000001E-2</v>
      </c>
      <c r="Q549">
        <v>1.5976684050000001</v>
      </c>
      <c r="R549">
        <v>9.6450299699999995</v>
      </c>
      <c r="S549">
        <v>1.8619258E-2</v>
      </c>
      <c r="T549">
        <v>1.7904028999999998E-2</v>
      </c>
      <c r="U549">
        <v>0.14240613599999999</v>
      </c>
      <c r="V549">
        <v>0.148572485</v>
      </c>
      <c r="W549">
        <v>1.043301147</v>
      </c>
      <c r="X549">
        <v>3.0955742690000001</v>
      </c>
      <c r="Y549">
        <v>8.4213808809999993</v>
      </c>
      <c r="Z549">
        <v>0.33936796699999999</v>
      </c>
      <c r="AA549">
        <v>4.1933941000000002E-2</v>
      </c>
      <c r="AB549">
        <v>0.63015311200000002</v>
      </c>
      <c r="AC549">
        <v>3.5908911000000002E-2</v>
      </c>
      <c r="AD549">
        <v>0.87815063500000001</v>
      </c>
      <c r="AE549">
        <v>1.3989872430000001</v>
      </c>
      <c r="AF549">
        <v>3.866078967</v>
      </c>
      <c r="AG549">
        <v>0.63276684100000002</v>
      </c>
      <c r="AH549">
        <v>1.2947151E-2</v>
      </c>
      <c r="AI549">
        <v>1.9907247450000001</v>
      </c>
    </row>
    <row r="550" spans="1:35" x14ac:dyDescent="0.2">
      <c r="A550">
        <v>600</v>
      </c>
      <c r="B550" t="s">
        <v>714</v>
      </c>
      <c r="C550" t="s">
        <v>218</v>
      </c>
      <c r="D550" t="s">
        <v>132</v>
      </c>
      <c r="E550" s="11">
        <v>7.9899999999999997E-6</v>
      </c>
      <c r="F550" s="11">
        <v>2.61E-6</v>
      </c>
      <c r="G550">
        <v>0.32610325299999998</v>
      </c>
      <c r="H550">
        <v>0.37190055500000002</v>
      </c>
      <c r="I550" s="11">
        <v>1.06E-5</v>
      </c>
      <c r="J550">
        <v>0.54857682200000002</v>
      </c>
      <c r="K550">
        <v>1.8796305999999999E-2</v>
      </c>
      <c r="L550">
        <v>3.3290535409999999</v>
      </c>
      <c r="M550">
        <v>2.9582020000000001E-3</v>
      </c>
      <c r="N550">
        <v>2.1794225E-2</v>
      </c>
      <c r="O550">
        <v>6.7548520000000004E-3</v>
      </c>
      <c r="P550">
        <v>5.5826180000000003E-2</v>
      </c>
      <c r="Q550">
        <v>1.738170175</v>
      </c>
      <c r="R550">
        <v>10.54067341</v>
      </c>
      <c r="S550">
        <v>2.1844249999999999E-2</v>
      </c>
      <c r="T550">
        <v>2.0762441999999999E-2</v>
      </c>
      <c r="U550">
        <v>0.16707192100000001</v>
      </c>
      <c r="V550">
        <v>0.172292371</v>
      </c>
      <c r="W550">
        <v>1.031246723</v>
      </c>
      <c r="X550">
        <v>3.672730643</v>
      </c>
      <c r="Y550">
        <v>4.1339514590000004</v>
      </c>
      <c r="Z550">
        <v>0.32309374600000001</v>
      </c>
      <c r="AA550">
        <v>1.8616794999999998E-2</v>
      </c>
      <c r="AB550">
        <v>0.19470425</v>
      </c>
      <c r="AC550">
        <v>1.5969404999999999E-2</v>
      </c>
      <c r="AD550">
        <v>0.87512573100000002</v>
      </c>
      <c r="AE550">
        <v>0.68775883999999998</v>
      </c>
      <c r="AF550">
        <v>2.07196084</v>
      </c>
      <c r="AG550">
        <v>0.30670603600000002</v>
      </c>
      <c r="AH550">
        <v>5.7578550000000001E-3</v>
      </c>
      <c r="AI550">
        <v>1.0653205240000001</v>
      </c>
    </row>
    <row r="551" spans="1:35" x14ac:dyDescent="0.2">
      <c r="A551">
        <v>601</v>
      </c>
      <c r="B551" t="s">
        <v>715</v>
      </c>
      <c r="C551" t="s">
        <v>218</v>
      </c>
      <c r="D551" t="s">
        <v>134</v>
      </c>
      <c r="E551" s="11">
        <v>1.5099999999999999E-5</v>
      </c>
      <c r="F551" s="11">
        <v>6.6699999999999997E-6</v>
      </c>
      <c r="G551">
        <v>0.44164031799999998</v>
      </c>
      <c r="H551">
        <v>-5.2512332000000002E-2</v>
      </c>
      <c r="I551" s="11">
        <v>2.1800000000000001E-5</v>
      </c>
      <c r="J551">
        <v>1.2728501940000001</v>
      </c>
      <c r="K551">
        <v>4.7664157999999998E-2</v>
      </c>
      <c r="L551">
        <v>7.7324294780000002</v>
      </c>
      <c r="M551">
        <v>1.2327935999999999E-2</v>
      </c>
      <c r="N551">
        <v>5.5583318999999999E-2</v>
      </c>
      <c r="O551">
        <v>1.7129127000000001E-2</v>
      </c>
      <c r="P551">
        <v>0.10058283</v>
      </c>
      <c r="Q551">
        <v>2.6856966330000001</v>
      </c>
      <c r="R551">
        <v>16.31534546</v>
      </c>
      <c r="S551">
        <v>9.1791621000000004E-2</v>
      </c>
      <c r="T551">
        <v>9.2247026999999995E-2</v>
      </c>
      <c r="U551">
        <v>0.70205214599999999</v>
      </c>
      <c r="V551">
        <v>0.76549084700000003</v>
      </c>
      <c r="W551">
        <v>1.0903618079999999</v>
      </c>
      <c r="X551">
        <v>2.8823667560000001</v>
      </c>
      <c r="Y551">
        <v>8.0871043569999994</v>
      </c>
      <c r="Z551">
        <v>0.44143152699999999</v>
      </c>
      <c r="AA551">
        <v>5.6587660999999997E-2</v>
      </c>
      <c r="AB551">
        <v>4.3856844999999998E-2</v>
      </c>
      <c r="AC551">
        <v>4.8439840999999997E-2</v>
      </c>
      <c r="AD551">
        <v>0.90080307299999995</v>
      </c>
      <c r="AE551">
        <v>1.3349253759999999</v>
      </c>
      <c r="AF551">
        <v>2.799063957</v>
      </c>
      <c r="AG551">
        <v>0.64772747399999997</v>
      </c>
      <c r="AH551">
        <v>1.7465245000000001E-2</v>
      </c>
      <c r="AI551">
        <v>1.4505109979999999</v>
      </c>
    </row>
    <row r="552" spans="1:35" x14ac:dyDescent="0.2">
      <c r="A552">
        <v>602</v>
      </c>
      <c r="B552" t="s">
        <v>716</v>
      </c>
      <c r="C552" t="s">
        <v>218</v>
      </c>
      <c r="D552" t="s">
        <v>136</v>
      </c>
      <c r="E552" s="11">
        <v>1.26E-5</v>
      </c>
      <c r="F552" s="11">
        <v>4.3499999999999999E-6</v>
      </c>
      <c r="G552">
        <v>0.34405923700000002</v>
      </c>
      <c r="H552">
        <v>-4.9550813999999999E-2</v>
      </c>
      <c r="I552" s="11">
        <v>1.7E-5</v>
      </c>
      <c r="J552">
        <v>0.98405715999999999</v>
      </c>
      <c r="K552">
        <v>4.6103558000000003E-2</v>
      </c>
      <c r="L552">
        <v>5.996550075</v>
      </c>
      <c r="M552">
        <v>1.5370653E-2</v>
      </c>
      <c r="N552">
        <v>5.3730951999999998E-2</v>
      </c>
      <c r="O552">
        <v>1.6568293000000001E-2</v>
      </c>
      <c r="P552">
        <v>0.1218684</v>
      </c>
      <c r="Q552">
        <v>2.6012194320000002</v>
      </c>
      <c r="R552">
        <v>15.851053390000001</v>
      </c>
      <c r="S552">
        <v>8.8988414000000002E-2</v>
      </c>
      <c r="T552">
        <v>8.1153027000000003E-2</v>
      </c>
      <c r="U552">
        <v>0.68061231300000002</v>
      </c>
      <c r="V552">
        <v>0.67342982900000004</v>
      </c>
      <c r="W552">
        <v>0.98944702600000001</v>
      </c>
      <c r="X552">
        <v>2.9936503920000002</v>
      </c>
      <c r="Y552">
        <v>5.586914159</v>
      </c>
      <c r="Z552">
        <v>0.34979341200000003</v>
      </c>
      <c r="AA552">
        <v>4.8377788999999997E-2</v>
      </c>
      <c r="AB552">
        <v>-7.3320602999999998E-2</v>
      </c>
      <c r="AC552">
        <v>4.1433247999999999E-2</v>
      </c>
      <c r="AD552">
        <v>0.87815145699999997</v>
      </c>
      <c r="AE552">
        <v>0.91735197000000002</v>
      </c>
      <c r="AF552">
        <v>2.4751540799999998</v>
      </c>
      <c r="AG552">
        <v>0.71278460600000004</v>
      </c>
      <c r="AH552">
        <v>1.4938981E-2</v>
      </c>
      <c r="AI552">
        <v>1.289461312</v>
      </c>
    </row>
    <row r="553" spans="1:35" x14ac:dyDescent="0.2">
      <c r="A553">
        <v>603</v>
      </c>
      <c r="B553" t="s">
        <v>717</v>
      </c>
      <c r="C553" t="s">
        <v>218</v>
      </c>
      <c r="D553" t="s">
        <v>138</v>
      </c>
      <c r="E553" s="11">
        <v>1.1199999999999999E-5</v>
      </c>
      <c r="F553" s="11">
        <v>3.6500000000000002E-6</v>
      </c>
      <c r="G553">
        <v>0.32576045799999997</v>
      </c>
      <c r="H553">
        <v>0.93363461599999997</v>
      </c>
      <c r="I553" s="11">
        <v>1.49E-5</v>
      </c>
      <c r="J553">
        <v>0.62434429400000002</v>
      </c>
      <c r="K553">
        <v>2.0322695000000002E-2</v>
      </c>
      <c r="L553">
        <v>3.7867111549999999</v>
      </c>
      <c r="M553">
        <v>1.074277E-2</v>
      </c>
      <c r="N553">
        <v>2.3668193000000001E-2</v>
      </c>
      <c r="O553">
        <v>7.3033919999999997E-3</v>
      </c>
      <c r="P553">
        <v>6.0019280000000001E-2</v>
      </c>
      <c r="Q553">
        <v>1.8439484450000001</v>
      </c>
      <c r="R553">
        <v>11.18372922</v>
      </c>
      <c r="S553">
        <v>4.3952260999999999E-2</v>
      </c>
      <c r="T553">
        <v>3.8860866000000001E-2</v>
      </c>
      <c r="U553">
        <v>0.33616117600000001</v>
      </c>
      <c r="V553">
        <v>0.32247800700000001</v>
      </c>
      <c r="W553">
        <v>0.95929580800000003</v>
      </c>
      <c r="X553">
        <v>2.1598185220000001</v>
      </c>
      <c r="Y553">
        <v>51.758424220000002</v>
      </c>
      <c r="Z553">
        <v>0.40854887400000001</v>
      </c>
      <c r="AA553">
        <v>0.14913607000000001</v>
      </c>
      <c r="AB553">
        <v>0.92683874700000002</v>
      </c>
      <c r="AC553">
        <v>0.13358785000000001</v>
      </c>
      <c r="AD553">
        <v>0.90558380699999996</v>
      </c>
      <c r="AE553">
        <v>8.6515245709999995</v>
      </c>
      <c r="AF553">
        <v>12.375711340000001</v>
      </c>
      <c r="AG553">
        <v>1.5147026610000001</v>
      </c>
      <c r="AH553">
        <v>4.8165819999999998E-2</v>
      </c>
      <c r="AI553">
        <v>6.3476849389999996</v>
      </c>
    </row>
    <row r="554" spans="1:35" x14ac:dyDescent="0.2">
      <c r="A554">
        <v>604</v>
      </c>
      <c r="B554" t="s">
        <v>718</v>
      </c>
      <c r="C554" t="s">
        <v>218</v>
      </c>
      <c r="D554" t="s">
        <v>182</v>
      </c>
      <c r="E554" s="11">
        <v>8.2300000000000008E-6</v>
      </c>
      <c r="F554" s="11">
        <v>2.5600000000000001E-6</v>
      </c>
      <c r="G554">
        <v>0.31168195999999998</v>
      </c>
      <c r="H554">
        <v>1.0408729640000001</v>
      </c>
      <c r="I554" s="11">
        <v>1.08E-5</v>
      </c>
      <c r="J554">
        <v>0.40537993900000002</v>
      </c>
      <c r="K554">
        <v>1.2400995999999999E-2</v>
      </c>
      <c r="L554">
        <v>2.4570816290000002</v>
      </c>
      <c r="M554">
        <v>1.0099787000000001E-2</v>
      </c>
      <c r="N554">
        <v>1.4395362E-2</v>
      </c>
      <c r="O554">
        <v>4.4565610000000004E-3</v>
      </c>
      <c r="P554">
        <v>3.7876809999999997E-2</v>
      </c>
      <c r="Q554">
        <v>1.2644954799999999</v>
      </c>
      <c r="R554">
        <v>7.6627265060000003</v>
      </c>
      <c r="S554">
        <v>2.1230002000000001E-2</v>
      </c>
      <c r="T554">
        <v>1.9423851999999998E-2</v>
      </c>
      <c r="U554">
        <v>0.16237395499999999</v>
      </c>
      <c r="V554">
        <v>0.16118438900000001</v>
      </c>
      <c r="W554">
        <v>0.99267391100000002</v>
      </c>
      <c r="X554">
        <v>2.0279622229999998</v>
      </c>
      <c r="Y554">
        <v>113.18317209999999</v>
      </c>
      <c r="Z554">
        <v>0.59223163000000001</v>
      </c>
      <c r="AA554">
        <v>0.186513705</v>
      </c>
      <c r="AB554">
        <v>0.97829110500000005</v>
      </c>
      <c r="AC554">
        <v>9.9593505279999999</v>
      </c>
      <c r="AD554">
        <v>0.96073406900000002</v>
      </c>
      <c r="AE554">
        <v>13.009717999999999</v>
      </c>
      <c r="AF554">
        <v>17.310035060000001</v>
      </c>
      <c r="AG554">
        <v>61.65796855</v>
      </c>
      <c r="AH554">
        <v>5.7961097000000003E-2</v>
      </c>
      <c r="AI554">
        <v>11.772171760000001</v>
      </c>
    </row>
    <row r="555" spans="1:35" x14ac:dyDescent="0.2">
      <c r="A555">
        <v>605</v>
      </c>
      <c r="B555" t="s">
        <v>719</v>
      </c>
      <c r="C555" t="s">
        <v>218</v>
      </c>
      <c r="D555" t="s">
        <v>188</v>
      </c>
      <c r="E555" s="11">
        <v>9.2900000000000008E-6</v>
      </c>
      <c r="F555" s="11">
        <v>2.9299999999999999E-6</v>
      </c>
      <c r="G555">
        <v>0.31537125900000001</v>
      </c>
      <c r="H555">
        <v>1.0470799959999999</v>
      </c>
      <c r="I555" s="11">
        <v>1.22E-5</v>
      </c>
      <c r="J555">
        <v>0.401490603</v>
      </c>
      <c r="K555">
        <v>1.2145606999999999E-2</v>
      </c>
      <c r="L555">
        <v>2.4332348339999998</v>
      </c>
      <c r="M555">
        <v>8.2280540000000003E-3</v>
      </c>
      <c r="N555">
        <v>1.4103460999999999E-2</v>
      </c>
      <c r="O555">
        <v>4.3647820000000002E-3</v>
      </c>
      <c r="P555">
        <v>3.7206400000000001E-2</v>
      </c>
      <c r="Q555">
        <v>1.2438426709999999</v>
      </c>
      <c r="R555">
        <v>7.5374688159999996</v>
      </c>
      <c r="S555">
        <v>2.3100776999999999E-2</v>
      </c>
      <c r="T555">
        <v>2.0986980999999998E-2</v>
      </c>
      <c r="U555">
        <v>0.17668225300000001</v>
      </c>
      <c r="V555">
        <v>0.17415566299999999</v>
      </c>
      <c r="W555">
        <v>0.98569980899999998</v>
      </c>
      <c r="X555">
        <v>2.0282864940000001</v>
      </c>
      <c r="Y555">
        <v>140.39915350000001</v>
      </c>
      <c r="Z555">
        <v>0.48769948499999999</v>
      </c>
      <c r="AA555">
        <v>0.17604523699999999</v>
      </c>
      <c r="AB555">
        <v>0.98266916299999996</v>
      </c>
      <c r="AC555">
        <v>9.9593509529999995</v>
      </c>
      <c r="AD555">
        <v>0.94106035499999996</v>
      </c>
      <c r="AE555">
        <v>17.601860309999999</v>
      </c>
      <c r="AF555">
        <v>16.391855039999999</v>
      </c>
      <c r="AG555">
        <v>63.562443850000001</v>
      </c>
      <c r="AH555">
        <v>5.7934714999999998E-2</v>
      </c>
      <c r="AI555">
        <v>11.39924238</v>
      </c>
    </row>
    <row r="556" spans="1:35" x14ac:dyDescent="0.2">
      <c r="A556">
        <v>606</v>
      </c>
      <c r="B556" t="s">
        <v>720</v>
      </c>
      <c r="C556" t="s">
        <v>218</v>
      </c>
      <c r="D556" t="s">
        <v>140</v>
      </c>
      <c r="E556" s="11">
        <v>1.04E-5</v>
      </c>
      <c r="F556" s="11">
        <v>3.2600000000000001E-6</v>
      </c>
      <c r="G556">
        <v>0.31462349099999998</v>
      </c>
      <c r="H556">
        <v>-7.2711368999999998E-2</v>
      </c>
      <c r="I556" s="11">
        <v>1.36E-5</v>
      </c>
      <c r="J556">
        <v>0.48473190300000002</v>
      </c>
      <c r="K556">
        <v>1.5138591999999999E-2</v>
      </c>
      <c r="L556">
        <v>2.9386686009999998</v>
      </c>
      <c r="M556">
        <v>1.0290039000000001E-2</v>
      </c>
      <c r="N556">
        <v>1.761822E-2</v>
      </c>
      <c r="O556">
        <v>5.4403749999999999E-3</v>
      </c>
      <c r="P556">
        <v>4.5728610000000003E-2</v>
      </c>
      <c r="Q556">
        <v>1.4643362040000001</v>
      </c>
      <c r="R556">
        <v>8.8774744499999994</v>
      </c>
      <c r="S556">
        <v>2.7680960000000001E-2</v>
      </c>
      <c r="T556">
        <v>2.8361095999999999E-2</v>
      </c>
      <c r="U556">
        <v>0.211712979</v>
      </c>
      <c r="V556">
        <v>0.23534806699999999</v>
      </c>
      <c r="W556">
        <v>1.1116374069999999</v>
      </c>
      <c r="X556">
        <v>3.8072626700000001</v>
      </c>
      <c r="Y556">
        <v>3.6071195380000001</v>
      </c>
      <c r="Z556">
        <v>0.32436357399999999</v>
      </c>
      <c r="AA556">
        <v>1.5417708E-2</v>
      </c>
      <c r="AB556">
        <v>0.185314329</v>
      </c>
      <c r="AC556">
        <v>1.3220858E-2</v>
      </c>
      <c r="AD556">
        <v>0.85730505099999998</v>
      </c>
      <c r="AE556">
        <v>0.60054672899999995</v>
      </c>
      <c r="AF556">
        <v>1.8327637699999999</v>
      </c>
      <c r="AG556">
        <v>0.25725494999999998</v>
      </c>
      <c r="AH556">
        <v>4.7668509999999999E-3</v>
      </c>
      <c r="AI556">
        <v>0.94165231800000004</v>
      </c>
    </row>
    <row r="557" spans="1:35" x14ac:dyDescent="0.2">
      <c r="A557">
        <v>607</v>
      </c>
      <c r="B557" t="s">
        <v>721</v>
      </c>
      <c r="C557" t="s">
        <v>218</v>
      </c>
      <c r="D557" t="s">
        <v>191</v>
      </c>
      <c r="E557" s="11">
        <v>1.01E-5</v>
      </c>
      <c r="F557" s="11">
        <v>3.2399999999999999E-6</v>
      </c>
      <c r="G557">
        <v>0.32035796300000002</v>
      </c>
      <c r="H557">
        <v>-0.178311415</v>
      </c>
      <c r="I557" s="11">
        <v>1.34E-5</v>
      </c>
      <c r="J557">
        <v>0.42066569300000001</v>
      </c>
      <c r="K557">
        <v>1.2664844E-2</v>
      </c>
      <c r="L557">
        <v>2.5493238489999999</v>
      </c>
      <c r="M557">
        <v>9.9260839999999999E-3</v>
      </c>
      <c r="N557">
        <v>1.4737549000000001E-2</v>
      </c>
      <c r="O557">
        <v>4.5513810000000002E-3</v>
      </c>
      <c r="P557">
        <v>3.8682609999999999E-2</v>
      </c>
      <c r="Q557">
        <v>1.284907389</v>
      </c>
      <c r="R557">
        <v>7.7868095559999997</v>
      </c>
      <c r="S557">
        <v>2.4768845000000001E-2</v>
      </c>
      <c r="T557">
        <v>2.3848874999999999E-2</v>
      </c>
      <c r="U557">
        <v>0.18944017899999999</v>
      </c>
      <c r="V557">
        <v>0.19790443199999999</v>
      </c>
      <c r="W557">
        <v>1.0446803469999999</v>
      </c>
      <c r="X557">
        <v>3.9253048449999999</v>
      </c>
      <c r="Y557">
        <v>3.2258092029999998</v>
      </c>
      <c r="Z557">
        <v>0.32288755699999999</v>
      </c>
      <c r="AA557">
        <v>1.3060893000000001E-2</v>
      </c>
      <c r="AB557">
        <v>0.209710281</v>
      </c>
      <c r="AC557">
        <v>1.1201726E-2</v>
      </c>
      <c r="AD557">
        <v>0.85246073200000005</v>
      </c>
      <c r="AE557">
        <v>0.53744256700000004</v>
      </c>
      <c r="AF557">
        <v>1.6550864949999999</v>
      </c>
      <c r="AG557">
        <v>0.219946963</v>
      </c>
      <c r="AH557">
        <v>4.0388430000000003E-3</v>
      </c>
      <c r="AI557">
        <v>0.84976273499999999</v>
      </c>
    </row>
    <row r="558" spans="1:35" x14ac:dyDescent="0.2">
      <c r="A558">
        <v>608</v>
      </c>
      <c r="B558" t="s">
        <v>722</v>
      </c>
      <c r="C558" t="s">
        <v>218</v>
      </c>
      <c r="D558" t="s">
        <v>193</v>
      </c>
      <c r="E558" s="11">
        <v>8.8799999999999997E-6</v>
      </c>
      <c r="F558" s="11">
        <v>2.7800000000000001E-6</v>
      </c>
      <c r="G558">
        <v>0.31304133899999997</v>
      </c>
      <c r="H558">
        <v>0.116890999</v>
      </c>
      <c r="I558" s="11">
        <v>1.17E-5</v>
      </c>
      <c r="J558">
        <v>0.30680079300000002</v>
      </c>
      <c r="K558">
        <v>8.1625870000000007E-3</v>
      </c>
      <c r="L558">
        <v>1.8571299299999999</v>
      </c>
      <c r="M558">
        <v>8.7721910000000004E-3</v>
      </c>
      <c r="N558">
        <v>9.4892759999999996E-3</v>
      </c>
      <c r="O558">
        <v>2.9333990000000002E-3</v>
      </c>
      <c r="P558">
        <v>2.5424249999999999E-2</v>
      </c>
      <c r="Q558">
        <v>0.955693236</v>
      </c>
      <c r="R558">
        <v>5.7850079179999998</v>
      </c>
      <c r="S558">
        <v>1.5966702999999999E-2</v>
      </c>
      <c r="T558">
        <v>1.5309524999999999E-2</v>
      </c>
      <c r="U558">
        <v>0.122118531</v>
      </c>
      <c r="V558">
        <v>0.12704259000000001</v>
      </c>
      <c r="W558">
        <v>1.0403219640000001</v>
      </c>
      <c r="X558">
        <v>4.2156938869999996</v>
      </c>
      <c r="Y558">
        <v>2.5286607839999999</v>
      </c>
      <c r="Z558">
        <v>0.31808356799999998</v>
      </c>
      <c r="AA558">
        <v>8.6804429999999995E-3</v>
      </c>
      <c r="AB558">
        <v>0.265567789</v>
      </c>
      <c r="AC558">
        <v>7.4511630000000002E-3</v>
      </c>
      <c r="AD558">
        <v>0.87117272899999998</v>
      </c>
      <c r="AE558">
        <v>0.422105495</v>
      </c>
      <c r="AF558">
        <v>1.3211209660000001</v>
      </c>
      <c r="AG558">
        <v>0.148718933</v>
      </c>
      <c r="AH558">
        <v>2.686557E-3</v>
      </c>
      <c r="AI558">
        <v>0.67699174100000004</v>
      </c>
    </row>
    <row r="559" spans="1:35" x14ac:dyDescent="0.2">
      <c r="A559">
        <v>609</v>
      </c>
      <c r="B559" t="s">
        <v>723</v>
      </c>
      <c r="C559" t="s">
        <v>218</v>
      </c>
      <c r="D559" t="s">
        <v>142</v>
      </c>
      <c r="E559" s="11">
        <v>1.0499999999999999E-5</v>
      </c>
      <c r="F559" s="11">
        <v>3.36E-6</v>
      </c>
      <c r="G559">
        <v>0.32062345799999997</v>
      </c>
      <c r="H559">
        <v>1.004856245</v>
      </c>
      <c r="I559" s="11">
        <v>1.38E-5</v>
      </c>
      <c r="J559">
        <v>0.60237622400000002</v>
      </c>
      <c r="K559">
        <v>3.0709648999999999E-2</v>
      </c>
      <c r="L559">
        <v>3.6756766409999999</v>
      </c>
      <c r="M559">
        <v>3.1865695999999999E-2</v>
      </c>
      <c r="N559">
        <v>3.5724796000000003E-2</v>
      </c>
      <c r="O559">
        <v>1.1036165000000001E-2</v>
      </c>
      <c r="P559">
        <v>8.7002060000000006E-2</v>
      </c>
      <c r="Q559">
        <v>1.8617772589999999</v>
      </c>
      <c r="R559">
        <v>11.34466767</v>
      </c>
      <c r="S559">
        <v>3.9304996000000002E-2</v>
      </c>
      <c r="T559">
        <v>3.6668164000000003E-2</v>
      </c>
      <c r="U559">
        <v>0.30061738199999999</v>
      </c>
      <c r="V559">
        <v>0.304282371</v>
      </c>
      <c r="W559">
        <v>1.012191541</v>
      </c>
      <c r="X559">
        <v>2.0281685089999999</v>
      </c>
      <c r="Y559">
        <v>106.1536622</v>
      </c>
      <c r="Z559">
        <v>1.297955333</v>
      </c>
      <c r="AA559">
        <v>0.19335993900000001</v>
      </c>
      <c r="AB559">
        <v>0.96537400100000004</v>
      </c>
      <c r="AC559">
        <v>7.807387372</v>
      </c>
      <c r="AD559">
        <v>1.0684328160000001</v>
      </c>
      <c r="AE559">
        <v>13.139015430000001</v>
      </c>
      <c r="AF559">
        <v>8.8573339000000004</v>
      </c>
      <c r="AG559">
        <v>32.924379790000003</v>
      </c>
      <c r="AH559">
        <v>5.7944311999999998E-2</v>
      </c>
      <c r="AI559">
        <v>6.0904892820000001</v>
      </c>
    </row>
    <row r="560" spans="1:35" x14ac:dyDescent="0.2">
      <c r="A560">
        <v>610</v>
      </c>
      <c r="B560" t="s">
        <v>724</v>
      </c>
      <c r="C560" t="s">
        <v>218</v>
      </c>
      <c r="D560" t="s">
        <v>144</v>
      </c>
      <c r="E560" s="11">
        <v>1.3499999999999999E-5</v>
      </c>
      <c r="F560" s="11">
        <v>4.3200000000000001E-6</v>
      </c>
      <c r="G560">
        <v>0.32073241899999999</v>
      </c>
      <c r="H560">
        <v>0.70584318800000001</v>
      </c>
      <c r="I560" s="11">
        <v>1.7799999999999999E-5</v>
      </c>
      <c r="J560">
        <v>0.48794103100000003</v>
      </c>
      <c r="K560">
        <v>2.2957702E-2</v>
      </c>
      <c r="L560">
        <v>2.9735615910000002</v>
      </c>
      <c r="M560">
        <v>5.8999259999999998E-3</v>
      </c>
      <c r="N560">
        <v>2.6732514999999998E-2</v>
      </c>
      <c r="O560">
        <v>8.2503379999999994E-3</v>
      </c>
      <c r="P560">
        <v>6.8701719999999994E-2</v>
      </c>
      <c r="Q560">
        <v>1.482696002</v>
      </c>
      <c r="R560">
        <v>9.0335794600000003</v>
      </c>
      <c r="S560">
        <v>3.4342202000000002E-2</v>
      </c>
      <c r="T560">
        <v>3.1602879E-2</v>
      </c>
      <c r="U560">
        <v>0.26266031899999998</v>
      </c>
      <c r="V560">
        <v>0.26224925599999999</v>
      </c>
      <c r="W560">
        <v>0.99843500200000002</v>
      </c>
      <c r="X560">
        <v>2.7521607760000002</v>
      </c>
      <c r="Y560">
        <v>7.8009607340000002</v>
      </c>
      <c r="Z560">
        <v>0.33885964000000002</v>
      </c>
      <c r="AA560">
        <v>6.7925131E-2</v>
      </c>
      <c r="AB560">
        <v>0.61882110499999998</v>
      </c>
      <c r="AC560">
        <v>5.8155940000000003E-2</v>
      </c>
      <c r="AD560">
        <v>0.89407731899999998</v>
      </c>
      <c r="AE560">
        <v>1.280705516</v>
      </c>
      <c r="AF560">
        <v>3.222328375</v>
      </c>
      <c r="AG560">
        <v>0.93313932300000002</v>
      </c>
      <c r="AH560">
        <v>2.0968437999999999E-2</v>
      </c>
      <c r="AI560">
        <v>1.6789628219999999</v>
      </c>
    </row>
    <row r="561" spans="1:35" x14ac:dyDescent="0.2">
      <c r="A561">
        <v>611</v>
      </c>
      <c r="B561" t="s">
        <v>725</v>
      </c>
      <c r="C561" t="s">
        <v>218</v>
      </c>
      <c r="D561" t="s">
        <v>146</v>
      </c>
      <c r="E561" s="11">
        <v>1.45E-5</v>
      </c>
      <c r="F561" s="11">
        <v>4.8899999999999998E-6</v>
      </c>
      <c r="G561">
        <v>0.33700296600000001</v>
      </c>
      <c r="H561">
        <v>-0.149962815</v>
      </c>
      <c r="I561" s="11">
        <v>1.9400000000000001E-5</v>
      </c>
      <c r="J561">
        <v>1.212732033</v>
      </c>
      <c r="K561">
        <v>3.9940641999999998E-2</v>
      </c>
      <c r="L561">
        <v>7.3562734799999996</v>
      </c>
      <c r="M561">
        <v>1.0850188E-2</v>
      </c>
      <c r="N561">
        <v>4.6558711000000003E-2</v>
      </c>
      <c r="O561">
        <v>1.4353517999999999E-2</v>
      </c>
      <c r="P561">
        <v>0.10839079</v>
      </c>
      <c r="Q561">
        <v>3.2911831149999999</v>
      </c>
      <c r="R561">
        <v>19.963880280000001</v>
      </c>
      <c r="S561">
        <v>7.8028719999999996E-2</v>
      </c>
      <c r="T561">
        <v>7.5088335000000006E-2</v>
      </c>
      <c r="U561">
        <v>0.59678900899999998</v>
      </c>
      <c r="V561">
        <v>0.62310336600000005</v>
      </c>
      <c r="W561">
        <v>1.0440932329999999</v>
      </c>
      <c r="X561">
        <v>3.09117073</v>
      </c>
      <c r="Y561">
        <v>8.4716260470000009</v>
      </c>
      <c r="Z561">
        <v>0.33375772599999998</v>
      </c>
      <c r="AA561">
        <v>4.2193006999999998E-2</v>
      </c>
      <c r="AB561">
        <v>0.13165743599999999</v>
      </c>
      <c r="AC561">
        <v>3.6131603999999998E-2</v>
      </c>
      <c r="AD561">
        <v>0.87752516300000005</v>
      </c>
      <c r="AE561">
        <v>1.4073289689999999</v>
      </c>
      <c r="AF561">
        <v>3.8852995290000001</v>
      </c>
      <c r="AG561">
        <v>0.63611899800000005</v>
      </c>
      <c r="AH561">
        <v>1.3027443999999999E-2</v>
      </c>
      <c r="AI561">
        <v>2.0006318420000002</v>
      </c>
    </row>
    <row r="562" spans="1:35" x14ac:dyDescent="0.2">
      <c r="A562">
        <v>612</v>
      </c>
      <c r="B562" t="s">
        <v>726</v>
      </c>
      <c r="C562" t="s">
        <v>218</v>
      </c>
      <c r="D562" t="s">
        <v>200</v>
      </c>
      <c r="E562" s="11">
        <v>6.9199999999999998E-6</v>
      </c>
      <c r="F562" s="11">
        <v>2.21E-6</v>
      </c>
      <c r="G562">
        <v>0.31961963700000001</v>
      </c>
      <c r="H562">
        <v>0.96295971700000005</v>
      </c>
      <c r="I562" s="11">
        <v>9.1300000000000007E-6</v>
      </c>
      <c r="J562">
        <v>0.401587847</v>
      </c>
      <c r="K562">
        <v>1.2229976E-2</v>
      </c>
      <c r="L562">
        <v>2.4339870320000001</v>
      </c>
      <c r="M562">
        <v>9.9198380000000003E-3</v>
      </c>
      <c r="N562">
        <v>1.4178318000000001E-2</v>
      </c>
      <c r="O562">
        <v>4.3951019999999997E-3</v>
      </c>
      <c r="P562">
        <v>3.7335920000000002E-2</v>
      </c>
      <c r="Q562">
        <v>1.2512782170000001</v>
      </c>
      <c r="R562">
        <v>7.5823411399999996</v>
      </c>
      <c r="S562">
        <v>2.0999604000000002E-2</v>
      </c>
      <c r="T562">
        <v>1.9122778999999999E-2</v>
      </c>
      <c r="U562">
        <v>0.160611798</v>
      </c>
      <c r="V562">
        <v>0.15868600799999999</v>
      </c>
      <c r="W562">
        <v>0.98800966000000001</v>
      </c>
      <c r="X562">
        <v>2.8685199950000002</v>
      </c>
      <c r="Y562">
        <v>11.714647060000001</v>
      </c>
      <c r="Z562">
        <v>0.34883393800000001</v>
      </c>
      <c r="AA562">
        <v>5.7610542000000001E-2</v>
      </c>
      <c r="AB562">
        <v>0.792227028</v>
      </c>
      <c r="AC562">
        <v>4.9390745E-2</v>
      </c>
      <c r="AD562">
        <v>0.85870432600000002</v>
      </c>
      <c r="AE562">
        <v>1.946418086</v>
      </c>
      <c r="AF562">
        <v>5.0725455659999996</v>
      </c>
      <c r="AG562">
        <v>0.820697012</v>
      </c>
      <c r="AH562">
        <v>1.78081E-2</v>
      </c>
      <c r="AI562">
        <v>2.611496228</v>
      </c>
    </row>
    <row r="563" spans="1:35" x14ac:dyDescent="0.2">
      <c r="A563">
        <v>613</v>
      </c>
      <c r="B563" t="s">
        <v>727</v>
      </c>
      <c r="C563" t="s">
        <v>218</v>
      </c>
      <c r="D563" t="s">
        <v>148</v>
      </c>
      <c r="E563" s="11">
        <v>9.2699999999999993E-6</v>
      </c>
      <c r="F563" s="11">
        <v>2.9500000000000001E-6</v>
      </c>
      <c r="G563">
        <v>0.31791301300000002</v>
      </c>
      <c r="H563">
        <v>7.20195E-2</v>
      </c>
      <c r="I563" s="11">
        <v>1.22E-5</v>
      </c>
      <c r="J563">
        <v>0.32416473899999998</v>
      </c>
      <c r="K563">
        <v>1.2995769000000001E-2</v>
      </c>
      <c r="L563">
        <v>1.9709799729999999</v>
      </c>
      <c r="M563">
        <v>1.3183241E-2</v>
      </c>
      <c r="N563">
        <v>1.5119184000000001E-2</v>
      </c>
      <c r="O563">
        <v>4.6703059999999999E-3</v>
      </c>
      <c r="P563">
        <v>3.9624319999999998E-2</v>
      </c>
      <c r="Q563">
        <v>0.98844500700000004</v>
      </c>
      <c r="R563">
        <v>6.0099186759999998</v>
      </c>
      <c r="S563">
        <v>2.5284717000000002E-2</v>
      </c>
      <c r="T563">
        <v>2.4366875E-2</v>
      </c>
      <c r="U563">
        <v>0.193385736</v>
      </c>
      <c r="V563">
        <v>0.202202934</v>
      </c>
      <c r="W563">
        <v>1.0455938380000001</v>
      </c>
      <c r="X563">
        <v>3.7322209659999999</v>
      </c>
      <c r="Y563">
        <v>2.693721043</v>
      </c>
      <c r="Z563">
        <v>0.31990137800000001</v>
      </c>
      <c r="AA563">
        <v>1.7126967999999999E-2</v>
      </c>
      <c r="AB563">
        <v>0.26830583400000002</v>
      </c>
      <c r="AC563">
        <v>0.11798054700000001</v>
      </c>
      <c r="AD563">
        <v>0.86794146999999999</v>
      </c>
      <c r="AE563">
        <v>0.38239514299999999</v>
      </c>
      <c r="AF563">
        <v>1.1584078879999999</v>
      </c>
      <c r="AG563">
        <v>2.2799061479999998</v>
      </c>
      <c r="AH563">
        <v>5.2964789999999998E-3</v>
      </c>
      <c r="AI563">
        <v>0.69807692200000004</v>
      </c>
    </row>
    <row r="564" spans="1:35" x14ac:dyDescent="0.2">
      <c r="A564">
        <v>614</v>
      </c>
      <c r="B564" t="s">
        <v>728</v>
      </c>
      <c r="C564" t="s">
        <v>218</v>
      </c>
      <c r="D564" t="s">
        <v>150</v>
      </c>
      <c r="E564" s="11">
        <v>1.4399999999999999E-5</v>
      </c>
      <c r="F564" s="11">
        <v>4.8999999999999997E-6</v>
      </c>
      <c r="G564">
        <v>0.34048177699999999</v>
      </c>
      <c r="H564">
        <v>-0.15716100299999999</v>
      </c>
      <c r="I564" s="11">
        <v>1.9300000000000002E-5</v>
      </c>
      <c r="J564">
        <v>1.2050211879999999</v>
      </c>
      <c r="K564">
        <v>3.9708324000000003E-2</v>
      </c>
      <c r="L564">
        <v>7.3095437729999997</v>
      </c>
      <c r="M564">
        <v>1.0860857E-2</v>
      </c>
      <c r="N564">
        <v>4.6287228E-2</v>
      </c>
      <c r="O564">
        <v>1.427003E-2</v>
      </c>
      <c r="P564">
        <v>0.10786577</v>
      </c>
      <c r="Q564">
        <v>3.2734570459999999</v>
      </c>
      <c r="R564">
        <v>19.856473810000001</v>
      </c>
      <c r="S564">
        <v>7.7750857000000007E-2</v>
      </c>
      <c r="T564">
        <v>7.4857531000000005E-2</v>
      </c>
      <c r="U564">
        <v>0.59466382500000003</v>
      </c>
      <c r="V564">
        <v>0.621188089</v>
      </c>
      <c r="W564">
        <v>1.0446037960000001</v>
      </c>
      <c r="X564">
        <v>3.096114354</v>
      </c>
      <c r="Y564">
        <v>8.4219867540000006</v>
      </c>
      <c r="Z564">
        <v>0.333334766</v>
      </c>
      <c r="AA564">
        <v>4.1901227999999999E-2</v>
      </c>
      <c r="AB564">
        <v>0.13208795200000001</v>
      </c>
      <c r="AC564">
        <v>3.5881692999999999E-2</v>
      </c>
      <c r="AD564">
        <v>0.87744868200000004</v>
      </c>
      <c r="AE564">
        <v>1.3991061069999999</v>
      </c>
      <c r="AF564">
        <v>3.8667636480000001</v>
      </c>
      <c r="AG564">
        <v>0.63240250099999995</v>
      </c>
      <c r="AH564">
        <v>1.2937338E-2</v>
      </c>
      <c r="AI564">
        <v>1.991054152</v>
      </c>
    </row>
    <row r="565" spans="1:35" x14ac:dyDescent="0.2">
      <c r="A565">
        <v>615</v>
      </c>
      <c r="B565" t="s">
        <v>729</v>
      </c>
      <c r="C565" t="s">
        <v>218</v>
      </c>
      <c r="D565" t="s">
        <v>204</v>
      </c>
      <c r="E565" s="11">
        <v>7.3200000000000002E-6</v>
      </c>
      <c r="F565" s="11">
        <v>2.2900000000000001E-6</v>
      </c>
      <c r="G565">
        <v>0.31257810600000002</v>
      </c>
      <c r="H565">
        <v>2.1207531000000002E-2</v>
      </c>
      <c r="I565" s="11">
        <v>9.5999999999999996E-6</v>
      </c>
      <c r="J565">
        <v>0.38322894200000002</v>
      </c>
      <c r="K565">
        <v>1.1250110000000001E-2</v>
      </c>
      <c r="L565">
        <v>2.321873869</v>
      </c>
      <c r="M565">
        <v>9.9532879999999994E-3</v>
      </c>
      <c r="N565">
        <v>1.3057368999999999E-2</v>
      </c>
      <c r="O565">
        <v>4.0428790000000001E-3</v>
      </c>
      <c r="P565">
        <v>3.4652349999999998E-2</v>
      </c>
      <c r="Q565">
        <v>1.179830943</v>
      </c>
      <c r="R565">
        <v>7.1482903640000002</v>
      </c>
      <c r="S565">
        <v>2.0998038E-2</v>
      </c>
      <c r="T565">
        <v>1.9849558999999999E-2</v>
      </c>
      <c r="U565">
        <v>0.16059981700000001</v>
      </c>
      <c r="V565">
        <v>0.16471702299999999</v>
      </c>
      <c r="W565">
        <v>1.02563643</v>
      </c>
      <c r="X565">
        <v>3.9465687730000001</v>
      </c>
      <c r="Y565">
        <v>3.1177557070000002</v>
      </c>
      <c r="Z565">
        <v>0.31766300200000003</v>
      </c>
      <c r="AA565">
        <v>1.2652136E-2</v>
      </c>
      <c r="AB565">
        <v>0.255273957</v>
      </c>
      <c r="AC565">
        <v>1.0872253E-2</v>
      </c>
      <c r="AD565">
        <v>0.84113420000000005</v>
      </c>
      <c r="AE565">
        <v>0.51941212999999997</v>
      </c>
      <c r="AF565">
        <v>1.6296175070000001</v>
      </c>
      <c r="AG565">
        <v>0.213576289</v>
      </c>
      <c r="AH565">
        <v>3.9200490000000001E-3</v>
      </c>
      <c r="AI565">
        <v>0.83654119900000001</v>
      </c>
    </row>
    <row r="566" spans="1:35" x14ac:dyDescent="0.2">
      <c r="A566">
        <v>616</v>
      </c>
      <c r="B566" t="s">
        <v>730</v>
      </c>
      <c r="C566" t="s">
        <v>218</v>
      </c>
      <c r="D566" t="s">
        <v>152</v>
      </c>
      <c r="E566" s="11">
        <v>1.0499999999999999E-5</v>
      </c>
      <c r="F566" s="11">
        <v>3.36E-6</v>
      </c>
      <c r="G566">
        <v>0.32120279099999999</v>
      </c>
      <c r="H566">
        <v>1.0055667150000001</v>
      </c>
      <c r="I566" s="11">
        <v>1.38E-5</v>
      </c>
      <c r="J566">
        <v>0.60297512499999995</v>
      </c>
      <c r="K566">
        <v>3.0748648999999999E-2</v>
      </c>
      <c r="L566">
        <v>3.6793480449999998</v>
      </c>
      <c r="M566">
        <v>3.1902178000000003E-2</v>
      </c>
      <c r="N566">
        <v>3.5771153999999999E-2</v>
      </c>
      <c r="O566">
        <v>1.105018E-2</v>
      </c>
      <c r="P566">
        <v>8.7101090000000006E-2</v>
      </c>
      <c r="Q566">
        <v>1.863752093</v>
      </c>
      <c r="R566">
        <v>11.356714739999999</v>
      </c>
      <c r="S566">
        <v>3.9097162999999997E-2</v>
      </c>
      <c r="T566">
        <v>3.6494846999999997E-2</v>
      </c>
      <c r="U566">
        <v>0.29902780800000001</v>
      </c>
      <c r="V566">
        <v>0.30284413700000001</v>
      </c>
      <c r="W566">
        <v>1.0127624550000001</v>
      </c>
      <c r="X566">
        <v>2.0277055549999998</v>
      </c>
      <c r="Y566">
        <v>106.13461169999999</v>
      </c>
      <c r="Z566">
        <v>1.297777306</v>
      </c>
      <c r="AA566">
        <v>0.193374886</v>
      </c>
      <c r="AB566">
        <v>0.96533319399999995</v>
      </c>
      <c r="AC566">
        <v>7.820614183</v>
      </c>
      <c r="AD566">
        <v>1.068140426</v>
      </c>
      <c r="AE566">
        <v>13.12771618</v>
      </c>
      <c r="AF566">
        <v>8.8588201550000001</v>
      </c>
      <c r="AG566">
        <v>32.561836419999999</v>
      </c>
      <c r="AH566">
        <v>5.7981986999999999E-2</v>
      </c>
      <c r="AI566">
        <v>6.0736232320000001</v>
      </c>
    </row>
    <row r="567" spans="1:35" x14ac:dyDescent="0.2">
      <c r="A567">
        <v>617</v>
      </c>
      <c r="B567" t="s">
        <v>731</v>
      </c>
      <c r="C567" t="s">
        <v>218</v>
      </c>
      <c r="D567" t="s">
        <v>209</v>
      </c>
      <c r="E567" s="11">
        <v>8.7700000000000007E-6</v>
      </c>
      <c r="F567" s="11">
        <v>2.8100000000000002E-6</v>
      </c>
      <c r="G567">
        <v>0.32087905700000002</v>
      </c>
      <c r="H567">
        <v>5.5581195E-2</v>
      </c>
      <c r="I567" s="11">
        <v>1.1600000000000001E-5</v>
      </c>
      <c r="J567">
        <v>0.55184571900000001</v>
      </c>
      <c r="K567">
        <v>1.7646314999999999E-2</v>
      </c>
      <c r="L567">
        <v>3.3463669440000001</v>
      </c>
      <c r="M567">
        <v>1.0532339E-2</v>
      </c>
      <c r="N567">
        <v>2.0531186999999999E-2</v>
      </c>
      <c r="O567">
        <v>6.3415779999999996E-3</v>
      </c>
      <c r="P567">
        <v>5.2696430000000002E-2</v>
      </c>
      <c r="Q567">
        <v>1.647391177</v>
      </c>
      <c r="R567">
        <v>9.9897399119999992</v>
      </c>
      <c r="S567">
        <v>3.3982051999999999E-2</v>
      </c>
      <c r="T567">
        <v>3.5809516999999999E-2</v>
      </c>
      <c r="U567">
        <v>0.259905779</v>
      </c>
      <c r="V567">
        <v>0.29715708000000002</v>
      </c>
      <c r="W567">
        <v>1.143326174</v>
      </c>
      <c r="X567">
        <v>3.4513207389999998</v>
      </c>
      <c r="Y567">
        <v>5.218780658</v>
      </c>
      <c r="Z567">
        <v>0.33133286099999998</v>
      </c>
      <c r="AA567">
        <v>2.5353769000000002E-2</v>
      </c>
      <c r="AB567">
        <v>0.35878375400000001</v>
      </c>
      <c r="AC567">
        <v>2.1791669999999999E-2</v>
      </c>
      <c r="AD567">
        <v>0.85848778400000003</v>
      </c>
      <c r="AE567">
        <v>0.867242823</v>
      </c>
      <c r="AF567">
        <v>2.6035675199999999</v>
      </c>
      <c r="AG567">
        <v>0.41939605000000002</v>
      </c>
      <c r="AH567">
        <v>7.8571040000000002E-3</v>
      </c>
      <c r="AI567">
        <v>1.3403039969999999</v>
      </c>
    </row>
    <row r="568" spans="1:35" x14ac:dyDescent="0.2">
      <c r="A568">
        <v>618</v>
      </c>
      <c r="B568" t="s">
        <v>732</v>
      </c>
      <c r="C568" t="s">
        <v>218</v>
      </c>
      <c r="D568" t="s">
        <v>154</v>
      </c>
      <c r="E568" s="11">
        <v>7.3000000000000004E-6</v>
      </c>
      <c r="F568" s="11">
        <v>2.3099999999999999E-6</v>
      </c>
      <c r="G568">
        <v>0.316004487</v>
      </c>
      <c r="H568">
        <v>3.3903381000000003E-2</v>
      </c>
      <c r="I568" s="11">
        <v>9.6099999999999995E-6</v>
      </c>
      <c r="J568">
        <v>0.36891443699999998</v>
      </c>
      <c r="K568">
        <v>1.0661311999999999E-2</v>
      </c>
      <c r="L568">
        <v>2.2348092469999998</v>
      </c>
      <c r="M568">
        <v>9.574071E-3</v>
      </c>
      <c r="N568">
        <v>1.2384836999999999E-2</v>
      </c>
      <c r="O568">
        <v>3.8313039999999998E-3</v>
      </c>
      <c r="P568">
        <v>3.2649999999999998E-2</v>
      </c>
      <c r="Q568">
        <v>1.1369874740000001</v>
      </c>
      <c r="R568">
        <v>6.8872248459999996</v>
      </c>
      <c r="S568">
        <v>2.0412766999999998E-2</v>
      </c>
      <c r="T568">
        <v>1.9521215000000001E-2</v>
      </c>
      <c r="U568">
        <v>0.15612347500000001</v>
      </c>
      <c r="V568">
        <v>0.16199233299999999</v>
      </c>
      <c r="W568">
        <v>1.0375911310000001</v>
      </c>
      <c r="X568">
        <v>4.044305499</v>
      </c>
      <c r="Y568">
        <v>2.9019877740000002</v>
      </c>
      <c r="Z568">
        <v>0.31922157299999998</v>
      </c>
      <c r="AA568">
        <v>1.1033793E-2</v>
      </c>
      <c r="AB568">
        <v>0.22990397600000001</v>
      </c>
      <c r="AC568">
        <v>9.4782000000000009E-3</v>
      </c>
      <c r="AD568">
        <v>0.83741413600000003</v>
      </c>
      <c r="AE568">
        <v>0.48385779699999998</v>
      </c>
      <c r="AF568">
        <v>1.4993626280000001</v>
      </c>
      <c r="AG568">
        <v>0.18727713000000001</v>
      </c>
      <c r="AH568">
        <v>3.4174159999999999E-3</v>
      </c>
      <c r="AI568">
        <v>0.76922820999999997</v>
      </c>
    </row>
    <row r="569" spans="1:35" x14ac:dyDescent="0.2">
      <c r="A569">
        <v>619</v>
      </c>
      <c r="B569" t="s">
        <v>733</v>
      </c>
      <c r="C569" t="s">
        <v>218</v>
      </c>
      <c r="D569" t="s">
        <v>156</v>
      </c>
      <c r="E569" s="11">
        <v>1.2300000000000001E-5</v>
      </c>
      <c r="F569" s="11">
        <v>4.1999999999999996E-6</v>
      </c>
      <c r="G569">
        <v>0.34068412300000001</v>
      </c>
      <c r="H569">
        <v>4.1698132999999998E-2</v>
      </c>
      <c r="I569" s="11">
        <v>1.6500000000000001E-5</v>
      </c>
      <c r="J569">
        <v>1.081065889</v>
      </c>
      <c r="K569">
        <v>5.0316887999999997E-2</v>
      </c>
      <c r="L569">
        <v>6.5870291070000002</v>
      </c>
      <c r="M569">
        <v>1.5263885E-2</v>
      </c>
      <c r="N569">
        <v>5.8632254000000002E-2</v>
      </c>
      <c r="O569">
        <v>1.8082442000000001E-2</v>
      </c>
      <c r="P569">
        <v>0.13064075</v>
      </c>
      <c r="Q569">
        <v>2.8069181740000002</v>
      </c>
      <c r="R569">
        <v>17.102790540000001</v>
      </c>
      <c r="S569">
        <v>9.5888614999999996E-2</v>
      </c>
      <c r="T569">
        <v>8.7773816000000005E-2</v>
      </c>
      <c r="U569">
        <v>0.73338729000000003</v>
      </c>
      <c r="V569">
        <v>0.72837092699999995</v>
      </c>
      <c r="W569">
        <v>0.99316000800000004</v>
      </c>
      <c r="X569">
        <v>2.878124401</v>
      </c>
      <c r="Y569">
        <v>6.5182973940000002</v>
      </c>
      <c r="Z569">
        <v>0.35282943999999999</v>
      </c>
      <c r="AA569">
        <v>5.6890541000000003E-2</v>
      </c>
      <c r="AB569">
        <v>-1.0544427E-2</v>
      </c>
      <c r="AC569">
        <v>4.8729215999999999E-2</v>
      </c>
      <c r="AD569">
        <v>0.87363513999999998</v>
      </c>
      <c r="AE569">
        <v>1.0700442720000001</v>
      </c>
      <c r="AF569">
        <v>2.7978695820000001</v>
      </c>
      <c r="AG569">
        <v>0.81274979700000005</v>
      </c>
      <c r="AH569">
        <v>1.7569581000000001E-2</v>
      </c>
      <c r="AI569">
        <v>1.4579255390000001</v>
      </c>
    </row>
    <row r="570" spans="1:35" x14ac:dyDescent="0.2">
      <c r="A570">
        <v>620</v>
      </c>
      <c r="B570" t="s">
        <v>734</v>
      </c>
      <c r="C570" t="s">
        <v>218</v>
      </c>
      <c r="D570" t="s">
        <v>158</v>
      </c>
      <c r="E570" s="11">
        <v>6.0000000000000002E-6</v>
      </c>
      <c r="F570" s="11">
        <v>1.9E-6</v>
      </c>
      <c r="G570">
        <v>0.31662048500000001</v>
      </c>
      <c r="H570">
        <v>0.57088088599999998</v>
      </c>
      <c r="I570" s="11">
        <v>7.9000000000000006E-6</v>
      </c>
      <c r="J570">
        <v>0.23639431399999999</v>
      </c>
      <c r="K570">
        <v>5.278067E-3</v>
      </c>
      <c r="L570">
        <v>1.428922016</v>
      </c>
      <c r="M570">
        <v>7.3779049999999997E-3</v>
      </c>
      <c r="N570">
        <v>6.1223069999999996E-3</v>
      </c>
      <c r="O570">
        <v>1.896785E-3</v>
      </c>
      <c r="P570">
        <v>1.66222E-2</v>
      </c>
      <c r="Q570">
        <v>0.74427351900000005</v>
      </c>
      <c r="R570">
        <v>4.49888551</v>
      </c>
      <c r="S570">
        <v>1.0913384E-2</v>
      </c>
      <c r="T570">
        <v>9.8868930000000008E-3</v>
      </c>
      <c r="U570">
        <v>8.3469108E-2</v>
      </c>
      <c r="V570">
        <v>8.2044121999999997E-2</v>
      </c>
      <c r="W570">
        <v>0.98292798299999995</v>
      </c>
      <c r="X570">
        <v>3.6566719600000002</v>
      </c>
      <c r="Y570">
        <v>3.2187920189999999</v>
      </c>
      <c r="Z570">
        <v>0.32535009500000001</v>
      </c>
      <c r="AA570">
        <v>1.8995859E-2</v>
      </c>
      <c r="AB570">
        <v>0.55606885800000005</v>
      </c>
      <c r="AC570">
        <v>1.6333540000000001E-2</v>
      </c>
      <c r="AD570">
        <v>0.857945387</v>
      </c>
      <c r="AE570">
        <v>0.53312174700000003</v>
      </c>
      <c r="AF570">
        <v>2.0886714280000001</v>
      </c>
      <c r="AG570">
        <v>0.53999126399999997</v>
      </c>
      <c r="AH570">
        <v>5.8891459999999996E-3</v>
      </c>
      <c r="AI570">
        <v>1.085129845</v>
      </c>
    </row>
    <row r="571" spans="1:35" x14ac:dyDescent="0.2">
      <c r="A571">
        <v>621</v>
      </c>
      <c r="B571" t="s">
        <v>735</v>
      </c>
      <c r="C571" t="s">
        <v>218</v>
      </c>
      <c r="D571" t="s">
        <v>214</v>
      </c>
      <c r="E571" s="11">
        <v>5.7200000000000003E-6</v>
      </c>
      <c r="F571" s="11">
        <v>1.77E-6</v>
      </c>
      <c r="G571">
        <v>0.31018268300000001</v>
      </c>
      <c r="H571">
        <v>0.596888639</v>
      </c>
      <c r="I571" s="11">
        <v>7.5000000000000002E-6</v>
      </c>
      <c r="J571">
        <v>0.21758174</v>
      </c>
      <c r="K571">
        <v>4.4961080000000004E-3</v>
      </c>
      <c r="L571">
        <v>1.314482656</v>
      </c>
      <c r="M571">
        <v>6.8609400000000003E-3</v>
      </c>
      <c r="N571">
        <v>5.211696E-3</v>
      </c>
      <c r="O571">
        <v>1.6157719999999999E-3</v>
      </c>
      <c r="P571">
        <v>1.4201190000000001E-2</v>
      </c>
      <c r="Q571">
        <v>0.68708744700000002</v>
      </c>
      <c r="R571">
        <v>4.1509270520000001</v>
      </c>
      <c r="S571">
        <v>9.4579190000000004E-3</v>
      </c>
      <c r="T571">
        <v>8.4818480000000002E-3</v>
      </c>
      <c r="U571">
        <v>7.2337241999999996E-2</v>
      </c>
      <c r="V571">
        <v>7.0384677000000007E-2</v>
      </c>
      <c r="W571">
        <v>0.97300747200000004</v>
      </c>
      <c r="X571">
        <v>3.6049255200000001</v>
      </c>
      <c r="Y571">
        <v>3.2232508050000002</v>
      </c>
      <c r="Z571">
        <v>0.32138262000000001</v>
      </c>
      <c r="AA571">
        <v>2.0434814999999999E-2</v>
      </c>
      <c r="AB571">
        <v>0.59218728700000001</v>
      </c>
      <c r="AC571">
        <v>1.7564347000000001E-2</v>
      </c>
      <c r="AD571">
        <v>0.85987197999999998</v>
      </c>
      <c r="AE571">
        <v>0.53312174700000003</v>
      </c>
      <c r="AF571">
        <v>2.1973265400000002</v>
      </c>
      <c r="AG571">
        <v>0.56215899000000003</v>
      </c>
      <c r="AH571">
        <v>6.3329199999999997E-3</v>
      </c>
      <c r="AI571">
        <v>1.141291692</v>
      </c>
    </row>
    <row r="572" spans="1:35" x14ac:dyDescent="0.2">
      <c r="A572">
        <v>622</v>
      </c>
      <c r="B572" t="s">
        <v>736</v>
      </c>
      <c r="C572" t="s">
        <v>218</v>
      </c>
      <c r="D572" t="s">
        <v>160</v>
      </c>
      <c r="E572" s="11">
        <v>1.26E-5</v>
      </c>
      <c r="F572" s="11">
        <v>4.1400000000000002E-6</v>
      </c>
      <c r="G572">
        <v>0.32771703200000002</v>
      </c>
      <c r="H572">
        <v>-8.8462550000000008E-3</v>
      </c>
      <c r="I572" s="11">
        <v>1.6799999999999998E-5</v>
      </c>
      <c r="J572">
        <v>0.90250851099999996</v>
      </c>
      <c r="K572">
        <v>4.2432604999999998E-2</v>
      </c>
      <c r="L572">
        <v>5.4999162779999997</v>
      </c>
      <c r="M572">
        <v>1.5424279000000001E-2</v>
      </c>
      <c r="N572">
        <v>4.9445783E-2</v>
      </c>
      <c r="O572">
        <v>1.5249057999999999E-2</v>
      </c>
      <c r="P572">
        <v>0.11389493000000001</v>
      </c>
      <c r="Q572">
        <v>2.4225263849999998</v>
      </c>
      <c r="R572">
        <v>14.76294818</v>
      </c>
      <c r="S572">
        <v>8.6380572000000003E-2</v>
      </c>
      <c r="T572">
        <v>8.2927263000000001E-2</v>
      </c>
      <c r="U572">
        <v>0.66066668500000003</v>
      </c>
      <c r="V572">
        <v>0.688152918</v>
      </c>
      <c r="W572">
        <v>1.0416037819999999</v>
      </c>
      <c r="X572">
        <v>2.7889965870000002</v>
      </c>
      <c r="Y572">
        <v>6.5928154579999996</v>
      </c>
      <c r="Z572">
        <v>0.34430039800000001</v>
      </c>
      <c r="AA572">
        <v>6.4405654000000007E-2</v>
      </c>
      <c r="AB572">
        <v>0.16577123799999999</v>
      </c>
      <c r="AC572">
        <v>5.5224771999999998E-2</v>
      </c>
      <c r="AD572">
        <v>0.87824688900000003</v>
      </c>
      <c r="AE572">
        <v>1.07864728</v>
      </c>
      <c r="AF572">
        <v>3.1190323310000001</v>
      </c>
      <c r="AG572">
        <v>0.909603351</v>
      </c>
      <c r="AH572">
        <v>1.9911589E-2</v>
      </c>
      <c r="AI572">
        <v>1.625451347</v>
      </c>
    </row>
    <row r="573" spans="1:35" x14ac:dyDescent="0.2">
      <c r="A573">
        <v>623</v>
      </c>
      <c r="B573" t="s">
        <v>737</v>
      </c>
      <c r="C573" t="s">
        <v>218</v>
      </c>
      <c r="D573" t="s">
        <v>162</v>
      </c>
      <c r="E573" s="11">
        <v>2.3599999999999999E-6</v>
      </c>
      <c r="F573" s="11">
        <v>7.3600000000000003E-7</v>
      </c>
      <c r="G573">
        <v>0.311893276</v>
      </c>
      <c r="H573">
        <v>0.97637901500000002</v>
      </c>
      <c r="I573" s="11">
        <v>3.1E-6</v>
      </c>
      <c r="J573">
        <v>0.32214158999999998</v>
      </c>
      <c r="K573">
        <v>1.285886E-3</v>
      </c>
      <c r="L573">
        <v>1.9354213119999999</v>
      </c>
      <c r="M573">
        <v>1.3251929999999999E-3</v>
      </c>
      <c r="N573">
        <v>1.4736650000000001E-3</v>
      </c>
      <c r="O573">
        <v>4.6211100000000002E-4</v>
      </c>
      <c r="P573">
        <v>4.0758799999999996E-3</v>
      </c>
      <c r="Q573">
        <v>1.0212215140000001</v>
      </c>
      <c r="R573">
        <v>6.1354808360000002</v>
      </c>
      <c r="S573">
        <v>2.4031510000000001E-3</v>
      </c>
      <c r="T573">
        <v>2.2485740000000001E-3</v>
      </c>
      <c r="U573">
        <v>1.8380082999999998E-2</v>
      </c>
      <c r="V573">
        <v>1.8659278000000001E-2</v>
      </c>
      <c r="W573">
        <v>1.0151900840000001</v>
      </c>
      <c r="X573">
        <v>3.0947584909999999</v>
      </c>
      <c r="Y573">
        <v>8.4201885950000008</v>
      </c>
      <c r="Z573">
        <v>0.350254395</v>
      </c>
      <c r="AA573">
        <v>4.198263E-2</v>
      </c>
      <c r="AB573">
        <v>0.77014513500000004</v>
      </c>
      <c r="AC573">
        <v>3.5950061999999998E-2</v>
      </c>
      <c r="AD573">
        <v>0.87870906299999996</v>
      </c>
      <c r="AE573">
        <v>1.3987609139999999</v>
      </c>
      <c r="AF573">
        <v>3.8648004450000002</v>
      </c>
      <c r="AG573">
        <v>0.63338899100000001</v>
      </c>
      <c r="AH573">
        <v>1.2961989E-2</v>
      </c>
      <c r="AI573">
        <v>1.9901068159999999</v>
      </c>
    </row>
    <row r="574" spans="1:35" x14ac:dyDescent="0.2">
      <c r="A574">
        <v>624</v>
      </c>
      <c r="B574" t="s">
        <v>738</v>
      </c>
      <c r="C574" t="s">
        <v>218</v>
      </c>
      <c r="D574" t="s">
        <v>220</v>
      </c>
      <c r="E574" s="11">
        <v>4.1099999999999996E-6</v>
      </c>
      <c r="F574" s="11">
        <v>1.28E-6</v>
      </c>
      <c r="G574">
        <v>0.31173621800000001</v>
      </c>
      <c r="H574">
        <v>0.93872555499999999</v>
      </c>
      <c r="I574" s="11">
        <v>5.3900000000000001E-6</v>
      </c>
      <c r="J574">
        <v>0.35056579300000001</v>
      </c>
      <c r="K574">
        <v>2.495092E-3</v>
      </c>
      <c r="L574">
        <v>2.108384939</v>
      </c>
      <c r="M574">
        <v>2.36411E-3</v>
      </c>
      <c r="N574">
        <v>2.8830010000000001E-3</v>
      </c>
      <c r="O574">
        <v>8.9666400000000003E-4</v>
      </c>
      <c r="P574">
        <v>7.9290999999999997E-3</v>
      </c>
      <c r="Q574">
        <v>1.1141242170000001</v>
      </c>
      <c r="R574">
        <v>6.7006035019999999</v>
      </c>
      <c r="S574">
        <v>4.9128310000000003E-3</v>
      </c>
      <c r="T574">
        <v>4.5204210000000002E-3</v>
      </c>
      <c r="U574">
        <v>3.7574926000000002E-2</v>
      </c>
      <c r="V574">
        <v>3.7511678999999999E-2</v>
      </c>
      <c r="W574">
        <v>0.99831677600000002</v>
      </c>
      <c r="X574">
        <v>3.095163452</v>
      </c>
      <c r="Y574">
        <v>8.4207318910000009</v>
      </c>
      <c r="Z574">
        <v>0.34983458299999998</v>
      </c>
      <c r="AA574">
        <v>4.1958839999999997E-2</v>
      </c>
      <c r="AB574">
        <v>0.74961975199999997</v>
      </c>
      <c r="AC574">
        <v>3.5929627999999998E-2</v>
      </c>
      <c r="AD574">
        <v>0.88020312099999998</v>
      </c>
      <c r="AE574">
        <v>1.398865075</v>
      </c>
      <c r="AF574">
        <v>3.865437526</v>
      </c>
      <c r="AG574">
        <v>0.63308605200000001</v>
      </c>
      <c r="AH574">
        <v>1.2954620999999999E-2</v>
      </c>
      <c r="AI574">
        <v>1.9904150709999999</v>
      </c>
    </row>
    <row r="575" spans="1:35" x14ac:dyDescent="0.2">
      <c r="A575">
        <v>625</v>
      </c>
      <c r="B575" t="s">
        <v>739</v>
      </c>
      <c r="C575" t="s">
        <v>218</v>
      </c>
      <c r="D575" t="s">
        <v>164</v>
      </c>
      <c r="E575" s="11">
        <v>8.7399999999999993E-6</v>
      </c>
      <c r="F575" s="11">
        <v>2.7999999999999999E-6</v>
      </c>
      <c r="G575">
        <v>0.32103063399999998</v>
      </c>
      <c r="H575">
        <v>0.94545414000000005</v>
      </c>
      <c r="I575" s="11">
        <v>1.15E-5</v>
      </c>
      <c r="J575">
        <v>0.51118584</v>
      </c>
      <c r="K575">
        <v>2.3996232999999999E-2</v>
      </c>
      <c r="L575">
        <v>3.1151075079999999</v>
      </c>
      <c r="M575">
        <v>2.0995570000000002E-3</v>
      </c>
      <c r="N575">
        <v>2.7901076E-2</v>
      </c>
      <c r="O575">
        <v>8.6235559999999992E-3</v>
      </c>
      <c r="P575">
        <v>7.3103109999999999E-2</v>
      </c>
      <c r="Q575">
        <v>1.557551379</v>
      </c>
      <c r="R575">
        <v>9.4915144999999992</v>
      </c>
      <c r="S575">
        <v>2.4919823000000001E-2</v>
      </c>
      <c r="T575">
        <v>2.3550370000000001E-2</v>
      </c>
      <c r="U575">
        <v>0.19059490300000001</v>
      </c>
      <c r="V575">
        <v>0.195427358</v>
      </c>
      <c r="W575">
        <v>1.025354587</v>
      </c>
      <c r="X575">
        <v>2.5781269519999999</v>
      </c>
      <c r="Y575">
        <v>10.48581804</v>
      </c>
      <c r="Z575">
        <v>0.37101377600000002</v>
      </c>
      <c r="AA575">
        <v>8.6657769999999995E-2</v>
      </c>
      <c r="AB575">
        <v>0.70292184199999996</v>
      </c>
      <c r="AC575">
        <v>7.4252129E-2</v>
      </c>
      <c r="AD575">
        <v>0.87246575000000004</v>
      </c>
      <c r="AE575">
        <v>1.7238817360000001</v>
      </c>
      <c r="AF575">
        <v>4.0598517420000002</v>
      </c>
      <c r="AG575">
        <v>1.1149474749999999</v>
      </c>
      <c r="AH575">
        <v>2.6772005000000001E-2</v>
      </c>
      <c r="AI575">
        <v>2.1123949240000002</v>
      </c>
    </row>
    <row r="576" spans="1:35" x14ac:dyDescent="0.2">
      <c r="A576">
        <v>626</v>
      </c>
      <c r="B576" t="s">
        <v>740</v>
      </c>
      <c r="C576" t="s">
        <v>218</v>
      </c>
      <c r="D576" t="s">
        <v>166</v>
      </c>
      <c r="E576" s="11">
        <v>1.66E-5</v>
      </c>
      <c r="F576" s="11">
        <v>5.8799999999999996E-6</v>
      </c>
      <c r="G576">
        <v>0.354048582</v>
      </c>
      <c r="H576">
        <v>-3.3507960000000001E-3</v>
      </c>
      <c r="I576" s="11">
        <v>2.2500000000000001E-5</v>
      </c>
      <c r="J576">
        <v>1.4098652300000001</v>
      </c>
      <c r="K576">
        <v>6.3738936999999996E-2</v>
      </c>
      <c r="L576">
        <v>8.5866692570000005</v>
      </c>
      <c r="M576">
        <v>1.4834178E-2</v>
      </c>
      <c r="N576">
        <v>7.4315440999999996E-2</v>
      </c>
      <c r="O576">
        <v>2.2905940999999999E-2</v>
      </c>
      <c r="P576">
        <v>0.15667511000000001</v>
      </c>
      <c r="Q576">
        <v>3.4656700229999999</v>
      </c>
      <c r="R576">
        <v>21.10737035</v>
      </c>
      <c r="S576">
        <v>0.12574795</v>
      </c>
      <c r="T576">
        <v>0.115096578</v>
      </c>
      <c r="U576">
        <v>0.96176118799999999</v>
      </c>
      <c r="V576">
        <v>0.95510261699999999</v>
      </c>
      <c r="W576">
        <v>0.99307668999999998</v>
      </c>
      <c r="X576">
        <v>2.6868690489999998</v>
      </c>
      <c r="Y576">
        <v>8.5866689459999996</v>
      </c>
      <c r="Z576">
        <v>0.354048582</v>
      </c>
      <c r="AA576">
        <v>7.4441093E-2</v>
      </c>
      <c r="AB576" s="11">
        <v>-3.6300000000000001E-8</v>
      </c>
      <c r="AC576">
        <v>6.3738942000000007E-2</v>
      </c>
      <c r="AD576">
        <v>0.89431078900000005</v>
      </c>
      <c r="AE576">
        <v>1.409865175</v>
      </c>
      <c r="AF576">
        <v>3.4668408149999999</v>
      </c>
      <c r="AG576">
        <v>0.99928820399999996</v>
      </c>
      <c r="AH576">
        <v>2.2981418999999999E-2</v>
      </c>
      <c r="AI576">
        <v>1.806137251</v>
      </c>
    </row>
    <row r="577" spans="1:35" x14ac:dyDescent="0.2">
      <c r="A577">
        <v>627</v>
      </c>
      <c r="B577" t="s">
        <v>741</v>
      </c>
      <c r="C577" t="s">
        <v>218</v>
      </c>
      <c r="D577" t="s">
        <v>226</v>
      </c>
      <c r="E577" s="11">
        <v>8.3699999999999995E-6</v>
      </c>
      <c r="F577" s="11">
        <v>2.7199999999999998E-6</v>
      </c>
      <c r="G577">
        <v>0.32444819600000002</v>
      </c>
      <c r="H577">
        <v>-0.345189835</v>
      </c>
      <c r="I577" s="11">
        <v>1.11E-5</v>
      </c>
      <c r="J577">
        <v>0.46461802699999999</v>
      </c>
      <c r="K577">
        <v>1.4282326E-2</v>
      </c>
      <c r="L577">
        <v>2.816272815</v>
      </c>
      <c r="M577">
        <v>1.0119668E-2</v>
      </c>
      <c r="N577">
        <v>1.6611606000000001E-2</v>
      </c>
      <c r="O577">
        <v>5.1326569999999997E-3</v>
      </c>
      <c r="P577">
        <v>4.328166E-2</v>
      </c>
      <c r="Q577">
        <v>1.4080725249999999</v>
      </c>
      <c r="R577">
        <v>8.5349984659999993</v>
      </c>
      <c r="S577">
        <v>2.7610033999999999E-2</v>
      </c>
      <c r="T577">
        <v>2.6571467000000001E-2</v>
      </c>
      <c r="U577">
        <v>0.21117051000000001</v>
      </c>
      <c r="V577">
        <v>0.22049724000000001</v>
      </c>
      <c r="W577">
        <v>1.0441668200000001</v>
      </c>
      <c r="X577">
        <v>3.8414548979999998</v>
      </c>
      <c r="Y577">
        <v>3.497854045</v>
      </c>
      <c r="Z577">
        <v>0.32609110400000002</v>
      </c>
      <c r="AA577">
        <v>1.4683547E-2</v>
      </c>
      <c r="AB577">
        <v>0.19485696699999999</v>
      </c>
      <c r="AC577">
        <v>1.2601184E-2</v>
      </c>
      <c r="AD577">
        <v>0.84849313100000001</v>
      </c>
      <c r="AE577">
        <v>0.58248917700000002</v>
      </c>
      <c r="AF577">
        <v>1.781257259</v>
      </c>
      <c r="AG577">
        <v>0.24569001400000001</v>
      </c>
      <c r="AH577">
        <v>4.5434250000000002E-3</v>
      </c>
      <c r="AI577">
        <v>0.91497818900000005</v>
      </c>
    </row>
    <row r="578" spans="1:35" x14ac:dyDescent="0.2">
      <c r="A578">
        <v>628</v>
      </c>
      <c r="B578" t="s">
        <v>742</v>
      </c>
      <c r="C578" t="s">
        <v>218</v>
      </c>
      <c r="D578" t="s">
        <v>168</v>
      </c>
      <c r="E578" s="11">
        <v>4.07E-6</v>
      </c>
      <c r="F578" s="11">
        <v>1.2699999999999999E-6</v>
      </c>
      <c r="G578">
        <v>0.31307024500000002</v>
      </c>
      <c r="H578">
        <v>0.20458284900000001</v>
      </c>
      <c r="I578" s="11">
        <v>5.3399999999999997E-6</v>
      </c>
      <c r="J578">
        <v>0.291931002</v>
      </c>
      <c r="K578">
        <v>8.0895210000000006E-3</v>
      </c>
      <c r="L578">
        <v>1.7677650519999999</v>
      </c>
      <c r="M578">
        <v>8.6614859999999995E-3</v>
      </c>
      <c r="N578">
        <v>9.3469199999999999E-3</v>
      </c>
      <c r="O578">
        <v>2.9070229999999999E-3</v>
      </c>
      <c r="P578">
        <v>4.9294640000000001E-2</v>
      </c>
      <c r="Q578">
        <v>0.93863002100000004</v>
      </c>
      <c r="R578">
        <v>5.7303694140000001</v>
      </c>
      <c r="S578">
        <v>8.5026909999999997E-3</v>
      </c>
      <c r="T578">
        <v>7.4569759999999997E-3</v>
      </c>
      <c r="U578">
        <v>6.5031344000000005E-2</v>
      </c>
      <c r="V578">
        <v>6.1880007000000001E-2</v>
      </c>
      <c r="W578">
        <v>0.95154126000000006</v>
      </c>
      <c r="X578">
        <v>3.4426533109999999</v>
      </c>
      <c r="Y578">
        <v>5.0793451770000004</v>
      </c>
      <c r="Z578">
        <v>0.316207132</v>
      </c>
      <c r="AA578">
        <v>2.5679935000000001E-2</v>
      </c>
      <c r="AB578">
        <v>0.651969892</v>
      </c>
      <c r="AC578">
        <v>2.2058469000000001E-2</v>
      </c>
      <c r="AD578">
        <v>0.86284557299999998</v>
      </c>
      <c r="AE578">
        <v>0.84355284500000005</v>
      </c>
      <c r="AF578">
        <v>2.6331191170000001</v>
      </c>
      <c r="AG578">
        <v>0.62236535299999995</v>
      </c>
      <c r="AH578">
        <v>7.9533E-3</v>
      </c>
      <c r="AI578">
        <v>1.365149932</v>
      </c>
    </row>
    <row r="579" spans="1:35" x14ac:dyDescent="0.2">
      <c r="A579">
        <v>629</v>
      </c>
      <c r="B579" t="s">
        <v>743</v>
      </c>
      <c r="C579" t="s">
        <v>220</v>
      </c>
      <c r="D579" t="s">
        <v>129</v>
      </c>
      <c r="E579" s="11">
        <v>9.1099999999999992E-6</v>
      </c>
      <c r="F579" s="11">
        <v>2.8100000000000002E-6</v>
      </c>
      <c r="G579">
        <v>0.30857796100000001</v>
      </c>
      <c r="H579">
        <v>-0.199533082</v>
      </c>
      <c r="I579" s="11">
        <v>1.19E-5</v>
      </c>
      <c r="J579">
        <v>0.414299627</v>
      </c>
      <c r="K579">
        <v>0.67028916299999997</v>
      </c>
      <c r="L579">
        <v>3.8263760859999998</v>
      </c>
      <c r="M579">
        <v>0.34987311500000001</v>
      </c>
      <c r="N579">
        <v>1.5410738E-2</v>
      </c>
      <c r="O579">
        <v>4.7617830000000003E-3</v>
      </c>
      <c r="P579">
        <v>0.55217402999999998</v>
      </c>
      <c r="Q579">
        <v>1.2610462039999999</v>
      </c>
      <c r="R579">
        <v>8.6706252799999994</v>
      </c>
      <c r="S579">
        <v>2.8080058000000001E-2</v>
      </c>
      <c r="T579">
        <v>2.5035488000000002E-2</v>
      </c>
      <c r="U579">
        <v>0.21476540599999999</v>
      </c>
      <c r="V579">
        <v>0.20775126499999999</v>
      </c>
      <c r="W579">
        <v>0.96734045199999996</v>
      </c>
      <c r="X579">
        <v>3.4052127790000002</v>
      </c>
      <c r="Y579">
        <v>6.115845921</v>
      </c>
      <c r="Z579">
        <v>0.31810781500000002</v>
      </c>
      <c r="AA579">
        <v>2.8682769E-2</v>
      </c>
      <c r="AB579">
        <v>0.37435047700000001</v>
      </c>
      <c r="AC579">
        <v>0.70308742700000004</v>
      </c>
      <c r="AD579">
        <v>0.88400591799999995</v>
      </c>
      <c r="AE579">
        <v>0.61877058200000001</v>
      </c>
      <c r="AF579">
        <v>2.3566466780000002</v>
      </c>
      <c r="AG579">
        <v>7.3554670770000001</v>
      </c>
      <c r="AH579">
        <v>8.8743610000000007E-3</v>
      </c>
      <c r="AI579">
        <v>1.5387945439999999</v>
      </c>
    </row>
    <row r="580" spans="1:35" x14ac:dyDescent="0.2">
      <c r="A580">
        <v>630</v>
      </c>
      <c r="B580" t="s">
        <v>744</v>
      </c>
      <c r="C580" t="s">
        <v>220</v>
      </c>
      <c r="D580" t="s">
        <v>130</v>
      </c>
      <c r="E580" s="11">
        <v>1.15E-5</v>
      </c>
      <c r="F580" s="11">
        <v>3.63E-6</v>
      </c>
      <c r="G580">
        <v>0.315325034</v>
      </c>
      <c r="H580">
        <v>0.605710305</v>
      </c>
      <c r="I580" s="11">
        <v>1.52E-5</v>
      </c>
      <c r="J580">
        <v>0.40030626400000002</v>
      </c>
      <c r="K580">
        <v>7.9989689999999999E-3</v>
      </c>
      <c r="L580">
        <v>2.4178355200000001</v>
      </c>
      <c r="M580">
        <v>6.6080050000000001E-3</v>
      </c>
      <c r="N580">
        <v>9.3090529999999994E-3</v>
      </c>
      <c r="O580">
        <v>2.8746000000000002E-3</v>
      </c>
      <c r="P580">
        <v>2.4960699999999999E-2</v>
      </c>
      <c r="Q580">
        <v>1.2491811859999999</v>
      </c>
      <c r="R580">
        <v>7.5450085099999997</v>
      </c>
      <c r="S580">
        <v>1.5787366000000001E-2</v>
      </c>
      <c r="T580">
        <v>1.5213152000000001E-2</v>
      </c>
      <c r="U580">
        <v>0.120746909</v>
      </c>
      <c r="V580">
        <v>0.12624286100000001</v>
      </c>
      <c r="W580">
        <v>1.045516296</v>
      </c>
      <c r="X580">
        <v>3.5621290939999999</v>
      </c>
      <c r="Y580">
        <v>4.5780537040000002</v>
      </c>
      <c r="Z580">
        <v>0.32860453099999998</v>
      </c>
      <c r="AA580">
        <v>2.3743816000000001E-2</v>
      </c>
      <c r="AB580">
        <v>0.47186388000000001</v>
      </c>
      <c r="AC580">
        <v>2.0324458E-2</v>
      </c>
      <c r="AD580">
        <v>0.89076684799999994</v>
      </c>
      <c r="AE580">
        <v>0.76004942900000005</v>
      </c>
      <c r="AF580">
        <v>2.3588756580000001</v>
      </c>
      <c r="AG580">
        <v>0.40225897900000002</v>
      </c>
      <c r="AH580">
        <v>7.3280929999999999E-3</v>
      </c>
      <c r="AI580">
        <v>1.215389915</v>
      </c>
    </row>
    <row r="581" spans="1:35" x14ac:dyDescent="0.2">
      <c r="A581">
        <v>631</v>
      </c>
      <c r="B581" t="s">
        <v>745</v>
      </c>
      <c r="C581" t="s">
        <v>220</v>
      </c>
      <c r="D581" t="s">
        <v>132</v>
      </c>
      <c r="E581" s="11">
        <v>9.8900000000000002E-6</v>
      </c>
      <c r="F581" s="11">
        <v>3.1099999999999999E-6</v>
      </c>
      <c r="G581">
        <v>0.31495708700000002</v>
      </c>
      <c r="H581">
        <v>-0.37887849299999998</v>
      </c>
      <c r="I581" s="11">
        <v>1.2999999999999999E-5</v>
      </c>
      <c r="J581">
        <v>0.40751602999999997</v>
      </c>
      <c r="K581">
        <v>1.2420125000000001E-2</v>
      </c>
      <c r="L581">
        <v>2.4699364259999999</v>
      </c>
      <c r="M581">
        <v>8.401693E-3</v>
      </c>
      <c r="N581">
        <v>1.4427252999999999E-2</v>
      </c>
      <c r="O581">
        <v>4.4634360000000003E-3</v>
      </c>
      <c r="P581">
        <v>3.8112380000000001E-2</v>
      </c>
      <c r="Q581">
        <v>1.266088747</v>
      </c>
      <c r="R581">
        <v>7.6727572420000003</v>
      </c>
      <c r="S581">
        <v>2.2211366E-2</v>
      </c>
      <c r="T581">
        <v>2.0148955999999999E-2</v>
      </c>
      <c r="U581">
        <v>0.169879742</v>
      </c>
      <c r="V581">
        <v>0.167201499</v>
      </c>
      <c r="W581">
        <v>0.984234477</v>
      </c>
      <c r="X581">
        <v>4.2262725879999996</v>
      </c>
      <c r="Y581">
        <v>2.2473098010000001</v>
      </c>
      <c r="Z581">
        <v>0.31284646399999999</v>
      </c>
      <c r="AA581">
        <v>1.0541193000000001E-2</v>
      </c>
      <c r="AB581">
        <v>-9.9063610999999996E-2</v>
      </c>
      <c r="AC581">
        <v>9.0386900000000003E-3</v>
      </c>
      <c r="AD581">
        <v>0.88769848699999998</v>
      </c>
      <c r="AE581">
        <v>0.37364937799999998</v>
      </c>
      <c r="AF581">
        <v>1.2642002480000001</v>
      </c>
      <c r="AG581">
        <v>0.194977437</v>
      </c>
      <c r="AH581">
        <v>3.2589479999999998E-3</v>
      </c>
      <c r="AI581">
        <v>0.65040625299999999</v>
      </c>
    </row>
    <row r="582" spans="1:35" x14ac:dyDescent="0.2">
      <c r="A582">
        <v>632</v>
      </c>
      <c r="B582" t="s">
        <v>746</v>
      </c>
      <c r="C582" t="s">
        <v>220</v>
      </c>
      <c r="D582" t="s">
        <v>134</v>
      </c>
      <c r="E582" s="11">
        <v>2.1299999999999999E-5</v>
      </c>
      <c r="F582" s="11">
        <v>8.0099999999999995E-6</v>
      </c>
      <c r="G582">
        <v>0.37647931800000001</v>
      </c>
      <c r="H582">
        <v>1.211066E-3</v>
      </c>
      <c r="I582" s="11">
        <v>2.9300000000000001E-5</v>
      </c>
      <c r="J582">
        <v>0.64679641499999996</v>
      </c>
      <c r="K582">
        <v>2.6188860000000001E-2</v>
      </c>
      <c r="L582">
        <v>3.9331562099999999</v>
      </c>
      <c r="M582">
        <v>1.3319564000000001E-2</v>
      </c>
      <c r="N582">
        <v>3.0547094E-2</v>
      </c>
      <c r="O582">
        <v>9.4115229999999998E-3</v>
      </c>
      <c r="P582">
        <v>6.6141930000000002E-2</v>
      </c>
      <c r="Q582">
        <v>1.6335667229999999</v>
      </c>
      <c r="R582">
        <v>9.9336842000000001</v>
      </c>
      <c r="S582">
        <v>4.8671503999999997E-2</v>
      </c>
      <c r="T582">
        <v>5.0315407999999999E-2</v>
      </c>
      <c r="U582">
        <v>0.37225547799999997</v>
      </c>
      <c r="V582">
        <v>0.41753090300000001</v>
      </c>
      <c r="W582">
        <v>1.121624604</v>
      </c>
      <c r="X582">
        <v>3.3167876430000001</v>
      </c>
      <c r="Y582">
        <v>4.3963334019999998</v>
      </c>
      <c r="Z582">
        <v>0.42743102999999999</v>
      </c>
      <c r="AA582">
        <v>3.2041038000000001E-2</v>
      </c>
      <c r="AB582">
        <v>0.10535533800000001</v>
      </c>
      <c r="AC582">
        <v>2.7416969999999999E-2</v>
      </c>
      <c r="AD582">
        <v>0.91374473</v>
      </c>
      <c r="AE582">
        <v>0.72524554799999996</v>
      </c>
      <c r="AF582">
        <v>1.707839879</v>
      </c>
      <c r="AG582">
        <v>0.41176966799999998</v>
      </c>
      <c r="AH582">
        <v>9.8853359999999998E-3</v>
      </c>
      <c r="AI582">
        <v>0.88557518700000004</v>
      </c>
    </row>
    <row r="583" spans="1:35" x14ac:dyDescent="0.2">
      <c r="A583">
        <v>633</v>
      </c>
      <c r="B583" t="s">
        <v>747</v>
      </c>
      <c r="C583" t="s">
        <v>220</v>
      </c>
      <c r="D583" t="s">
        <v>136</v>
      </c>
      <c r="E583" s="11">
        <v>1.45E-5</v>
      </c>
      <c r="F583" s="11">
        <v>4.5600000000000004E-6</v>
      </c>
      <c r="G583">
        <v>0.31477848000000003</v>
      </c>
      <c r="H583">
        <v>0.27540645000000002</v>
      </c>
      <c r="I583" s="11">
        <v>1.91E-5</v>
      </c>
      <c r="J583">
        <v>0.37127070000000001</v>
      </c>
      <c r="K583">
        <v>1.5691885999999999E-2</v>
      </c>
      <c r="L583">
        <v>2.259007972</v>
      </c>
      <c r="M583">
        <v>1.3878193E-2</v>
      </c>
      <c r="N583">
        <v>1.8280660000000001E-2</v>
      </c>
      <c r="O583">
        <v>5.6392129999999997E-3</v>
      </c>
      <c r="P583">
        <v>4.7331409999999997E-2</v>
      </c>
      <c r="Q583">
        <v>1.119908479</v>
      </c>
      <c r="R583">
        <v>6.8141136979999999</v>
      </c>
      <c r="S583">
        <v>3.0875682000000002E-2</v>
      </c>
      <c r="T583">
        <v>2.9865465000000001E-2</v>
      </c>
      <c r="U583">
        <v>0.236147249</v>
      </c>
      <c r="V583">
        <v>0.247831727</v>
      </c>
      <c r="W583">
        <v>1.0494796280000001</v>
      </c>
      <c r="X583">
        <v>3.444843584</v>
      </c>
      <c r="Y583">
        <v>3.037173288</v>
      </c>
      <c r="Z583">
        <v>0.338699321</v>
      </c>
      <c r="AA583">
        <v>2.7392448E-2</v>
      </c>
      <c r="AB583">
        <v>0.25621367</v>
      </c>
      <c r="AC583">
        <v>2.3451235000000001E-2</v>
      </c>
      <c r="AD583">
        <v>0.89076768200000001</v>
      </c>
      <c r="AE583">
        <v>0.498383988</v>
      </c>
      <c r="AF583">
        <v>1.510207308</v>
      </c>
      <c r="AG583">
        <v>0.453127422</v>
      </c>
      <c r="AH583">
        <v>8.4554690000000002E-3</v>
      </c>
      <c r="AI583">
        <v>0.78725011</v>
      </c>
    </row>
    <row r="584" spans="1:35" x14ac:dyDescent="0.2">
      <c r="A584">
        <v>634</v>
      </c>
      <c r="B584" t="s">
        <v>748</v>
      </c>
      <c r="C584" t="s">
        <v>220</v>
      </c>
      <c r="D584" t="s">
        <v>138</v>
      </c>
      <c r="E584" s="11">
        <v>1.7399999999999999E-5</v>
      </c>
      <c r="F584" s="11">
        <v>6.2500000000000003E-6</v>
      </c>
      <c r="G584">
        <v>0.35831904799999997</v>
      </c>
      <c r="H584">
        <v>-0.20670180799999999</v>
      </c>
      <c r="I584" s="11">
        <v>2.37E-5</v>
      </c>
      <c r="J584">
        <v>3.856715297</v>
      </c>
      <c r="K584">
        <v>0.108263572</v>
      </c>
      <c r="L584">
        <v>23.356818929999999</v>
      </c>
      <c r="M584">
        <v>9.2197689999999992E-3</v>
      </c>
      <c r="N584">
        <v>0.123263098</v>
      </c>
      <c r="O584">
        <v>3.8906813999999998E-2</v>
      </c>
      <c r="P584">
        <v>0.51787311000000003</v>
      </c>
      <c r="Q584">
        <v>8.2712175929999994</v>
      </c>
      <c r="R584">
        <v>50.663051770000003</v>
      </c>
      <c r="S584">
        <v>0.16293875099999999</v>
      </c>
      <c r="T584">
        <v>0.16825420099999999</v>
      </c>
      <c r="U584">
        <v>1.246208521</v>
      </c>
      <c r="V584">
        <v>1.396218985</v>
      </c>
      <c r="W584">
        <v>1.1203734860000001</v>
      </c>
      <c r="X584">
        <v>2.4853393029999999</v>
      </c>
      <c r="Y584">
        <v>28.137053659999999</v>
      </c>
      <c r="Z584">
        <v>0.39559128700000001</v>
      </c>
      <c r="AA584">
        <v>8.4443753999999996E-2</v>
      </c>
      <c r="AB584">
        <v>0.16989109099999999</v>
      </c>
      <c r="AC584">
        <v>7.5610779000000003E-2</v>
      </c>
      <c r="AD584">
        <v>0.91859414800000005</v>
      </c>
      <c r="AE584">
        <v>4.7002475119999998</v>
      </c>
      <c r="AF584">
        <v>7.5510005070000004</v>
      </c>
      <c r="AG584">
        <v>0.96291825900000005</v>
      </c>
      <c r="AH584">
        <v>2.7261873999999998E-2</v>
      </c>
      <c r="AI584">
        <v>3.875428925</v>
      </c>
    </row>
    <row r="585" spans="1:35" x14ac:dyDescent="0.2">
      <c r="A585">
        <v>635</v>
      </c>
      <c r="B585" t="s">
        <v>749</v>
      </c>
      <c r="C585" t="s">
        <v>220</v>
      </c>
      <c r="D585" t="s">
        <v>140</v>
      </c>
      <c r="E585" s="11">
        <v>9.8200000000000008E-7</v>
      </c>
      <c r="F585" s="11">
        <v>3.1E-7</v>
      </c>
      <c r="G585">
        <v>0.31537743400000001</v>
      </c>
      <c r="H585">
        <v>0.76485580500000006</v>
      </c>
      <c r="I585" s="11">
        <v>1.2899999999999999E-6</v>
      </c>
      <c r="J585">
        <v>0.293211577</v>
      </c>
      <c r="K585">
        <v>4.6624200000000001E-4</v>
      </c>
      <c r="L585">
        <v>1.7602019470000001</v>
      </c>
      <c r="M585">
        <v>5.2965499999999997E-4</v>
      </c>
      <c r="N585">
        <v>5.1990700000000001E-4</v>
      </c>
      <c r="O585">
        <v>1.6755399999999999E-4</v>
      </c>
      <c r="P585">
        <v>1.44348E-3</v>
      </c>
      <c r="Q585">
        <v>0.90840567100000003</v>
      </c>
      <c r="R585">
        <v>5.4533209840000003</v>
      </c>
      <c r="S585">
        <v>3.1600090000000001E-3</v>
      </c>
      <c r="T585">
        <v>9.3392499999999995E-4</v>
      </c>
      <c r="U585">
        <v>2.4168773000000001E-2</v>
      </c>
      <c r="V585">
        <v>7.7499659999999996E-3</v>
      </c>
      <c r="W585">
        <v>0.32066030000000001</v>
      </c>
      <c r="X585">
        <v>4.3810808420000003</v>
      </c>
      <c r="Y585">
        <v>1.960912016</v>
      </c>
      <c r="Z585">
        <v>0.31407601800000001</v>
      </c>
      <c r="AA585">
        <v>8.7298069999999992E-3</v>
      </c>
      <c r="AB585">
        <v>0.102355469</v>
      </c>
      <c r="AC585">
        <v>7.4830110000000003E-3</v>
      </c>
      <c r="AD585">
        <v>0.86962178000000001</v>
      </c>
      <c r="AE585">
        <v>0.32626830600000001</v>
      </c>
      <c r="AF585">
        <v>1.118254925</v>
      </c>
      <c r="AG585">
        <v>0.16354067</v>
      </c>
      <c r="AH585">
        <v>2.6980400000000001E-3</v>
      </c>
      <c r="AI585">
        <v>0.57490355400000004</v>
      </c>
    </row>
    <row r="586" spans="1:35" x14ac:dyDescent="0.2">
      <c r="A586">
        <v>636</v>
      </c>
      <c r="B586" t="s">
        <v>750</v>
      </c>
      <c r="C586" t="s">
        <v>220</v>
      </c>
      <c r="D586" t="s">
        <v>142</v>
      </c>
      <c r="E586" s="11">
        <v>1.49E-5</v>
      </c>
      <c r="F586" s="11">
        <v>4.9699999999999998E-6</v>
      </c>
      <c r="G586">
        <v>0.33319046499999999</v>
      </c>
      <c r="H586">
        <v>0.60119935499999999</v>
      </c>
      <c r="I586" s="11">
        <v>1.9899999999999999E-5</v>
      </c>
      <c r="J586">
        <v>0.77698804600000004</v>
      </c>
      <c r="K586">
        <v>3.684788E-2</v>
      </c>
      <c r="L586">
        <v>4.735624037</v>
      </c>
      <c r="M586">
        <v>1.5537331999999999E-2</v>
      </c>
      <c r="N586">
        <v>4.2707935000000002E-2</v>
      </c>
      <c r="O586">
        <v>1.3242067999999999E-2</v>
      </c>
      <c r="P586">
        <v>0.10152435</v>
      </c>
      <c r="Q586">
        <v>2.1407801499999999</v>
      </c>
      <c r="R586">
        <v>13.047729609999999</v>
      </c>
      <c r="S586">
        <v>6.3850632000000004E-2</v>
      </c>
      <c r="T586">
        <v>5.8108015999999998E-2</v>
      </c>
      <c r="U586">
        <v>0.48835038400000003</v>
      </c>
      <c r="V586">
        <v>0.48219607799999997</v>
      </c>
      <c r="W586">
        <v>0.98739776599999995</v>
      </c>
      <c r="X586">
        <v>2.3338474300000001</v>
      </c>
      <c r="Y586">
        <v>57.707539109999999</v>
      </c>
      <c r="Z586">
        <v>1.2567892199999999</v>
      </c>
      <c r="AA586">
        <v>0.109484172</v>
      </c>
      <c r="AB586">
        <v>0.91793751499999998</v>
      </c>
      <c r="AC586">
        <v>4.4189845180000003</v>
      </c>
      <c r="AD586">
        <v>1.083782775</v>
      </c>
      <c r="AE586">
        <v>7.1382360499999997</v>
      </c>
      <c r="AF586">
        <v>5.4042738159999999</v>
      </c>
      <c r="AG586">
        <v>20.930501599999999</v>
      </c>
      <c r="AH586">
        <v>3.2796504999999997E-2</v>
      </c>
      <c r="AI586">
        <v>3.7184041990000001</v>
      </c>
    </row>
    <row r="587" spans="1:35" x14ac:dyDescent="0.2">
      <c r="A587">
        <v>637</v>
      </c>
      <c r="B587" t="s">
        <v>751</v>
      </c>
      <c r="C587" t="s">
        <v>220</v>
      </c>
      <c r="D587" t="s">
        <v>144</v>
      </c>
      <c r="E587" s="11">
        <v>2.3099999999999999E-5</v>
      </c>
      <c r="F587" s="11">
        <v>7.6599999999999995E-6</v>
      </c>
      <c r="G587">
        <v>0.33129080399999999</v>
      </c>
      <c r="H587">
        <v>7.7900479999999994E-2</v>
      </c>
      <c r="I587" s="11">
        <v>3.0800000000000003E-5</v>
      </c>
      <c r="J587">
        <v>0.63461799100000005</v>
      </c>
      <c r="K587">
        <v>2.9637977999999999E-2</v>
      </c>
      <c r="L587">
        <v>3.8669838990000001</v>
      </c>
      <c r="M587">
        <v>1.5314657000000001E-2</v>
      </c>
      <c r="N587">
        <v>3.4568428999999998E-2</v>
      </c>
      <c r="O587">
        <v>1.0651037E-2</v>
      </c>
      <c r="P587">
        <v>8.4140859999999998E-2</v>
      </c>
      <c r="Q587">
        <v>1.801406697</v>
      </c>
      <c r="R587">
        <v>10.97672191</v>
      </c>
      <c r="S587">
        <v>6.0302954999999998E-2</v>
      </c>
      <c r="T587">
        <v>5.9314382999999998E-2</v>
      </c>
      <c r="U587">
        <v>0.46121659799999998</v>
      </c>
      <c r="V587">
        <v>0.49220683500000001</v>
      </c>
      <c r="W587">
        <v>1.0671923720000001</v>
      </c>
      <c r="X587">
        <v>3.1669574429999998</v>
      </c>
      <c r="Y587">
        <v>4.2407792369999999</v>
      </c>
      <c r="Z587">
        <v>0.32811232499999998</v>
      </c>
      <c r="AA587">
        <v>3.8460534999999997E-2</v>
      </c>
      <c r="AB587">
        <v>8.8143078999999999E-2</v>
      </c>
      <c r="AC587">
        <v>3.2916287000000002E-2</v>
      </c>
      <c r="AD587">
        <v>0.90692234800000004</v>
      </c>
      <c r="AE587">
        <v>0.69578868599999999</v>
      </c>
      <c r="AF587">
        <v>1.9660933030000001</v>
      </c>
      <c r="AG587">
        <v>0.59321008399999997</v>
      </c>
      <c r="AH587">
        <v>1.1868144000000001E-2</v>
      </c>
      <c r="AI587">
        <v>1.025051046</v>
      </c>
    </row>
    <row r="588" spans="1:35" x14ac:dyDescent="0.2">
      <c r="A588">
        <v>638</v>
      </c>
      <c r="B588" t="s">
        <v>752</v>
      </c>
      <c r="C588" t="s">
        <v>220</v>
      </c>
      <c r="D588" t="s">
        <v>146</v>
      </c>
      <c r="E588" s="11">
        <v>1.73E-5</v>
      </c>
      <c r="F588" s="11">
        <v>5.5400000000000003E-6</v>
      </c>
      <c r="G588">
        <v>0.32089631800000001</v>
      </c>
      <c r="H588">
        <v>0.22382791199999999</v>
      </c>
      <c r="I588" s="11">
        <v>2.2799999999999999E-5</v>
      </c>
      <c r="J588">
        <v>0.51085243199999997</v>
      </c>
      <c r="K588">
        <v>1.6099305000000001E-2</v>
      </c>
      <c r="L588">
        <v>3.097313201</v>
      </c>
      <c r="M588">
        <v>1.0381279E-2</v>
      </c>
      <c r="N588">
        <v>1.8762335000000002E-2</v>
      </c>
      <c r="O588">
        <v>5.7856269999999998E-3</v>
      </c>
      <c r="P588">
        <v>4.8490239999999997E-2</v>
      </c>
      <c r="Q588">
        <v>1.5386983320000001</v>
      </c>
      <c r="R588">
        <v>9.3291704699999993</v>
      </c>
      <c r="S588">
        <v>3.0465310999999998E-2</v>
      </c>
      <c r="T588">
        <v>3.0905318000000001E-2</v>
      </c>
      <c r="U588">
        <v>0.23300859600000001</v>
      </c>
      <c r="V588">
        <v>0.25646070999999998</v>
      </c>
      <c r="W588">
        <v>1.100649137</v>
      </c>
      <c r="X588">
        <v>3.5570618679999999</v>
      </c>
      <c r="Y588">
        <v>4.6053681160000002</v>
      </c>
      <c r="Z588">
        <v>0.32317222400000001</v>
      </c>
      <c r="AA588">
        <v>2.3890504E-2</v>
      </c>
      <c r="AB588">
        <v>0.32745589000000003</v>
      </c>
      <c r="AC588">
        <v>2.0450502999999998E-2</v>
      </c>
      <c r="AD588">
        <v>0.89013239099999997</v>
      </c>
      <c r="AE588">
        <v>0.76458136700000001</v>
      </c>
      <c r="AF588">
        <v>2.3706030220000001</v>
      </c>
      <c r="AG588">
        <v>0.404389993</v>
      </c>
      <c r="AH588">
        <v>7.3735390000000001E-3</v>
      </c>
      <c r="AI588">
        <v>1.221438459</v>
      </c>
    </row>
    <row r="589" spans="1:35" x14ac:dyDescent="0.2">
      <c r="A589">
        <v>639</v>
      </c>
      <c r="B589" t="s">
        <v>753</v>
      </c>
      <c r="C589" t="s">
        <v>220</v>
      </c>
      <c r="D589" t="s">
        <v>148</v>
      </c>
      <c r="E589" s="11">
        <v>1.04E-5</v>
      </c>
      <c r="F589" s="11">
        <v>3.2399999999999999E-6</v>
      </c>
      <c r="G589">
        <v>0.31162305099999998</v>
      </c>
      <c r="H589">
        <v>-0.15494222399999999</v>
      </c>
      <c r="I589" s="11">
        <v>1.36E-5</v>
      </c>
      <c r="J589">
        <v>0.24132455</v>
      </c>
      <c r="K589">
        <v>7.2586943000000001E-2</v>
      </c>
      <c r="L589">
        <v>1.5931211839999999</v>
      </c>
      <c r="M589">
        <v>9.1257729999999995E-2</v>
      </c>
      <c r="N589">
        <v>1.0513918000000001E-2</v>
      </c>
      <c r="O589">
        <v>3.2479309999999999E-3</v>
      </c>
      <c r="P589">
        <v>0.22533971999999999</v>
      </c>
      <c r="Q589">
        <v>0.74907654999999995</v>
      </c>
      <c r="R589">
        <v>4.9451387440000003</v>
      </c>
      <c r="S589">
        <v>1.8174310999999999E-2</v>
      </c>
      <c r="T589">
        <v>1.6712067000000001E-2</v>
      </c>
      <c r="U589">
        <v>0.13900303899999999</v>
      </c>
      <c r="V589">
        <v>0.138681267</v>
      </c>
      <c r="W589">
        <v>0.99768514399999997</v>
      </c>
      <c r="X589">
        <v>4.2947290970000003</v>
      </c>
      <c r="Y589">
        <v>1.464367872</v>
      </c>
      <c r="Z589">
        <v>0.30975534599999999</v>
      </c>
      <c r="AA589">
        <v>9.6976240000000002E-3</v>
      </c>
      <c r="AB589">
        <v>-8.7924158000000002E-2</v>
      </c>
      <c r="AC589">
        <v>6.6777038999999996E-2</v>
      </c>
      <c r="AD589">
        <v>0.88041100999999999</v>
      </c>
      <c r="AE589">
        <v>0.207749721</v>
      </c>
      <c r="AF589">
        <v>0.70679884999999998</v>
      </c>
      <c r="AG589">
        <v>1.4493691179999999</v>
      </c>
      <c r="AH589">
        <v>2.9978100000000001E-3</v>
      </c>
      <c r="AI589">
        <v>0.426194356</v>
      </c>
    </row>
    <row r="590" spans="1:35" x14ac:dyDescent="0.2">
      <c r="A590">
        <v>640</v>
      </c>
      <c r="B590" t="s">
        <v>754</v>
      </c>
      <c r="C590" t="s">
        <v>220</v>
      </c>
      <c r="D590" t="s">
        <v>150</v>
      </c>
      <c r="E590" s="11">
        <v>1.7399999999999999E-5</v>
      </c>
      <c r="F590" s="11">
        <v>5.5300000000000004E-6</v>
      </c>
      <c r="G590">
        <v>0.31696933199999999</v>
      </c>
      <c r="H590">
        <v>0.234372267</v>
      </c>
      <c r="I590" s="11">
        <v>2.3E-5</v>
      </c>
      <c r="J590">
        <v>0.50899928299999997</v>
      </c>
      <c r="K590">
        <v>1.6019973999999999E-2</v>
      </c>
      <c r="L590">
        <v>3.0860356470000001</v>
      </c>
      <c r="M590">
        <v>1.0363661999999999E-2</v>
      </c>
      <c r="N590">
        <v>1.8670341E-2</v>
      </c>
      <c r="O590">
        <v>5.7571180000000003E-3</v>
      </c>
      <c r="P590">
        <v>4.8269800000000002E-2</v>
      </c>
      <c r="Q590">
        <v>1.5337037120000001</v>
      </c>
      <c r="R590">
        <v>9.2987618619999992</v>
      </c>
      <c r="S590">
        <v>2.9810381E-2</v>
      </c>
      <c r="T590">
        <v>3.0669729999999999E-2</v>
      </c>
      <c r="U590">
        <v>0.227999484</v>
      </c>
      <c r="V590">
        <v>0.25450573399999998</v>
      </c>
      <c r="W590">
        <v>1.116255746</v>
      </c>
      <c r="X590">
        <v>3.5627505789999998</v>
      </c>
      <c r="Y590">
        <v>4.5783830710000002</v>
      </c>
      <c r="Z590">
        <v>0.322762679</v>
      </c>
      <c r="AA590">
        <v>2.3725293000000001E-2</v>
      </c>
      <c r="AB590">
        <v>0.32595512399999998</v>
      </c>
      <c r="AC590">
        <v>2.0309053000000001E-2</v>
      </c>
      <c r="AD590">
        <v>0.89005480999999997</v>
      </c>
      <c r="AE590">
        <v>0.76011400600000001</v>
      </c>
      <c r="AF590">
        <v>2.3592934140000001</v>
      </c>
      <c r="AG590">
        <v>0.402027362</v>
      </c>
      <c r="AH590">
        <v>7.3225390000000003E-3</v>
      </c>
      <c r="AI590">
        <v>1.2155910270000001</v>
      </c>
    </row>
    <row r="591" spans="1:35" x14ac:dyDescent="0.2">
      <c r="A591">
        <v>641</v>
      </c>
      <c r="B591" t="s">
        <v>755</v>
      </c>
      <c r="C591" t="s">
        <v>220</v>
      </c>
      <c r="D591" t="s">
        <v>204</v>
      </c>
      <c r="E591" s="11">
        <v>7.8199999999999997E-6</v>
      </c>
      <c r="F591" s="11">
        <v>2.4899999999999999E-6</v>
      </c>
      <c r="G591">
        <v>0.318247893</v>
      </c>
      <c r="H591">
        <v>-0.48672446800000002</v>
      </c>
      <c r="I591" s="11">
        <v>1.03E-5</v>
      </c>
      <c r="J591">
        <v>0.28313755800000001</v>
      </c>
      <c r="K591">
        <v>7.2065319999999999E-3</v>
      </c>
      <c r="L591">
        <v>1.7132384140000001</v>
      </c>
      <c r="M591">
        <v>8.4239919999999999E-3</v>
      </c>
      <c r="N591">
        <v>8.3738649999999994E-3</v>
      </c>
      <c r="O591">
        <v>2.5898200000000001E-3</v>
      </c>
      <c r="P591">
        <v>2.2534450000000001E-2</v>
      </c>
      <c r="Q591">
        <v>0.88532270400000002</v>
      </c>
      <c r="R591">
        <v>5.3570051220000003</v>
      </c>
      <c r="S591">
        <v>1.4038037E-2</v>
      </c>
      <c r="T591">
        <v>1.3466123999999999E-2</v>
      </c>
      <c r="U591">
        <v>0.10736746599999999</v>
      </c>
      <c r="V591">
        <v>0.111745545</v>
      </c>
      <c r="W591">
        <v>1.040776589</v>
      </c>
      <c r="X591">
        <v>4.5413827060000003</v>
      </c>
      <c r="Y591">
        <v>1.694882735</v>
      </c>
      <c r="Z591">
        <v>0.30758796300000002</v>
      </c>
      <c r="AA591">
        <v>7.1638860000000004E-3</v>
      </c>
      <c r="AB591">
        <v>-1.0830058E-2</v>
      </c>
      <c r="AC591">
        <v>6.1536999999999998E-3</v>
      </c>
      <c r="AD591">
        <v>0.85321860599999999</v>
      </c>
      <c r="AE591">
        <v>0.28218905799999999</v>
      </c>
      <c r="AF591">
        <v>0.99430588499999994</v>
      </c>
      <c r="AG591">
        <v>0.13577351700000001</v>
      </c>
      <c r="AH591">
        <v>2.2187499999999998E-3</v>
      </c>
      <c r="AI591">
        <v>0.51073044599999995</v>
      </c>
    </row>
    <row r="592" spans="1:35" x14ac:dyDescent="0.2">
      <c r="A592">
        <v>642</v>
      </c>
      <c r="B592" t="s">
        <v>756</v>
      </c>
      <c r="C592" t="s">
        <v>220</v>
      </c>
      <c r="D592" t="s">
        <v>152</v>
      </c>
      <c r="E592" s="11">
        <v>1.5099999999999999E-5</v>
      </c>
      <c r="F592" s="11">
        <v>4.87E-6</v>
      </c>
      <c r="G592">
        <v>0.32303351000000002</v>
      </c>
      <c r="H592">
        <v>0.60268974399999997</v>
      </c>
      <c r="I592" s="11">
        <v>1.9899999999999999E-5</v>
      </c>
      <c r="J592">
        <v>0.77500112399999999</v>
      </c>
      <c r="K592">
        <v>3.6745877000000003E-2</v>
      </c>
      <c r="L592">
        <v>4.7234984969999996</v>
      </c>
      <c r="M592">
        <v>1.5534486E-2</v>
      </c>
      <c r="N592">
        <v>4.2587514999999999E-2</v>
      </c>
      <c r="O592">
        <v>1.3205412E-2</v>
      </c>
      <c r="P592">
        <v>0.10126357</v>
      </c>
      <c r="Q592">
        <v>2.1357330349999999</v>
      </c>
      <c r="R592">
        <v>13.01692536</v>
      </c>
      <c r="S592">
        <v>6.3651935000000007E-2</v>
      </c>
      <c r="T592">
        <v>5.7868786999999998E-2</v>
      </c>
      <c r="U592">
        <v>0.48683068400000001</v>
      </c>
      <c r="V592">
        <v>0.48021088699999998</v>
      </c>
      <c r="W592">
        <v>0.98640225999999998</v>
      </c>
      <c r="X592">
        <v>2.333314702</v>
      </c>
      <c r="Y592">
        <v>57.697182830000003</v>
      </c>
      <c r="Z592">
        <v>1.2566168390000001</v>
      </c>
      <c r="AA592">
        <v>0.109492635</v>
      </c>
      <c r="AB592">
        <v>0.91813294400000001</v>
      </c>
      <c r="AC592">
        <v>4.4264708979999998</v>
      </c>
      <c r="AD592">
        <v>1.0834861840000001</v>
      </c>
      <c r="AE592">
        <v>7.1320973309999998</v>
      </c>
      <c r="AF592">
        <v>5.4051806500000001</v>
      </c>
      <c r="AG592">
        <v>20.700027559999999</v>
      </c>
      <c r="AH592">
        <v>3.2817829E-2</v>
      </c>
      <c r="AI592">
        <v>3.7081070309999999</v>
      </c>
    </row>
    <row r="593" spans="1:35" x14ac:dyDescent="0.2">
      <c r="A593">
        <v>643</v>
      </c>
      <c r="B593" t="s">
        <v>757</v>
      </c>
      <c r="C593" t="s">
        <v>220</v>
      </c>
      <c r="D593" t="s">
        <v>154</v>
      </c>
      <c r="E593" s="11">
        <v>7.6599999999999995E-6</v>
      </c>
      <c r="F593" s="11">
        <v>2.39E-6</v>
      </c>
      <c r="G593">
        <v>0.31187779300000001</v>
      </c>
      <c r="H593">
        <v>-0.46175775899999999</v>
      </c>
      <c r="I593" s="11">
        <v>1.0000000000000001E-5</v>
      </c>
      <c r="J593">
        <v>0.27269381999999998</v>
      </c>
      <c r="K593">
        <v>6.7797200000000004E-3</v>
      </c>
      <c r="L593">
        <v>1.6497223599999999</v>
      </c>
      <c r="M593">
        <v>8.2134760000000008E-3</v>
      </c>
      <c r="N593">
        <v>7.8758530000000004E-3</v>
      </c>
      <c r="O593">
        <v>2.4364360000000002E-3</v>
      </c>
      <c r="P593">
        <v>2.1235670000000002E-2</v>
      </c>
      <c r="Q593">
        <v>0.854117617</v>
      </c>
      <c r="R593">
        <v>5.1671770480000001</v>
      </c>
      <c r="S593">
        <v>1.3199475E-2</v>
      </c>
      <c r="T593">
        <v>1.2662074000000001E-2</v>
      </c>
      <c r="U593">
        <v>0.100953876</v>
      </c>
      <c r="V593">
        <v>0.105073325</v>
      </c>
      <c r="W593">
        <v>1.040805258</v>
      </c>
      <c r="X593">
        <v>4.6538499910000004</v>
      </c>
      <c r="Y593">
        <v>1.5775863919999999</v>
      </c>
      <c r="Z593">
        <v>0.30909710200000001</v>
      </c>
      <c r="AA593">
        <v>6.2475489999999998E-3</v>
      </c>
      <c r="AB593">
        <v>-4.5725526000000002E-2</v>
      </c>
      <c r="AC593">
        <v>5.3646650000000002E-3</v>
      </c>
      <c r="AD593">
        <v>0.84944509599999996</v>
      </c>
      <c r="AE593">
        <v>0.26287290600000002</v>
      </c>
      <c r="AF593">
        <v>0.91483128899999999</v>
      </c>
      <c r="AG593">
        <v>0.11905476399999999</v>
      </c>
      <c r="AH593">
        <v>1.934259E-3</v>
      </c>
      <c r="AI593">
        <v>0.469634092</v>
      </c>
    </row>
    <row r="594" spans="1:35" x14ac:dyDescent="0.2">
      <c r="A594">
        <v>644</v>
      </c>
      <c r="B594" t="s">
        <v>758</v>
      </c>
      <c r="C594" t="s">
        <v>220</v>
      </c>
      <c r="D594" t="s">
        <v>156</v>
      </c>
      <c r="E594" s="11">
        <v>1.38E-5</v>
      </c>
      <c r="F594" s="11">
        <v>4.3900000000000003E-6</v>
      </c>
      <c r="G594">
        <v>0.31823309799999999</v>
      </c>
      <c r="H594">
        <v>0.38663894500000001</v>
      </c>
      <c r="I594" s="11">
        <v>1.8199999999999999E-5</v>
      </c>
      <c r="J594">
        <v>0.36547722300000002</v>
      </c>
      <c r="K594">
        <v>1.5364154E-2</v>
      </c>
      <c r="L594">
        <v>2.223591646</v>
      </c>
      <c r="M594">
        <v>1.3833122999999999E-2</v>
      </c>
      <c r="N594">
        <v>1.7897606E-2</v>
      </c>
      <c r="O594">
        <v>5.5214349999999999E-3</v>
      </c>
      <c r="P594">
        <v>4.6408070000000003E-2</v>
      </c>
      <c r="Q594">
        <v>1.103984936</v>
      </c>
      <c r="R594">
        <v>6.7167257520000003</v>
      </c>
      <c r="S594">
        <v>3.0261683000000001E-2</v>
      </c>
      <c r="T594">
        <v>2.9220800000000002E-2</v>
      </c>
      <c r="U594">
        <v>0.231451183</v>
      </c>
      <c r="V594">
        <v>0.242482119</v>
      </c>
      <c r="W594">
        <v>1.047659882</v>
      </c>
      <c r="X594">
        <v>3.3119058940000001</v>
      </c>
      <c r="Y594">
        <v>3.543494345</v>
      </c>
      <c r="Z594">
        <v>0.341639058</v>
      </c>
      <c r="AA594">
        <v>3.2212535E-2</v>
      </c>
      <c r="AB594">
        <v>0.372486188</v>
      </c>
      <c r="AC594">
        <v>2.7580757000000001E-2</v>
      </c>
      <c r="AD594">
        <v>0.88618648</v>
      </c>
      <c r="AE594">
        <v>0.58133949500000004</v>
      </c>
      <c r="AF594">
        <v>1.707111134</v>
      </c>
      <c r="AG594">
        <v>0.516676731</v>
      </c>
      <c r="AH594">
        <v>9.9443900000000009E-3</v>
      </c>
      <c r="AI594">
        <v>0.89010195999999997</v>
      </c>
    </row>
    <row r="595" spans="1:35" x14ac:dyDescent="0.2">
      <c r="A595">
        <v>645</v>
      </c>
      <c r="B595" t="s">
        <v>759</v>
      </c>
      <c r="C595" t="s">
        <v>220</v>
      </c>
      <c r="D595" t="s">
        <v>158</v>
      </c>
      <c r="E595" s="11">
        <v>6.1999999999999999E-6</v>
      </c>
      <c r="F595" s="11">
        <v>1.9199999999999998E-6</v>
      </c>
      <c r="G595">
        <v>0.30962546600000002</v>
      </c>
      <c r="H595">
        <v>-9.5509997999999999E-2</v>
      </c>
      <c r="I595" s="11">
        <v>8.1200000000000002E-6</v>
      </c>
      <c r="J595">
        <v>0.20803403600000001</v>
      </c>
      <c r="K595">
        <v>4.0978969999999997E-3</v>
      </c>
      <c r="L595">
        <v>1.2564000120000001</v>
      </c>
      <c r="M595">
        <v>6.5018949999999997E-3</v>
      </c>
      <c r="N595">
        <v>4.7525579999999996E-3</v>
      </c>
      <c r="O595">
        <v>1.4726660000000001E-3</v>
      </c>
      <c r="P595">
        <v>1.2974080000000001E-2</v>
      </c>
      <c r="Q595">
        <v>0.65849102199999998</v>
      </c>
      <c r="R595">
        <v>3.9768942859999998</v>
      </c>
      <c r="S595">
        <v>8.9299900000000005E-3</v>
      </c>
      <c r="T595">
        <v>8.0447100000000001E-3</v>
      </c>
      <c r="U595">
        <v>6.8299462000000005E-2</v>
      </c>
      <c r="V595">
        <v>6.6757181999999998E-2</v>
      </c>
      <c r="W595">
        <v>0.977418856</v>
      </c>
      <c r="X595">
        <v>4.2077935929999999</v>
      </c>
      <c r="Y595">
        <v>1.749808367</v>
      </c>
      <c r="Z595">
        <v>0.31503125100000001</v>
      </c>
      <c r="AA595">
        <v>1.0755826E-2</v>
      </c>
      <c r="AB595">
        <v>0.28197850899999999</v>
      </c>
      <c r="AC595">
        <v>9.2447910000000005E-3</v>
      </c>
      <c r="AD595">
        <v>0.87027131599999996</v>
      </c>
      <c r="AE595">
        <v>0.28963729399999999</v>
      </c>
      <c r="AF595">
        <v>1.27439616</v>
      </c>
      <c r="AG595">
        <v>0.34328020999999997</v>
      </c>
      <c r="AH595">
        <v>3.3332589999999999E-3</v>
      </c>
      <c r="AI595">
        <v>0.66250036499999998</v>
      </c>
    </row>
    <row r="596" spans="1:35" x14ac:dyDescent="0.2">
      <c r="A596">
        <v>646</v>
      </c>
      <c r="B596" t="s">
        <v>760</v>
      </c>
      <c r="C596" t="s">
        <v>220</v>
      </c>
      <c r="D596" t="s">
        <v>160</v>
      </c>
      <c r="E596" s="11">
        <v>1.63E-5</v>
      </c>
      <c r="F596" s="11">
        <v>5.2700000000000004E-6</v>
      </c>
      <c r="G596">
        <v>0.324080121</v>
      </c>
      <c r="H596">
        <v>-0.16889504899999999</v>
      </c>
      <c r="I596" s="11">
        <v>2.1500000000000001E-5</v>
      </c>
      <c r="J596">
        <v>0.58342398699999998</v>
      </c>
      <c r="K596">
        <v>2.7065158999999998E-2</v>
      </c>
      <c r="L596">
        <v>3.5546742400000002</v>
      </c>
      <c r="M596">
        <v>1.5244986E-2</v>
      </c>
      <c r="N596">
        <v>3.1550501000000002E-2</v>
      </c>
      <c r="O596">
        <v>9.7264399999999994E-3</v>
      </c>
      <c r="P596">
        <v>7.7664739999999996E-2</v>
      </c>
      <c r="Q596">
        <v>1.6737456369999999</v>
      </c>
      <c r="R596">
        <v>10.197803309999999</v>
      </c>
      <c r="S596">
        <v>4.9828983E-2</v>
      </c>
      <c r="T596">
        <v>5.2115940999999999E-2</v>
      </c>
      <c r="U596">
        <v>0.38110825599999998</v>
      </c>
      <c r="V596">
        <v>0.43247221200000002</v>
      </c>
      <c r="W596">
        <v>1.134775238</v>
      </c>
      <c r="X596">
        <v>3.2093450269999999</v>
      </c>
      <c r="Y596">
        <v>3.5840040549999999</v>
      </c>
      <c r="Z596">
        <v>0.33338052299999998</v>
      </c>
      <c r="AA596">
        <v>3.6467738999999999E-2</v>
      </c>
      <c r="AB596">
        <v>8.1835329999999998E-3</v>
      </c>
      <c r="AC596">
        <v>3.1257244000000003E-2</v>
      </c>
      <c r="AD596">
        <v>0.89086448500000004</v>
      </c>
      <c r="AE596">
        <v>0.586013385</v>
      </c>
      <c r="AF596">
        <v>1.9030675539999999</v>
      </c>
      <c r="AG596">
        <v>0.57824792800000002</v>
      </c>
      <c r="AH596">
        <v>1.1269968E-2</v>
      </c>
      <c r="AI596">
        <v>0.99238088000000002</v>
      </c>
    </row>
    <row r="597" spans="1:35" x14ac:dyDescent="0.2">
      <c r="A597">
        <v>647</v>
      </c>
      <c r="B597" t="s">
        <v>761</v>
      </c>
      <c r="C597" t="s">
        <v>220</v>
      </c>
      <c r="D597" t="s">
        <v>162</v>
      </c>
      <c r="E597" s="11">
        <v>4.1899999999999997E-6</v>
      </c>
      <c r="F597" s="11">
        <v>1.3E-6</v>
      </c>
      <c r="G597">
        <v>0.31141935500000001</v>
      </c>
      <c r="H597">
        <v>0.90721875600000002</v>
      </c>
      <c r="I597" s="11">
        <v>5.49E-6</v>
      </c>
      <c r="J597">
        <v>0.321589177</v>
      </c>
      <c r="K597">
        <v>2.1898450000000002E-3</v>
      </c>
      <c r="L597">
        <v>1.933914755</v>
      </c>
      <c r="M597">
        <v>2.2685159999999999E-3</v>
      </c>
      <c r="N597">
        <v>2.5306109999999999E-3</v>
      </c>
      <c r="O597">
        <v>7.8696699999999996E-4</v>
      </c>
      <c r="P597">
        <v>6.9698599999999996E-3</v>
      </c>
      <c r="Q597">
        <v>1.023617408</v>
      </c>
      <c r="R597">
        <v>6.1556441680000002</v>
      </c>
      <c r="S597">
        <v>4.3402099999999997E-3</v>
      </c>
      <c r="T597">
        <v>3.9525619999999997E-3</v>
      </c>
      <c r="U597">
        <v>3.3195339999999997E-2</v>
      </c>
      <c r="V597">
        <v>3.2799429999999997E-2</v>
      </c>
      <c r="W597">
        <v>0.98807332599999997</v>
      </c>
      <c r="X597">
        <v>3.5611903640000002</v>
      </c>
      <c r="Y597">
        <v>4.577405551</v>
      </c>
      <c r="Z597">
        <v>0.33914568299999998</v>
      </c>
      <c r="AA597">
        <v>2.3771384999999999E-2</v>
      </c>
      <c r="AB597">
        <v>0.57750853999999996</v>
      </c>
      <c r="AC597">
        <v>2.0347750000000001E-2</v>
      </c>
      <c r="AD597">
        <v>0.89133329900000002</v>
      </c>
      <c r="AE597">
        <v>0.75992646799999997</v>
      </c>
      <c r="AF597">
        <v>2.3580955719999999</v>
      </c>
      <c r="AG597">
        <v>0.40265448799999998</v>
      </c>
      <c r="AH597">
        <v>7.3364909999999997E-3</v>
      </c>
      <c r="AI597">
        <v>1.2150126530000001</v>
      </c>
    </row>
    <row r="598" spans="1:35" x14ac:dyDescent="0.2">
      <c r="A598">
        <v>648</v>
      </c>
      <c r="B598" t="s">
        <v>762</v>
      </c>
      <c r="C598" t="s">
        <v>220</v>
      </c>
      <c r="D598" t="s">
        <v>164</v>
      </c>
      <c r="E598" s="11">
        <v>1.0900000000000001E-5</v>
      </c>
      <c r="F598" s="11">
        <v>3.4400000000000001E-6</v>
      </c>
      <c r="G598">
        <v>0.314281482</v>
      </c>
      <c r="H598">
        <v>0.64496905999999998</v>
      </c>
      <c r="I598" s="11">
        <v>1.4399999999999999E-5</v>
      </c>
      <c r="J598">
        <v>0.33381929900000001</v>
      </c>
      <c r="K598">
        <v>1.3309817E-2</v>
      </c>
      <c r="L598">
        <v>2.0295354309999998</v>
      </c>
      <c r="M598">
        <v>1.3085912E-2</v>
      </c>
      <c r="N598">
        <v>1.5494223999999999E-2</v>
      </c>
      <c r="O598">
        <v>4.7831660000000002E-3</v>
      </c>
      <c r="P598">
        <v>4.0540729999999997E-2</v>
      </c>
      <c r="Q598">
        <v>1.016883448</v>
      </c>
      <c r="R598">
        <v>6.1823821380000004</v>
      </c>
      <c r="S598">
        <v>2.5101893E-2</v>
      </c>
      <c r="T598">
        <v>2.3030927999999999E-2</v>
      </c>
      <c r="U598">
        <v>0.19198743900000001</v>
      </c>
      <c r="V598">
        <v>0.19111688600000001</v>
      </c>
      <c r="W598">
        <v>0.99546557300000005</v>
      </c>
      <c r="X598">
        <v>2.9666938100000002</v>
      </c>
      <c r="Y598">
        <v>5.700328582</v>
      </c>
      <c r="Z598">
        <v>0.35924665700000002</v>
      </c>
      <c r="AA598">
        <v>4.9067320999999997E-2</v>
      </c>
      <c r="AB598">
        <v>0.64396167699999995</v>
      </c>
      <c r="AC598">
        <v>4.2026736000000002E-2</v>
      </c>
      <c r="AD598">
        <v>0.88500029000000002</v>
      </c>
      <c r="AE598">
        <v>0.93655988300000004</v>
      </c>
      <c r="AF598">
        <v>2.4771054939999999</v>
      </c>
      <c r="AG598">
        <v>0.70878814000000001</v>
      </c>
      <c r="AH598">
        <v>1.5152966E-2</v>
      </c>
      <c r="AI598">
        <v>1.289672766</v>
      </c>
    </row>
    <row r="599" spans="1:35" x14ac:dyDescent="0.2">
      <c r="A599">
        <v>649</v>
      </c>
      <c r="B599" t="s">
        <v>763</v>
      </c>
      <c r="C599" t="s">
        <v>220</v>
      </c>
      <c r="D599" t="s">
        <v>166</v>
      </c>
      <c r="E599" s="11">
        <v>2.3799999999999999E-5</v>
      </c>
      <c r="F599" s="11">
        <v>8.1499999999999999E-6</v>
      </c>
      <c r="G599">
        <v>0.34281948800000001</v>
      </c>
      <c r="H599">
        <v>1.9010624E-2</v>
      </c>
      <c r="I599" s="11">
        <v>3.1900000000000003E-5</v>
      </c>
      <c r="J599">
        <v>0.76595928499999999</v>
      </c>
      <c r="K599">
        <v>3.6076265000000003E-2</v>
      </c>
      <c r="L599">
        <v>4.6679082420000002</v>
      </c>
      <c r="M599">
        <v>1.5447578999999999E-2</v>
      </c>
      <c r="N599">
        <v>4.2078852E-2</v>
      </c>
      <c r="O599">
        <v>1.2964771999999999E-2</v>
      </c>
      <c r="P599">
        <v>9.9600620000000001E-2</v>
      </c>
      <c r="Q599">
        <v>2.114567423</v>
      </c>
      <c r="R599">
        <v>12.88660578</v>
      </c>
      <c r="S599">
        <v>7.0708970999999995E-2</v>
      </c>
      <c r="T599">
        <v>7.0530868999999996E-2</v>
      </c>
      <c r="U599">
        <v>0.54080518600000005</v>
      </c>
      <c r="V599">
        <v>0.58528427599999999</v>
      </c>
      <c r="W599">
        <v>1.0822460490000001</v>
      </c>
      <c r="X599">
        <v>3.09182516</v>
      </c>
      <c r="Y599">
        <v>4.667908046</v>
      </c>
      <c r="Z599">
        <v>0.34281953300000001</v>
      </c>
      <c r="AA599">
        <v>4.215E-2</v>
      </c>
      <c r="AB599" s="11">
        <v>-4.1899999999999998E-8</v>
      </c>
      <c r="AC599">
        <v>3.6076268000000002E-2</v>
      </c>
      <c r="AD599">
        <v>0.90715917199999996</v>
      </c>
      <c r="AE599">
        <v>0.76595925099999995</v>
      </c>
      <c r="AF599">
        <v>2.1152817819999998</v>
      </c>
      <c r="AG599">
        <v>0.635261878</v>
      </c>
      <c r="AH599">
        <v>1.3007493E-2</v>
      </c>
      <c r="AI599">
        <v>1.102694386</v>
      </c>
    </row>
    <row r="600" spans="1:35" x14ac:dyDescent="0.2">
      <c r="A600">
        <v>650</v>
      </c>
      <c r="B600" t="s">
        <v>764</v>
      </c>
      <c r="C600" t="s">
        <v>220</v>
      </c>
      <c r="D600" t="s">
        <v>168</v>
      </c>
      <c r="E600" s="11">
        <v>8.8999999999999995E-6</v>
      </c>
      <c r="F600" s="11">
        <v>2.7800000000000001E-6</v>
      </c>
      <c r="G600">
        <v>0.31232494300000002</v>
      </c>
      <c r="H600">
        <v>-0.69570265499999995</v>
      </c>
      <c r="I600" s="11">
        <v>1.17E-5</v>
      </c>
      <c r="J600">
        <v>0.46274575200000001</v>
      </c>
      <c r="K600">
        <v>1.7041895000000001E-2</v>
      </c>
      <c r="L600">
        <v>2.810558302</v>
      </c>
      <c r="M600">
        <v>8.4089830000000001E-3</v>
      </c>
      <c r="N600">
        <v>1.9798129000000001E-2</v>
      </c>
      <c r="O600">
        <v>6.1243670000000004E-3</v>
      </c>
      <c r="P600">
        <v>7.5750330000000005E-2</v>
      </c>
      <c r="Q600">
        <v>1.5940496129999999</v>
      </c>
      <c r="R600">
        <v>9.7157983380000008</v>
      </c>
      <c r="S600">
        <v>1.8371353999999999E-2</v>
      </c>
      <c r="T600">
        <v>1.7024870000000001E-2</v>
      </c>
      <c r="U600">
        <v>0.14051008300000001</v>
      </c>
      <c r="V600">
        <v>0.14127698599999999</v>
      </c>
      <c r="W600">
        <v>1.005457993</v>
      </c>
      <c r="X600">
        <v>3.961518753</v>
      </c>
      <c r="Y600">
        <v>2.761247274</v>
      </c>
      <c r="Z600">
        <v>0.306178267</v>
      </c>
      <c r="AA600">
        <v>1.454048E-2</v>
      </c>
      <c r="AB600">
        <v>-1.7858243999999999E-2</v>
      </c>
      <c r="AC600">
        <v>1.2485103000000001E-2</v>
      </c>
      <c r="AD600">
        <v>0.87524190199999996</v>
      </c>
      <c r="AE600">
        <v>0.45828999599999998</v>
      </c>
      <c r="AF600">
        <v>1.606589168</v>
      </c>
      <c r="AG600">
        <v>0.39564660299999999</v>
      </c>
      <c r="AH600">
        <v>4.5015710000000002E-3</v>
      </c>
      <c r="AI600">
        <v>0.833460007</v>
      </c>
    </row>
    <row r="601" spans="1:35" x14ac:dyDescent="0.2">
      <c r="A601">
        <v>651</v>
      </c>
      <c r="B601" t="s">
        <v>765</v>
      </c>
      <c r="C601" t="s">
        <v>164</v>
      </c>
      <c r="D601" t="s">
        <v>130</v>
      </c>
      <c r="E601" s="11">
        <v>1.0499999999999999E-5</v>
      </c>
      <c r="F601" s="11">
        <v>3.3500000000000001E-6</v>
      </c>
      <c r="G601">
        <v>0.31902583299999998</v>
      </c>
      <c r="H601">
        <v>0.66866575800000005</v>
      </c>
      <c r="I601" s="11">
        <v>1.3900000000000001E-5</v>
      </c>
      <c r="J601">
        <v>0.31884452800000002</v>
      </c>
      <c r="K601">
        <v>1.2079546E-2</v>
      </c>
      <c r="L601">
        <v>1.937226259</v>
      </c>
      <c r="M601">
        <v>1.2429991E-2</v>
      </c>
      <c r="N601">
        <v>1.4059399E-2</v>
      </c>
      <c r="O601">
        <v>4.3410410000000003E-3</v>
      </c>
      <c r="P601">
        <v>3.6993520000000002E-2</v>
      </c>
      <c r="Q601">
        <v>0.97653837700000001</v>
      </c>
      <c r="R601">
        <v>5.9332172920000001</v>
      </c>
      <c r="S601">
        <v>2.3401121E-2</v>
      </c>
      <c r="T601">
        <v>2.0474056000000001E-2</v>
      </c>
      <c r="U601">
        <v>0.178979376</v>
      </c>
      <c r="V601">
        <v>0.16989926899999999</v>
      </c>
      <c r="W601">
        <v>0.94926730000000004</v>
      </c>
      <c r="X601">
        <v>2.9670875749999999</v>
      </c>
      <c r="Y601">
        <v>5.7007679089999996</v>
      </c>
      <c r="Z601">
        <v>0.34849844400000002</v>
      </c>
      <c r="AA601">
        <v>4.9038204000000002E-2</v>
      </c>
      <c r="AB601">
        <v>0.66018152500000005</v>
      </c>
      <c r="AC601">
        <v>4.2002502999999997E-2</v>
      </c>
      <c r="AD601">
        <v>0.88293661800000001</v>
      </c>
      <c r="AE601">
        <v>0.93664167600000003</v>
      </c>
      <c r="AF601">
        <v>2.4775165509999999</v>
      </c>
      <c r="AG601">
        <v>0.70843075899999997</v>
      </c>
      <c r="AH601">
        <v>1.5144229E-2</v>
      </c>
      <c r="AI601">
        <v>1.2898734160000001</v>
      </c>
    </row>
    <row r="602" spans="1:35" x14ac:dyDescent="0.2">
      <c r="A602">
        <v>652</v>
      </c>
      <c r="B602" t="s">
        <v>766</v>
      </c>
      <c r="C602" t="s">
        <v>164</v>
      </c>
      <c r="D602" t="s">
        <v>132</v>
      </c>
      <c r="E602" s="11">
        <v>1.08E-5</v>
      </c>
      <c r="F602" s="11">
        <v>3.4300000000000002E-6</v>
      </c>
      <c r="G602">
        <v>0.31904587499999998</v>
      </c>
      <c r="H602">
        <v>0.20334639500000001</v>
      </c>
      <c r="I602" s="11">
        <v>1.42E-5</v>
      </c>
      <c r="J602">
        <v>0.56480341099999998</v>
      </c>
      <c r="K602">
        <v>2.5697254999999999E-2</v>
      </c>
      <c r="L602">
        <v>3.4402149780000002</v>
      </c>
      <c r="M602">
        <v>1.4933025000000001E-2</v>
      </c>
      <c r="N602">
        <v>2.9938256E-2</v>
      </c>
      <c r="O602">
        <v>9.2348550000000001E-3</v>
      </c>
      <c r="P602">
        <v>7.4106839999999993E-2</v>
      </c>
      <c r="Q602">
        <v>1.6289310539999999</v>
      </c>
      <c r="R602">
        <v>9.9218000059999998</v>
      </c>
      <c r="S602">
        <v>3.5107803E-2</v>
      </c>
      <c r="T602">
        <v>4.5577575000000002E-2</v>
      </c>
      <c r="U602">
        <v>0.26851588799999998</v>
      </c>
      <c r="V602">
        <v>0.37821507900000001</v>
      </c>
      <c r="W602">
        <v>1.40853892</v>
      </c>
      <c r="X602">
        <v>3.520288163</v>
      </c>
      <c r="Y602">
        <v>2.7984362840000001</v>
      </c>
      <c r="Z602">
        <v>0.33178637500000002</v>
      </c>
      <c r="AA602">
        <v>2.1770771000000001E-2</v>
      </c>
      <c r="AB602">
        <v>-0.229334753</v>
      </c>
      <c r="AC602">
        <v>1.8679346999999999E-2</v>
      </c>
      <c r="AD602">
        <v>0.87989522899999995</v>
      </c>
      <c r="AE602">
        <v>0.460464237</v>
      </c>
      <c r="AF602">
        <v>1.327783865</v>
      </c>
      <c r="AG602">
        <v>0.34338080900000001</v>
      </c>
      <c r="AH602">
        <v>6.7349389999999997E-3</v>
      </c>
      <c r="AI602">
        <v>0.69026550600000003</v>
      </c>
    </row>
    <row r="603" spans="1:35" x14ac:dyDescent="0.2">
      <c r="A603">
        <v>653</v>
      </c>
      <c r="B603" t="s">
        <v>767</v>
      </c>
      <c r="C603" t="s">
        <v>164</v>
      </c>
      <c r="D603" t="s">
        <v>134</v>
      </c>
      <c r="E603" s="11">
        <v>1.4E-5</v>
      </c>
      <c r="F603" s="11">
        <v>5.9699999999999996E-6</v>
      </c>
      <c r="G603">
        <v>0.42736190899999998</v>
      </c>
      <c r="H603">
        <v>4.0055925999999999E-2</v>
      </c>
      <c r="I603" s="11">
        <v>1.9899999999999999E-5</v>
      </c>
      <c r="J603">
        <v>0.78464784600000004</v>
      </c>
      <c r="K603">
        <v>5.0358463999999999E-2</v>
      </c>
      <c r="L603">
        <v>4.8086040060000004</v>
      </c>
      <c r="M603">
        <v>2.0920543999999999E-2</v>
      </c>
      <c r="N603">
        <v>5.8766789999999999E-2</v>
      </c>
      <c r="O603">
        <v>1.8097384000000001E-2</v>
      </c>
      <c r="P603">
        <v>0.10401572000000001</v>
      </c>
      <c r="Q603">
        <v>1.6202053910000001</v>
      </c>
      <c r="R603">
        <v>9.9292637760000009</v>
      </c>
      <c r="S603">
        <v>8.7255024E-2</v>
      </c>
      <c r="T603">
        <v>9.0118410999999995E-2</v>
      </c>
      <c r="U603">
        <v>0.66735477799999998</v>
      </c>
      <c r="V603">
        <v>0.74782700999999996</v>
      </c>
      <c r="W603">
        <v>1.1205838850000001</v>
      </c>
      <c r="X603">
        <v>2.762729577</v>
      </c>
      <c r="Y603">
        <v>5.4744828249999999</v>
      </c>
      <c r="Z603">
        <v>0.45330795800000001</v>
      </c>
      <c r="AA603">
        <v>6.6174493000000001E-2</v>
      </c>
      <c r="AB603">
        <v>0.121633192</v>
      </c>
      <c r="AC603">
        <v>5.6659880000000003E-2</v>
      </c>
      <c r="AD603">
        <v>0.905712513</v>
      </c>
      <c r="AE603">
        <v>0.89375135299999997</v>
      </c>
      <c r="AF603">
        <v>1.793736585</v>
      </c>
      <c r="AG603">
        <v>0.72518032899999996</v>
      </c>
      <c r="AH603">
        <v>2.0429025E-2</v>
      </c>
      <c r="AI603">
        <v>0.939846446</v>
      </c>
    </row>
    <row r="604" spans="1:35" x14ac:dyDescent="0.2">
      <c r="A604">
        <v>654</v>
      </c>
      <c r="B604" t="s">
        <v>768</v>
      </c>
      <c r="C604" t="s">
        <v>164</v>
      </c>
      <c r="D604" t="s">
        <v>136</v>
      </c>
      <c r="E604" s="11">
        <v>9.0000000000000002E-6</v>
      </c>
      <c r="F604" s="11">
        <v>2.7999999999999999E-6</v>
      </c>
      <c r="G604">
        <v>0.31155627699999999</v>
      </c>
      <c r="H604">
        <v>0.82540662899999995</v>
      </c>
      <c r="I604" s="11">
        <v>1.1800000000000001E-5</v>
      </c>
      <c r="J604">
        <v>0.195472486</v>
      </c>
      <c r="K604">
        <v>9.9329819999999999E-3</v>
      </c>
      <c r="L604">
        <v>1.1927008779999999</v>
      </c>
      <c r="M604">
        <v>1.6661661000000001E-2</v>
      </c>
      <c r="N604">
        <v>1.1552288000000001E-2</v>
      </c>
      <c r="O604">
        <v>3.569628E-3</v>
      </c>
      <c r="P604">
        <v>3.0694780000000001E-2</v>
      </c>
      <c r="Q604">
        <v>0.60413304499999998</v>
      </c>
      <c r="R604">
        <v>3.6861878199999998</v>
      </c>
      <c r="S604">
        <v>2.4169428E-2</v>
      </c>
      <c r="T604">
        <v>2.1481528999999999E-2</v>
      </c>
      <c r="U604">
        <v>0.18485563699999999</v>
      </c>
      <c r="V604">
        <v>0.17825955099999999</v>
      </c>
      <c r="W604">
        <v>0.96431763699999995</v>
      </c>
      <c r="X604">
        <v>2.8693942099999998</v>
      </c>
      <c r="Y604">
        <v>3.7820045659999999</v>
      </c>
      <c r="Z604">
        <v>0.35920437900000002</v>
      </c>
      <c r="AA604">
        <v>5.6573739999999997E-2</v>
      </c>
      <c r="AB604">
        <v>0.68463790599999996</v>
      </c>
      <c r="AC604">
        <v>4.8464297000000003E-2</v>
      </c>
      <c r="AD604">
        <v>0.88293744399999996</v>
      </c>
      <c r="AE604">
        <v>0.61418007299999999</v>
      </c>
      <c r="AF604">
        <v>1.58616398</v>
      </c>
      <c r="AG604">
        <v>0.798016752</v>
      </c>
      <c r="AH604">
        <v>1.7474063000000001E-2</v>
      </c>
      <c r="AI604">
        <v>0.83549565100000001</v>
      </c>
    </row>
    <row r="605" spans="1:35" x14ac:dyDescent="0.2">
      <c r="A605">
        <v>655</v>
      </c>
      <c r="B605" t="s">
        <v>769</v>
      </c>
      <c r="C605" t="s">
        <v>164</v>
      </c>
      <c r="D605" t="s">
        <v>140</v>
      </c>
      <c r="E605" s="11">
        <v>8.4100000000000008E-6</v>
      </c>
      <c r="F605" s="11">
        <v>2.6800000000000002E-6</v>
      </c>
      <c r="G605">
        <v>0.31882012999999998</v>
      </c>
      <c r="H605">
        <v>0.234818898</v>
      </c>
      <c r="I605" s="11">
        <v>1.11E-5</v>
      </c>
      <c r="J605">
        <v>0.37458617500000002</v>
      </c>
      <c r="K605">
        <v>1.5909454999999999E-2</v>
      </c>
      <c r="L605">
        <v>2.279335959</v>
      </c>
      <c r="M605">
        <v>1.0391124E-2</v>
      </c>
      <c r="N605">
        <v>1.8487562999999999E-2</v>
      </c>
      <c r="O605">
        <v>5.7174010000000004E-3</v>
      </c>
      <c r="P605">
        <v>4.890299E-2</v>
      </c>
      <c r="Q605">
        <v>1.162908922</v>
      </c>
      <c r="R605">
        <v>7.0752595080000003</v>
      </c>
      <c r="S605">
        <v>2.1559386E-2</v>
      </c>
      <c r="T605">
        <v>2.0429928999999999E-2</v>
      </c>
      <c r="U605">
        <v>0.16489319399999999</v>
      </c>
      <c r="V605">
        <v>0.169533093</v>
      </c>
      <c r="W605">
        <v>1.0281388149999999</v>
      </c>
      <c r="X605">
        <v>3.6492362260000002</v>
      </c>
      <c r="Y605">
        <v>2.4418027869999999</v>
      </c>
      <c r="Z605">
        <v>0.333090367</v>
      </c>
      <c r="AA605">
        <v>1.8029707999999998E-2</v>
      </c>
      <c r="AB605">
        <v>6.6535605999999997E-2</v>
      </c>
      <c r="AC605">
        <v>1.5464382E-2</v>
      </c>
      <c r="AD605">
        <v>0.86197742399999999</v>
      </c>
      <c r="AE605">
        <v>0.40207449899999997</v>
      </c>
      <c r="AF605">
        <v>1.174498145</v>
      </c>
      <c r="AG605">
        <v>0.28801654500000001</v>
      </c>
      <c r="AH605">
        <v>5.5757660000000002E-3</v>
      </c>
      <c r="AI605">
        <v>0.61013572800000004</v>
      </c>
    </row>
    <row r="606" spans="1:35" x14ac:dyDescent="0.2">
      <c r="A606">
        <v>656</v>
      </c>
      <c r="B606" t="s">
        <v>770</v>
      </c>
      <c r="C606" t="s">
        <v>164</v>
      </c>
      <c r="D606" t="s">
        <v>142</v>
      </c>
      <c r="E606" s="11">
        <v>3.1999999999999999E-6</v>
      </c>
      <c r="F606" s="11">
        <v>1.0300000000000001E-6</v>
      </c>
      <c r="G606">
        <v>0.321373089</v>
      </c>
      <c r="H606">
        <v>0.328906435</v>
      </c>
      <c r="I606" s="11">
        <v>4.2300000000000002E-6</v>
      </c>
      <c r="J606">
        <v>0.29199771600000002</v>
      </c>
      <c r="K606" s="11">
        <v>2.6100000000000002E-7</v>
      </c>
      <c r="L606">
        <v>1.7519868190000001</v>
      </c>
      <c r="M606" s="11">
        <v>2.9700000000000003E-7</v>
      </c>
      <c r="N606">
        <v>2.6483033E-2</v>
      </c>
      <c r="O606">
        <v>8.2487270000000008E-3</v>
      </c>
      <c r="P606" s="11">
        <v>8.4E-7</v>
      </c>
      <c r="Q606">
        <v>0.93746323200000004</v>
      </c>
      <c r="R606">
        <v>5.6247810659999997</v>
      </c>
      <c r="S606">
        <v>2.1382214E-2</v>
      </c>
      <c r="T606">
        <v>2.0464240000000002E-2</v>
      </c>
      <c r="U606">
        <v>0.16353812300000001</v>
      </c>
      <c r="V606">
        <v>0.16981781700000001</v>
      </c>
      <c r="W606">
        <v>1.038398961</v>
      </c>
      <c r="X606">
        <v>1.943986175</v>
      </c>
      <c r="Y606">
        <v>71.859639119999997</v>
      </c>
      <c r="Z606">
        <v>1.332875985</v>
      </c>
      <c r="AA606">
        <v>0.226118127</v>
      </c>
      <c r="AB606">
        <v>0.97561932100000004</v>
      </c>
      <c r="AC606">
        <v>9.132268474</v>
      </c>
      <c r="AD606">
        <v>1.0742558499999999</v>
      </c>
      <c r="AE606">
        <v>8.7967560089999992</v>
      </c>
      <c r="AF606">
        <v>5.6760846129999996</v>
      </c>
      <c r="AG606">
        <v>36.86135531</v>
      </c>
      <c r="AH606">
        <v>6.7777219999999999E-2</v>
      </c>
      <c r="AI606">
        <v>3.9462814910000001</v>
      </c>
    </row>
    <row r="607" spans="1:35" x14ac:dyDescent="0.2">
      <c r="A607">
        <v>657</v>
      </c>
      <c r="B607" t="s">
        <v>771</v>
      </c>
      <c r="C607" t="s">
        <v>164</v>
      </c>
      <c r="D607" t="s">
        <v>146</v>
      </c>
      <c r="E607" s="11">
        <v>1.0699999999999999E-5</v>
      </c>
      <c r="F607" s="11">
        <v>3.3799999999999998E-6</v>
      </c>
      <c r="G607">
        <v>0.31694498500000001</v>
      </c>
      <c r="H607">
        <v>0.66247772800000004</v>
      </c>
      <c r="I607" s="11">
        <v>1.4E-5</v>
      </c>
      <c r="J607">
        <v>0.324640335</v>
      </c>
      <c r="K607">
        <v>1.2526206999999999E-2</v>
      </c>
      <c r="L607">
        <v>1.9728944260000001</v>
      </c>
      <c r="M607">
        <v>1.2691358999999999E-2</v>
      </c>
      <c r="N607">
        <v>1.4580121E-2</v>
      </c>
      <c r="O607">
        <v>4.5015589999999996E-3</v>
      </c>
      <c r="P607">
        <v>3.8284989999999998E-2</v>
      </c>
      <c r="Q607">
        <v>0.99232060899999996</v>
      </c>
      <c r="R607">
        <v>6.0304936380000003</v>
      </c>
      <c r="S607">
        <v>2.4046304000000001E-2</v>
      </c>
      <c r="T607">
        <v>2.1050488999999999E-2</v>
      </c>
      <c r="U607">
        <v>0.183913944</v>
      </c>
      <c r="V607">
        <v>0.17468267000000001</v>
      </c>
      <c r="W607">
        <v>0.94980655700000005</v>
      </c>
      <c r="X607">
        <v>2.9628668120000001</v>
      </c>
      <c r="Y607">
        <v>5.734780862</v>
      </c>
      <c r="Z607">
        <v>0.34273726300000001</v>
      </c>
      <c r="AA607">
        <v>4.9341160000000002E-2</v>
      </c>
      <c r="AB607">
        <v>0.65597736500000003</v>
      </c>
      <c r="AC607">
        <v>4.2262986000000002E-2</v>
      </c>
      <c r="AD607">
        <v>0.88230773699999998</v>
      </c>
      <c r="AE607">
        <v>0.94222658000000004</v>
      </c>
      <c r="AF607">
        <v>2.4898337490000002</v>
      </c>
      <c r="AG607">
        <v>0.71218375499999997</v>
      </c>
      <c r="AH607">
        <v>1.5238147E-2</v>
      </c>
      <c r="AI607">
        <v>1.296292636</v>
      </c>
    </row>
    <row r="608" spans="1:35" x14ac:dyDescent="0.2">
      <c r="A608">
        <v>658</v>
      </c>
      <c r="B608" t="s">
        <v>772</v>
      </c>
      <c r="C608" t="s">
        <v>164</v>
      </c>
      <c r="D608" t="s">
        <v>148</v>
      </c>
      <c r="E608" s="11">
        <v>8.8000000000000004E-6</v>
      </c>
      <c r="F608" s="11">
        <v>2.7999999999999999E-6</v>
      </c>
      <c r="G608">
        <v>0.31888275500000002</v>
      </c>
      <c r="H608">
        <v>0.56396427500000001</v>
      </c>
      <c r="I608" s="11">
        <v>1.1600000000000001E-5</v>
      </c>
      <c r="J608">
        <v>0.29192553399999999</v>
      </c>
      <c r="K608">
        <v>2.9525763999999999E-2</v>
      </c>
      <c r="L608">
        <v>1.810604731</v>
      </c>
      <c r="M608" s="11">
        <v>2.9299999999999999E-7</v>
      </c>
      <c r="N608">
        <v>3.4321198999999997E-2</v>
      </c>
      <c r="O608">
        <v>1.0610710000000001E-2</v>
      </c>
      <c r="P608">
        <v>0.14892483000000001</v>
      </c>
      <c r="Q608">
        <v>1.069044366</v>
      </c>
      <c r="R608">
        <v>6.7121158540000003</v>
      </c>
      <c r="S608">
        <v>2.6080424000000001E-2</v>
      </c>
      <c r="T608">
        <v>2.4658382E-2</v>
      </c>
      <c r="U608">
        <v>0.19947155699999999</v>
      </c>
      <c r="V608">
        <v>0.204621943</v>
      </c>
      <c r="W608">
        <v>1.0258201520000001</v>
      </c>
      <c r="X608">
        <v>3.577309246</v>
      </c>
      <c r="Y608">
        <v>1.8234869899999999</v>
      </c>
      <c r="Z608">
        <v>0.32850811800000002</v>
      </c>
      <c r="AA608">
        <v>2.0028543999999999E-2</v>
      </c>
      <c r="AB608">
        <v>7.0646290000000002E-3</v>
      </c>
      <c r="AC608">
        <v>0.13800135399999999</v>
      </c>
      <c r="AD608">
        <v>0.87267181199999999</v>
      </c>
      <c r="AE608">
        <v>0.25601893799999997</v>
      </c>
      <c r="AF608">
        <v>0.74234767099999999</v>
      </c>
      <c r="AG608">
        <v>2.5525288910000001</v>
      </c>
      <c r="AH608">
        <v>6.1952700000000001E-3</v>
      </c>
      <c r="AI608">
        <v>0.452313091</v>
      </c>
    </row>
    <row r="609" spans="1:35" x14ac:dyDescent="0.2">
      <c r="A609">
        <v>659</v>
      </c>
      <c r="B609" t="s">
        <v>773</v>
      </c>
      <c r="C609" t="s">
        <v>164</v>
      </c>
      <c r="D609" t="s">
        <v>150</v>
      </c>
      <c r="E609" s="11">
        <v>1.08E-5</v>
      </c>
      <c r="F609" s="11">
        <v>3.4699999999999998E-6</v>
      </c>
      <c r="G609">
        <v>0.32029510500000002</v>
      </c>
      <c r="H609">
        <v>0.64697442000000005</v>
      </c>
      <c r="I609" s="11">
        <v>1.43E-5</v>
      </c>
      <c r="J609">
        <v>0.33353301499999999</v>
      </c>
      <c r="K609">
        <v>1.3286291E-2</v>
      </c>
      <c r="L609">
        <v>2.027770673</v>
      </c>
      <c r="M609">
        <v>1.3062588999999999E-2</v>
      </c>
      <c r="N609">
        <v>1.5466426E-2</v>
      </c>
      <c r="O609">
        <v>4.7747110000000001E-3</v>
      </c>
      <c r="P609">
        <v>4.04722E-2</v>
      </c>
      <c r="Q609">
        <v>1.0160908150000001</v>
      </c>
      <c r="R609">
        <v>6.1774892880000003</v>
      </c>
      <c r="S609">
        <v>2.4863057000000001E-2</v>
      </c>
      <c r="T609">
        <v>2.1782352000000001E-2</v>
      </c>
      <c r="U609">
        <v>0.19016074199999999</v>
      </c>
      <c r="V609">
        <v>0.18075586499999999</v>
      </c>
      <c r="W609">
        <v>0.95054248900000005</v>
      </c>
      <c r="X609">
        <v>2.9676052429999999</v>
      </c>
      <c r="Y609">
        <v>5.7011780490000001</v>
      </c>
      <c r="Z609">
        <v>0.34230292299999998</v>
      </c>
      <c r="AA609">
        <v>4.8999949000000001E-2</v>
      </c>
      <c r="AB609">
        <v>0.64432426799999998</v>
      </c>
      <c r="AC609">
        <v>4.1970665999999997E-2</v>
      </c>
      <c r="AD609">
        <v>0.88223083899999999</v>
      </c>
      <c r="AE609">
        <v>0.93672125799999995</v>
      </c>
      <c r="AF609">
        <v>2.4779553179999998</v>
      </c>
      <c r="AG609">
        <v>0.70802285300000001</v>
      </c>
      <c r="AH609">
        <v>1.513275E-2</v>
      </c>
      <c r="AI609">
        <v>1.290086853</v>
      </c>
    </row>
    <row r="610" spans="1:35" x14ac:dyDescent="0.2">
      <c r="A610">
        <v>660</v>
      </c>
      <c r="B610" t="s">
        <v>774</v>
      </c>
      <c r="C610" t="s">
        <v>164</v>
      </c>
      <c r="D610" t="s">
        <v>152</v>
      </c>
      <c r="E610" s="11">
        <v>3.2100000000000002E-6</v>
      </c>
      <c r="F610" s="11">
        <v>1.02E-6</v>
      </c>
      <c r="G610">
        <v>0.31947914700000002</v>
      </c>
      <c r="H610">
        <v>0.33197200300000002</v>
      </c>
      <c r="I610" s="11">
        <v>4.2300000000000002E-6</v>
      </c>
      <c r="J610">
        <v>0.29199740299999999</v>
      </c>
      <c r="K610" s="11">
        <v>2.6100000000000002E-7</v>
      </c>
      <c r="L610">
        <v>1.7519849380000001</v>
      </c>
      <c r="M610" s="11">
        <v>2.9700000000000003E-7</v>
      </c>
      <c r="N610">
        <v>2.6480739E-2</v>
      </c>
      <c r="O610">
        <v>8.2484459999999996E-3</v>
      </c>
      <c r="P610" s="11">
        <v>8.4E-7</v>
      </c>
      <c r="Q610">
        <v>0.93741318600000001</v>
      </c>
      <c r="R610">
        <v>5.6244807899999998</v>
      </c>
      <c r="S610">
        <v>2.0540048000000002E-2</v>
      </c>
      <c r="T610">
        <v>2.0449826000000001E-2</v>
      </c>
      <c r="U610">
        <v>0.15709696500000001</v>
      </c>
      <c r="V610">
        <v>0.16969820199999999</v>
      </c>
      <c r="W610">
        <v>1.0802131159999999</v>
      </c>
      <c r="X610">
        <v>1.9435424370000001</v>
      </c>
      <c r="Y610">
        <v>71.846743090000004</v>
      </c>
      <c r="Z610">
        <v>1.3326931689999999</v>
      </c>
      <c r="AA610">
        <v>0.22613560499999999</v>
      </c>
      <c r="AB610">
        <v>0.97561497100000005</v>
      </c>
      <c r="AC610">
        <v>9.14773982</v>
      </c>
      <c r="AD610">
        <v>1.073961867</v>
      </c>
      <c r="AE610">
        <v>8.7891910020000008</v>
      </c>
      <c r="AF610">
        <v>5.6770370559999996</v>
      </c>
      <c r="AG610">
        <v>36.455460350000003</v>
      </c>
      <c r="AH610">
        <v>6.7821287999999993E-2</v>
      </c>
      <c r="AI610">
        <v>3.9353532750000002</v>
      </c>
    </row>
    <row r="611" spans="1:35" x14ac:dyDescent="0.2">
      <c r="A611">
        <v>661</v>
      </c>
      <c r="B611" t="s">
        <v>775</v>
      </c>
      <c r="C611" t="s">
        <v>164</v>
      </c>
      <c r="D611" t="s">
        <v>156</v>
      </c>
      <c r="E611" s="11">
        <v>3.41E-6</v>
      </c>
      <c r="F611" s="11">
        <v>1.4399999999999999E-5</v>
      </c>
      <c r="G611">
        <v>4.2268447829999998</v>
      </c>
      <c r="H611">
        <v>-0.60361240900000002</v>
      </c>
      <c r="I611" s="11">
        <v>1.7799999999999999E-5</v>
      </c>
      <c r="J611">
        <v>7.4139962720000003</v>
      </c>
      <c r="K611">
        <v>0</v>
      </c>
      <c r="L611">
        <v>44.483977629999998</v>
      </c>
      <c r="M611">
        <v>0</v>
      </c>
      <c r="N611">
        <v>5.9605249999999999E-2</v>
      </c>
      <c r="O611">
        <v>1.8125456000000002E-2</v>
      </c>
      <c r="P611">
        <v>0</v>
      </c>
      <c r="Q611">
        <v>1.576033813</v>
      </c>
      <c r="R611">
        <v>9.4562028779999991</v>
      </c>
      <c r="S611">
        <v>0.10974104599999999</v>
      </c>
      <c r="T611">
        <v>0.13384689399999999</v>
      </c>
      <c r="U611">
        <v>0.83933518200000001</v>
      </c>
      <c r="V611">
        <v>1.1106978249999999</v>
      </c>
      <c r="W611">
        <v>1.3233066469999999</v>
      </c>
      <c r="X611">
        <v>2.758663307</v>
      </c>
      <c r="Y611">
        <v>4.4124949490000001</v>
      </c>
      <c r="Z611">
        <v>0.36232208900000001</v>
      </c>
      <c r="AA611">
        <v>6.6528685000000004E-2</v>
      </c>
      <c r="AB611">
        <v>-1</v>
      </c>
      <c r="AC611">
        <v>5.6998360999999997E-2</v>
      </c>
      <c r="AD611">
        <v>0.87839651299999999</v>
      </c>
      <c r="AE611">
        <v>0.716409721</v>
      </c>
      <c r="AF611">
        <v>1.7929711880000001</v>
      </c>
      <c r="AG611">
        <v>0.90993541099999997</v>
      </c>
      <c r="AH611">
        <v>2.0551066E-2</v>
      </c>
      <c r="AI611">
        <v>0.94465063500000002</v>
      </c>
    </row>
    <row r="612" spans="1:35" x14ac:dyDescent="0.2">
      <c r="A612">
        <v>662</v>
      </c>
      <c r="B612" t="s">
        <v>776</v>
      </c>
      <c r="C612" t="s">
        <v>164</v>
      </c>
      <c r="D612" t="s">
        <v>158</v>
      </c>
      <c r="E612" s="11">
        <v>6.1700000000000002E-6</v>
      </c>
      <c r="F612" s="11">
        <v>1.9199999999999998E-6</v>
      </c>
      <c r="G612">
        <v>0.31084855500000003</v>
      </c>
      <c r="H612">
        <v>0.51051946100000001</v>
      </c>
      <c r="I612" s="11">
        <v>8.0900000000000005E-6</v>
      </c>
      <c r="J612">
        <v>0.29191894699999998</v>
      </c>
      <c r="K612">
        <v>1.2067171999999999E-2</v>
      </c>
      <c r="L612">
        <v>1.7756480240000001</v>
      </c>
      <c r="M612">
        <v>1.2603919999999999E-2</v>
      </c>
      <c r="N612">
        <v>1.3988288999999999E-2</v>
      </c>
      <c r="O612">
        <v>4.336594E-3</v>
      </c>
      <c r="P612">
        <v>7.1966749999999996E-2</v>
      </c>
      <c r="Q612">
        <v>0.94182235800000003</v>
      </c>
      <c r="R612">
        <v>5.7948676399999997</v>
      </c>
      <c r="S612">
        <v>1.2302141000000001E-2</v>
      </c>
      <c r="T612">
        <v>1.1035237999999999E-2</v>
      </c>
      <c r="U612">
        <v>9.4090772000000003E-2</v>
      </c>
      <c r="V612">
        <v>9.1573400999999999E-2</v>
      </c>
      <c r="W612">
        <v>0.97324529299999996</v>
      </c>
      <c r="X612">
        <v>3.504896021</v>
      </c>
      <c r="Y612">
        <v>2.1789284329999998</v>
      </c>
      <c r="Z612">
        <v>0.33410342999999998</v>
      </c>
      <c r="AA612">
        <v>2.2214053000000001E-2</v>
      </c>
      <c r="AB612">
        <v>0.185081989</v>
      </c>
      <c r="AC612">
        <v>1.9105273999999998E-2</v>
      </c>
      <c r="AD612">
        <v>0.86262125000000001</v>
      </c>
      <c r="AE612">
        <v>0.356932523</v>
      </c>
      <c r="AF612">
        <v>1.3384925860000001</v>
      </c>
      <c r="AG612">
        <v>0.60456142099999999</v>
      </c>
      <c r="AH612">
        <v>6.8885090000000001E-3</v>
      </c>
      <c r="AI612">
        <v>0.70310079000000003</v>
      </c>
    </row>
    <row r="613" spans="1:35" x14ac:dyDescent="0.2">
      <c r="A613">
        <v>663</v>
      </c>
      <c r="B613" t="s">
        <v>777</v>
      </c>
      <c r="C613" t="s">
        <v>164</v>
      </c>
      <c r="D613" t="s">
        <v>160</v>
      </c>
      <c r="E613" s="11">
        <v>9.6600000000000007E-6</v>
      </c>
      <c r="F613" s="11">
        <v>3.0000000000000001E-6</v>
      </c>
      <c r="G613">
        <v>0.31110213399999997</v>
      </c>
      <c r="H613">
        <v>0.783694169</v>
      </c>
      <c r="I613" s="11">
        <v>1.27E-5</v>
      </c>
      <c r="J613">
        <v>0.22645845100000001</v>
      </c>
      <c r="K613">
        <v>1.3384623E-2</v>
      </c>
      <c r="L613">
        <v>1.385519953</v>
      </c>
      <c r="M613">
        <v>1.9352355000000002E-2</v>
      </c>
      <c r="N613">
        <v>1.557063E-2</v>
      </c>
      <c r="O613">
        <v>4.8099600000000003E-3</v>
      </c>
      <c r="P613">
        <v>4.0725690000000002E-2</v>
      </c>
      <c r="Q613">
        <v>0.68926834999999997</v>
      </c>
      <c r="R613">
        <v>4.2170614759999996</v>
      </c>
      <c r="S613">
        <v>2.7397832E-2</v>
      </c>
      <c r="T613">
        <v>2.3916733999999999E-2</v>
      </c>
      <c r="U613">
        <v>0.20954752099999999</v>
      </c>
      <c r="V613">
        <v>0.19846754699999999</v>
      </c>
      <c r="W613">
        <v>0.94712428999999998</v>
      </c>
      <c r="X613">
        <v>2.6732348830000001</v>
      </c>
      <c r="Y613">
        <v>4.4629391930000004</v>
      </c>
      <c r="Z613">
        <v>0.35356357799999999</v>
      </c>
      <c r="AA613">
        <v>7.5316975999999994E-2</v>
      </c>
      <c r="AB613">
        <v>0.68954989200000005</v>
      </c>
      <c r="AC613">
        <v>6.4596186E-2</v>
      </c>
      <c r="AD613">
        <v>0.88303339599999997</v>
      </c>
      <c r="AE613">
        <v>0.72216955699999996</v>
      </c>
      <c r="AF613">
        <v>1.998783338</v>
      </c>
      <c r="AG613">
        <v>1.0183703550000001</v>
      </c>
      <c r="AH613">
        <v>2.3290503000000001E-2</v>
      </c>
      <c r="AI613">
        <v>1.0531975790000001</v>
      </c>
    </row>
    <row r="614" spans="1:35" x14ac:dyDescent="0.2">
      <c r="A614">
        <v>664</v>
      </c>
      <c r="B614" t="s">
        <v>778</v>
      </c>
      <c r="C614" t="s">
        <v>164</v>
      </c>
      <c r="D614" t="s">
        <v>162</v>
      </c>
      <c r="E614" s="11">
        <v>1.0900000000000001E-5</v>
      </c>
      <c r="F614" s="11">
        <v>3.5200000000000002E-6</v>
      </c>
      <c r="G614">
        <v>0.32377215300000001</v>
      </c>
      <c r="H614">
        <v>0.64451035300000004</v>
      </c>
      <c r="I614" s="11">
        <v>1.4399999999999999E-5</v>
      </c>
      <c r="J614">
        <v>0.334545433</v>
      </c>
      <c r="K614">
        <v>1.3369489999999999E-2</v>
      </c>
      <c r="L614">
        <v>2.0340115810000001</v>
      </c>
      <c r="M614">
        <v>1.3144233E-2</v>
      </c>
      <c r="N614">
        <v>1.5567493E-2</v>
      </c>
      <c r="O614">
        <v>4.80461E-3</v>
      </c>
      <c r="P614">
        <v>4.0721260000000002E-2</v>
      </c>
      <c r="Q614">
        <v>1.0189700660000001</v>
      </c>
      <c r="R614">
        <v>6.1952629080000001</v>
      </c>
      <c r="S614">
        <v>2.5168339000000001E-2</v>
      </c>
      <c r="T614">
        <v>2.3138190999999999E-2</v>
      </c>
      <c r="U614">
        <v>0.192495637</v>
      </c>
      <c r="V614">
        <v>0.19200698599999999</v>
      </c>
      <c r="W614">
        <v>0.997461496</v>
      </c>
      <c r="X614">
        <v>2.9663056569999999</v>
      </c>
      <c r="Y614">
        <v>5.6999608029999997</v>
      </c>
      <c r="Z614">
        <v>0.35967776400000001</v>
      </c>
      <c r="AA614">
        <v>4.9095142000000001E-2</v>
      </c>
      <c r="AB614">
        <v>0.64315340899999995</v>
      </c>
      <c r="AC614">
        <v>4.2050637000000002E-2</v>
      </c>
      <c r="AD614">
        <v>0.88349808900000004</v>
      </c>
      <c r="AE614">
        <v>0.93649014600000002</v>
      </c>
      <c r="AF614">
        <v>2.4766972300000001</v>
      </c>
      <c r="AG614">
        <v>0.70912730300000004</v>
      </c>
      <c r="AH614">
        <v>1.5161584000000001E-2</v>
      </c>
      <c r="AI614">
        <v>1.289473034</v>
      </c>
    </row>
    <row r="615" spans="1:35" x14ac:dyDescent="0.2">
      <c r="A615">
        <v>665</v>
      </c>
      <c r="B615" t="s">
        <v>779</v>
      </c>
      <c r="C615" t="s">
        <v>164</v>
      </c>
      <c r="D615" t="s">
        <v>166</v>
      </c>
      <c r="E615" s="11">
        <v>1.47E-5</v>
      </c>
      <c r="F615" s="11">
        <v>5.3600000000000004E-6</v>
      </c>
      <c r="G615">
        <v>0.36357471099999999</v>
      </c>
      <c r="H615">
        <v>-5.4925699999999996E-3</v>
      </c>
      <c r="I615" s="11">
        <v>2.0100000000000001E-5</v>
      </c>
      <c r="J615">
        <v>0.94392464200000004</v>
      </c>
      <c r="K615">
        <v>7.4555169000000004E-2</v>
      </c>
      <c r="L615">
        <v>5.8126581909999997</v>
      </c>
      <c r="M615">
        <v>2.5643279000000001E-2</v>
      </c>
      <c r="N615">
        <v>8.6905635999999994E-2</v>
      </c>
      <c r="O615">
        <v>2.6792983999999999E-2</v>
      </c>
      <c r="P615">
        <v>0.17540974000000001</v>
      </c>
      <c r="Q615">
        <v>2.220920714</v>
      </c>
      <c r="R615">
        <v>13.67634376</v>
      </c>
      <c r="S615">
        <v>0.13283499200000001</v>
      </c>
      <c r="T615">
        <v>0.124694718</v>
      </c>
      <c r="U615">
        <v>1.0159651890000001</v>
      </c>
      <c r="V615">
        <v>1.034750582</v>
      </c>
      <c r="W615">
        <v>1.018490194</v>
      </c>
      <c r="X615">
        <v>2.57534631</v>
      </c>
      <c r="Y615">
        <v>5.8126579789999999</v>
      </c>
      <c r="Z615">
        <v>0.36357403100000002</v>
      </c>
      <c r="AA615">
        <v>8.7052573999999994E-2</v>
      </c>
      <c r="AB615" s="11">
        <v>-3.6500000000000003E-8</v>
      </c>
      <c r="AC615">
        <v>7.4555175000000001E-2</v>
      </c>
      <c r="AD615">
        <v>0.89918484600000004</v>
      </c>
      <c r="AE615">
        <v>0.94392460499999997</v>
      </c>
      <c r="AF615">
        <v>2.221670993</v>
      </c>
      <c r="AG615">
        <v>1.11877939</v>
      </c>
      <c r="AH615">
        <v>2.6881269999999999E-2</v>
      </c>
      <c r="AI615">
        <v>1.170271496</v>
      </c>
    </row>
    <row r="616" spans="1:35" x14ac:dyDescent="0.2">
      <c r="A616">
        <v>666</v>
      </c>
      <c r="B616" t="s">
        <v>780</v>
      </c>
      <c r="C616" t="s">
        <v>164</v>
      </c>
      <c r="D616" t="s">
        <v>168</v>
      </c>
      <c r="E616" s="11">
        <v>3.9899999999999999E-6</v>
      </c>
      <c r="F616" s="11">
        <v>1.2500000000000001E-6</v>
      </c>
      <c r="G616">
        <v>0.31405421</v>
      </c>
      <c r="H616">
        <v>2.1856915000000001E-2</v>
      </c>
      <c r="I616" s="11">
        <v>5.2399999999999998E-6</v>
      </c>
      <c r="J616">
        <v>0.291946498</v>
      </c>
      <c r="K616" s="11">
        <v>1.4100000000000001E-7</v>
      </c>
      <c r="L616">
        <v>1.751679269</v>
      </c>
      <c r="M616" s="11">
        <v>1.61E-7</v>
      </c>
      <c r="N616">
        <v>1.425921E-2</v>
      </c>
      <c r="O616">
        <v>4.4340899999999999E-3</v>
      </c>
      <c r="P616" s="11">
        <v>4.4999999999999998E-7</v>
      </c>
      <c r="Q616">
        <v>0.93883298400000004</v>
      </c>
      <c r="R616">
        <v>5.6329988120000003</v>
      </c>
      <c r="S616">
        <v>1.1443047E-2</v>
      </c>
      <c r="T616">
        <v>1.0940253E-2</v>
      </c>
      <c r="U616">
        <v>8.7520140999999996E-2</v>
      </c>
      <c r="V616">
        <v>9.0785185000000004E-2</v>
      </c>
      <c r="W616">
        <v>1.037306201</v>
      </c>
      <c r="X616">
        <v>3.2997605540000001</v>
      </c>
      <c r="Y616">
        <v>3.4384109199999999</v>
      </c>
      <c r="Z616">
        <v>0.324714481</v>
      </c>
      <c r="AA616">
        <v>3.0030516E-2</v>
      </c>
      <c r="AB616">
        <v>0.49055557700000002</v>
      </c>
      <c r="AC616">
        <v>2.58017E-2</v>
      </c>
      <c r="AD616">
        <v>0.86754814199999997</v>
      </c>
      <c r="AE616">
        <v>0.564770518</v>
      </c>
      <c r="AF616">
        <v>1.6873934159999999</v>
      </c>
      <c r="AG616">
        <v>0.69678549899999997</v>
      </c>
      <c r="AH616">
        <v>9.3029419999999998E-3</v>
      </c>
      <c r="AI616">
        <v>0.88453745800000005</v>
      </c>
    </row>
    <row r="617" spans="1:35" x14ac:dyDescent="0.2">
      <c r="A617">
        <v>667</v>
      </c>
      <c r="B617" t="s">
        <v>781</v>
      </c>
      <c r="C617" t="s">
        <v>166</v>
      </c>
      <c r="D617" t="s">
        <v>130</v>
      </c>
      <c r="E617" s="11">
        <v>2.4199999999999999E-5</v>
      </c>
      <c r="F617" s="11">
        <v>8.0399999999999993E-6</v>
      </c>
      <c r="G617">
        <v>0.33256594</v>
      </c>
      <c r="H617">
        <v>2.0309269000000001E-2</v>
      </c>
      <c r="I617" s="11">
        <v>3.2199999999999997E-5</v>
      </c>
      <c r="J617">
        <v>0.76602321699999998</v>
      </c>
      <c r="K617">
        <v>3.6055321000000001E-2</v>
      </c>
      <c r="L617">
        <v>4.668249941</v>
      </c>
      <c r="M617">
        <v>1.5438768E-2</v>
      </c>
      <c r="N617">
        <v>4.2053717999999997E-2</v>
      </c>
      <c r="O617">
        <v>1.2957246E-2</v>
      </c>
      <c r="P617">
        <v>9.9550059999999996E-2</v>
      </c>
      <c r="Q617">
        <v>2.114911448</v>
      </c>
      <c r="R617">
        <v>12.88856882</v>
      </c>
      <c r="S617">
        <v>7.0561516000000005E-2</v>
      </c>
      <c r="T617">
        <v>7.0361989E-2</v>
      </c>
      <c r="U617">
        <v>0.53967740600000003</v>
      </c>
      <c r="V617">
        <v>0.58388286599999994</v>
      </c>
      <c r="W617">
        <v>1.0819108959999999</v>
      </c>
      <c r="X617">
        <v>3.0922355330000002</v>
      </c>
      <c r="Y617">
        <v>4.6682678040000001</v>
      </c>
      <c r="Z617">
        <v>0.33256279900000002</v>
      </c>
      <c r="AA617">
        <v>4.2124987000000003E-2</v>
      </c>
      <c r="AB617" s="11">
        <v>3.8299999999999998E-6</v>
      </c>
      <c r="AC617">
        <v>3.6055466000000001E-2</v>
      </c>
      <c r="AD617">
        <v>0.90504382900000002</v>
      </c>
      <c r="AE617">
        <v>0.76602614499999999</v>
      </c>
      <c r="AF617">
        <v>2.115632798</v>
      </c>
      <c r="AG617">
        <v>0.63494157100000004</v>
      </c>
      <c r="AH617">
        <v>1.2999993E-2</v>
      </c>
      <c r="AI617">
        <v>1.1028659460000001</v>
      </c>
    </row>
    <row r="618" spans="1:35" x14ac:dyDescent="0.2">
      <c r="A618">
        <v>668</v>
      </c>
      <c r="B618" t="s">
        <v>782</v>
      </c>
      <c r="C618" t="s">
        <v>166</v>
      </c>
      <c r="D618" t="s">
        <v>132</v>
      </c>
      <c r="E618" s="11">
        <v>1.19E-5</v>
      </c>
      <c r="F618" s="11">
        <v>3.8399999999999997E-6</v>
      </c>
      <c r="G618">
        <v>0.323186686</v>
      </c>
      <c r="H618">
        <v>-4.708762E-3</v>
      </c>
      <c r="I618" s="11">
        <v>1.5699999999999999E-5</v>
      </c>
      <c r="J618">
        <v>0.37656534699999999</v>
      </c>
      <c r="K618">
        <v>1.6032836000000002E-2</v>
      </c>
      <c r="L618">
        <v>2.291457753</v>
      </c>
      <c r="M618">
        <v>1.3971249E-2</v>
      </c>
      <c r="N618">
        <v>1.8672136999999998E-2</v>
      </c>
      <c r="O618">
        <v>5.7617399999999996E-3</v>
      </c>
      <c r="P618">
        <v>4.825811E-2</v>
      </c>
      <c r="Q618">
        <v>1.1335419390000001</v>
      </c>
      <c r="R618">
        <v>6.8977678459999998</v>
      </c>
      <c r="S618">
        <v>2.9995827999999999E-2</v>
      </c>
      <c r="T618">
        <v>2.7541863E-2</v>
      </c>
      <c r="U618">
        <v>0.22941783800000001</v>
      </c>
      <c r="V618">
        <v>0.22854985</v>
      </c>
      <c r="W618">
        <v>0.99621656300000005</v>
      </c>
      <c r="X618">
        <v>3.6687694149999999</v>
      </c>
      <c r="Y618">
        <v>2.2915947839999999</v>
      </c>
      <c r="Z618">
        <v>0.31661491600000002</v>
      </c>
      <c r="AA618">
        <v>1.8701611999999999E-2</v>
      </c>
      <c r="AB618" s="11">
        <v>5.9799999999999997E-5</v>
      </c>
      <c r="AC618">
        <v>1.6034580999999999E-2</v>
      </c>
      <c r="AD618">
        <v>0.90192628799999996</v>
      </c>
      <c r="AE618">
        <v>0.37658760299999999</v>
      </c>
      <c r="AF618">
        <v>1.133838275</v>
      </c>
      <c r="AG618">
        <v>0.30776014099999999</v>
      </c>
      <c r="AH618">
        <v>5.7813550000000002E-3</v>
      </c>
      <c r="AI618">
        <v>0.59018994499999999</v>
      </c>
    </row>
    <row r="619" spans="1:35" x14ac:dyDescent="0.2">
      <c r="A619">
        <v>669</v>
      </c>
      <c r="B619" t="s">
        <v>783</v>
      </c>
      <c r="C619" t="s">
        <v>166</v>
      </c>
      <c r="D619" t="s">
        <v>134</v>
      </c>
      <c r="E619" s="11">
        <v>2.8500000000000002E-5</v>
      </c>
      <c r="F619" s="11">
        <v>1.2300000000000001E-5</v>
      </c>
      <c r="G619">
        <v>0.43257972900000002</v>
      </c>
      <c r="H619">
        <v>-8.3615718000000006E-2</v>
      </c>
      <c r="I619" s="11">
        <v>4.0800000000000002E-5</v>
      </c>
      <c r="J619">
        <v>0.73094860900000003</v>
      </c>
      <c r="K619">
        <v>4.8637535000000003E-2</v>
      </c>
      <c r="L619">
        <v>4.4829667249999998</v>
      </c>
      <c r="M619">
        <v>2.1709450000000002E-2</v>
      </c>
      <c r="N619">
        <v>5.6749516999999999E-2</v>
      </c>
      <c r="O619">
        <v>1.7478931E-2</v>
      </c>
      <c r="P619">
        <v>0.10190409</v>
      </c>
      <c r="Q619">
        <v>1.531213331</v>
      </c>
      <c r="R619">
        <v>9.3910881740000001</v>
      </c>
      <c r="S619">
        <v>9.8531347000000005E-2</v>
      </c>
      <c r="T619">
        <v>9.6433688000000004E-2</v>
      </c>
      <c r="U619">
        <v>0.753599766</v>
      </c>
      <c r="V619">
        <v>0.80023289099999995</v>
      </c>
      <c r="W619">
        <v>1.0618804930000001</v>
      </c>
      <c r="X619">
        <v>2.8792579759999999</v>
      </c>
      <c r="Y619">
        <v>4.4829665629999997</v>
      </c>
      <c r="Z619">
        <v>0.43257973199999999</v>
      </c>
      <c r="AA619">
        <v>5.6845468000000003E-2</v>
      </c>
      <c r="AB619" s="11">
        <v>-3.6099999999999999E-8</v>
      </c>
      <c r="AC619">
        <v>4.8637539E-2</v>
      </c>
      <c r="AD619">
        <v>0.928389994</v>
      </c>
      <c r="AE619">
        <v>0.73094858100000004</v>
      </c>
      <c r="AF619">
        <v>1.531730614</v>
      </c>
      <c r="AG619">
        <v>0.64995362099999998</v>
      </c>
      <c r="AH619">
        <v>1.7536526E-2</v>
      </c>
      <c r="AI619">
        <v>0.80358632600000002</v>
      </c>
    </row>
    <row r="620" spans="1:35" x14ac:dyDescent="0.2">
      <c r="A620">
        <v>670</v>
      </c>
      <c r="B620" t="s">
        <v>784</v>
      </c>
      <c r="C620" t="s">
        <v>166</v>
      </c>
      <c r="D620" t="s">
        <v>136</v>
      </c>
      <c r="E620" s="11">
        <v>1.9400000000000001E-5</v>
      </c>
      <c r="F620" s="11">
        <v>6.6599999999999998E-6</v>
      </c>
      <c r="G620">
        <v>0.342664209</v>
      </c>
      <c r="H620">
        <v>1.0390989999999999E-2</v>
      </c>
      <c r="I620" s="11">
        <v>2.6100000000000001E-5</v>
      </c>
      <c r="J620">
        <v>0.50230341499999998</v>
      </c>
      <c r="K620">
        <v>4.1602409E-2</v>
      </c>
      <c r="L620">
        <v>3.0970253049999998</v>
      </c>
      <c r="M620">
        <v>2.6814627000000001E-2</v>
      </c>
      <c r="N620">
        <v>4.8516233999999998E-2</v>
      </c>
      <c r="O620">
        <v>1.4950709E-2</v>
      </c>
      <c r="P620">
        <v>0.11213925</v>
      </c>
      <c r="Q620">
        <v>1.354019823</v>
      </c>
      <c r="R620">
        <v>8.3483974439999997</v>
      </c>
      <c r="S620">
        <v>7.7898072999999998E-2</v>
      </c>
      <c r="T620">
        <v>7.8342437000000001E-2</v>
      </c>
      <c r="U620">
        <v>0.59578978000000005</v>
      </c>
      <c r="V620">
        <v>0.65010678799999999</v>
      </c>
      <c r="W620">
        <v>1.091168076</v>
      </c>
      <c r="X620">
        <v>2.9904215870000002</v>
      </c>
      <c r="Y620">
        <v>3.097023144</v>
      </c>
      <c r="Z620">
        <v>0.34277918800000001</v>
      </c>
      <c r="AA620">
        <v>4.8598192999999998E-2</v>
      </c>
      <c r="AB620" s="11">
        <v>-6.9800000000000003E-7</v>
      </c>
      <c r="AC620">
        <v>4.1602348999999997E-2</v>
      </c>
      <c r="AD620">
        <v>0.90504467600000005</v>
      </c>
      <c r="AE620">
        <v>0.50230307399999996</v>
      </c>
      <c r="AF620">
        <v>1.354477546</v>
      </c>
      <c r="AG620">
        <v>0.71523434500000005</v>
      </c>
      <c r="AH620">
        <v>1.4999950999999999E-2</v>
      </c>
      <c r="AI620">
        <v>0.71436444099999996</v>
      </c>
    </row>
    <row r="621" spans="1:35" x14ac:dyDescent="0.2">
      <c r="A621">
        <v>671</v>
      </c>
      <c r="B621" t="s">
        <v>785</v>
      </c>
      <c r="C621" t="s">
        <v>166</v>
      </c>
      <c r="D621" t="s">
        <v>140</v>
      </c>
      <c r="E621" s="11">
        <v>1.4E-5</v>
      </c>
      <c r="F621" s="11">
        <v>4.4499999999999997E-6</v>
      </c>
      <c r="G621">
        <v>0.31785911999999999</v>
      </c>
      <c r="H621">
        <v>-8.9511562000000003E-2</v>
      </c>
      <c r="I621" s="11">
        <v>1.84E-5</v>
      </c>
      <c r="J621">
        <v>0.328833977</v>
      </c>
      <c r="K621">
        <v>1.3274820999999999E-2</v>
      </c>
      <c r="L621">
        <v>1.999553505</v>
      </c>
      <c r="M621">
        <v>1.3267638E-2</v>
      </c>
      <c r="N621">
        <v>1.5461826E-2</v>
      </c>
      <c r="O621">
        <v>4.7705890000000004E-3</v>
      </c>
      <c r="P621">
        <v>4.0472830000000001E-2</v>
      </c>
      <c r="Q621">
        <v>1.002604673</v>
      </c>
      <c r="R621">
        <v>6.0965737039999999</v>
      </c>
      <c r="S621">
        <v>2.6174640999999998E-2</v>
      </c>
      <c r="T621">
        <v>2.5321046999999999E-2</v>
      </c>
      <c r="U621">
        <v>0.20019216300000001</v>
      </c>
      <c r="V621">
        <v>0.21012091399999999</v>
      </c>
      <c r="W621">
        <v>1.049596102</v>
      </c>
      <c r="X621">
        <v>3.8031563419999999</v>
      </c>
      <c r="Y621">
        <v>1.9995533089999999</v>
      </c>
      <c r="Z621">
        <v>0.31785928099999999</v>
      </c>
      <c r="AA621">
        <v>1.5487949000000001E-2</v>
      </c>
      <c r="AB621" s="11">
        <v>-9.8099999999999998E-8</v>
      </c>
      <c r="AC621">
        <v>1.3274816E-2</v>
      </c>
      <c r="AD621">
        <v>0.88355985299999995</v>
      </c>
      <c r="AE621">
        <v>0.32883394599999999</v>
      </c>
      <c r="AF621">
        <v>1.002942561</v>
      </c>
      <c r="AG621">
        <v>0.25813909800000001</v>
      </c>
      <c r="AH621">
        <v>4.7863059999999997E-3</v>
      </c>
      <c r="AI621">
        <v>0.52167748300000005</v>
      </c>
    </row>
    <row r="622" spans="1:35" x14ac:dyDescent="0.2">
      <c r="A622">
        <v>672</v>
      </c>
      <c r="B622" t="s">
        <v>786</v>
      </c>
      <c r="C622" t="s">
        <v>166</v>
      </c>
      <c r="D622" t="s">
        <v>142</v>
      </c>
      <c r="E622" s="11">
        <v>1.31E-5</v>
      </c>
      <c r="F622" s="11">
        <v>1.6699999999999999E-5</v>
      </c>
      <c r="G622">
        <v>1.2719281099999999</v>
      </c>
      <c r="H622">
        <v>-3.0027205000000001E-2</v>
      </c>
      <c r="I622" s="11">
        <v>2.9799999999999999E-5</v>
      </c>
      <c r="J622">
        <v>7.194368484</v>
      </c>
      <c r="K622">
        <v>7.8392510829999997</v>
      </c>
      <c r="L622">
        <v>58.844713069999997</v>
      </c>
      <c r="M622">
        <v>0.26645988999999998</v>
      </c>
      <c r="N622">
        <v>0.193913002</v>
      </c>
      <c r="O622">
        <v>5.7989717000000003E-2</v>
      </c>
      <c r="P622">
        <v>5.1798467300000004</v>
      </c>
      <c r="Q622">
        <v>4.8453582700000002</v>
      </c>
      <c r="R622">
        <v>39.43184308</v>
      </c>
      <c r="S622">
        <v>0.30022280899999998</v>
      </c>
      <c r="T622">
        <v>0.31209361000000002</v>
      </c>
      <c r="U622">
        <v>2.2962016109999999</v>
      </c>
      <c r="V622">
        <v>2.5898374080000002</v>
      </c>
      <c r="W622">
        <v>1.1278789259999999</v>
      </c>
      <c r="X622">
        <v>2.0259810250000001</v>
      </c>
      <c r="Y622">
        <v>58.844710939999999</v>
      </c>
      <c r="Z622">
        <v>1.2719281140000001</v>
      </c>
      <c r="AA622">
        <v>0.19424086700000001</v>
      </c>
      <c r="AB622" s="11">
        <v>-3.6099999999999999E-8</v>
      </c>
      <c r="AC622">
        <v>7.8392516949999997</v>
      </c>
      <c r="AD622">
        <v>1.1011533650000001</v>
      </c>
      <c r="AE622">
        <v>7.1943682039999999</v>
      </c>
      <c r="AF622">
        <v>4.846995175</v>
      </c>
      <c r="AG622">
        <v>33.037536179999996</v>
      </c>
      <c r="AH622">
        <v>5.8180800999999997E-2</v>
      </c>
      <c r="AI622">
        <v>3.374144636</v>
      </c>
    </row>
    <row r="623" spans="1:35" x14ac:dyDescent="0.2">
      <c r="A623">
        <v>673</v>
      </c>
      <c r="B623" t="s">
        <v>787</v>
      </c>
      <c r="C623" t="s">
        <v>166</v>
      </c>
      <c r="D623" t="s">
        <v>146</v>
      </c>
      <c r="E623" s="11">
        <v>2.4499999999999999E-5</v>
      </c>
      <c r="F623" s="11">
        <v>8.0199999999999994E-6</v>
      </c>
      <c r="G623">
        <v>0.32706505699999999</v>
      </c>
      <c r="H623">
        <v>1.9823650000000002E-2</v>
      </c>
      <c r="I623" s="11">
        <v>3.2499999999999997E-5</v>
      </c>
      <c r="J623">
        <v>0.77059375100000005</v>
      </c>
      <c r="K623">
        <v>3.6279064999999999E-2</v>
      </c>
      <c r="L623">
        <v>4.696120638</v>
      </c>
      <c r="M623">
        <v>1.5435334E-2</v>
      </c>
      <c r="N623">
        <v>4.2313690000000001E-2</v>
      </c>
      <c r="O623">
        <v>1.3037652E-2</v>
      </c>
      <c r="P623">
        <v>0.10007778000000001</v>
      </c>
      <c r="Q623">
        <v>2.125432832</v>
      </c>
      <c r="R623">
        <v>12.95275255</v>
      </c>
      <c r="S623">
        <v>7.0982464999999995E-2</v>
      </c>
      <c r="T623">
        <v>7.0809736999999998E-2</v>
      </c>
      <c r="U623">
        <v>0.54289696099999996</v>
      </c>
      <c r="V623">
        <v>0.58759839700000005</v>
      </c>
      <c r="W623">
        <v>1.082338711</v>
      </c>
      <c r="X623">
        <v>3.0878367440000001</v>
      </c>
      <c r="Y623">
        <v>4.6961204680000002</v>
      </c>
      <c r="Z623">
        <v>0.32706505699999999</v>
      </c>
      <c r="AA623">
        <v>4.2385234000000001E-2</v>
      </c>
      <c r="AB623" s="11">
        <v>-3.6099999999999999E-8</v>
      </c>
      <c r="AC623">
        <v>3.6279067999999998E-2</v>
      </c>
      <c r="AD623">
        <v>0.90439920200000001</v>
      </c>
      <c r="AE623">
        <v>0.77059372100000001</v>
      </c>
      <c r="AF623">
        <v>2.1261508579999999</v>
      </c>
      <c r="AG623">
        <v>0.63830524899999996</v>
      </c>
      <c r="AH623">
        <v>1.3080613E-2</v>
      </c>
      <c r="AI623">
        <v>1.108354499</v>
      </c>
    </row>
    <row r="624" spans="1:35" x14ac:dyDescent="0.2">
      <c r="A624">
        <v>674</v>
      </c>
      <c r="B624" t="s">
        <v>788</v>
      </c>
      <c r="C624" t="s">
        <v>166</v>
      </c>
      <c r="D624" t="s">
        <v>148</v>
      </c>
      <c r="E624" s="11">
        <v>1.29E-5</v>
      </c>
      <c r="F624" s="11">
        <v>4.0600000000000001E-6</v>
      </c>
      <c r="G624">
        <v>0.31360745400000001</v>
      </c>
      <c r="H624">
        <v>1.4130176E-2</v>
      </c>
      <c r="I624" s="11">
        <v>1.7E-5</v>
      </c>
      <c r="J624">
        <v>0.209387619</v>
      </c>
      <c r="K624">
        <v>0.118455911</v>
      </c>
      <c r="L624">
        <v>1.4932375369999999</v>
      </c>
      <c r="M624">
        <v>0.158900185</v>
      </c>
      <c r="N624">
        <v>1.7175077E-2</v>
      </c>
      <c r="O624">
        <v>5.3003549999999997E-3</v>
      </c>
      <c r="P624">
        <v>0.35867005000000002</v>
      </c>
      <c r="Q624">
        <v>0.63371651799999995</v>
      </c>
      <c r="R624">
        <v>4.5196392080000001</v>
      </c>
      <c r="S624">
        <v>2.8834729E-2</v>
      </c>
      <c r="T624">
        <v>2.8111244000000001E-2</v>
      </c>
      <c r="U624">
        <v>0.22053737700000001</v>
      </c>
      <c r="V624">
        <v>0.23327472799999999</v>
      </c>
      <c r="W624">
        <v>1.057755974</v>
      </c>
      <c r="X624">
        <v>3.7281955739999999</v>
      </c>
      <c r="Y624">
        <v>1.493224377</v>
      </c>
      <c r="Z624">
        <v>0.313486563</v>
      </c>
      <c r="AA624">
        <v>1.7204997E-2</v>
      </c>
      <c r="AB624" s="11">
        <v>-8.8100000000000004E-6</v>
      </c>
      <c r="AC624">
        <v>0.11846206099999999</v>
      </c>
      <c r="AD624">
        <v>0.89452200999999998</v>
      </c>
      <c r="AE624">
        <v>0.20938338000000001</v>
      </c>
      <c r="AF624">
        <v>0.633915071</v>
      </c>
      <c r="AG624">
        <v>2.2877418610000002</v>
      </c>
      <c r="AH624">
        <v>5.3180959999999996E-3</v>
      </c>
      <c r="AI624">
        <v>0.38673616999999999</v>
      </c>
    </row>
    <row r="625" spans="1:35" x14ac:dyDescent="0.2">
      <c r="A625">
        <v>675</v>
      </c>
      <c r="B625" t="s">
        <v>789</v>
      </c>
      <c r="C625" t="s">
        <v>166</v>
      </c>
      <c r="D625" t="s">
        <v>150</v>
      </c>
      <c r="E625" s="11">
        <v>2.4499999999999999E-5</v>
      </c>
      <c r="F625" s="11">
        <v>7.9999999999999996E-6</v>
      </c>
      <c r="G625">
        <v>0.32665047699999999</v>
      </c>
      <c r="H625">
        <v>2.0142730000000001E-2</v>
      </c>
      <c r="I625" s="11">
        <v>3.2499999999999997E-5</v>
      </c>
      <c r="J625">
        <v>0.76609126299999997</v>
      </c>
      <c r="K625">
        <v>3.6028132999999997E-2</v>
      </c>
      <c r="L625">
        <v>4.6686038439999997</v>
      </c>
      <c r="M625">
        <v>1.5427008000000001E-2</v>
      </c>
      <c r="N625">
        <v>4.2021075999999997E-2</v>
      </c>
      <c r="O625">
        <v>1.2947475E-2</v>
      </c>
      <c r="P625">
        <v>9.9493079999999998E-2</v>
      </c>
      <c r="Q625">
        <v>2.1152928919999998</v>
      </c>
      <c r="R625">
        <v>12.89074351</v>
      </c>
      <c r="S625">
        <v>7.0358931E-2</v>
      </c>
      <c r="T625">
        <v>7.0152095999999997E-2</v>
      </c>
      <c r="U625">
        <v>0.53812797300000004</v>
      </c>
      <c r="V625">
        <v>0.58214111199999996</v>
      </c>
      <c r="W625">
        <v>1.081789353</v>
      </c>
      <c r="X625">
        <v>3.0927750359999999</v>
      </c>
      <c r="Y625">
        <v>4.6686036609999997</v>
      </c>
      <c r="Z625">
        <v>0.32665057800000002</v>
      </c>
      <c r="AA625">
        <v>4.2092125000000001E-2</v>
      </c>
      <c r="AB625" s="11">
        <v>-3.9099999999999999E-8</v>
      </c>
      <c r="AC625">
        <v>3.6028137000000002E-2</v>
      </c>
      <c r="AD625">
        <v>0.90432037899999995</v>
      </c>
      <c r="AE625">
        <v>0.76609123000000001</v>
      </c>
      <c r="AF625">
        <v>2.116007475</v>
      </c>
      <c r="AG625">
        <v>0.63457597799999999</v>
      </c>
      <c r="AH625">
        <v>1.2990139E-2</v>
      </c>
      <c r="AI625">
        <v>1.1030484380000001</v>
      </c>
    </row>
    <row r="626" spans="1:35" x14ac:dyDescent="0.2">
      <c r="A626">
        <v>676</v>
      </c>
      <c r="B626" t="s">
        <v>790</v>
      </c>
      <c r="C626" t="s">
        <v>166</v>
      </c>
      <c r="D626" t="s">
        <v>152</v>
      </c>
      <c r="E626" s="11">
        <v>1.31E-5</v>
      </c>
      <c r="F626" s="11">
        <v>1.6699999999999999E-5</v>
      </c>
      <c r="G626">
        <v>1.2717591580000001</v>
      </c>
      <c r="H626">
        <v>-2.9974971E-2</v>
      </c>
      <c r="I626" s="11">
        <v>2.9799999999999999E-5</v>
      </c>
      <c r="J626">
        <v>7.1881814930000001</v>
      </c>
      <c r="K626">
        <v>7.8525318759999996</v>
      </c>
      <c r="L626">
        <v>58.834152709999998</v>
      </c>
      <c r="M626">
        <v>0.26695668</v>
      </c>
      <c r="N626">
        <v>0.19392799099999999</v>
      </c>
      <c r="O626">
        <v>5.8027421000000003E-2</v>
      </c>
      <c r="P626">
        <v>5.1232707599999996</v>
      </c>
      <c r="Q626">
        <v>4.846171344</v>
      </c>
      <c r="R626">
        <v>39.323569579999997</v>
      </c>
      <c r="S626">
        <v>0.30033658499999999</v>
      </c>
      <c r="T626">
        <v>0.31212193900000001</v>
      </c>
      <c r="U626">
        <v>2.297071807</v>
      </c>
      <c r="V626">
        <v>2.5900724949999998</v>
      </c>
      <c r="W626">
        <v>1.1275539960000001</v>
      </c>
      <c r="X626">
        <v>2.0255185710000001</v>
      </c>
      <c r="Y626">
        <v>58.834150579999999</v>
      </c>
      <c r="Z626">
        <v>1.2717536570000001</v>
      </c>
      <c r="AA626">
        <v>0.19425588199999999</v>
      </c>
      <c r="AB626" s="11">
        <v>-3.6099999999999999E-8</v>
      </c>
      <c r="AC626">
        <v>7.8525324889999997</v>
      </c>
      <c r="AD626">
        <v>1.10085202</v>
      </c>
      <c r="AE626">
        <v>7.1881812140000001</v>
      </c>
      <c r="AF626">
        <v>4.847808498</v>
      </c>
      <c r="AG626">
        <v>32.673746800000004</v>
      </c>
      <c r="AH626">
        <v>5.8218629000000001E-2</v>
      </c>
      <c r="AI626">
        <v>3.3648008059999999</v>
      </c>
    </row>
    <row r="627" spans="1:35" x14ac:dyDescent="0.2">
      <c r="A627">
        <v>677</v>
      </c>
      <c r="B627" t="s">
        <v>791</v>
      </c>
      <c r="C627" t="s">
        <v>166</v>
      </c>
      <c r="D627" t="s">
        <v>156</v>
      </c>
      <c r="E627" s="11">
        <v>1.88E-5</v>
      </c>
      <c r="F627" s="11">
        <v>6.4999999999999996E-6</v>
      </c>
      <c r="G627">
        <v>0.34575433999999999</v>
      </c>
      <c r="H627">
        <v>1.076908E-2</v>
      </c>
      <c r="I627" s="11">
        <v>2.5299999999999998E-5</v>
      </c>
      <c r="J627">
        <v>0.58591093299999997</v>
      </c>
      <c r="K627">
        <v>4.8928091E-2</v>
      </c>
      <c r="L627">
        <v>3.6133217809999998</v>
      </c>
      <c r="M627">
        <v>2.7099551999999999E-2</v>
      </c>
      <c r="N627">
        <v>5.7053263E-2</v>
      </c>
      <c r="O627">
        <v>1.7583349000000002E-2</v>
      </c>
      <c r="P627">
        <v>0.12786632000000001</v>
      </c>
      <c r="Q627">
        <v>1.5305599539999999</v>
      </c>
      <c r="R627">
        <v>9.4390923660000006</v>
      </c>
      <c r="S627">
        <v>8.9851898999999999E-2</v>
      </c>
      <c r="T627">
        <v>9.3162819999999993E-2</v>
      </c>
      <c r="U627">
        <v>0.68721652499999997</v>
      </c>
      <c r="V627">
        <v>0.77309034200000004</v>
      </c>
      <c r="W627">
        <v>1.1249588939999999</v>
      </c>
      <c r="X627">
        <v>2.875020197</v>
      </c>
      <c r="Y627">
        <v>3.6133216500000001</v>
      </c>
      <c r="Z627">
        <v>0.345754336</v>
      </c>
      <c r="AA627">
        <v>5.7149727999999997E-2</v>
      </c>
      <c r="AB627" s="11">
        <v>-3.6099999999999999E-8</v>
      </c>
      <c r="AC627">
        <v>4.8928094999999998E-2</v>
      </c>
      <c r="AD627">
        <v>0.900390048</v>
      </c>
      <c r="AE627">
        <v>0.58591090999999995</v>
      </c>
      <c r="AF627">
        <v>1.5310770170000001</v>
      </c>
      <c r="AG627">
        <v>0.81554310200000002</v>
      </c>
      <c r="AH627">
        <v>1.7641288000000001E-2</v>
      </c>
      <c r="AI627">
        <v>0.80769399799999997</v>
      </c>
    </row>
    <row r="628" spans="1:35" x14ac:dyDescent="0.2">
      <c r="A628">
        <v>678</v>
      </c>
      <c r="B628" t="s">
        <v>792</v>
      </c>
      <c r="C628" t="s">
        <v>166</v>
      </c>
      <c r="D628" t="s">
        <v>158</v>
      </c>
      <c r="E628" s="11">
        <v>8.3699999999999995E-6</v>
      </c>
      <c r="F628" s="11">
        <v>2.6699999999999998E-6</v>
      </c>
      <c r="G628">
        <v>0.31883206800000002</v>
      </c>
      <c r="H628">
        <v>-1.8942815000000002E-2</v>
      </c>
      <c r="I628" s="11">
        <v>1.1E-5</v>
      </c>
      <c r="J628">
        <v>0.29191489399999998</v>
      </c>
      <c r="K628">
        <v>1.6400201E-2</v>
      </c>
      <c r="L628">
        <v>1.7842897630000001</v>
      </c>
      <c r="M628">
        <v>1.2616588E-2</v>
      </c>
      <c r="N628">
        <v>1.9050193E-2</v>
      </c>
      <c r="O628">
        <v>5.8937599999999996E-3</v>
      </c>
      <c r="P628">
        <v>8.4954429999999997E-2</v>
      </c>
      <c r="Q628">
        <v>1.142596838</v>
      </c>
      <c r="R628">
        <v>7.0254898959999998</v>
      </c>
      <c r="S628">
        <v>1.5445883000000001E-2</v>
      </c>
      <c r="T628">
        <v>1.4148106000000001E-2</v>
      </c>
      <c r="U628">
        <v>0.118135134</v>
      </c>
      <c r="V628">
        <v>0.11740481699999999</v>
      </c>
      <c r="W628">
        <v>0.99381795299999998</v>
      </c>
      <c r="X628">
        <v>3.6527280520000001</v>
      </c>
      <c r="Y628">
        <v>1.7842896989999999</v>
      </c>
      <c r="Z628">
        <v>0.31882601999999999</v>
      </c>
      <c r="AA628">
        <v>1.9082401999999998E-2</v>
      </c>
      <c r="AB628" s="11">
        <v>-3.6099999999999999E-8</v>
      </c>
      <c r="AC628">
        <v>1.6400201999999999E-2</v>
      </c>
      <c r="AD628">
        <v>0.8842198</v>
      </c>
      <c r="AE628">
        <v>0.29191488300000001</v>
      </c>
      <c r="AF628">
        <v>1.1429828040000001</v>
      </c>
      <c r="AG628">
        <v>0.54184713699999998</v>
      </c>
      <c r="AH628">
        <v>5.913181E-3</v>
      </c>
      <c r="AI628">
        <v>0.60116435300000004</v>
      </c>
    </row>
    <row r="629" spans="1:35" x14ac:dyDescent="0.2">
      <c r="A629">
        <v>679</v>
      </c>
      <c r="B629" t="s">
        <v>793</v>
      </c>
      <c r="C629" t="s">
        <v>166</v>
      </c>
      <c r="D629" t="s">
        <v>160</v>
      </c>
      <c r="E629" s="11">
        <v>1.91E-5</v>
      </c>
      <c r="F629" s="11">
        <v>6.4400000000000002E-6</v>
      </c>
      <c r="G629">
        <v>0.33739632400000003</v>
      </c>
      <c r="H629">
        <v>1.2313238000000001E-2</v>
      </c>
      <c r="I629" s="11">
        <v>2.55E-5</v>
      </c>
      <c r="J629">
        <v>0.59062157800000004</v>
      </c>
      <c r="K629">
        <v>5.5450157E-2</v>
      </c>
      <c r="L629">
        <v>3.6546297839999999</v>
      </c>
      <c r="M629">
        <v>3.2877208999999998E-2</v>
      </c>
      <c r="N629">
        <v>6.4589872000000007E-2</v>
      </c>
      <c r="O629">
        <v>1.9927192E-2</v>
      </c>
      <c r="P629">
        <v>0.14310386</v>
      </c>
      <c r="Q629">
        <v>1.7062503659999999</v>
      </c>
      <c r="R629">
        <v>10.52370992</v>
      </c>
      <c r="S629">
        <v>7.8253710000000004E-2</v>
      </c>
      <c r="T629">
        <v>7.4509895000000007E-2</v>
      </c>
      <c r="U629">
        <v>0.59850980600000003</v>
      </c>
      <c r="V629">
        <v>0.61830331599999999</v>
      </c>
      <c r="W629">
        <v>1.033071321</v>
      </c>
      <c r="X629">
        <v>2.7859885109999998</v>
      </c>
      <c r="Y629">
        <v>3.6546296360000001</v>
      </c>
      <c r="Z629">
        <v>0.33739632200000003</v>
      </c>
      <c r="AA629">
        <v>6.4699080000000006E-2</v>
      </c>
      <c r="AB629" s="11">
        <v>-4.0499999999999999E-8</v>
      </c>
      <c r="AC629">
        <v>5.5450160999999998E-2</v>
      </c>
      <c r="AD629">
        <v>0.90514302999999996</v>
      </c>
      <c r="AE629">
        <v>0.59062155299999997</v>
      </c>
      <c r="AF629">
        <v>1.7068267749999999</v>
      </c>
      <c r="AG629">
        <v>0.91272952799999996</v>
      </c>
      <c r="AH629">
        <v>1.9992854000000001E-2</v>
      </c>
      <c r="AI629">
        <v>0.90050366900000001</v>
      </c>
    </row>
    <row r="630" spans="1:35" x14ac:dyDescent="0.2">
      <c r="A630">
        <v>680</v>
      </c>
      <c r="B630" t="s">
        <v>794</v>
      </c>
      <c r="C630" t="s">
        <v>166</v>
      </c>
      <c r="D630" t="s">
        <v>162</v>
      </c>
      <c r="E630" s="11">
        <v>2.3799999999999999E-5</v>
      </c>
      <c r="F630" s="11">
        <v>8.1599999999999998E-6</v>
      </c>
      <c r="G630">
        <v>0.34323092700000002</v>
      </c>
      <c r="H630">
        <v>2.0597305E-2</v>
      </c>
      <c r="I630" s="11">
        <v>3.1900000000000003E-5</v>
      </c>
      <c r="J630">
        <v>0.76590224699999998</v>
      </c>
      <c r="K630">
        <v>3.6096782000000001E-2</v>
      </c>
      <c r="L630">
        <v>4.6676070469999997</v>
      </c>
      <c r="M630">
        <v>1.5456357E-2</v>
      </c>
      <c r="N630">
        <v>4.2102712E-2</v>
      </c>
      <c r="O630">
        <v>1.2972144999999999E-2</v>
      </c>
      <c r="P630">
        <v>9.9648280000000006E-2</v>
      </c>
      <c r="Q630">
        <v>2.1142189149999999</v>
      </c>
      <c r="R630">
        <v>12.884610049999999</v>
      </c>
      <c r="S630">
        <v>7.0691539999999997E-2</v>
      </c>
      <c r="T630">
        <v>7.0526762000000007E-2</v>
      </c>
      <c r="U630">
        <v>0.54067187500000002</v>
      </c>
      <c r="V630">
        <v>0.585250194</v>
      </c>
      <c r="W630">
        <v>1.0824498570000001</v>
      </c>
      <c r="X630">
        <v>3.091420635</v>
      </c>
      <c r="Y630">
        <v>4.667606878</v>
      </c>
      <c r="Z630">
        <v>0.34323092700000002</v>
      </c>
      <c r="AA630">
        <v>4.2173899000000001E-2</v>
      </c>
      <c r="AB630" s="11">
        <v>-3.6099999999999999E-8</v>
      </c>
      <c r="AC630">
        <v>3.6096784999999999E-2</v>
      </c>
      <c r="AD630">
        <v>0.90561935800000004</v>
      </c>
      <c r="AE630">
        <v>0.76590221700000005</v>
      </c>
      <c r="AF630">
        <v>2.114933153</v>
      </c>
      <c r="AG630">
        <v>0.63556585799999998</v>
      </c>
      <c r="AH630">
        <v>1.3014889999999999E-2</v>
      </c>
      <c r="AI630">
        <v>1.1025236110000001</v>
      </c>
    </row>
    <row r="631" spans="1:35" x14ac:dyDescent="0.2">
      <c r="A631">
        <v>681</v>
      </c>
      <c r="B631" t="s">
        <v>795</v>
      </c>
      <c r="C631" t="s">
        <v>166</v>
      </c>
      <c r="D631" t="s">
        <v>168</v>
      </c>
      <c r="E631" s="11">
        <v>9.7499999999999998E-6</v>
      </c>
      <c r="F631" s="11">
        <v>3.0299999999999998E-6</v>
      </c>
      <c r="G631">
        <v>0.31053899200000001</v>
      </c>
      <c r="H631">
        <v>-1.6329777E-2</v>
      </c>
      <c r="I631" s="11">
        <v>1.2799999999999999E-5</v>
      </c>
      <c r="J631">
        <v>0.461640571</v>
      </c>
      <c r="K631">
        <v>2.2132323999999998E-2</v>
      </c>
      <c r="L631">
        <v>2.8141080760000001</v>
      </c>
      <c r="M631">
        <v>1.3776352E-2</v>
      </c>
      <c r="N631">
        <v>2.5734683000000001E-2</v>
      </c>
      <c r="O631">
        <v>7.9537210000000004E-3</v>
      </c>
      <c r="P631">
        <v>9.7901630000000003E-2</v>
      </c>
      <c r="Q631">
        <v>1.43963595</v>
      </c>
      <c r="R631">
        <v>8.8336189619999992</v>
      </c>
      <c r="S631">
        <v>2.0405381E-2</v>
      </c>
      <c r="T631">
        <v>1.8697612999999998E-2</v>
      </c>
      <c r="U631">
        <v>0.15606698199999999</v>
      </c>
      <c r="V631">
        <v>0.15515786200000001</v>
      </c>
      <c r="W631">
        <v>0.99417480899999999</v>
      </c>
      <c r="X631">
        <v>3.4389402329999998</v>
      </c>
      <c r="Y631">
        <v>2.8156597940000001</v>
      </c>
      <c r="Z631">
        <v>0.30986639599999999</v>
      </c>
      <c r="AA631">
        <v>2.5796929999999999E-2</v>
      </c>
      <c r="AB631">
        <v>5.5110300000000005E-4</v>
      </c>
      <c r="AC631">
        <v>2.2148497E-2</v>
      </c>
      <c r="AD631">
        <v>0.88927005199999998</v>
      </c>
      <c r="AE631">
        <v>0.46189380000000002</v>
      </c>
      <c r="AF631">
        <v>1.4409206880000001</v>
      </c>
      <c r="AG631">
        <v>0.62450433400000005</v>
      </c>
      <c r="AH631">
        <v>7.9857599999999997E-3</v>
      </c>
      <c r="AI631">
        <v>0.756296105</v>
      </c>
    </row>
    <row r="632" spans="1:35" x14ac:dyDescent="0.2">
      <c r="A632">
        <v>682</v>
      </c>
      <c r="B632" t="s">
        <v>796</v>
      </c>
      <c r="C632" t="s">
        <v>224</v>
      </c>
      <c r="D632" t="s">
        <v>129</v>
      </c>
      <c r="E632" s="11">
        <v>8.49E-6</v>
      </c>
      <c r="F632" s="11">
        <v>2.6199999999999999E-6</v>
      </c>
      <c r="G632">
        <v>0.30863316499999999</v>
      </c>
      <c r="H632">
        <v>-0.64747009300000002</v>
      </c>
      <c r="I632" s="11">
        <v>1.11E-5</v>
      </c>
      <c r="J632">
        <v>0.623636364</v>
      </c>
      <c r="K632">
        <v>1.2472727269999999</v>
      </c>
      <c r="L632">
        <v>6.2363636360000001</v>
      </c>
      <c r="M632">
        <v>0.16351606899999999</v>
      </c>
      <c r="N632">
        <v>3.4287997000000001E-2</v>
      </c>
      <c r="O632">
        <v>1.0605491E-2</v>
      </c>
      <c r="P632">
        <v>1.3725351299999999</v>
      </c>
      <c r="Q632">
        <v>2.288654942</v>
      </c>
      <c r="R632">
        <v>16.47699991</v>
      </c>
      <c r="S632">
        <v>2.9114689999999999E-2</v>
      </c>
      <c r="T632">
        <v>2.5641265E-2</v>
      </c>
      <c r="U632">
        <v>0.222678614</v>
      </c>
      <c r="V632">
        <v>0.21277817099999999</v>
      </c>
      <c r="W632">
        <v>0.95553931800000003</v>
      </c>
      <c r="X632">
        <v>3.8711257419999998</v>
      </c>
      <c r="Y632">
        <v>3.522039618</v>
      </c>
      <c r="Z632">
        <v>0.29205983200000002</v>
      </c>
      <c r="AA632">
        <v>1.5801618999999999E-2</v>
      </c>
      <c r="AB632">
        <v>-0.77066822400000001</v>
      </c>
      <c r="AC632">
        <v>0.387963895</v>
      </c>
      <c r="AD632">
        <v>0.86110519799999996</v>
      </c>
      <c r="AE632">
        <v>0.35657628099999999</v>
      </c>
      <c r="AF632">
        <v>1.4758256729999999</v>
      </c>
      <c r="AG632">
        <v>4.3586269550000001</v>
      </c>
      <c r="AH632">
        <v>4.8968759999999997E-3</v>
      </c>
      <c r="AI632">
        <v>0.96285331200000002</v>
      </c>
    </row>
    <row r="633" spans="1:35" x14ac:dyDescent="0.2">
      <c r="A633">
        <v>683</v>
      </c>
      <c r="B633" t="s">
        <v>797</v>
      </c>
      <c r="C633" t="s">
        <v>224</v>
      </c>
      <c r="D633" t="s">
        <v>130</v>
      </c>
      <c r="E633" s="11">
        <v>7.5599999999999996E-6</v>
      </c>
      <c r="F633" s="11">
        <v>2.3700000000000002E-6</v>
      </c>
      <c r="G633">
        <v>0.31308698800000001</v>
      </c>
      <c r="H633">
        <v>0.47280866100000002</v>
      </c>
      <c r="I633" s="11">
        <v>9.9299999999999998E-6</v>
      </c>
      <c r="J633">
        <v>0.332194343</v>
      </c>
      <c r="K633">
        <v>4.8644059999999999E-3</v>
      </c>
      <c r="L633">
        <v>2.0028948689999999</v>
      </c>
      <c r="M633">
        <v>4.8624870000000004E-3</v>
      </c>
      <c r="N633">
        <v>5.6493949999999998E-3</v>
      </c>
      <c r="O633">
        <v>1.7481280000000001E-3</v>
      </c>
      <c r="P633">
        <v>1.536796E-2</v>
      </c>
      <c r="Q633">
        <v>1.0495257520000001</v>
      </c>
      <c r="R633">
        <v>6.32789044</v>
      </c>
      <c r="S633">
        <v>9.4928600000000005E-3</v>
      </c>
      <c r="T633">
        <v>9.0915400000000004E-3</v>
      </c>
      <c r="U633">
        <v>7.2604479999999999E-2</v>
      </c>
      <c r="V633">
        <v>7.5444061000000007E-2</v>
      </c>
      <c r="W633">
        <v>1.0391102729999999</v>
      </c>
      <c r="X633">
        <v>4.0495118879999996</v>
      </c>
      <c r="Y633">
        <v>2.6364442029999999</v>
      </c>
      <c r="Z633">
        <v>0.30169703399999998</v>
      </c>
      <c r="AA633">
        <v>1.3080701E-2</v>
      </c>
      <c r="AB633">
        <v>0.24030447299999999</v>
      </c>
      <c r="AC633">
        <v>1.1215042999999999E-2</v>
      </c>
      <c r="AD633">
        <v>0.86769098200000006</v>
      </c>
      <c r="AE633">
        <v>0.43799043900000001</v>
      </c>
      <c r="AF633">
        <v>1.477221549</v>
      </c>
      <c r="AG633">
        <v>0.23836648399999999</v>
      </c>
      <c r="AH633">
        <v>4.0436439999999999E-3</v>
      </c>
      <c r="AI633">
        <v>0.76049282200000001</v>
      </c>
    </row>
    <row r="634" spans="1:35" x14ac:dyDescent="0.2">
      <c r="A634">
        <v>684</v>
      </c>
      <c r="B634" t="s">
        <v>798</v>
      </c>
      <c r="C634" t="s">
        <v>224</v>
      </c>
      <c r="D634" t="s">
        <v>132</v>
      </c>
      <c r="E634" s="11">
        <v>8.8699999999999998E-6</v>
      </c>
      <c r="F634" s="11">
        <v>2.7999999999999999E-6</v>
      </c>
      <c r="G634">
        <v>0.31575237299999998</v>
      </c>
      <c r="H634">
        <v>-0.87655559299999997</v>
      </c>
      <c r="I634" s="11">
        <v>1.17E-5</v>
      </c>
      <c r="J634">
        <v>0.498659246</v>
      </c>
      <c r="K634">
        <v>1.6574103999999999E-2</v>
      </c>
      <c r="L634">
        <v>3.0251036849999999</v>
      </c>
      <c r="M634">
        <v>2.2154209000000001E-2</v>
      </c>
      <c r="N634">
        <v>1.9249127000000001E-2</v>
      </c>
      <c r="O634">
        <v>5.9562560000000001E-3</v>
      </c>
      <c r="P634">
        <v>4.9769500000000001E-2</v>
      </c>
      <c r="Q634">
        <v>1.5760759550000001</v>
      </c>
      <c r="R634">
        <v>9.5559947239999996</v>
      </c>
      <c r="S634">
        <v>2.0031459000000001E-2</v>
      </c>
      <c r="T634">
        <v>1.912734E-2</v>
      </c>
      <c r="U634">
        <v>0.15320710500000001</v>
      </c>
      <c r="V634">
        <v>0.158723854</v>
      </c>
      <c r="W634">
        <v>1.0360084409999999</v>
      </c>
      <c r="X634">
        <v>4.8045257870000002</v>
      </c>
      <c r="Y634">
        <v>1.29419777</v>
      </c>
      <c r="Z634">
        <v>0.28722930299999999</v>
      </c>
      <c r="AA634">
        <v>5.8072469999999998E-3</v>
      </c>
      <c r="AB634">
        <v>-1</v>
      </c>
      <c r="AC634">
        <v>4.9875520000000001E-3</v>
      </c>
      <c r="AD634">
        <v>0.86470210800000002</v>
      </c>
      <c r="AE634">
        <v>0.215321332</v>
      </c>
      <c r="AF634">
        <v>0.79169236499999995</v>
      </c>
      <c r="AG634">
        <v>0.115537722</v>
      </c>
      <c r="AH634">
        <v>1.798289E-3</v>
      </c>
      <c r="AI634">
        <v>0.40697168900000003</v>
      </c>
    </row>
    <row r="635" spans="1:35" x14ac:dyDescent="0.2">
      <c r="A635">
        <v>685</v>
      </c>
      <c r="B635" t="s">
        <v>799</v>
      </c>
      <c r="C635" t="s">
        <v>224</v>
      </c>
      <c r="D635" t="s">
        <v>134</v>
      </c>
      <c r="E635" s="11">
        <v>1.56E-5</v>
      </c>
      <c r="F635" s="11">
        <v>5.4399999999999996E-6</v>
      </c>
      <c r="G635">
        <v>0.34992675600000001</v>
      </c>
      <c r="H635">
        <v>-0.42470438599999999</v>
      </c>
      <c r="I635" s="11">
        <v>2.0999999999999999E-5</v>
      </c>
      <c r="J635">
        <v>0.439125671</v>
      </c>
      <c r="K635">
        <v>1.7365498E-2</v>
      </c>
      <c r="L635">
        <v>2.669485023</v>
      </c>
      <c r="M635">
        <v>1.3005989000000001E-2</v>
      </c>
      <c r="N635">
        <v>2.023807E-2</v>
      </c>
      <c r="O635">
        <v>6.2406609999999998E-3</v>
      </c>
      <c r="P635">
        <v>4.7479349999999997E-2</v>
      </c>
      <c r="Q635">
        <v>1.2002315139999999</v>
      </c>
      <c r="R635">
        <v>7.2963477919999997</v>
      </c>
      <c r="S635">
        <v>3.4064862000000001E-2</v>
      </c>
      <c r="T635">
        <v>3.3115958000000001E-2</v>
      </c>
      <c r="U635">
        <v>0.26053913200000001</v>
      </c>
      <c r="V635">
        <v>0.274805203</v>
      </c>
      <c r="W635">
        <v>1.0547559630000001</v>
      </c>
      <c r="X635">
        <v>3.7706019730000002</v>
      </c>
      <c r="Y635">
        <v>2.5317937399999999</v>
      </c>
      <c r="Z635">
        <v>0.392431211</v>
      </c>
      <c r="AA635">
        <v>1.7651722000000002E-2</v>
      </c>
      <c r="AB635">
        <v>-5.4384874E-2</v>
      </c>
      <c r="AC635">
        <v>1.5128694E-2</v>
      </c>
      <c r="AD635">
        <v>0.89007360700000004</v>
      </c>
      <c r="AE635">
        <v>0.41793415499999997</v>
      </c>
      <c r="AF635">
        <v>1.069517107</v>
      </c>
      <c r="AG635">
        <v>0.24400223100000001</v>
      </c>
      <c r="AH635">
        <v>5.4547320000000003E-3</v>
      </c>
      <c r="AI635">
        <v>0.55412141000000004</v>
      </c>
    </row>
    <row r="636" spans="1:35" x14ac:dyDescent="0.2">
      <c r="A636">
        <v>686</v>
      </c>
      <c r="B636" t="s">
        <v>800</v>
      </c>
      <c r="C636" t="s">
        <v>224</v>
      </c>
      <c r="D636" t="s">
        <v>136</v>
      </c>
      <c r="E636" s="11">
        <v>1.11E-5</v>
      </c>
      <c r="F636" s="11">
        <v>3.4800000000000001E-6</v>
      </c>
      <c r="G636">
        <v>0.315051794</v>
      </c>
      <c r="H636">
        <v>6.6076180999999998E-2</v>
      </c>
      <c r="I636" s="11">
        <v>1.45E-5</v>
      </c>
      <c r="J636">
        <v>0.289083641</v>
      </c>
      <c r="K636">
        <v>1.0995588000000001E-2</v>
      </c>
      <c r="L636">
        <v>1.7564930240000001</v>
      </c>
      <c r="M636">
        <v>1.2487807E-2</v>
      </c>
      <c r="N636">
        <v>1.2797378999999999E-2</v>
      </c>
      <c r="O636">
        <v>3.9514980000000003E-3</v>
      </c>
      <c r="P636">
        <v>3.3846620000000001E-2</v>
      </c>
      <c r="Q636">
        <v>0.88989186200000003</v>
      </c>
      <c r="R636">
        <v>5.4070444179999999</v>
      </c>
      <c r="S636">
        <v>2.1604493999999998E-2</v>
      </c>
      <c r="T636">
        <v>2.0771061E-2</v>
      </c>
      <c r="U636">
        <v>0.16523818800000001</v>
      </c>
      <c r="V636">
        <v>0.17236389699999999</v>
      </c>
      <c r="W636">
        <v>1.0431238629999999</v>
      </c>
      <c r="X636">
        <v>3.9161789699999998</v>
      </c>
      <c r="Y636">
        <v>1.749070331</v>
      </c>
      <c r="Z636">
        <v>0.31096522100000001</v>
      </c>
      <c r="AA636">
        <v>1.5090769E-2</v>
      </c>
      <c r="AB636">
        <v>-4.243793E-3</v>
      </c>
      <c r="AC636">
        <v>1.2940399999999999E-2</v>
      </c>
      <c r="AD636">
        <v>0.86769179399999996</v>
      </c>
      <c r="AE636">
        <v>0.287201612</v>
      </c>
      <c r="AF636">
        <v>0.94575174900000003</v>
      </c>
      <c r="AG636">
        <v>0.268509583</v>
      </c>
      <c r="AH636">
        <v>4.6657310000000002E-3</v>
      </c>
      <c r="AI636">
        <v>0.49259752000000001</v>
      </c>
    </row>
    <row r="637" spans="1:35" x14ac:dyDescent="0.2">
      <c r="A637">
        <v>687</v>
      </c>
      <c r="B637" t="s">
        <v>801</v>
      </c>
      <c r="C637" t="s">
        <v>224</v>
      </c>
      <c r="D637" t="s">
        <v>138</v>
      </c>
      <c r="E637" s="11">
        <v>1.3200000000000001E-5</v>
      </c>
      <c r="F637" s="11">
        <v>4.4700000000000004E-6</v>
      </c>
      <c r="G637">
        <v>0.33857854199999998</v>
      </c>
      <c r="H637">
        <v>0.20453791299999999</v>
      </c>
      <c r="I637" s="11">
        <v>1.77E-5</v>
      </c>
      <c r="J637">
        <v>1.0309775750000001</v>
      </c>
      <c r="K637">
        <v>3.4661804999999997E-2</v>
      </c>
      <c r="L637">
        <v>6.2551890590000001</v>
      </c>
      <c r="M637">
        <v>1.0872911000000001E-2</v>
      </c>
      <c r="N637">
        <v>4.0102407999999999E-2</v>
      </c>
      <c r="O637">
        <v>1.2456455999999999E-2</v>
      </c>
      <c r="P637">
        <v>9.6884219999999993E-2</v>
      </c>
      <c r="Q637">
        <v>2.8817154650000001</v>
      </c>
      <c r="R637">
        <v>17.484061229999998</v>
      </c>
      <c r="S637">
        <v>5.8402846000000001E-2</v>
      </c>
      <c r="T637">
        <v>5.3598842000000001E-2</v>
      </c>
      <c r="U637">
        <v>0.446683944</v>
      </c>
      <c r="V637">
        <v>0.44477772799999998</v>
      </c>
      <c r="W637">
        <v>0.99573251699999998</v>
      </c>
      <c r="X637">
        <v>2.8253920030000002</v>
      </c>
      <c r="Y637">
        <v>16.20377933</v>
      </c>
      <c r="Z637">
        <v>0.36319863800000002</v>
      </c>
      <c r="AA637">
        <v>4.6520893000000001E-2</v>
      </c>
      <c r="AB637">
        <v>0.61396727699999998</v>
      </c>
      <c r="AC637">
        <v>4.1722055000000001E-2</v>
      </c>
      <c r="AD637">
        <v>0.89479739800000002</v>
      </c>
      <c r="AE637">
        <v>2.7085915620000001</v>
      </c>
      <c r="AF637">
        <v>4.728736177</v>
      </c>
      <c r="AG637">
        <v>0.57059618899999998</v>
      </c>
      <c r="AH637">
        <v>1.5043112000000001E-2</v>
      </c>
      <c r="AI637">
        <v>2.42493034</v>
      </c>
    </row>
    <row r="638" spans="1:35" x14ac:dyDescent="0.2">
      <c r="A638">
        <v>688</v>
      </c>
      <c r="B638" t="s">
        <v>802</v>
      </c>
      <c r="C638" t="s">
        <v>224</v>
      </c>
      <c r="D638" t="s">
        <v>182</v>
      </c>
      <c r="E638" s="11">
        <v>8.0600000000000008E-6</v>
      </c>
      <c r="F638" s="11">
        <v>2.5299999999999999E-6</v>
      </c>
      <c r="G638">
        <v>0.31338920100000001</v>
      </c>
      <c r="H638">
        <v>0.87883645200000005</v>
      </c>
      <c r="I638" s="11">
        <v>1.06E-5</v>
      </c>
      <c r="J638">
        <v>0.280200438</v>
      </c>
      <c r="K638">
        <v>7.1331069999999996E-3</v>
      </c>
      <c r="L638">
        <v>1.6954688440000001</v>
      </c>
      <c r="M638">
        <v>8.428039E-3</v>
      </c>
      <c r="N638">
        <v>8.2895420000000004E-3</v>
      </c>
      <c r="O638">
        <v>2.5634339999999999E-3</v>
      </c>
      <c r="P638">
        <v>2.2310670000000001E-2</v>
      </c>
      <c r="Q638">
        <v>0.87648043499999995</v>
      </c>
      <c r="R638">
        <v>5.3035039499999996</v>
      </c>
      <c r="S638">
        <v>1.5610254E-2</v>
      </c>
      <c r="T638">
        <v>1.3884179999999999E-2</v>
      </c>
      <c r="U638">
        <v>0.11939229699999999</v>
      </c>
      <c r="V638">
        <v>0.115214687</v>
      </c>
      <c r="W638">
        <v>0.96500938400000003</v>
      </c>
      <c r="X638">
        <v>2.6529026340000001</v>
      </c>
      <c r="Y638">
        <v>35.433751549999997</v>
      </c>
      <c r="Z638">
        <v>0.52649201800000001</v>
      </c>
      <c r="AA638">
        <v>5.8180318000000002E-2</v>
      </c>
      <c r="AB638">
        <v>0.95215102100000004</v>
      </c>
      <c r="AC638">
        <v>3.110496731</v>
      </c>
      <c r="AD638">
        <v>0.94929076499999998</v>
      </c>
      <c r="AE638">
        <v>4.0730407839999998</v>
      </c>
      <c r="AF638">
        <v>6.6141320490000002</v>
      </c>
      <c r="AG638">
        <v>23.226870040000001</v>
      </c>
      <c r="AH638">
        <v>1.8102364999999999E-2</v>
      </c>
      <c r="AI638">
        <v>4.4971823200000003</v>
      </c>
    </row>
    <row r="639" spans="1:35" x14ac:dyDescent="0.2">
      <c r="A639">
        <v>689</v>
      </c>
      <c r="B639" t="s">
        <v>803</v>
      </c>
      <c r="C639" t="s">
        <v>224</v>
      </c>
      <c r="D639" t="s">
        <v>184</v>
      </c>
      <c r="E639" s="11">
        <v>1.01E-5</v>
      </c>
      <c r="F639" s="11">
        <v>3.1700000000000001E-6</v>
      </c>
      <c r="G639">
        <v>0.31327395299999999</v>
      </c>
      <c r="H639">
        <v>-0.58439113600000003</v>
      </c>
      <c r="I639" s="11">
        <v>1.33E-5</v>
      </c>
      <c r="J639">
        <v>0.36245180900000001</v>
      </c>
      <c r="K639">
        <v>1.0425612000000001E-2</v>
      </c>
      <c r="L639">
        <v>2.1955620790000001</v>
      </c>
      <c r="M639">
        <v>9.4721739999999999E-3</v>
      </c>
      <c r="N639">
        <v>1.2128440000000001E-2</v>
      </c>
      <c r="O639">
        <v>3.7466650000000002E-3</v>
      </c>
      <c r="P639">
        <v>3.2160670000000002E-2</v>
      </c>
      <c r="Q639">
        <v>1.1181796939999999</v>
      </c>
      <c r="R639">
        <v>6.7733994959999997</v>
      </c>
      <c r="S639">
        <v>2.0398125E-2</v>
      </c>
      <c r="T639">
        <v>1.9623357000000001E-2</v>
      </c>
      <c r="U639">
        <v>0.156011486</v>
      </c>
      <c r="V639">
        <v>0.16283993399999999</v>
      </c>
      <c r="W639">
        <v>1.04376888</v>
      </c>
      <c r="X639">
        <v>4.4190096140000001</v>
      </c>
      <c r="Y639">
        <v>1.805082605</v>
      </c>
      <c r="Z639">
        <v>0.29553985100000002</v>
      </c>
      <c r="AA639">
        <v>8.8167230000000003E-3</v>
      </c>
      <c r="AB639">
        <v>-0.21632221900000001</v>
      </c>
      <c r="AC639">
        <v>7.5435770000000001E-3</v>
      </c>
      <c r="AD639">
        <v>0.85331823500000004</v>
      </c>
      <c r="AE639">
        <v>0.29995968299999998</v>
      </c>
      <c r="AF639">
        <v>1.076374835</v>
      </c>
      <c r="AG639">
        <v>0.169203512</v>
      </c>
      <c r="AH639">
        <v>2.7198769999999999E-3</v>
      </c>
      <c r="AI639">
        <v>0.55391084700000004</v>
      </c>
    </row>
    <row r="640" spans="1:35" x14ac:dyDescent="0.2">
      <c r="A640">
        <v>690</v>
      </c>
      <c r="B640" t="s">
        <v>804</v>
      </c>
      <c r="C640" t="s">
        <v>224</v>
      </c>
      <c r="D640" t="s">
        <v>186</v>
      </c>
      <c r="E640" s="11">
        <v>7.6599999999999995E-6</v>
      </c>
      <c r="F640" s="11">
        <v>2.4099999999999998E-6</v>
      </c>
      <c r="G640">
        <v>0.31469209599999998</v>
      </c>
      <c r="H640">
        <v>-0.84437951499999997</v>
      </c>
      <c r="I640" s="11">
        <v>1.01E-5</v>
      </c>
      <c r="J640">
        <v>0.32254243300000002</v>
      </c>
      <c r="K640">
        <v>5.1514755000000002E-2</v>
      </c>
      <c r="L640">
        <v>2.038284108</v>
      </c>
      <c r="M640">
        <v>2.7018477999999999E-2</v>
      </c>
      <c r="N640">
        <v>1.0622596E-2</v>
      </c>
      <c r="O640">
        <v>3.2881849999999999E-3</v>
      </c>
      <c r="P640">
        <v>0.16267706000000001</v>
      </c>
      <c r="Q640">
        <v>1.0099179030000001</v>
      </c>
      <c r="R640">
        <v>6.3848615280000001</v>
      </c>
      <c r="S640">
        <v>1.2827793000000001E-2</v>
      </c>
      <c r="T640">
        <v>1.1620412E-2</v>
      </c>
      <c r="U640">
        <v>9.8111127000000006E-2</v>
      </c>
      <c r="V640">
        <v>9.6429328999999994E-2</v>
      </c>
      <c r="W640">
        <v>0.98285823400000005</v>
      </c>
      <c r="X640">
        <v>4.6905250110000001</v>
      </c>
      <c r="Y640">
        <v>1.430527895</v>
      </c>
      <c r="Z640">
        <v>0.28570753500000001</v>
      </c>
      <c r="AA640">
        <v>6.5612960000000003E-3</v>
      </c>
      <c r="AB640">
        <v>-0.42484750999999998</v>
      </c>
      <c r="AC640">
        <v>3.1735271000000002E-2</v>
      </c>
      <c r="AD640">
        <v>0.84944101599999999</v>
      </c>
      <c r="AE640">
        <v>0.221935932</v>
      </c>
      <c r="AF640">
        <v>0.84690369200000004</v>
      </c>
      <c r="AG640">
        <v>0.72967183499999999</v>
      </c>
      <c r="AH640">
        <v>2.032336E-3</v>
      </c>
      <c r="AI640">
        <v>0.46522385900000002</v>
      </c>
    </row>
    <row r="641" spans="1:35" x14ac:dyDescent="0.2">
      <c r="A641">
        <v>691</v>
      </c>
      <c r="B641" t="s">
        <v>805</v>
      </c>
      <c r="C641" t="s">
        <v>224</v>
      </c>
      <c r="D641" t="s">
        <v>188</v>
      </c>
      <c r="E641" s="11">
        <v>9.6099999999999995E-6</v>
      </c>
      <c r="F641" s="11">
        <v>3.0400000000000001E-6</v>
      </c>
      <c r="G641">
        <v>0.316359691</v>
      </c>
      <c r="H641">
        <v>0.85989916499999997</v>
      </c>
      <c r="I641" s="11">
        <v>1.26E-5</v>
      </c>
      <c r="J641">
        <v>0.32209855999999998</v>
      </c>
      <c r="K641">
        <v>8.8362990000000006E-3</v>
      </c>
      <c r="L641">
        <v>1.950263955</v>
      </c>
      <c r="M641">
        <v>9.0489839999999995E-3</v>
      </c>
      <c r="N641">
        <v>1.0278308999999999E-2</v>
      </c>
      <c r="O641">
        <v>3.1755120000000001E-3</v>
      </c>
      <c r="P641">
        <v>2.7448630000000002E-2</v>
      </c>
      <c r="Q641">
        <v>1.000625163</v>
      </c>
      <c r="R641">
        <v>6.058648238</v>
      </c>
      <c r="S641">
        <v>1.7494264999999998E-2</v>
      </c>
      <c r="T641">
        <v>1.5820132000000001E-2</v>
      </c>
      <c r="U641">
        <v>0.13380182400000001</v>
      </c>
      <c r="V641">
        <v>0.131279748</v>
      </c>
      <c r="W641">
        <v>0.98115066100000004</v>
      </c>
      <c r="X641">
        <v>2.6533268329999999</v>
      </c>
      <c r="Y641">
        <v>43.954137639999999</v>
      </c>
      <c r="Z641">
        <v>0.433563276</v>
      </c>
      <c r="AA641">
        <v>5.4914827999999999E-2</v>
      </c>
      <c r="AB641">
        <v>0.95562957100000001</v>
      </c>
      <c r="AC641">
        <v>3.1104968639999999</v>
      </c>
      <c r="AD641">
        <v>0.92985138499999997</v>
      </c>
      <c r="AE641">
        <v>5.5107339680000003</v>
      </c>
      <c r="AF641">
        <v>6.2632971770000001</v>
      </c>
      <c r="AG641">
        <v>23.94429556</v>
      </c>
      <c r="AH641">
        <v>1.8094125999999999E-2</v>
      </c>
      <c r="AI641">
        <v>4.3547165569999997</v>
      </c>
    </row>
    <row r="642" spans="1:35" x14ac:dyDescent="0.2">
      <c r="A642">
        <v>692</v>
      </c>
      <c r="B642" t="s">
        <v>806</v>
      </c>
      <c r="C642" t="s">
        <v>224</v>
      </c>
      <c r="D642" t="s">
        <v>140</v>
      </c>
      <c r="E642" s="11">
        <v>8.9299999999999992E-6</v>
      </c>
      <c r="F642" s="11">
        <v>2.7999999999999999E-6</v>
      </c>
      <c r="G642">
        <v>0.31353984099999999</v>
      </c>
      <c r="H642">
        <v>-0.86121334900000002</v>
      </c>
      <c r="I642" s="11">
        <v>1.17E-5</v>
      </c>
      <c r="J642">
        <v>0.27451480499999997</v>
      </c>
      <c r="K642">
        <v>6.8741280000000002E-3</v>
      </c>
      <c r="L642">
        <v>1.660837084</v>
      </c>
      <c r="M642">
        <v>8.2782099999999994E-3</v>
      </c>
      <c r="N642">
        <v>7.991148E-3</v>
      </c>
      <c r="O642">
        <v>2.4703640000000001E-3</v>
      </c>
      <c r="P642">
        <v>2.153762E-2</v>
      </c>
      <c r="Q642">
        <v>0.86007832200000001</v>
      </c>
      <c r="R642">
        <v>5.2035451760000004</v>
      </c>
      <c r="S642">
        <v>1.3668725E-2</v>
      </c>
      <c r="T642">
        <v>1.2926477E-2</v>
      </c>
      <c r="U642">
        <v>0.10454285100000001</v>
      </c>
      <c r="V642">
        <v>0.10726741300000001</v>
      </c>
      <c r="W642">
        <v>1.0260616769999999</v>
      </c>
      <c r="X642">
        <v>4.9805154409999997</v>
      </c>
      <c r="Y642">
        <v>1.129264847</v>
      </c>
      <c r="Z642">
        <v>0.28835817600000002</v>
      </c>
      <c r="AA642">
        <v>4.809336E-3</v>
      </c>
      <c r="AB642">
        <v>-0.47072415099999998</v>
      </c>
      <c r="AC642">
        <v>4.1291280000000001E-3</v>
      </c>
      <c r="AD642">
        <v>0.84709369000000001</v>
      </c>
      <c r="AE642">
        <v>0.188017244</v>
      </c>
      <c r="AF642">
        <v>0.70029561100000004</v>
      </c>
      <c r="AG642">
        <v>9.6909247000000004E-2</v>
      </c>
      <c r="AH642">
        <v>1.488779E-3</v>
      </c>
      <c r="AI642">
        <v>0.3597282</v>
      </c>
    </row>
    <row r="643" spans="1:35" x14ac:dyDescent="0.2">
      <c r="A643">
        <v>693</v>
      </c>
      <c r="B643" t="s">
        <v>807</v>
      </c>
      <c r="C643" t="s">
        <v>224</v>
      </c>
      <c r="D643" t="s">
        <v>191</v>
      </c>
      <c r="E643" s="11">
        <v>8.7800000000000006E-6</v>
      </c>
      <c r="F643" s="11">
        <v>2.7599999999999998E-6</v>
      </c>
      <c r="G643">
        <v>0.31486908299999999</v>
      </c>
      <c r="H643">
        <v>-0.86351820499999998</v>
      </c>
      <c r="I643" s="11">
        <v>1.15E-5</v>
      </c>
      <c r="J643">
        <v>0.259947019</v>
      </c>
      <c r="K643">
        <v>6.2684400000000001E-3</v>
      </c>
      <c r="L643">
        <v>1.572218997</v>
      </c>
      <c r="M643">
        <v>7.9818419999999994E-3</v>
      </c>
      <c r="N643">
        <v>7.2869429999999997E-3</v>
      </c>
      <c r="O643">
        <v>2.2526970000000001E-3</v>
      </c>
      <c r="P643">
        <v>1.9694409999999999E-2</v>
      </c>
      <c r="Q643">
        <v>0.81661643299999997</v>
      </c>
      <c r="R643">
        <v>4.9390874140000003</v>
      </c>
      <c r="S643">
        <v>1.2345498999999999E-2</v>
      </c>
      <c r="T643">
        <v>1.1804782E-2</v>
      </c>
      <c r="U643">
        <v>9.4422388999999995E-2</v>
      </c>
      <c r="V643">
        <v>9.7959280999999995E-2</v>
      </c>
      <c r="W643">
        <v>1.0374581919999999</v>
      </c>
      <c r="X643">
        <v>5.1349337000000004</v>
      </c>
      <c r="Y643">
        <v>1.009889719</v>
      </c>
      <c r="Z643">
        <v>0.28704600200000002</v>
      </c>
      <c r="AA643">
        <v>4.0741609999999998E-3</v>
      </c>
      <c r="AB643">
        <v>-0.55682246000000002</v>
      </c>
      <c r="AC643">
        <v>3.4985149999999998E-3</v>
      </c>
      <c r="AD643">
        <v>0.84230707100000002</v>
      </c>
      <c r="AE643">
        <v>0.16826079499999999</v>
      </c>
      <c r="AF643">
        <v>0.63240545699999995</v>
      </c>
      <c r="AG643">
        <v>8.2855138999999994E-2</v>
      </c>
      <c r="AH643">
        <v>1.2614080000000001E-3</v>
      </c>
      <c r="AI643">
        <v>0.32462471900000001</v>
      </c>
    </row>
    <row r="644" spans="1:35" x14ac:dyDescent="0.2">
      <c r="A644">
        <v>694</v>
      </c>
      <c r="B644" t="s">
        <v>808</v>
      </c>
      <c r="C644" t="s">
        <v>224</v>
      </c>
      <c r="D644" t="s">
        <v>193</v>
      </c>
      <c r="E644" s="11">
        <v>7.7800000000000001E-6</v>
      </c>
      <c r="F644" s="11">
        <v>2.4099999999999998E-6</v>
      </c>
      <c r="G644">
        <v>0.31000312699999999</v>
      </c>
      <c r="H644">
        <v>-0.83964058200000002</v>
      </c>
      <c r="I644" s="11">
        <v>1.0200000000000001E-5</v>
      </c>
      <c r="J644">
        <v>0.22638604400000001</v>
      </c>
      <c r="K644">
        <v>4.8771539999999999E-3</v>
      </c>
      <c r="L644">
        <v>1.3680705719999999</v>
      </c>
      <c r="M644">
        <v>7.1171769999999997E-3</v>
      </c>
      <c r="N644">
        <v>5.6647750000000004E-3</v>
      </c>
      <c r="O644">
        <v>1.7527090000000001E-3</v>
      </c>
      <c r="P644">
        <v>1.540892E-2</v>
      </c>
      <c r="Q644">
        <v>0.71510939600000001</v>
      </c>
      <c r="R644">
        <v>4.3214742060000004</v>
      </c>
      <c r="S644">
        <v>1.0367609E-2</v>
      </c>
      <c r="T644">
        <v>9.4279419999999999E-3</v>
      </c>
      <c r="U644">
        <v>7.9294843000000004E-2</v>
      </c>
      <c r="V644">
        <v>7.8235622000000005E-2</v>
      </c>
      <c r="W644">
        <v>0.98664199399999997</v>
      </c>
      <c r="X644">
        <v>5.514809541</v>
      </c>
      <c r="Y644">
        <v>0.79163656900000001</v>
      </c>
      <c r="Z644">
        <v>0.28277527099999999</v>
      </c>
      <c r="AA644">
        <v>2.707742E-3</v>
      </c>
      <c r="AB644">
        <v>-0.72815484500000005</v>
      </c>
      <c r="AC644">
        <v>2.3271419999999999E-3</v>
      </c>
      <c r="AD644">
        <v>0.86079618999999996</v>
      </c>
      <c r="AE644">
        <v>0.13215143400000001</v>
      </c>
      <c r="AF644">
        <v>0.50479785200000005</v>
      </c>
      <c r="AG644">
        <v>5.6023178E-2</v>
      </c>
      <c r="AH644">
        <v>8.3906300000000003E-4</v>
      </c>
      <c r="AI644">
        <v>0.25862307699999998</v>
      </c>
    </row>
    <row r="645" spans="1:35" x14ac:dyDescent="0.2">
      <c r="A645">
        <v>695</v>
      </c>
      <c r="B645" t="s">
        <v>809</v>
      </c>
      <c r="C645" t="s">
        <v>224</v>
      </c>
      <c r="D645" t="s">
        <v>142</v>
      </c>
      <c r="E645" s="11">
        <v>1.01E-5</v>
      </c>
      <c r="F645" s="11">
        <v>3.23E-6</v>
      </c>
      <c r="G645">
        <v>0.31855036199999998</v>
      </c>
      <c r="H645">
        <v>0.81361087600000004</v>
      </c>
      <c r="I645" s="11">
        <v>1.34E-5</v>
      </c>
      <c r="J645">
        <v>0.34116078700000002</v>
      </c>
      <c r="K645">
        <v>1.4582271000000001E-2</v>
      </c>
      <c r="L645">
        <v>2.0761292669999998</v>
      </c>
      <c r="M645">
        <v>1.2070607000000001E-2</v>
      </c>
      <c r="N645">
        <v>1.6627322999999999E-2</v>
      </c>
      <c r="O645">
        <v>5.2404490000000003E-3</v>
      </c>
      <c r="P645">
        <v>4.4283309999999999E-2</v>
      </c>
      <c r="Q645">
        <v>1.05279977</v>
      </c>
      <c r="R645">
        <v>6.4053652440000004</v>
      </c>
      <c r="S645">
        <v>2.4273380000000001E-2</v>
      </c>
      <c r="T645">
        <v>2.2204597999999999E-2</v>
      </c>
      <c r="U645">
        <v>0.185650701</v>
      </c>
      <c r="V645">
        <v>0.18425977299999999</v>
      </c>
      <c r="W645">
        <v>0.99250782299999996</v>
      </c>
      <c r="X645">
        <v>2.6531724890000001</v>
      </c>
      <c r="Y645">
        <v>33.233054209999999</v>
      </c>
      <c r="Z645">
        <v>1.1538781250000001</v>
      </c>
      <c r="AA645">
        <v>6.0315905000000003E-2</v>
      </c>
      <c r="AB645">
        <v>0.93752818299999996</v>
      </c>
      <c r="AC645">
        <v>2.4383972460000001</v>
      </c>
      <c r="AD645">
        <v>1.0557067120000001</v>
      </c>
      <c r="AE645">
        <v>4.1135208060000004</v>
      </c>
      <c r="AF645">
        <v>3.3843707310000002</v>
      </c>
      <c r="AG645">
        <v>12.402781149999999</v>
      </c>
      <c r="AH645">
        <v>1.8097123E-2</v>
      </c>
      <c r="AI645">
        <v>2.3266769520000001</v>
      </c>
    </row>
    <row r="646" spans="1:35" x14ac:dyDescent="0.2">
      <c r="A646">
        <v>696</v>
      </c>
      <c r="B646" t="s">
        <v>810</v>
      </c>
      <c r="C646" t="s">
        <v>224</v>
      </c>
      <c r="D646" t="s">
        <v>196</v>
      </c>
      <c r="E646" s="11">
        <v>9.5200000000000003E-6</v>
      </c>
      <c r="F646" s="11">
        <v>2.9399999999999998E-6</v>
      </c>
      <c r="G646">
        <v>0.30854489499999999</v>
      </c>
      <c r="H646">
        <v>-0.473861217</v>
      </c>
      <c r="I646" s="11">
        <v>1.2500000000000001E-5</v>
      </c>
      <c r="J646">
        <v>0.60782021200000003</v>
      </c>
      <c r="K646">
        <v>1.7946425939999999</v>
      </c>
      <c r="L646">
        <v>7.2362064620000002</v>
      </c>
      <c r="M646">
        <v>0.49568537899999998</v>
      </c>
      <c r="N646">
        <v>2.3060528E-2</v>
      </c>
      <c r="O646">
        <v>7.1207859999999996E-3</v>
      </c>
      <c r="P646">
        <v>0.45992376000000001</v>
      </c>
      <c r="Q646">
        <v>1.7981298729999999</v>
      </c>
      <c r="R646">
        <v>11.70862676</v>
      </c>
      <c r="S646">
        <v>4.1665622999999999E-2</v>
      </c>
      <c r="T646">
        <v>3.7161306999999998E-2</v>
      </c>
      <c r="U646">
        <v>0.318672224</v>
      </c>
      <c r="V646">
        <v>0.30837460500000002</v>
      </c>
      <c r="W646">
        <v>0.96768586000000001</v>
      </c>
      <c r="X646">
        <v>3.8446775400000002</v>
      </c>
      <c r="Y646">
        <v>10.33522675</v>
      </c>
      <c r="Z646">
        <v>0.29482007500000001</v>
      </c>
      <c r="AA646">
        <v>1.6286307999999999E-2</v>
      </c>
      <c r="AB646">
        <v>0.29985024599999999</v>
      </c>
      <c r="AC646">
        <v>1.9914447230000001</v>
      </c>
      <c r="AD646">
        <v>0.85843936499999995</v>
      </c>
      <c r="AE646">
        <v>0.52370166900000004</v>
      </c>
      <c r="AF646">
        <v>1.6996636510000001</v>
      </c>
      <c r="AG646">
        <v>2.4998888080000001</v>
      </c>
      <c r="AH646">
        <v>5.0378660000000002E-3</v>
      </c>
      <c r="AI646">
        <v>0.98469953899999996</v>
      </c>
    </row>
    <row r="647" spans="1:35" x14ac:dyDescent="0.2">
      <c r="A647">
        <v>697</v>
      </c>
      <c r="B647" t="s">
        <v>811</v>
      </c>
      <c r="C647" t="s">
        <v>224</v>
      </c>
      <c r="D647" t="s">
        <v>144</v>
      </c>
      <c r="E647" s="11">
        <v>1.4E-5</v>
      </c>
      <c r="F647" s="11">
        <v>4.4900000000000002E-6</v>
      </c>
      <c r="G647">
        <v>0.32010411999999999</v>
      </c>
      <c r="H647">
        <v>0.150291121</v>
      </c>
      <c r="I647" s="11">
        <v>1.8499999999999999E-5</v>
      </c>
      <c r="J647">
        <v>0.37892381200000003</v>
      </c>
      <c r="K647">
        <v>1.6343334000000001E-2</v>
      </c>
      <c r="L647">
        <v>2.3062295430000002</v>
      </c>
      <c r="M647">
        <v>1.0270143000000001E-2</v>
      </c>
      <c r="N647">
        <v>1.9024446E-2</v>
      </c>
      <c r="O647">
        <v>5.8733240000000001E-3</v>
      </c>
      <c r="P647">
        <v>5.0258049999999999E-2</v>
      </c>
      <c r="Q647">
        <v>1.1534112320000001</v>
      </c>
      <c r="R647">
        <v>7.020983492</v>
      </c>
      <c r="S647">
        <v>2.5845732999999999E-2</v>
      </c>
      <c r="T647">
        <v>2.4794749000000001E-2</v>
      </c>
      <c r="U647">
        <v>0.197676567</v>
      </c>
      <c r="V647">
        <v>0.20575355100000001</v>
      </c>
      <c r="W647">
        <v>1.040859593</v>
      </c>
      <c r="X647">
        <v>3.6002714880000002</v>
      </c>
      <c r="Y647">
        <v>2.4422120299999999</v>
      </c>
      <c r="Z647">
        <v>0.30124513200000003</v>
      </c>
      <c r="AA647">
        <v>2.1188286000000001E-2</v>
      </c>
      <c r="AB647">
        <v>5.5680050000000002E-2</v>
      </c>
      <c r="AC647">
        <v>1.8163219000000001E-2</v>
      </c>
      <c r="AD647">
        <v>0.88342796300000004</v>
      </c>
      <c r="AE647">
        <v>0.400959175</v>
      </c>
      <c r="AF647">
        <v>1.2312456510000001</v>
      </c>
      <c r="AG647">
        <v>0.35151832399999999</v>
      </c>
      <c r="AH647">
        <v>6.5488459999999997E-3</v>
      </c>
      <c r="AI647">
        <v>0.64139413499999998</v>
      </c>
    </row>
    <row r="648" spans="1:35" x14ac:dyDescent="0.2">
      <c r="A648">
        <v>698</v>
      </c>
      <c r="B648" t="s">
        <v>812</v>
      </c>
      <c r="C648" t="s">
        <v>224</v>
      </c>
      <c r="D648" t="s">
        <v>146</v>
      </c>
      <c r="E648" s="11">
        <v>1.27E-5</v>
      </c>
      <c r="F648" s="11">
        <v>4.0400000000000003E-6</v>
      </c>
      <c r="G648">
        <v>0.31683734099999999</v>
      </c>
      <c r="H648">
        <v>-0.226732974</v>
      </c>
      <c r="I648" s="11">
        <v>1.6799999999999998E-5</v>
      </c>
      <c r="J648">
        <v>0.38646808999999999</v>
      </c>
      <c r="K648">
        <v>1.1352678E-2</v>
      </c>
      <c r="L648">
        <v>2.3415138930000001</v>
      </c>
      <c r="M648">
        <v>9.6981949999999997E-3</v>
      </c>
      <c r="N648">
        <v>1.3218901999999999E-2</v>
      </c>
      <c r="O648">
        <v>4.0798259999999999E-3</v>
      </c>
      <c r="P648">
        <v>3.4905100000000001E-2</v>
      </c>
      <c r="Q648">
        <v>1.188280869</v>
      </c>
      <c r="R648">
        <v>7.199495422</v>
      </c>
      <c r="S648">
        <v>2.2384621E-2</v>
      </c>
      <c r="T648">
        <v>2.1613652000000001E-2</v>
      </c>
      <c r="U648">
        <v>0.17120485399999999</v>
      </c>
      <c r="V648">
        <v>0.17935594999999999</v>
      </c>
      <c r="W648">
        <v>1.0476101920000001</v>
      </c>
      <c r="X648">
        <v>4.0437513469999997</v>
      </c>
      <c r="Y648">
        <v>2.6521742330000002</v>
      </c>
      <c r="Z648">
        <v>0.29670954700000002</v>
      </c>
      <c r="AA648">
        <v>1.3161513E-2</v>
      </c>
      <c r="AB648">
        <v>0.117134212</v>
      </c>
      <c r="AC648">
        <v>1.1284595E-2</v>
      </c>
      <c r="AD648">
        <v>0.86707296099999998</v>
      </c>
      <c r="AE648">
        <v>0.44060203999999997</v>
      </c>
      <c r="AF648">
        <v>1.4845656890000001</v>
      </c>
      <c r="AG648">
        <v>0.23962925900000001</v>
      </c>
      <c r="AH648">
        <v>4.068721E-3</v>
      </c>
      <c r="AI648">
        <v>0.76427751200000005</v>
      </c>
    </row>
    <row r="649" spans="1:35" x14ac:dyDescent="0.2">
      <c r="A649">
        <v>699</v>
      </c>
      <c r="B649" t="s">
        <v>813</v>
      </c>
      <c r="C649" t="s">
        <v>224</v>
      </c>
      <c r="D649" t="s">
        <v>200</v>
      </c>
      <c r="E649" s="11">
        <v>3.0800000000000002E-6</v>
      </c>
      <c r="F649" s="11">
        <v>9.5799999999999998E-7</v>
      </c>
      <c r="G649">
        <v>0.31166920399999998</v>
      </c>
      <c r="H649">
        <v>0.15978102699999999</v>
      </c>
      <c r="I649" s="11">
        <v>4.0300000000000004E-6</v>
      </c>
      <c r="J649">
        <v>0.29191534600000002</v>
      </c>
      <c r="K649">
        <v>4.5080889999999998E-3</v>
      </c>
      <c r="L649">
        <v>1.7605082510000001</v>
      </c>
      <c r="M649">
        <v>4.9694240000000001E-3</v>
      </c>
      <c r="N649">
        <v>5.1890909999999998E-3</v>
      </c>
      <c r="O649">
        <v>1.6200769999999999E-3</v>
      </c>
      <c r="P649">
        <v>2.8009679999999999E-2</v>
      </c>
      <c r="Q649">
        <v>0.93498952599999996</v>
      </c>
      <c r="R649">
        <v>5.6659565079999998</v>
      </c>
      <c r="S649">
        <v>4.7527189999999999E-3</v>
      </c>
      <c r="T649">
        <v>4.1502240000000001E-3</v>
      </c>
      <c r="U649">
        <v>3.6350338000000003E-2</v>
      </c>
      <c r="V649">
        <v>3.4439681E-2</v>
      </c>
      <c r="W649">
        <v>0.94743770999999999</v>
      </c>
      <c r="X649">
        <v>3.7524881699999999</v>
      </c>
      <c r="Y649">
        <v>3.6674523749999999</v>
      </c>
      <c r="Z649">
        <v>0.31011225199999998</v>
      </c>
      <c r="AA649">
        <v>1.7970796000000001E-2</v>
      </c>
      <c r="AB649">
        <v>0.51996425000000002</v>
      </c>
      <c r="AC649">
        <v>1.5425680000000001E-2</v>
      </c>
      <c r="AD649">
        <v>0.84847629800000002</v>
      </c>
      <c r="AE649">
        <v>0.60937833100000005</v>
      </c>
      <c r="AF649">
        <v>1.9382101819999999</v>
      </c>
      <c r="AG649">
        <v>0.30916073399999999</v>
      </c>
      <c r="AH649">
        <v>5.5618120000000002E-3</v>
      </c>
      <c r="AI649">
        <v>0.99763874500000005</v>
      </c>
    </row>
    <row r="650" spans="1:35" x14ac:dyDescent="0.2">
      <c r="A650">
        <v>700</v>
      </c>
      <c r="B650" t="s">
        <v>814</v>
      </c>
      <c r="C650" t="s">
        <v>224</v>
      </c>
      <c r="D650" t="s">
        <v>148</v>
      </c>
      <c r="E650" s="11">
        <v>8.0600000000000008E-6</v>
      </c>
      <c r="F650" s="11">
        <v>2.5299999999999999E-6</v>
      </c>
      <c r="G650">
        <v>0.31321981500000001</v>
      </c>
      <c r="H650">
        <v>-0.32059484799999999</v>
      </c>
      <c r="I650" s="11">
        <v>1.06E-5</v>
      </c>
      <c r="J650">
        <v>0.21154171799999999</v>
      </c>
      <c r="K650">
        <v>6.3128979999999999E-3</v>
      </c>
      <c r="L650">
        <v>1.281876102</v>
      </c>
      <c r="M650">
        <v>9.8592439999999996E-3</v>
      </c>
      <c r="N650">
        <v>7.3344910000000003E-3</v>
      </c>
      <c r="O650">
        <v>2.268674E-3</v>
      </c>
      <c r="P650">
        <v>1.9818869999999999E-2</v>
      </c>
      <c r="Q650">
        <v>0.66394376300000002</v>
      </c>
      <c r="R650">
        <v>4.0233003199999997</v>
      </c>
      <c r="S650">
        <v>1.2531508E-2</v>
      </c>
      <c r="T650">
        <v>1.1819647000000001E-2</v>
      </c>
      <c r="U650">
        <v>9.5845048000000002E-2</v>
      </c>
      <c r="V650">
        <v>9.8082638999999999E-2</v>
      </c>
      <c r="W650">
        <v>1.0233459220000001</v>
      </c>
      <c r="X650">
        <v>4.8823487520000004</v>
      </c>
      <c r="Y650">
        <v>0.84331124899999999</v>
      </c>
      <c r="Z650">
        <v>0.28439129800000001</v>
      </c>
      <c r="AA650">
        <v>5.3425160000000003E-3</v>
      </c>
      <c r="AB650">
        <v>-0.52005099399999999</v>
      </c>
      <c r="AC650">
        <v>3.6847593999999997E-2</v>
      </c>
      <c r="AD650">
        <v>0.85760341900000003</v>
      </c>
      <c r="AE650">
        <v>0.119719045</v>
      </c>
      <c r="AF650">
        <v>0.44262548899999998</v>
      </c>
      <c r="AG650">
        <v>0.85885222999999999</v>
      </c>
      <c r="AH650">
        <v>1.6541920000000001E-3</v>
      </c>
      <c r="AI650">
        <v>0.266677997</v>
      </c>
    </row>
    <row r="651" spans="1:35" x14ac:dyDescent="0.2">
      <c r="A651">
        <v>701</v>
      </c>
      <c r="B651" t="s">
        <v>815</v>
      </c>
      <c r="C651" t="s">
        <v>224</v>
      </c>
      <c r="D651" t="s">
        <v>150</v>
      </c>
      <c r="E651" s="11">
        <v>1.2799999999999999E-5</v>
      </c>
      <c r="F651" s="11">
        <v>4.0199999999999996E-6</v>
      </c>
      <c r="G651">
        <v>0.31535869500000002</v>
      </c>
      <c r="H651">
        <v>-0.23401667600000001</v>
      </c>
      <c r="I651" s="11">
        <v>1.6799999999999998E-5</v>
      </c>
      <c r="J651">
        <v>0.38556818500000001</v>
      </c>
      <c r="K651">
        <v>1.1310265999999999E-2</v>
      </c>
      <c r="L651">
        <v>2.33602964</v>
      </c>
      <c r="M651">
        <v>9.6619789999999994E-3</v>
      </c>
      <c r="N651">
        <v>1.3169475999999999E-2</v>
      </c>
      <c r="O651">
        <v>4.0645840000000004E-3</v>
      </c>
      <c r="P651">
        <v>3.4781310000000003E-2</v>
      </c>
      <c r="Q651">
        <v>1.1857391020000001</v>
      </c>
      <c r="R651">
        <v>7.1839972339999996</v>
      </c>
      <c r="S651">
        <v>2.2303013E-2</v>
      </c>
      <c r="T651">
        <v>2.1527213999999999E-2</v>
      </c>
      <c r="U651">
        <v>0.17058069200000001</v>
      </c>
      <c r="V651">
        <v>0.17863865600000001</v>
      </c>
      <c r="W651">
        <v>1.0472384299999999</v>
      </c>
      <c r="X651">
        <v>4.0502184080000001</v>
      </c>
      <c r="Y651">
        <v>2.6366338809999998</v>
      </c>
      <c r="Z651">
        <v>0.29633353699999998</v>
      </c>
      <c r="AA651">
        <v>1.3070497E-2</v>
      </c>
      <c r="AB651">
        <v>0.114010611</v>
      </c>
      <c r="AC651">
        <v>1.1206542999999999E-2</v>
      </c>
      <c r="AD651">
        <v>0.86699738999999998</v>
      </c>
      <c r="AE651">
        <v>0.43802765199999999</v>
      </c>
      <c r="AF651">
        <v>1.4774831639999999</v>
      </c>
      <c r="AG651">
        <v>0.23822923500000001</v>
      </c>
      <c r="AH651">
        <v>4.0405789999999999E-3</v>
      </c>
      <c r="AI651">
        <v>0.76061866199999995</v>
      </c>
    </row>
    <row r="652" spans="1:35" x14ac:dyDescent="0.2">
      <c r="A652">
        <v>702</v>
      </c>
      <c r="B652" t="s">
        <v>816</v>
      </c>
      <c r="C652" t="s">
        <v>224</v>
      </c>
      <c r="D652" t="s">
        <v>204</v>
      </c>
      <c r="E652" s="11">
        <v>6.6900000000000003E-6</v>
      </c>
      <c r="F652" s="11">
        <v>2.0999999999999998E-6</v>
      </c>
      <c r="G652">
        <v>0.31355993300000001</v>
      </c>
      <c r="H652">
        <v>-0.68953579200000004</v>
      </c>
      <c r="I652" s="11">
        <v>8.7900000000000005E-6</v>
      </c>
      <c r="J652">
        <v>0.25310240299999998</v>
      </c>
      <c r="K652">
        <v>5.9873670000000004E-3</v>
      </c>
      <c r="L652">
        <v>1.5305891519999999</v>
      </c>
      <c r="M652">
        <v>7.8223730000000005E-3</v>
      </c>
      <c r="N652">
        <v>6.9497500000000002E-3</v>
      </c>
      <c r="O652">
        <v>2.1516869999999998E-3</v>
      </c>
      <c r="P652">
        <v>1.8807319999999999E-2</v>
      </c>
      <c r="Q652">
        <v>0.79493367599999998</v>
      </c>
      <c r="R652">
        <v>4.807216704</v>
      </c>
      <c r="S652">
        <v>1.1624101E-2</v>
      </c>
      <c r="T652">
        <v>1.1114347E-2</v>
      </c>
      <c r="U652">
        <v>8.8904904000000007E-2</v>
      </c>
      <c r="V652">
        <v>9.2229864999999994E-2</v>
      </c>
      <c r="W652">
        <v>1.037399073</v>
      </c>
      <c r="X652">
        <v>5.1627503580000003</v>
      </c>
      <c r="Y652">
        <v>0.97606189200000004</v>
      </c>
      <c r="Z652">
        <v>0.282401389</v>
      </c>
      <c r="AA652">
        <v>3.9466550000000003E-3</v>
      </c>
      <c r="AB652">
        <v>-0.56812714900000005</v>
      </c>
      <c r="AC652">
        <v>3.3956139999999999E-3</v>
      </c>
      <c r="AD652">
        <v>0.83111544999999998</v>
      </c>
      <c r="AE652">
        <v>0.16261588399999999</v>
      </c>
      <c r="AF652">
        <v>0.62267380400000005</v>
      </c>
      <c r="AG652">
        <v>8.0455272999999994E-2</v>
      </c>
      <c r="AH652">
        <v>1.224307E-3</v>
      </c>
      <c r="AI652">
        <v>0.31957385300000002</v>
      </c>
    </row>
    <row r="653" spans="1:35" x14ac:dyDescent="0.2">
      <c r="A653">
        <v>703</v>
      </c>
      <c r="B653" t="s">
        <v>817</v>
      </c>
      <c r="C653" t="s">
        <v>224</v>
      </c>
      <c r="D653" t="s">
        <v>152</v>
      </c>
      <c r="E653" s="11">
        <v>1.0200000000000001E-5</v>
      </c>
      <c r="F653" s="11">
        <v>3.18E-6</v>
      </c>
      <c r="G653">
        <v>0.31239109599999998</v>
      </c>
      <c r="H653">
        <v>0.81301912600000004</v>
      </c>
      <c r="I653" s="11">
        <v>1.33E-5</v>
      </c>
      <c r="J653">
        <v>0.34474215800000002</v>
      </c>
      <c r="K653">
        <v>1.4613782000000001E-2</v>
      </c>
      <c r="L653">
        <v>2.0976805139999999</v>
      </c>
      <c r="M653">
        <v>1.2050425E-2</v>
      </c>
      <c r="N653">
        <v>1.6991349999999999E-2</v>
      </c>
      <c r="O653">
        <v>5.2517730000000004E-3</v>
      </c>
      <c r="P653">
        <v>4.4776839999999998E-2</v>
      </c>
      <c r="Q653">
        <v>1.0681229459999999</v>
      </c>
      <c r="R653">
        <v>6.4982913499999997</v>
      </c>
      <c r="S653">
        <v>2.4322781000000002E-2</v>
      </c>
      <c r="T653">
        <v>2.2295295999999999E-2</v>
      </c>
      <c r="U653">
        <v>0.18602853599999999</v>
      </c>
      <c r="V653">
        <v>0.18501241500000001</v>
      </c>
      <c r="W653">
        <v>0.99453782199999996</v>
      </c>
      <c r="X653">
        <v>2.6525668709999999</v>
      </c>
      <c r="Y653">
        <v>33.227090160000003</v>
      </c>
      <c r="Z653">
        <v>1.15371986</v>
      </c>
      <c r="AA653">
        <v>6.0320566999999999E-2</v>
      </c>
      <c r="AB653">
        <v>0.93686836500000004</v>
      </c>
      <c r="AC653">
        <v>2.442528233</v>
      </c>
      <c r="AD653">
        <v>1.055417805</v>
      </c>
      <c r="AE653">
        <v>4.1099832730000001</v>
      </c>
      <c r="AF653">
        <v>3.3849386259999998</v>
      </c>
      <c r="AG653">
        <v>12.26620922</v>
      </c>
      <c r="AH653">
        <v>1.8108889999999999E-2</v>
      </c>
      <c r="AI653">
        <v>2.320233816</v>
      </c>
    </row>
    <row r="654" spans="1:35" x14ac:dyDescent="0.2">
      <c r="A654">
        <v>704</v>
      </c>
      <c r="B654" t="s">
        <v>818</v>
      </c>
      <c r="C654" t="s">
        <v>224</v>
      </c>
      <c r="D654" t="s">
        <v>207</v>
      </c>
      <c r="E654" s="11">
        <v>8.1799999999999996E-6</v>
      </c>
      <c r="F654" s="11">
        <v>2.5799999999999999E-6</v>
      </c>
      <c r="G654">
        <v>0.31490544100000001</v>
      </c>
      <c r="H654">
        <v>-0.67581775200000005</v>
      </c>
      <c r="I654" s="11">
        <v>1.08E-5</v>
      </c>
      <c r="J654">
        <v>0.30473206899999999</v>
      </c>
      <c r="K654">
        <v>8.0966609999999998E-3</v>
      </c>
      <c r="L654">
        <v>1.8445857329999999</v>
      </c>
      <c r="M654">
        <v>8.7955350000000002E-3</v>
      </c>
      <c r="N654">
        <v>9.4103069999999997E-3</v>
      </c>
      <c r="O654">
        <v>2.9097070000000001E-3</v>
      </c>
      <c r="P654">
        <v>2.5220090000000001E-2</v>
      </c>
      <c r="Q654">
        <v>0.94925145499999997</v>
      </c>
      <c r="R654">
        <v>5.7459489020000003</v>
      </c>
      <c r="S654">
        <v>1.5784764999999999E-2</v>
      </c>
      <c r="T654">
        <v>1.5134249000000001E-2</v>
      </c>
      <c r="U654">
        <v>0.12072701499999999</v>
      </c>
      <c r="V654">
        <v>0.12558810200000001</v>
      </c>
      <c r="W654">
        <v>1.0402651140000001</v>
      </c>
      <c r="X654">
        <v>4.6869617989999997</v>
      </c>
      <c r="Y654">
        <v>1.432170865</v>
      </c>
      <c r="Z654">
        <v>0.28589097200000002</v>
      </c>
      <c r="AA654">
        <v>6.5901049999999997E-3</v>
      </c>
      <c r="AB654">
        <v>-0.28796484999999999</v>
      </c>
      <c r="AC654">
        <v>5.6582780000000001E-3</v>
      </c>
      <c r="AD654">
        <v>0.84705646300000004</v>
      </c>
      <c r="AE654">
        <v>0.238191343</v>
      </c>
      <c r="AF654">
        <v>0.86768049300000005</v>
      </c>
      <c r="AG654">
        <v>0.129879042</v>
      </c>
      <c r="AH654">
        <v>2.040123E-3</v>
      </c>
      <c r="AI654">
        <v>0.44619386599999999</v>
      </c>
    </row>
    <row r="655" spans="1:35" x14ac:dyDescent="0.2">
      <c r="A655">
        <v>705</v>
      </c>
      <c r="B655" t="s">
        <v>819</v>
      </c>
      <c r="C655" t="s">
        <v>224</v>
      </c>
      <c r="D655" t="s">
        <v>209</v>
      </c>
      <c r="E655" s="11">
        <v>8.3899999999999993E-6</v>
      </c>
      <c r="F655" s="11">
        <v>2.6599999999999999E-6</v>
      </c>
      <c r="G655">
        <v>0.31655599000000001</v>
      </c>
      <c r="H655">
        <v>-0.85099809199999998</v>
      </c>
      <c r="I655" s="11">
        <v>1.1E-5</v>
      </c>
      <c r="J655">
        <v>0.37885746799999998</v>
      </c>
      <c r="K655">
        <v>1.1139303E-2</v>
      </c>
      <c r="L655">
        <v>2.2954234119999999</v>
      </c>
      <c r="M655">
        <v>9.3654670000000006E-3</v>
      </c>
      <c r="N655">
        <v>1.2925607E-2</v>
      </c>
      <c r="O655">
        <v>4.0031449999999996E-3</v>
      </c>
      <c r="P655">
        <v>3.422766E-2</v>
      </c>
      <c r="Q655">
        <v>1.169674297</v>
      </c>
      <c r="R655">
        <v>7.0865010980000003</v>
      </c>
      <c r="S655">
        <v>1.9091668999999999E-2</v>
      </c>
      <c r="T655">
        <v>1.8728483000000001E-2</v>
      </c>
      <c r="U655">
        <v>0.14601929</v>
      </c>
      <c r="V655">
        <v>0.15541403300000001</v>
      </c>
      <c r="W655">
        <v>1.064339054</v>
      </c>
      <c r="X655">
        <v>4.5148858169999997</v>
      </c>
      <c r="Y655">
        <v>1.633820415</v>
      </c>
      <c r="Z655">
        <v>0.29455385000000001</v>
      </c>
      <c r="AA655">
        <v>7.9087500000000008E-3</v>
      </c>
      <c r="AB655">
        <v>-0.40494229999999998</v>
      </c>
      <c r="AC655">
        <v>6.805958E-3</v>
      </c>
      <c r="AD655">
        <v>0.84826233600000001</v>
      </c>
      <c r="AE655">
        <v>0.27151360099999999</v>
      </c>
      <c r="AF655">
        <v>0.99481828400000005</v>
      </c>
      <c r="AG655">
        <v>0.15798862299999999</v>
      </c>
      <c r="AH655">
        <v>2.453925E-3</v>
      </c>
      <c r="AI655">
        <v>0.51202034399999996</v>
      </c>
    </row>
    <row r="656" spans="1:35" x14ac:dyDescent="0.2">
      <c r="A656">
        <v>706</v>
      </c>
      <c r="B656" t="s">
        <v>820</v>
      </c>
      <c r="C656" t="s">
        <v>224</v>
      </c>
      <c r="D656" t="s">
        <v>154</v>
      </c>
      <c r="E656" s="11">
        <v>6.55E-6</v>
      </c>
      <c r="F656" s="11">
        <v>2.0499999999999999E-6</v>
      </c>
      <c r="G656">
        <v>0.31325774499999998</v>
      </c>
      <c r="H656">
        <v>-0.67593163000000001</v>
      </c>
      <c r="I656" s="11">
        <v>8.6000000000000007E-6</v>
      </c>
      <c r="J656">
        <v>0.24585366</v>
      </c>
      <c r="K656">
        <v>5.6868559999999997E-3</v>
      </c>
      <c r="L656">
        <v>1.4864956680000001</v>
      </c>
      <c r="M656">
        <v>7.6292900000000004E-3</v>
      </c>
      <c r="N656">
        <v>6.5996309999999999E-3</v>
      </c>
      <c r="O656">
        <v>2.0436920000000002E-3</v>
      </c>
      <c r="P656">
        <v>1.7884440000000001E-2</v>
      </c>
      <c r="Q656">
        <v>0.77305927100000005</v>
      </c>
      <c r="R656">
        <v>4.6741245139999998</v>
      </c>
      <c r="S656">
        <v>1.1033729000000001E-2</v>
      </c>
      <c r="T656">
        <v>1.0550907E-2</v>
      </c>
      <c r="U656">
        <v>8.4389540999999998E-2</v>
      </c>
      <c r="V656">
        <v>8.7554286999999995E-2</v>
      </c>
      <c r="W656">
        <v>1.0375016379999999</v>
      </c>
      <c r="X656">
        <v>5.2906058060000003</v>
      </c>
      <c r="Y656">
        <v>0.90851238700000003</v>
      </c>
      <c r="Z656">
        <v>0.28378695399999998</v>
      </c>
      <c r="AA656">
        <v>3.4418360000000002E-3</v>
      </c>
      <c r="AB656">
        <v>-0.63618646199999995</v>
      </c>
      <c r="AC656">
        <v>2.960224E-3</v>
      </c>
      <c r="AD656">
        <v>0.827439696</v>
      </c>
      <c r="AE656">
        <v>0.151484647</v>
      </c>
      <c r="AF656">
        <v>0.57290365799999998</v>
      </c>
      <c r="AG656">
        <v>7.0548245999999995E-2</v>
      </c>
      <c r="AH656">
        <v>1.067325E-3</v>
      </c>
      <c r="AI656">
        <v>0.29385907500000003</v>
      </c>
    </row>
    <row r="657" spans="1:35" x14ac:dyDescent="0.2">
      <c r="A657">
        <v>707</v>
      </c>
      <c r="B657" t="s">
        <v>821</v>
      </c>
      <c r="C657" t="s">
        <v>224</v>
      </c>
      <c r="D657" t="s">
        <v>156</v>
      </c>
      <c r="E657" s="11">
        <v>1.0699999999999999E-5</v>
      </c>
      <c r="F657" s="11">
        <v>3.36E-6</v>
      </c>
      <c r="G657">
        <v>0.312607992</v>
      </c>
      <c r="H657">
        <v>0.22870211700000001</v>
      </c>
      <c r="I657" s="11">
        <v>1.4100000000000001E-5</v>
      </c>
      <c r="J657">
        <v>0.28621719699999998</v>
      </c>
      <c r="K657">
        <v>1.0825372999999999E-2</v>
      </c>
      <c r="L657">
        <v>1.738953929</v>
      </c>
      <c r="M657">
        <v>1.2435663E-2</v>
      </c>
      <c r="N657">
        <v>1.2597763E-2</v>
      </c>
      <c r="O657">
        <v>3.8903280000000002E-3</v>
      </c>
      <c r="P657">
        <v>3.3344440000000003E-2</v>
      </c>
      <c r="Q657">
        <v>0.88163301900000002</v>
      </c>
      <c r="R657">
        <v>5.3564869939999999</v>
      </c>
      <c r="S657">
        <v>2.1411729000000001E-2</v>
      </c>
      <c r="T657">
        <v>2.0439253000000001E-2</v>
      </c>
      <c r="U657">
        <v>0.16376386100000001</v>
      </c>
      <c r="V657">
        <v>0.16961046599999999</v>
      </c>
      <c r="W657">
        <v>1.0357014360000001</v>
      </c>
      <c r="X657">
        <v>3.7650522870000001</v>
      </c>
      <c r="Y657">
        <v>2.0406543319999999</v>
      </c>
      <c r="Z657">
        <v>0.31366423999999998</v>
      </c>
      <c r="AA657">
        <v>1.7746201E-2</v>
      </c>
      <c r="AB657">
        <v>0.14784493300000001</v>
      </c>
      <c r="AC657">
        <v>1.5219071000000001E-2</v>
      </c>
      <c r="AD657">
        <v>0.86322927199999999</v>
      </c>
      <c r="AE657">
        <v>0.33500602899999998</v>
      </c>
      <c r="AF657">
        <v>1.069060739</v>
      </c>
      <c r="AG657">
        <v>0.30616697799999998</v>
      </c>
      <c r="AH657">
        <v>5.4873179999999997E-3</v>
      </c>
      <c r="AI657">
        <v>0.55695389900000003</v>
      </c>
    </row>
    <row r="658" spans="1:35" x14ac:dyDescent="0.2">
      <c r="A658">
        <v>708</v>
      </c>
      <c r="B658" t="s">
        <v>822</v>
      </c>
      <c r="C658" t="s">
        <v>224</v>
      </c>
      <c r="D658" t="s">
        <v>158</v>
      </c>
      <c r="E658" s="11">
        <v>6.5200000000000003E-6</v>
      </c>
      <c r="F658" s="11">
        <v>2.0700000000000001E-6</v>
      </c>
      <c r="G658">
        <v>0.31811281899999999</v>
      </c>
      <c r="H658">
        <v>-0.59249554199999999</v>
      </c>
      <c r="I658" s="11">
        <v>8.6000000000000007E-6</v>
      </c>
      <c r="J658">
        <v>0.29191489399999998</v>
      </c>
      <c r="K658">
        <v>1.2347441000000001E-2</v>
      </c>
      <c r="L658">
        <v>1.776184244</v>
      </c>
      <c r="M658">
        <v>8.5483269999999997E-3</v>
      </c>
      <c r="N658">
        <v>1.4324159E-2</v>
      </c>
      <c r="O658">
        <v>4.4373149999999998E-3</v>
      </c>
      <c r="P658">
        <v>6.2089079999999998E-2</v>
      </c>
      <c r="Q658">
        <v>1.2497760600000001</v>
      </c>
      <c r="R658">
        <v>7.622834514</v>
      </c>
      <c r="S658">
        <v>1.1140161000000001E-2</v>
      </c>
      <c r="T658">
        <v>1.0331758999999999E-2</v>
      </c>
      <c r="U658">
        <v>8.5203573000000005E-2</v>
      </c>
      <c r="V658">
        <v>8.5735742000000004E-2</v>
      </c>
      <c r="W658">
        <v>1.006245853</v>
      </c>
      <c r="X658">
        <v>4.7835184320000002</v>
      </c>
      <c r="Y658">
        <v>1.0076928810000001</v>
      </c>
      <c r="Z658">
        <v>0.28923518999999998</v>
      </c>
      <c r="AA658">
        <v>5.9254900000000003E-3</v>
      </c>
      <c r="AB658">
        <v>-0.76262458300000002</v>
      </c>
      <c r="AC658">
        <v>5.1012790000000002E-3</v>
      </c>
      <c r="AD658">
        <v>0.84772639999999999</v>
      </c>
      <c r="AE658">
        <v>0.166908047</v>
      </c>
      <c r="AF658">
        <v>0.79807744899999999</v>
      </c>
      <c r="AG658">
        <v>0.203417453</v>
      </c>
      <c r="AH658">
        <v>1.8392930000000001E-3</v>
      </c>
      <c r="AI658">
        <v>0.41453920799999999</v>
      </c>
    </row>
    <row r="659" spans="1:35" x14ac:dyDescent="0.2">
      <c r="A659">
        <v>709</v>
      </c>
      <c r="B659" t="s">
        <v>823</v>
      </c>
      <c r="C659" t="s">
        <v>224</v>
      </c>
      <c r="D659" t="s">
        <v>214</v>
      </c>
      <c r="E659" s="11">
        <v>6.1399999999999997E-6</v>
      </c>
      <c r="F659" s="11">
        <v>1.9E-6</v>
      </c>
      <c r="G659">
        <v>0.30908248700000002</v>
      </c>
      <c r="H659">
        <v>-0.59690188600000005</v>
      </c>
      <c r="I659" s="11">
        <v>8.0399999999999993E-6</v>
      </c>
      <c r="J659">
        <v>0.29191441800000001</v>
      </c>
      <c r="K659">
        <v>1.0144917E-2</v>
      </c>
      <c r="L659">
        <v>1.7717763419999999</v>
      </c>
      <c r="M659">
        <v>9.9197420000000005E-3</v>
      </c>
      <c r="N659">
        <v>1.1761463E-2</v>
      </c>
      <c r="O659">
        <v>3.6457920000000001E-3</v>
      </c>
      <c r="P659">
        <v>5.5625849999999998E-2</v>
      </c>
      <c r="Q659">
        <v>1.0960128629999999</v>
      </c>
      <c r="R659">
        <v>6.6873288679999998</v>
      </c>
      <c r="S659">
        <v>9.1300589999999994E-3</v>
      </c>
      <c r="T659">
        <v>8.7115339999999999E-3</v>
      </c>
      <c r="U659">
        <v>6.9829661000000001E-2</v>
      </c>
      <c r="V659">
        <v>7.2290673999999999E-2</v>
      </c>
      <c r="W659">
        <v>1.03524309</v>
      </c>
      <c r="X659">
        <v>4.7158257170000004</v>
      </c>
      <c r="Y659">
        <v>1.009088773</v>
      </c>
      <c r="Z659">
        <v>0.28570811699999998</v>
      </c>
      <c r="AA659">
        <v>6.3743519999999998E-3</v>
      </c>
      <c r="AB659">
        <v>-0.75581810999999999</v>
      </c>
      <c r="AC659">
        <v>5.4856829999999999E-3</v>
      </c>
      <c r="AD659">
        <v>0.84963004499999994</v>
      </c>
      <c r="AE659">
        <v>0.166908047</v>
      </c>
      <c r="AF659">
        <v>0.83959436499999995</v>
      </c>
      <c r="AG659">
        <v>0.21176814799999999</v>
      </c>
      <c r="AH659">
        <v>1.9778930000000001E-3</v>
      </c>
      <c r="AI659">
        <v>0.43599404800000002</v>
      </c>
    </row>
    <row r="660" spans="1:35" x14ac:dyDescent="0.2">
      <c r="A660">
        <v>710</v>
      </c>
      <c r="B660" t="s">
        <v>824</v>
      </c>
      <c r="C660" t="s">
        <v>224</v>
      </c>
      <c r="D660" t="s">
        <v>160</v>
      </c>
      <c r="E660" s="11">
        <v>1.2099999999999999E-5</v>
      </c>
      <c r="F660" s="11">
        <v>3.8199999999999998E-6</v>
      </c>
      <c r="G660">
        <v>0.31514286499999999</v>
      </c>
      <c r="H660">
        <v>-0.39416926499999999</v>
      </c>
      <c r="I660" s="11">
        <v>1.5999999999999999E-5</v>
      </c>
      <c r="J660">
        <v>0.383368178</v>
      </c>
      <c r="K660">
        <v>1.6522339E-2</v>
      </c>
      <c r="L660">
        <v>2.3332537480000002</v>
      </c>
      <c r="M660">
        <v>1.3671117999999999E-2</v>
      </c>
      <c r="N660">
        <v>1.9233558000000001E-2</v>
      </c>
      <c r="O660">
        <v>5.9376539999999997E-3</v>
      </c>
      <c r="P660">
        <v>4.9810809999999997E-2</v>
      </c>
      <c r="Q660">
        <v>1.1586379570000001</v>
      </c>
      <c r="R660">
        <v>7.0514493680000001</v>
      </c>
      <c r="S660">
        <v>3.1236994000000001E-2</v>
      </c>
      <c r="T660">
        <v>2.9965011E-2</v>
      </c>
      <c r="U660">
        <v>0.23891068200000001</v>
      </c>
      <c r="V660">
        <v>0.24865778799999999</v>
      </c>
      <c r="W660">
        <v>1.040798117</v>
      </c>
      <c r="X660">
        <v>3.6484586870000002</v>
      </c>
      <c r="Y660">
        <v>2.0639833699999999</v>
      </c>
      <c r="Z660">
        <v>0.30608194900000002</v>
      </c>
      <c r="AA660">
        <v>2.0090435E-2</v>
      </c>
      <c r="AB660">
        <v>-0.13046150500000001</v>
      </c>
      <c r="AC660">
        <v>1.7247759000000001E-2</v>
      </c>
      <c r="AD660">
        <v>0.86778608999999995</v>
      </c>
      <c r="AE660">
        <v>0.33769943099999999</v>
      </c>
      <c r="AF660">
        <v>1.191776425</v>
      </c>
      <c r="AG660">
        <v>0.34265220400000002</v>
      </c>
      <c r="AH660">
        <v>6.218772E-3</v>
      </c>
      <c r="AI660">
        <v>0.62095178399999995</v>
      </c>
    </row>
    <row r="661" spans="1:35" x14ac:dyDescent="0.2">
      <c r="A661">
        <v>711</v>
      </c>
      <c r="B661" t="s">
        <v>825</v>
      </c>
      <c r="C661" t="s">
        <v>224</v>
      </c>
      <c r="D661" t="s">
        <v>162</v>
      </c>
      <c r="E661" s="11">
        <v>1.2799999999999999E-5</v>
      </c>
      <c r="F661" s="11">
        <v>4.0899999999999998E-6</v>
      </c>
      <c r="G661">
        <v>0.32049632300000003</v>
      </c>
      <c r="H661">
        <v>-0.230274484</v>
      </c>
      <c r="I661" s="11">
        <v>1.6900000000000001E-5</v>
      </c>
      <c r="J661">
        <v>0.38580204899999998</v>
      </c>
      <c r="K661">
        <v>1.1338509E-2</v>
      </c>
      <c r="L661">
        <v>2.3374893129999998</v>
      </c>
      <c r="M661">
        <v>9.6860139999999997E-3</v>
      </c>
      <c r="N661">
        <v>1.3203311000000001E-2</v>
      </c>
      <c r="O661">
        <v>4.074734E-3</v>
      </c>
      <c r="P661">
        <v>3.4866130000000002E-2</v>
      </c>
      <c r="Q661">
        <v>1.186348685</v>
      </c>
      <c r="R661">
        <v>7.1878243780000002</v>
      </c>
      <c r="S661">
        <v>2.2350312000000001E-2</v>
      </c>
      <c r="T661">
        <v>2.1579603999999999E-2</v>
      </c>
      <c r="U661">
        <v>0.17094245</v>
      </c>
      <c r="V661">
        <v>0.17907340999999999</v>
      </c>
      <c r="W661">
        <v>1.047565482</v>
      </c>
      <c r="X661">
        <v>4.0484447189999999</v>
      </c>
      <c r="Y661">
        <v>2.6360709390000001</v>
      </c>
      <c r="Z661">
        <v>0.31137503300000002</v>
      </c>
      <c r="AA661">
        <v>1.3095888999999999E-2</v>
      </c>
      <c r="AB661">
        <v>0.113267675</v>
      </c>
      <c r="AC661">
        <v>1.1227895999999999E-2</v>
      </c>
      <c r="AD661">
        <v>0.86824275900000003</v>
      </c>
      <c r="AE661">
        <v>0.43791957999999997</v>
      </c>
      <c r="AF661">
        <v>1.4767330279999999</v>
      </c>
      <c r="AG661">
        <v>0.238600851</v>
      </c>
      <c r="AH661">
        <v>4.0482779999999998E-3</v>
      </c>
      <c r="AI661">
        <v>0.76025676200000003</v>
      </c>
    </row>
    <row r="662" spans="1:35" x14ac:dyDescent="0.2">
      <c r="A662">
        <v>712</v>
      </c>
      <c r="B662" t="s">
        <v>826</v>
      </c>
      <c r="C662" t="s">
        <v>224</v>
      </c>
      <c r="D662" t="s">
        <v>218</v>
      </c>
      <c r="E662" s="11">
        <v>1.13E-5</v>
      </c>
      <c r="F662" s="11">
        <v>3.5899999999999999E-6</v>
      </c>
      <c r="G662">
        <v>0.31669477200000001</v>
      </c>
      <c r="H662">
        <v>-5.1289396000000001E-2</v>
      </c>
      <c r="I662" s="11">
        <v>1.49E-5</v>
      </c>
      <c r="J662">
        <v>0.60548464199999996</v>
      </c>
      <c r="K662">
        <v>1.9627840000000001E-2</v>
      </c>
      <c r="L662">
        <v>3.6721635350000001</v>
      </c>
      <c r="M662">
        <v>1.0694029000000001E-2</v>
      </c>
      <c r="N662">
        <v>2.2856527000000001E-2</v>
      </c>
      <c r="O662">
        <v>7.053681E-3</v>
      </c>
      <c r="P662">
        <v>5.8147299999999999E-2</v>
      </c>
      <c r="Q662">
        <v>1.793353956</v>
      </c>
      <c r="R662">
        <v>10.876418340000001</v>
      </c>
      <c r="S662">
        <v>3.8492801E-2</v>
      </c>
      <c r="T662">
        <v>3.8916776E-2</v>
      </c>
      <c r="U662">
        <v>0.29440544800000001</v>
      </c>
      <c r="V662">
        <v>0.32294196200000003</v>
      </c>
      <c r="W662">
        <v>1.0969293</v>
      </c>
      <c r="X662">
        <v>3.5186543960000001</v>
      </c>
      <c r="Y662">
        <v>4.8493947879999997</v>
      </c>
      <c r="Z662">
        <v>0.321188682</v>
      </c>
      <c r="AA662">
        <v>2.3115535999999999E-2</v>
      </c>
      <c r="AB662">
        <v>0.24275838599999999</v>
      </c>
      <c r="AC662">
        <v>1.9825981999999999E-2</v>
      </c>
      <c r="AD662">
        <v>0.85740091500000004</v>
      </c>
      <c r="AE662">
        <v>0.80611800300000003</v>
      </c>
      <c r="AF662">
        <v>2.4206903780000002</v>
      </c>
      <c r="AG662">
        <v>0.37514761499999999</v>
      </c>
      <c r="AH662">
        <v>7.1483650000000003E-3</v>
      </c>
      <c r="AI662">
        <v>1.245440954</v>
      </c>
    </row>
    <row r="663" spans="1:35" x14ac:dyDescent="0.2">
      <c r="A663">
        <v>713</v>
      </c>
      <c r="B663" t="s">
        <v>827</v>
      </c>
      <c r="C663" t="s">
        <v>224</v>
      </c>
      <c r="D663" t="s">
        <v>220</v>
      </c>
      <c r="E663" s="11">
        <v>1.2799999999999999E-5</v>
      </c>
      <c r="F663" s="11">
        <v>4.0300000000000004E-6</v>
      </c>
      <c r="G663">
        <v>0.31532364299999999</v>
      </c>
      <c r="H663">
        <v>-0.233354477</v>
      </c>
      <c r="I663" s="11">
        <v>1.6799999999999998E-5</v>
      </c>
      <c r="J663">
        <v>0.38585757500000001</v>
      </c>
      <c r="K663">
        <v>1.1345215000000001E-2</v>
      </c>
      <c r="L663">
        <v>2.3378358800000001</v>
      </c>
      <c r="M663">
        <v>9.6918190000000008E-3</v>
      </c>
      <c r="N663">
        <v>1.3210179000000001E-2</v>
      </c>
      <c r="O663">
        <v>4.0771440000000004E-3</v>
      </c>
      <c r="P663">
        <v>3.4883249999999998E-2</v>
      </c>
      <c r="Q663">
        <v>1.1864409970000001</v>
      </c>
      <c r="R663">
        <v>7.1884124900000002</v>
      </c>
      <c r="S663">
        <v>2.2376579000000001E-2</v>
      </c>
      <c r="T663">
        <v>2.1555404E-2</v>
      </c>
      <c r="U663">
        <v>0.17114335</v>
      </c>
      <c r="V663">
        <v>0.178872586</v>
      </c>
      <c r="W663">
        <v>1.0451623510000001</v>
      </c>
      <c r="X663">
        <v>4.0489744740000004</v>
      </c>
      <c r="Y663">
        <v>2.636241026</v>
      </c>
      <c r="Z663">
        <v>0.31100182100000001</v>
      </c>
      <c r="AA663">
        <v>1.3088468000000001E-2</v>
      </c>
      <c r="AB663">
        <v>0.113193423</v>
      </c>
      <c r="AC663">
        <v>1.1221514E-2</v>
      </c>
      <c r="AD663">
        <v>0.86971902099999998</v>
      </c>
      <c r="AE663">
        <v>0.43795219099999999</v>
      </c>
      <c r="AF663">
        <v>1.476976455</v>
      </c>
      <c r="AG663">
        <v>0.23848673200000001</v>
      </c>
      <c r="AH663">
        <v>4.0459770000000001E-3</v>
      </c>
      <c r="AI663">
        <v>0.76037452100000003</v>
      </c>
    </row>
    <row r="664" spans="1:35" x14ac:dyDescent="0.2">
      <c r="A664">
        <v>715</v>
      </c>
      <c r="B664" t="s">
        <v>828</v>
      </c>
      <c r="C664" t="s">
        <v>224</v>
      </c>
      <c r="D664" t="s">
        <v>166</v>
      </c>
      <c r="E664" s="11">
        <v>1.6200000000000001E-5</v>
      </c>
      <c r="F664" s="11">
        <v>5.1100000000000002E-6</v>
      </c>
      <c r="G664">
        <v>0.31481004899999998</v>
      </c>
      <c r="H664">
        <v>-0.122246207</v>
      </c>
      <c r="I664" s="11">
        <v>2.1299999999999999E-5</v>
      </c>
      <c r="J664">
        <v>0.44155229000000001</v>
      </c>
      <c r="K664">
        <v>1.9888626999999999E-2</v>
      </c>
      <c r="L664">
        <v>2.6890909939999998</v>
      </c>
      <c r="M664">
        <v>1.3542790000000001E-2</v>
      </c>
      <c r="N664">
        <v>2.3160381000000001E-2</v>
      </c>
      <c r="O664">
        <v>7.1474010000000003E-3</v>
      </c>
      <c r="P664">
        <v>5.8915059999999998E-2</v>
      </c>
      <c r="Q664">
        <v>1.323328517</v>
      </c>
      <c r="R664">
        <v>8.0578012300000008</v>
      </c>
      <c r="S664">
        <v>3.7753370000000001E-2</v>
      </c>
      <c r="T664">
        <v>3.6121051000000001E-2</v>
      </c>
      <c r="U664">
        <v>0.28875004399999998</v>
      </c>
      <c r="V664">
        <v>0.299742275</v>
      </c>
      <c r="W664">
        <v>1.038068327</v>
      </c>
      <c r="X664">
        <v>3.5148593469999998</v>
      </c>
      <c r="Y664">
        <v>2.6881902009999998</v>
      </c>
      <c r="Z664">
        <v>0.31474805300000003</v>
      </c>
      <c r="AA664">
        <v>2.3220847999999999E-2</v>
      </c>
      <c r="AB664">
        <v>-3.3509300000000001E-4</v>
      </c>
      <c r="AC664">
        <v>1.9906897999999999E-2</v>
      </c>
      <c r="AD664">
        <v>0.88365865300000002</v>
      </c>
      <c r="AE664">
        <v>0.441396067</v>
      </c>
      <c r="AF664">
        <v>1.324673397</v>
      </c>
      <c r="AG664">
        <v>0.376436944</v>
      </c>
      <c r="AH664">
        <v>7.1775390000000001E-3</v>
      </c>
      <c r="AI664">
        <v>0.68997706400000003</v>
      </c>
    </row>
    <row r="665" spans="1:35" x14ac:dyDescent="0.2">
      <c r="A665">
        <v>716</v>
      </c>
      <c r="B665" t="s">
        <v>829</v>
      </c>
      <c r="C665" t="s">
        <v>224</v>
      </c>
      <c r="D665" t="s">
        <v>226</v>
      </c>
      <c r="E665" s="11">
        <v>7.4100000000000002E-6</v>
      </c>
      <c r="F665" s="11">
        <v>2.3199999999999998E-6</v>
      </c>
      <c r="G665">
        <v>0.313385778</v>
      </c>
      <c r="H665">
        <v>-0.66216583100000004</v>
      </c>
      <c r="I665" s="11">
        <v>9.7399999999999999E-6</v>
      </c>
      <c r="J665">
        <v>0.270845681</v>
      </c>
      <c r="K665">
        <v>6.691224E-3</v>
      </c>
      <c r="L665">
        <v>1.6384565339999999</v>
      </c>
      <c r="M665">
        <v>8.1555480000000003E-3</v>
      </c>
      <c r="N665">
        <v>7.7715739999999998E-3</v>
      </c>
      <c r="O665">
        <v>2.4046340000000001E-3</v>
      </c>
      <c r="P665">
        <v>2.096313E-2</v>
      </c>
      <c r="Q665">
        <v>0.84850844999999997</v>
      </c>
      <c r="R665">
        <v>5.1329769619999999</v>
      </c>
      <c r="S665">
        <v>1.2640478E-2</v>
      </c>
      <c r="T665">
        <v>1.247703E-2</v>
      </c>
      <c r="U665">
        <v>9.6678483999999995E-2</v>
      </c>
      <c r="V665">
        <v>0.103537781</v>
      </c>
      <c r="W665">
        <v>1.0709495710000001</v>
      </c>
      <c r="X665">
        <v>5.0252444049999996</v>
      </c>
      <c r="Y665">
        <v>1.095057586</v>
      </c>
      <c r="Z665">
        <v>0.28989394499999999</v>
      </c>
      <c r="AA665">
        <v>4.5803249999999997E-3</v>
      </c>
      <c r="AB665">
        <v>-0.49622864999999999</v>
      </c>
      <c r="AC665">
        <v>3.9355919999999999E-3</v>
      </c>
      <c r="AD665">
        <v>0.838386729</v>
      </c>
      <c r="AE665">
        <v>0.182363843</v>
      </c>
      <c r="AF665">
        <v>0.68061506999999999</v>
      </c>
      <c r="AG665">
        <v>9.2552677E-2</v>
      </c>
      <c r="AH665">
        <v>1.418999E-3</v>
      </c>
      <c r="AI665">
        <v>0.34953820099999999</v>
      </c>
    </row>
    <row r="666" spans="1:35" x14ac:dyDescent="0.2">
      <c r="A666">
        <v>717</v>
      </c>
      <c r="B666" t="s">
        <v>830</v>
      </c>
      <c r="C666" t="s">
        <v>224</v>
      </c>
      <c r="D666" t="s">
        <v>168</v>
      </c>
      <c r="E666" s="11">
        <v>4.25E-6</v>
      </c>
      <c r="F666" s="11">
        <v>1.31E-6</v>
      </c>
      <c r="G666">
        <v>0.30944851299999998</v>
      </c>
      <c r="H666">
        <v>-0.93179355500000005</v>
      </c>
      <c r="I666" s="11">
        <v>5.5600000000000001E-6</v>
      </c>
      <c r="J666">
        <v>0.29192942</v>
      </c>
      <c r="K666">
        <v>8.1131139999999994E-3</v>
      </c>
      <c r="L666">
        <v>1.7678027489999999</v>
      </c>
      <c r="M666">
        <v>8.6861799999999999E-3</v>
      </c>
      <c r="N666">
        <v>9.3738880000000004E-3</v>
      </c>
      <c r="O666">
        <v>2.9156199999999998E-3</v>
      </c>
      <c r="P666">
        <v>4.9429300000000002E-2</v>
      </c>
      <c r="Q666">
        <v>0.93877093499999997</v>
      </c>
      <c r="R666">
        <v>5.7314842060000002</v>
      </c>
      <c r="S666">
        <v>8.1731760000000007E-3</v>
      </c>
      <c r="T666">
        <v>7.499922E-3</v>
      </c>
      <c r="U666">
        <v>6.2511108999999995E-2</v>
      </c>
      <c r="V666">
        <v>6.2236384999999998E-2</v>
      </c>
      <c r="W666">
        <v>0.99560519700000005</v>
      </c>
      <c r="X666">
        <v>4.5035474190000002</v>
      </c>
      <c r="Y666">
        <v>1.5901679710000001</v>
      </c>
      <c r="Z666">
        <v>0.28110712599999998</v>
      </c>
      <c r="AA666">
        <v>8.0104930000000005E-3</v>
      </c>
      <c r="AB666">
        <v>-0.111708185</v>
      </c>
      <c r="AC666">
        <v>6.8892839999999999E-3</v>
      </c>
      <c r="AD666">
        <v>0.85256821900000002</v>
      </c>
      <c r="AE666">
        <v>0.26409681899999998</v>
      </c>
      <c r="AF666">
        <v>1.0061098939999999</v>
      </c>
      <c r="AG666">
        <v>0.234448191</v>
      </c>
      <c r="AH666">
        <v>2.4839689999999999E-3</v>
      </c>
      <c r="AI666">
        <v>0.52151194000000001</v>
      </c>
    </row>
    <row r="667" spans="1:35" x14ac:dyDescent="0.2">
      <c r="A667">
        <v>718</v>
      </c>
      <c r="B667" t="s">
        <v>831</v>
      </c>
      <c r="C667" t="s">
        <v>832</v>
      </c>
      <c r="D667" t="s">
        <v>129</v>
      </c>
      <c r="E667" s="11">
        <v>8.3100000000000001E-6</v>
      </c>
      <c r="F667" s="11">
        <v>2.6699999999999998E-6</v>
      </c>
      <c r="G667">
        <v>0.32113497000000002</v>
      </c>
      <c r="H667">
        <v>0.22424517599999999</v>
      </c>
      <c r="I667" s="11">
        <v>1.1E-5</v>
      </c>
      <c r="J667">
        <v>0.55072239499999998</v>
      </c>
      <c r="K667">
        <v>0.51706664999999996</v>
      </c>
      <c r="L667">
        <v>4.3384676689999999</v>
      </c>
      <c r="M667">
        <v>0.23802274100000001</v>
      </c>
      <c r="N667">
        <v>2.2320469999999999E-2</v>
      </c>
      <c r="O667">
        <v>6.8952869999999999E-3</v>
      </c>
      <c r="P667">
        <v>0.79974696999999995</v>
      </c>
      <c r="Q667">
        <v>1.63286782</v>
      </c>
      <c r="R667">
        <v>11.39670085</v>
      </c>
      <c r="S667">
        <v>4.0316225999999997E-2</v>
      </c>
      <c r="T667">
        <v>3.5848379999999999E-2</v>
      </c>
      <c r="U667">
        <v>0.30835159600000001</v>
      </c>
      <c r="V667">
        <v>0.29747958000000002</v>
      </c>
      <c r="W667">
        <v>0.96474149600000003</v>
      </c>
      <c r="X667">
        <v>2.7042809210000001</v>
      </c>
      <c r="Y667">
        <v>14.502498449999999</v>
      </c>
      <c r="Z667">
        <v>0.31811747899999998</v>
      </c>
      <c r="AA667">
        <v>6.9594858999999995E-2</v>
      </c>
      <c r="AB667">
        <v>0.70084687899999998</v>
      </c>
      <c r="AC667">
        <v>1.7198057280000001</v>
      </c>
      <c r="AD667">
        <v>0.87261301999999996</v>
      </c>
      <c r="AE667">
        <v>1.466563539</v>
      </c>
      <c r="AF667">
        <v>5.1612597830000002</v>
      </c>
      <c r="AG667">
        <v>16.639867540000001</v>
      </c>
      <c r="AH667">
        <v>2.1707368000000001E-2</v>
      </c>
      <c r="AI667">
        <v>3.3718093769999999</v>
      </c>
    </row>
    <row r="668" spans="1:35" x14ac:dyDescent="0.2">
      <c r="A668">
        <v>719</v>
      </c>
      <c r="B668" t="s">
        <v>833</v>
      </c>
      <c r="C668" t="s">
        <v>832</v>
      </c>
      <c r="D668" t="s">
        <v>130</v>
      </c>
      <c r="E668" s="11">
        <v>1.13E-5</v>
      </c>
      <c r="F668" s="11">
        <v>3.54E-6</v>
      </c>
      <c r="G668">
        <v>0.31308164399999999</v>
      </c>
      <c r="H668">
        <v>0.66527061499999995</v>
      </c>
      <c r="I668" s="11">
        <v>1.4800000000000001E-5</v>
      </c>
      <c r="J668">
        <v>0.37571700200000002</v>
      </c>
      <c r="K668">
        <v>1.0945556E-2</v>
      </c>
      <c r="L668">
        <v>2.276193122</v>
      </c>
      <c r="M668">
        <v>9.6282950000000003E-3</v>
      </c>
      <c r="N668">
        <v>1.2740619999999999E-2</v>
      </c>
      <c r="O668">
        <v>3.9335180000000004E-3</v>
      </c>
      <c r="P668">
        <v>3.3698209999999999E-2</v>
      </c>
      <c r="Q668">
        <v>1.1568000350000001</v>
      </c>
      <c r="R668">
        <v>7.0081966339999999</v>
      </c>
      <c r="S668">
        <v>1.976466E-2</v>
      </c>
      <c r="T668">
        <v>1.7952019999999999E-2</v>
      </c>
      <c r="U668">
        <v>0.15116654099999999</v>
      </c>
      <c r="V668">
        <v>0.14897073</v>
      </c>
      <c r="W668">
        <v>0.98547422600000001</v>
      </c>
      <c r="X668">
        <v>2.8288974499999999</v>
      </c>
      <c r="Y668">
        <v>10.855933520000001</v>
      </c>
      <c r="Z668">
        <v>0.32861451400000002</v>
      </c>
      <c r="AA668">
        <v>5.7611155999999997E-2</v>
      </c>
      <c r="AB668">
        <v>0.79032727899999999</v>
      </c>
      <c r="AC668">
        <v>4.9715183000000003E-2</v>
      </c>
      <c r="AD668">
        <v>0.879286817</v>
      </c>
      <c r="AE668">
        <v>1.801412046</v>
      </c>
      <c r="AF668">
        <v>5.1661414429999999</v>
      </c>
      <c r="AG668">
        <v>0.91000830399999999</v>
      </c>
      <c r="AH668">
        <v>1.7925077000000001E-2</v>
      </c>
      <c r="AI668">
        <v>2.6631645719999999</v>
      </c>
    </row>
    <row r="669" spans="1:35" x14ac:dyDescent="0.2">
      <c r="A669">
        <v>720</v>
      </c>
      <c r="B669" t="s">
        <v>834</v>
      </c>
      <c r="C669" t="s">
        <v>832</v>
      </c>
      <c r="D669" t="s">
        <v>132</v>
      </c>
      <c r="E669" s="11">
        <v>9.3500000000000003E-6</v>
      </c>
      <c r="F669" s="11">
        <v>2.9799999999999998E-6</v>
      </c>
      <c r="G669">
        <v>0.31827047400000003</v>
      </c>
      <c r="H669">
        <v>-0.54955889499999999</v>
      </c>
      <c r="I669" s="11">
        <v>1.2300000000000001E-5</v>
      </c>
      <c r="J669">
        <v>0.67907662099999999</v>
      </c>
      <c r="K669">
        <v>2.2254916E-2</v>
      </c>
      <c r="L669">
        <v>4.1189695569999998</v>
      </c>
      <c r="M669">
        <v>1.0791769999999999E-2</v>
      </c>
      <c r="N669">
        <v>2.5913723E-2</v>
      </c>
      <c r="O669">
        <v>7.9977769999999993E-3</v>
      </c>
      <c r="P669">
        <v>6.5126310000000007E-2</v>
      </c>
      <c r="Q669">
        <v>1.987368722</v>
      </c>
      <c r="R669">
        <v>12.054464940000001</v>
      </c>
      <c r="S669">
        <v>4.0826803000000002E-2</v>
      </c>
      <c r="T669">
        <v>4.0112901999999999E-2</v>
      </c>
      <c r="U669">
        <v>0.31225665600000002</v>
      </c>
      <c r="V669">
        <v>0.33286773800000002</v>
      </c>
      <c r="W669">
        <v>1.0660068620000001</v>
      </c>
      <c r="X669">
        <v>3.356333089</v>
      </c>
      <c r="Y669">
        <v>5.3290431649999999</v>
      </c>
      <c r="Z669">
        <v>0.31285596900000001</v>
      </c>
      <c r="AA669">
        <v>2.5576778000000001E-2</v>
      </c>
      <c r="AB669">
        <v>0.227071459</v>
      </c>
      <c r="AC669">
        <v>2.2109329E-2</v>
      </c>
      <c r="AD669">
        <v>0.87625799999999998</v>
      </c>
      <c r="AE669">
        <v>0.88559568</v>
      </c>
      <c r="AF669">
        <v>2.7687077410000001</v>
      </c>
      <c r="AG669">
        <v>0.44108670300000002</v>
      </c>
      <c r="AH669">
        <v>7.9716379999999996E-3</v>
      </c>
      <c r="AI669">
        <v>1.4251713530000001</v>
      </c>
    </row>
    <row r="670" spans="1:35" x14ac:dyDescent="0.2">
      <c r="A670">
        <v>721</v>
      </c>
      <c r="B670" t="s">
        <v>835</v>
      </c>
      <c r="C670" t="s">
        <v>832</v>
      </c>
      <c r="D670" t="s">
        <v>175</v>
      </c>
      <c r="E670" s="11">
        <v>6.0599999999999996E-6</v>
      </c>
      <c r="F670" s="11">
        <v>1.8899999999999999E-6</v>
      </c>
      <c r="G670">
        <v>0.31130416799999999</v>
      </c>
      <c r="H670">
        <v>0.20667633099999999</v>
      </c>
      <c r="I670" s="11">
        <v>7.9400000000000002E-6</v>
      </c>
      <c r="J670">
        <v>0.30755734699999998</v>
      </c>
      <c r="K670">
        <v>8.5190400000000003E-3</v>
      </c>
      <c r="L670">
        <v>1.862382164</v>
      </c>
      <c r="M670">
        <v>1.9660395000000001E-2</v>
      </c>
      <c r="N670">
        <v>9.8784990000000007E-3</v>
      </c>
      <c r="O670">
        <v>3.061533E-3</v>
      </c>
      <c r="P670">
        <v>2.6428340000000002E-2</v>
      </c>
      <c r="Q670">
        <v>0.98175873700000005</v>
      </c>
      <c r="R670">
        <v>5.9434090959999999</v>
      </c>
      <c r="S670">
        <v>1.0078968000000001E-2</v>
      </c>
      <c r="T670">
        <v>9.0007420000000008E-3</v>
      </c>
      <c r="U670">
        <v>7.7087221999999997E-2</v>
      </c>
      <c r="V670">
        <v>7.4690594999999999E-2</v>
      </c>
      <c r="W670">
        <v>0.96891019099999998</v>
      </c>
      <c r="X670">
        <v>4.0062208459999997</v>
      </c>
      <c r="Y670">
        <v>2.8922763150000002</v>
      </c>
      <c r="Z670">
        <v>0.31344919599999999</v>
      </c>
      <c r="AA670">
        <v>9.3969229999999997E-3</v>
      </c>
      <c r="AB670">
        <v>0.35608428800000003</v>
      </c>
      <c r="AC670">
        <v>8.1462940000000001E-3</v>
      </c>
      <c r="AD670">
        <v>0.86220071300000001</v>
      </c>
      <c r="AE670">
        <v>0.48283736700000002</v>
      </c>
      <c r="AF670">
        <v>1.576334962</v>
      </c>
      <c r="AG670">
        <v>0.169789316</v>
      </c>
      <c r="AH670">
        <v>2.9371900000000001E-3</v>
      </c>
      <c r="AI670">
        <v>0.80772929100000002</v>
      </c>
    </row>
    <row r="671" spans="1:35" x14ac:dyDescent="0.2">
      <c r="A671">
        <v>722</v>
      </c>
      <c r="B671" t="s">
        <v>836</v>
      </c>
      <c r="C671" t="s">
        <v>832</v>
      </c>
      <c r="D671" t="s">
        <v>134</v>
      </c>
      <c r="E671" s="11">
        <v>1.4399999999999999E-5</v>
      </c>
      <c r="F671" s="11">
        <v>5.5799999999999999E-6</v>
      </c>
      <c r="G671">
        <v>0.38673530499999997</v>
      </c>
      <c r="H671">
        <v>0.42032889000000001</v>
      </c>
      <c r="I671" s="11">
        <v>2.0000000000000002E-5</v>
      </c>
      <c r="J671">
        <v>0.69353256500000005</v>
      </c>
      <c r="K671">
        <v>2.8009503000000002E-2</v>
      </c>
      <c r="L671">
        <v>4.2172143950000001</v>
      </c>
      <c r="M671">
        <v>1.3270488E-2</v>
      </c>
      <c r="N671">
        <v>3.2671602000000001E-2</v>
      </c>
      <c r="O671">
        <v>1.006581E-2</v>
      </c>
      <c r="P671">
        <v>6.9577040000000007E-2</v>
      </c>
      <c r="Q671">
        <v>1.7228554149999999</v>
      </c>
      <c r="R671">
        <v>10.476286569999999</v>
      </c>
      <c r="S671">
        <v>4.1224979000000002E-2</v>
      </c>
      <c r="T671">
        <v>5.1031020000000003E-2</v>
      </c>
      <c r="U671">
        <v>0.31530203499999998</v>
      </c>
      <c r="V671">
        <v>0.423469241</v>
      </c>
      <c r="W671">
        <v>1.343059016</v>
      </c>
      <c r="X671">
        <v>2.6340572889999998</v>
      </c>
      <c r="Y671">
        <v>10.425020379999999</v>
      </c>
      <c r="Z671">
        <v>0.42744401599999998</v>
      </c>
      <c r="AA671">
        <v>7.7743244000000003E-2</v>
      </c>
      <c r="AB671">
        <v>0.59547183199999998</v>
      </c>
      <c r="AC671">
        <v>6.7064011000000007E-2</v>
      </c>
      <c r="AD671">
        <v>0.90196856400000003</v>
      </c>
      <c r="AE671">
        <v>1.7189225020000001</v>
      </c>
      <c r="AF671">
        <v>3.7403168519999999</v>
      </c>
      <c r="AG671">
        <v>0.93152381200000001</v>
      </c>
      <c r="AH671">
        <v>2.418029E-2</v>
      </c>
      <c r="AI671">
        <v>1.940473946</v>
      </c>
    </row>
    <row r="672" spans="1:35" x14ac:dyDescent="0.2">
      <c r="A672">
        <v>723</v>
      </c>
      <c r="B672" t="s">
        <v>837</v>
      </c>
      <c r="C672" t="s">
        <v>832</v>
      </c>
      <c r="D672" t="s">
        <v>136</v>
      </c>
      <c r="E672" s="11">
        <v>9.3000000000000007E-6</v>
      </c>
      <c r="F672" s="11">
        <v>2.9100000000000001E-6</v>
      </c>
      <c r="G672">
        <v>0.313142009</v>
      </c>
      <c r="H672">
        <v>0.85082068</v>
      </c>
      <c r="I672" s="11">
        <v>1.22E-5</v>
      </c>
      <c r="J672">
        <v>0.318906621</v>
      </c>
      <c r="K672">
        <v>1.3250193E-2</v>
      </c>
      <c r="L672">
        <v>1.93994011</v>
      </c>
      <c r="M672">
        <v>1.0318765000000001E-2</v>
      </c>
      <c r="N672">
        <v>1.5378774E-2</v>
      </c>
      <c r="O672">
        <v>4.7617069999999996E-3</v>
      </c>
      <c r="P672">
        <v>4.1057049999999998E-2</v>
      </c>
      <c r="Q672">
        <v>1.0024248520000001</v>
      </c>
      <c r="R672">
        <v>6.0966632199999999</v>
      </c>
      <c r="S672">
        <v>1.9306258999999999E-2</v>
      </c>
      <c r="T672">
        <v>1.9137369000000001E-2</v>
      </c>
      <c r="U672">
        <v>0.147660546</v>
      </c>
      <c r="V672">
        <v>0.15880708099999999</v>
      </c>
      <c r="W672">
        <v>1.075487565</v>
      </c>
      <c r="X672">
        <v>2.7357540880000002</v>
      </c>
      <c r="Y672">
        <v>7.2020455500000002</v>
      </c>
      <c r="Z672">
        <v>0.33870961100000002</v>
      </c>
      <c r="AA672">
        <v>6.6464069000000001E-2</v>
      </c>
      <c r="AB672">
        <v>0.73064039999999997</v>
      </c>
      <c r="AC672">
        <v>5.7363519000000002E-2</v>
      </c>
      <c r="AD672">
        <v>0.87928764000000004</v>
      </c>
      <c r="AE672">
        <v>1.181232278</v>
      </c>
      <c r="AF672">
        <v>3.3074844510000001</v>
      </c>
      <c r="AG672">
        <v>1.025085179</v>
      </c>
      <c r="AH672">
        <v>2.0682725999999999E-2</v>
      </c>
      <c r="AI672">
        <v>1.7250238600000001</v>
      </c>
    </row>
    <row r="673" spans="1:35" x14ac:dyDescent="0.2">
      <c r="A673">
        <v>724</v>
      </c>
      <c r="B673" t="s">
        <v>838</v>
      </c>
      <c r="C673" t="s">
        <v>832</v>
      </c>
      <c r="D673" t="s">
        <v>138</v>
      </c>
      <c r="E673" s="11">
        <v>1.22E-5</v>
      </c>
      <c r="F673" s="11">
        <v>4.6999999999999999E-6</v>
      </c>
      <c r="G673">
        <v>0.38441600999999997</v>
      </c>
      <c r="H673">
        <v>0.12699843299999999</v>
      </c>
      <c r="I673" s="11">
        <v>1.6900000000000001E-5</v>
      </c>
      <c r="J673">
        <v>4.6239466670000002</v>
      </c>
      <c r="K673">
        <v>0.35995713299999998</v>
      </c>
      <c r="L673">
        <v>28.463594270000002</v>
      </c>
      <c r="M673">
        <v>7.2306030000000004E-3</v>
      </c>
      <c r="N673">
        <v>0.10662803899999999</v>
      </c>
      <c r="O673">
        <v>3.631363E-2</v>
      </c>
      <c r="P673">
        <v>0.96205443999999996</v>
      </c>
      <c r="Q673">
        <v>7.1942760720000001</v>
      </c>
      <c r="R673">
        <v>45.089765319999998</v>
      </c>
      <c r="S673">
        <v>0.20099436600000001</v>
      </c>
      <c r="T673">
        <v>0.17882479400000001</v>
      </c>
      <c r="U673">
        <v>1.5372702330000001</v>
      </c>
      <c r="V673">
        <v>1.483936631</v>
      </c>
      <c r="W673">
        <v>0.96530629400000001</v>
      </c>
      <c r="X673">
        <v>1.973754974</v>
      </c>
      <c r="Y673">
        <v>66.721363220000001</v>
      </c>
      <c r="Z673">
        <v>0.39560330500000002</v>
      </c>
      <c r="AA673">
        <v>0.204891343</v>
      </c>
      <c r="AB673">
        <v>0.57339609199999997</v>
      </c>
      <c r="AC673">
        <v>0.18494975999999999</v>
      </c>
      <c r="AD673">
        <v>0.90675548399999994</v>
      </c>
      <c r="AE673">
        <v>11.140173470000001</v>
      </c>
      <c r="AF673">
        <v>16.53734334</v>
      </c>
      <c r="AG673">
        <v>2.1783568760000001</v>
      </c>
      <c r="AH673">
        <v>6.6684632999999993E-2</v>
      </c>
      <c r="AI673">
        <v>8.4918468439999995</v>
      </c>
    </row>
    <row r="674" spans="1:35" x14ac:dyDescent="0.2">
      <c r="A674">
        <v>725</v>
      </c>
      <c r="B674" t="s">
        <v>839</v>
      </c>
      <c r="C674" t="s">
        <v>832</v>
      </c>
      <c r="D674" t="s">
        <v>182</v>
      </c>
      <c r="E674" s="11">
        <v>9.8900000000000002E-6</v>
      </c>
      <c r="F674" s="11">
        <v>4.34E-6</v>
      </c>
      <c r="G674">
        <v>0.43925124399999999</v>
      </c>
      <c r="H674">
        <v>0.14199426600000001</v>
      </c>
      <c r="I674" s="11">
        <v>1.42E-5</v>
      </c>
      <c r="J674">
        <v>4.4189902730000004</v>
      </c>
      <c r="K674">
        <v>4.0213451530000004</v>
      </c>
      <c r="L674">
        <v>34.556631950000003</v>
      </c>
      <c r="M674">
        <v>0.14337851200000001</v>
      </c>
      <c r="N674">
        <v>0.116713109</v>
      </c>
      <c r="O674">
        <v>3.6289786999999997E-2</v>
      </c>
      <c r="P674">
        <v>6.0624915100000001</v>
      </c>
      <c r="Q674">
        <v>7.9635399429999998</v>
      </c>
      <c r="R674">
        <v>59.906222669999998</v>
      </c>
      <c r="S674">
        <v>0.197441266</v>
      </c>
      <c r="T674">
        <v>0.189428394</v>
      </c>
      <c r="U674">
        <v>1.5100949699999999</v>
      </c>
      <c r="V674">
        <v>1.571928183</v>
      </c>
      <c r="W674">
        <v>1.040946572</v>
      </c>
      <c r="X674">
        <v>1.853257801</v>
      </c>
      <c r="Y674">
        <v>145.90350549999999</v>
      </c>
      <c r="Z674">
        <v>0.57346575899999996</v>
      </c>
      <c r="AA674">
        <v>0.25624279500000002</v>
      </c>
      <c r="AB674">
        <v>0.763154204</v>
      </c>
      <c r="AC674">
        <v>13.7885256</v>
      </c>
      <c r="AD674">
        <v>0.96197710000000003</v>
      </c>
      <c r="AE674">
        <v>16.75202032</v>
      </c>
      <c r="AF674">
        <v>23.13095264</v>
      </c>
      <c r="AG674">
        <v>88.672888220000004</v>
      </c>
      <c r="AH674">
        <v>8.0246001999999997E-2</v>
      </c>
      <c r="AI674">
        <v>15.74865177</v>
      </c>
    </row>
    <row r="675" spans="1:35" x14ac:dyDescent="0.2">
      <c r="A675">
        <v>726</v>
      </c>
      <c r="B675" t="s">
        <v>840</v>
      </c>
      <c r="C675" t="s">
        <v>832</v>
      </c>
      <c r="D675" t="s">
        <v>184</v>
      </c>
      <c r="E675" s="11">
        <v>7.8900000000000007E-6</v>
      </c>
      <c r="F675" s="11">
        <v>2.4700000000000001E-6</v>
      </c>
      <c r="G675">
        <v>0.31385033899999998</v>
      </c>
      <c r="H675">
        <v>0.75779744800000004</v>
      </c>
      <c r="I675" s="11">
        <v>1.04E-5</v>
      </c>
      <c r="J675">
        <v>0.31487054799999997</v>
      </c>
      <c r="K675">
        <v>8.6037059999999992E-3</v>
      </c>
      <c r="L675">
        <v>1.9064307</v>
      </c>
      <c r="M675">
        <v>7.608592E-3</v>
      </c>
      <c r="N675">
        <v>9.9792979999999993E-3</v>
      </c>
      <c r="O675">
        <v>3.0919250000000001E-3</v>
      </c>
      <c r="P675">
        <v>2.687697E-2</v>
      </c>
      <c r="Q675">
        <v>0.98536400599999996</v>
      </c>
      <c r="R675">
        <v>5.9659379699999997</v>
      </c>
      <c r="S675">
        <v>1.5044683E-2</v>
      </c>
      <c r="T675">
        <v>1.3631221000000001E-2</v>
      </c>
      <c r="U675">
        <v>0.11506662400000001</v>
      </c>
      <c r="V675">
        <v>0.11311557</v>
      </c>
      <c r="W675">
        <v>0.98304413599999996</v>
      </c>
      <c r="X675">
        <v>3.0870202070000001</v>
      </c>
      <c r="Y675">
        <v>7.4326840430000001</v>
      </c>
      <c r="Z675">
        <v>0.32190798500000001</v>
      </c>
      <c r="AA675">
        <v>3.8831375000000001E-2</v>
      </c>
      <c r="AB675">
        <v>0.74350709800000003</v>
      </c>
      <c r="AC675">
        <v>3.3439933999999998E-2</v>
      </c>
      <c r="AD675">
        <v>0.86472199299999997</v>
      </c>
      <c r="AE675">
        <v>1.233704983</v>
      </c>
      <c r="AF675">
        <v>3.7642997070000002</v>
      </c>
      <c r="AG675">
        <v>0.64596581600000003</v>
      </c>
      <c r="AH675">
        <v>1.2056948E-2</v>
      </c>
      <c r="AI675">
        <v>1.9397365769999999</v>
      </c>
    </row>
    <row r="676" spans="1:35" x14ac:dyDescent="0.2">
      <c r="A676">
        <v>727</v>
      </c>
      <c r="B676" t="s">
        <v>841</v>
      </c>
      <c r="C676" t="s">
        <v>832</v>
      </c>
      <c r="D676" t="s">
        <v>186</v>
      </c>
      <c r="E676" s="11">
        <v>7.5100000000000001E-6</v>
      </c>
      <c r="F676" s="11">
        <v>2.34E-6</v>
      </c>
      <c r="G676">
        <v>0.31123011499999997</v>
      </c>
      <c r="H676">
        <v>0.50897143199999995</v>
      </c>
      <c r="I676" s="11">
        <v>9.8500000000000006E-6</v>
      </c>
      <c r="J676">
        <v>0.25134161199999999</v>
      </c>
      <c r="K676">
        <v>3.5445233E-2</v>
      </c>
      <c r="L676">
        <v>1.57894014</v>
      </c>
      <c r="M676">
        <v>4.4802939E-2</v>
      </c>
      <c r="N676">
        <v>7.3115640000000004E-3</v>
      </c>
      <c r="O676">
        <v>2.2624680000000001E-3</v>
      </c>
      <c r="P676">
        <v>0.11122316</v>
      </c>
      <c r="Q676">
        <v>0.78882777000000004</v>
      </c>
      <c r="R676">
        <v>4.9554129339999999</v>
      </c>
      <c r="S676">
        <v>1.2478998999999999E-2</v>
      </c>
      <c r="T676">
        <v>1.1223748E-2</v>
      </c>
      <c r="U676">
        <v>9.5443443000000003E-2</v>
      </c>
      <c r="V676">
        <v>9.3137706000000001E-2</v>
      </c>
      <c r="W676">
        <v>0.97584185000000001</v>
      </c>
      <c r="X676">
        <v>3.2766947239999999</v>
      </c>
      <c r="Y676">
        <v>5.890401818</v>
      </c>
      <c r="Z676">
        <v>0.31119842800000003</v>
      </c>
      <c r="AA676">
        <v>2.8897827000000001E-2</v>
      </c>
      <c r="AB676">
        <v>0.73194695600000004</v>
      </c>
      <c r="AC676">
        <v>0.14067933099999999</v>
      </c>
      <c r="AD676">
        <v>0.860792958</v>
      </c>
      <c r="AE676">
        <v>0.91280088800000003</v>
      </c>
      <c r="AF676">
        <v>2.9617928770000002</v>
      </c>
      <c r="AG676">
        <v>2.785657687</v>
      </c>
      <c r="AH676">
        <v>9.0091440000000002E-3</v>
      </c>
      <c r="AI676">
        <v>1.6291642260000001</v>
      </c>
    </row>
    <row r="677" spans="1:35" x14ac:dyDescent="0.2">
      <c r="A677">
        <v>728</v>
      </c>
      <c r="B677" t="s">
        <v>842</v>
      </c>
      <c r="C677" t="s">
        <v>832</v>
      </c>
      <c r="D677" t="s">
        <v>188</v>
      </c>
      <c r="E677" s="11">
        <v>1.13E-5</v>
      </c>
      <c r="F677" s="11">
        <v>4.87E-6</v>
      </c>
      <c r="G677">
        <v>0.43177274199999999</v>
      </c>
      <c r="H677">
        <v>0.17745913099999999</v>
      </c>
      <c r="I677" s="11">
        <v>1.6099999999999998E-5</v>
      </c>
      <c r="J677">
        <v>4.5468820560000003</v>
      </c>
      <c r="K677">
        <v>6.3000344930000001</v>
      </c>
      <c r="L677">
        <v>39.881361320000003</v>
      </c>
      <c r="M677">
        <v>0.13169943200000001</v>
      </c>
      <c r="N677">
        <v>0.116753542</v>
      </c>
      <c r="O677">
        <v>3.6279450999999997E-2</v>
      </c>
      <c r="P677">
        <v>6.8228793599999999</v>
      </c>
      <c r="Q677">
        <v>8.2588674639999997</v>
      </c>
      <c r="R677">
        <v>63.198963499999998</v>
      </c>
      <c r="S677">
        <v>0.199313138</v>
      </c>
      <c r="T677">
        <v>0.19006715099999999</v>
      </c>
      <c r="U677">
        <v>1.5244116510000001</v>
      </c>
      <c r="V677">
        <v>1.577228764</v>
      </c>
      <c r="W677">
        <v>1.0346475399999999</v>
      </c>
      <c r="X677">
        <v>1.8535541360000001</v>
      </c>
      <c r="Y677">
        <v>180.98740559999999</v>
      </c>
      <c r="Z677">
        <v>0.472245894</v>
      </c>
      <c r="AA677">
        <v>0.24186063799999999</v>
      </c>
      <c r="AB677">
        <v>0.77964565399999997</v>
      </c>
      <c r="AC677">
        <v>13.788526190000001</v>
      </c>
      <c r="AD677">
        <v>0.94227793199999998</v>
      </c>
      <c r="AE677">
        <v>22.66511246</v>
      </c>
      <c r="AF677">
        <v>21.904012399999999</v>
      </c>
      <c r="AG677">
        <v>91.411793329999995</v>
      </c>
      <c r="AH677">
        <v>8.0209477000000001E-2</v>
      </c>
      <c r="AI677">
        <v>15.2497519</v>
      </c>
    </row>
    <row r="678" spans="1:35" x14ac:dyDescent="0.2">
      <c r="A678">
        <v>729</v>
      </c>
      <c r="B678" t="s">
        <v>843</v>
      </c>
      <c r="C678" t="s">
        <v>832</v>
      </c>
      <c r="D678" t="s">
        <v>140</v>
      </c>
      <c r="E678" s="11">
        <v>8.5199999999999997E-6</v>
      </c>
      <c r="F678" s="11">
        <v>2.6599999999999999E-6</v>
      </c>
      <c r="G678">
        <v>0.31263671700000001</v>
      </c>
      <c r="H678">
        <v>0.358731992</v>
      </c>
      <c r="I678" s="11">
        <v>1.1199999999999999E-5</v>
      </c>
      <c r="J678">
        <v>0.38401864200000002</v>
      </c>
      <c r="K678">
        <v>1.168567E-2</v>
      </c>
      <c r="L678">
        <v>2.3274831909999998</v>
      </c>
      <c r="M678">
        <v>5.2872520000000001E-3</v>
      </c>
      <c r="N678">
        <v>1.3578366999999999E-2</v>
      </c>
      <c r="O678">
        <v>4.1994939999999998E-3</v>
      </c>
      <c r="P678">
        <v>3.6038599999999997E-2</v>
      </c>
      <c r="Q678">
        <v>1.2145667060000001</v>
      </c>
      <c r="R678">
        <v>7.3594774279999999</v>
      </c>
      <c r="S678">
        <v>1.5309407000000001E-2</v>
      </c>
      <c r="T678">
        <v>1.4975413999999999E-2</v>
      </c>
      <c r="U678">
        <v>0.117091318</v>
      </c>
      <c r="V678">
        <v>0.12427004799999999</v>
      </c>
      <c r="W678">
        <v>1.0613088150000001</v>
      </c>
      <c r="X678">
        <v>3.4792754819999998</v>
      </c>
      <c r="Y678">
        <v>4.6499084249999996</v>
      </c>
      <c r="Z678">
        <v>0.31408555999999999</v>
      </c>
      <c r="AA678">
        <v>2.1181695E-2</v>
      </c>
      <c r="AB678">
        <v>0.49945612299999997</v>
      </c>
      <c r="AC678">
        <v>1.8304017999999998E-2</v>
      </c>
      <c r="AD678">
        <v>0.85841426300000001</v>
      </c>
      <c r="AE678">
        <v>0.77329662399999999</v>
      </c>
      <c r="AF678">
        <v>2.4490748760000001</v>
      </c>
      <c r="AG678">
        <v>0.36996904000000003</v>
      </c>
      <c r="AH678">
        <v>6.5996120000000004E-3</v>
      </c>
      <c r="AI678">
        <v>1.2597297030000001</v>
      </c>
    </row>
    <row r="679" spans="1:35" x14ac:dyDescent="0.2">
      <c r="A679">
        <v>730</v>
      </c>
      <c r="B679" t="s">
        <v>844</v>
      </c>
      <c r="C679" t="s">
        <v>832</v>
      </c>
      <c r="D679" t="s">
        <v>191</v>
      </c>
      <c r="E679" s="11">
        <v>8.5799999999999992E-6</v>
      </c>
      <c r="F679" s="11">
        <v>2.7E-6</v>
      </c>
      <c r="G679">
        <v>0.31494393399999998</v>
      </c>
      <c r="H679">
        <v>0.19935439299999999</v>
      </c>
      <c r="I679" s="11">
        <v>1.13E-5</v>
      </c>
      <c r="J679">
        <v>0.414878462</v>
      </c>
      <c r="K679">
        <v>1.3004352E-2</v>
      </c>
      <c r="L679">
        <v>2.5152794790000002</v>
      </c>
      <c r="M679">
        <v>7.9427109999999999E-3</v>
      </c>
      <c r="N679">
        <v>1.5113705E-2</v>
      </c>
      <c r="O679">
        <v>4.6733900000000004E-3</v>
      </c>
      <c r="P679">
        <v>4.0181840000000003E-2</v>
      </c>
      <c r="Q679">
        <v>1.3137276870000001</v>
      </c>
      <c r="R679">
        <v>7.9627297979999998</v>
      </c>
      <c r="S679">
        <v>1.5118940000000001E-2</v>
      </c>
      <c r="T679">
        <v>1.4727644E-2</v>
      </c>
      <c r="U679">
        <v>0.11563456799999999</v>
      </c>
      <c r="V679">
        <v>0.122213987</v>
      </c>
      <c r="W679">
        <v>1.0568983750000001</v>
      </c>
      <c r="X679">
        <v>3.5871485870000002</v>
      </c>
      <c r="Y679">
        <v>4.1583643769999998</v>
      </c>
      <c r="Z679">
        <v>0.31265631399999999</v>
      </c>
      <c r="AA679">
        <v>1.7943773E-2</v>
      </c>
      <c r="AB679">
        <v>0.39512768700000001</v>
      </c>
      <c r="AC679">
        <v>1.5508569999999999E-2</v>
      </c>
      <c r="AD679">
        <v>0.85356367499999997</v>
      </c>
      <c r="AE679">
        <v>0.69204027300000004</v>
      </c>
      <c r="AF679">
        <v>2.2116493240000001</v>
      </c>
      <c r="AG679">
        <v>0.316314873</v>
      </c>
      <c r="AH679">
        <v>5.5916990000000003E-3</v>
      </c>
      <c r="AI679">
        <v>1.136801065</v>
      </c>
    </row>
    <row r="680" spans="1:35" x14ac:dyDescent="0.2">
      <c r="A680">
        <v>731</v>
      </c>
      <c r="B680" t="s">
        <v>845</v>
      </c>
      <c r="C680" t="s">
        <v>832</v>
      </c>
      <c r="D680" t="s">
        <v>193</v>
      </c>
      <c r="E680" s="11">
        <v>8.8400000000000001E-6</v>
      </c>
      <c r="F680" s="11">
        <v>2.7999999999999999E-6</v>
      </c>
      <c r="G680">
        <v>0.31662217999999998</v>
      </c>
      <c r="H680">
        <v>3.7431803999999999E-2</v>
      </c>
      <c r="I680" s="11">
        <v>1.1600000000000001E-5</v>
      </c>
      <c r="J680">
        <v>0.38501960499999999</v>
      </c>
      <c r="K680">
        <v>1.1725256E-2</v>
      </c>
      <c r="L680">
        <v>2.333568144</v>
      </c>
      <c r="M680">
        <v>4.0672360000000001E-3</v>
      </c>
      <c r="N680">
        <v>1.3608769E-2</v>
      </c>
      <c r="O680">
        <v>4.2137199999999998E-3</v>
      </c>
      <c r="P680">
        <v>3.5927710000000002E-2</v>
      </c>
      <c r="Q680">
        <v>1.217060225</v>
      </c>
      <c r="R680">
        <v>7.374216766</v>
      </c>
      <c r="S680">
        <v>1.4618369000000001E-2</v>
      </c>
      <c r="T680">
        <v>1.4915507999999999E-2</v>
      </c>
      <c r="U680">
        <v>0.111806037</v>
      </c>
      <c r="V680">
        <v>0.123772931</v>
      </c>
      <c r="W680">
        <v>1.107032628</v>
      </c>
      <c r="X680">
        <v>3.8525212610000001</v>
      </c>
      <c r="Y680">
        <v>3.2596760269999998</v>
      </c>
      <c r="Z680">
        <v>0.30800454700000002</v>
      </c>
      <c r="AA680">
        <v>1.1925669999999999E-2</v>
      </c>
      <c r="AB680">
        <v>0.28411040700000001</v>
      </c>
      <c r="AC680">
        <v>1.0315988999999999E-2</v>
      </c>
      <c r="AD680">
        <v>0.87229988300000005</v>
      </c>
      <c r="AE680">
        <v>0.54352598699999999</v>
      </c>
      <c r="AF680">
        <v>1.765379815</v>
      </c>
      <c r="AG680">
        <v>0.21387888099999999</v>
      </c>
      <c r="AH680">
        <v>3.7194849999999998E-3</v>
      </c>
      <c r="AI680">
        <v>0.905670372</v>
      </c>
    </row>
    <row r="681" spans="1:35" x14ac:dyDescent="0.2">
      <c r="A681">
        <v>732</v>
      </c>
      <c r="B681" t="s">
        <v>846</v>
      </c>
      <c r="C681" t="s">
        <v>832</v>
      </c>
      <c r="D681" t="s">
        <v>142</v>
      </c>
      <c r="E681" s="11">
        <v>8.1000000000000004E-6</v>
      </c>
      <c r="F681" s="11">
        <v>1.11E-5</v>
      </c>
      <c r="G681">
        <v>1.370246182</v>
      </c>
      <c r="H681">
        <v>0.26807648299999998</v>
      </c>
      <c r="I681" s="11">
        <v>1.9199999999999999E-5</v>
      </c>
      <c r="J681">
        <v>8.4265926320000002</v>
      </c>
      <c r="K681">
        <v>7.8069049279999998</v>
      </c>
      <c r="L681">
        <v>66.173365649999994</v>
      </c>
      <c r="M681">
        <v>0.119059075</v>
      </c>
      <c r="N681">
        <v>0.125558475</v>
      </c>
      <c r="O681">
        <v>3.6283211000000003E-2</v>
      </c>
      <c r="P681">
        <v>6.6240777</v>
      </c>
      <c r="Q681">
        <v>5.7110329950000001</v>
      </c>
      <c r="R681">
        <v>47.514353370000002</v>
      </c>
      <c r="S681">
        <v>0.20410972299999999</v>
      </c>
      <c r="T681">
        <v>0.22224927999999999</v>
      </c>
      <c r="U681">
        <v>1.561097492</v>
      </c>
      <c r="V681">
        <v>1.8442847959999999</v>
      </c>
      <c r="W681">
        <v>1.1814027030000001</v>
      </c>
      <c r="X681">
        <v>1.853446315</v>
      </c>
      <c r="Y681">
        <v>136.8418216</v>
      </c>
      <c r="Z681">
        <v>1.2568274020000001</v>
      </c>
      <c r="AA681">
        <v>0.26564852900000002</v>
      </c>
      <c r="AB681">
        <v>0.51642440199999995</v>
      </c>
      <c r="AC681">
        <v>10.80917479</v>
      </c>
      <c r="AD681">
        <v>1.0698151920000001</v>
      </c>
      <c r="AE681">
        <v>16.91851071</v>
      </c>
      <c r="AF681">
        <v>11.83582646</v>
      </c>
      <c r="AG681">
        <v>47.34991952</v>
      </c>
      <c r="AH681">
        <v>8.0222765000000001E-2</v>
      </c>
      <c r="AI681">
        <v>8.1477739810000003</v>
      </c>
    </row>
    <row r="682" spans="1:35" x14ac:dyDescent="0.2">
      <c r="A682">
        <v>733</v>
      </c>
      <c r="B682" t="s">
        <v>847</v>
      </c>
      <c r="C682" t="s">
        <v>832</v>
      </c>
      <c r="D682" t="s">
        <v>196</v>
      </c>
      <c r="E682" s="11">
        <v>1.06E-5</v>
      </c>
      <c r="F682" s="11">
        <v>3.3400000000000002E-6</v>
      </c>
      <c r="G682">
        <v>0.31515536100000002</v>
      </c>
      <c r="H682">
        <v>-0.14890618899999999</v>
      </c>
      <c r="I682" s="11">
        <v>1.3900000000000001E-5</v>
      </c>
      <c r="J682">
        <v>1.6068146759999999</v>
      </c>
      <c r="K682">
        <v>6.5074120029999998</v>
      </c>
      <c r="L682">
        <v>22.655712059999999</v>
      </c>
      <c r="M682">
        <v>0.36011684900000002</v>
      </c>
      <c r="N682">
        <v>6.1848985000000002E-2</v>
      </c>
      <c r="O682">
        <v>1.9085682E-2</v>
      </c>
      <c r="P682">
        <v>1.23325632</v>
      </c>
      <c r="Q682">
        <v>4.1213659639999998</v>
      </c>
      <c r="R682">
        <v>27.194708429999999</v>
      </c>
      <c r="S682">
        <v>0.107531539</v>
      </c>
      <c r="T682">
        <v>9.7782020999999997E-2</v>
      </c>
      <c r="U682">
        <v>0.82243615400000003</v>
      </c>
      <c r="V682">
        <v>0.81142172599999995</v>
      </c>
      <c r="W682">
        <v>0.98660755899999997</v>
      </c>
      <c r="X682">
        <v>2.6858048050000001</v>
      </c>
      <c r="Y682">
        <v>42.556764299999998</v>
      </c>
      <c r="Z682">
        <v>0.321123991</v>
      </c>
      <c r="AA682">
        <v>7.1729569000000007E-2</v>
      </c>
      <c r="AB682">
        <v>0.467635464</v>
      </c>
      <c r="AC682">
        <v>8.8278782880000009</v>
      </c>
      <c r="AD682">
        <v>0.869911561</v>
      </c>
      <c r="AE682">
        <v>2.153933995</v>
      </c>
      <c r="AF682">
        <v>5.9440663000000002</v>
      </c>
      <c r="AG682">
        <v>9.5437896040000005</v>
      </c>
      <c r="AH682">
        <v>2.2332365999999999E-2</v>
      </c>
      <c r="AI682">
        <v>3.4483125289999998</v>
      </c>
    </row>
    <row r="683" spans="1:35" x14ac:dyDescent="0.2">
      <c r="A683">
        <v>734</v>
      </c>
      <c r="B683" t="s">
        <v>848</v>
      </c>
      <c r="C683" t="s">
        <v>832</v>
      </c>
      <c r="D683" t="s">
        <v>144</v>
      </c>
      <c r="E683" s="11">
        <v>1.2E-5</v>
      </c>
      <c r="F683" s="11">
        <v>3.89E-6</v>
      </c>
      <c r="G683">
        <v>0.324329541</v>
      </c>
      <c r="H683">
        <v>0.78213974100000005</v>
      </c>
      <c r="I683" s="11">
        <v>1.59E-5</v>
      </c>
      <c r="J683">
        <v>0.29287129099999998</v>
      </c>
      <c r="K683">
        <v>1.1193789000000001E-2</v>
      </c>
      <c r="L683">
        <v>1.779615323</v>
      </c>
      <c r="M683">
        <v>1.2570042E-2</v>
      </c>
      <c r="N683">
        <v>1.3032884E-2</v>
      </c>
      <c r="O683">
        <v>4.0227259999999999E-3</v>
      </c>
      <c r="P683">
        <v>3.4438400000000001E-2</v>
      </c>
      <c r="Q683">
        <v>0.90103715699999998</v>
      </c>
      <c r="R683">
        <v>5.4750997479999999</v>
      </c>
      <c r="S683">
        <v>2.1962203E-2</v>
      </c>
      <c r="T683">
        <v>2.0726586000000002E-2</v>
      </c>
      <c r="U683">
        <v>0.16797406400000001</v>
      </c>
      <c r="V683">
        <v>0.17199483300000001</v>
      </c>
      <c r="W683">
        <v>1.0239368440000001</v>
      </c>
      <c r="X683">
        <v>2.5150682629999999</v>
      </c>
      <c r="Y683">
        <v>10.056154960000001</v>
      </c>
      <c r="Z683">
        <v>0.32812229399999998</v>
      </c>
      <c r="AA683">
        <v>9.3319284000000002E-2</v>
      </c>
      <c r="AB683">
        <v>0.82303223000000003</v>
      </c>
      <c r="AC683">
        <v>8.0515760000000006E-2</v>
      </c>
      <c r="AD683">
        <v>0.89523410699999995</v>
      </c>
      <c r="AE683">
        <v>1.6491060630000001</v>
      </c>
      <c r="AF683">
        <v>4.3059141580000002</v>
      </c>
      <c r="AG683">
        <v>1.3419864589999999</v>
      </c>
      <c r="AH683">
        <v>2.9030390999999999E-2</v>
      </c>
      <c r="AI683">
        <v>2.2460936990000002</v>
      </c>
    </row>
    <row r="684" spans="1:35" x14ac:dyDescent="0.2">
      <c r="A684">
        <v>735</v>
      </c>
      <c r="B684" t="s">
        <v>849</v>
      </c>
      <c r="C684" t="s">
        <v>832</v>
      </c>
      <c r="D684" t="s">
        <v>146</v>
      </c>
      <c r="E684" s="11">
        <v>1.13E-5</v>
      </c>
      <c r="F684" s="11">
        <v>3.5599999999999998E-6</v>
      </c>
      <c r="G684">
        <v>0.314847031</v>
      </c>
      <c r="H684">
        <v>0.66885710799999998</v>
      </c>
      <c r="I684" s="11">
        <v>1.49E-5</v>
      </c>
      <c r="J684">
        <v>0.37699386200000001</v>
      </c>
      <c r="K684">
        <v>1.0997254E-2</v>
      </c>
      <c r="L684">
        <v>2.2839576789999998</v>
      </c>
      <c r="M684">
        <v>9.6316460000000007E-3</v>
      </c>
      <c r="N684">
        <v>1.2798868999999999E-2</v>
      </c>
      <c r="O684">
        <v>3.9520969999999999E-3</v>
      </c>
      <c r="P684">
        <v>3.3844760000000002E-2</v>
      </c>
      <c r="Q684">
        <v>1.1603679520000001</v>
      </c>
      <c r="R684">
        <v>7.0298972219999998</v>
      </c>
      <c r="S684">
        <v>1.9725289999999999E-2</v>
      </c>
      <c r="T684">
        <v>1.8220271999999999E-2</v>
      </c>
      <c r="U684">
        <v>0.150865429</v>
      </c>
      <c r="V684">
        <v>0.15119675799999999</v>
      </c>
      <c r="W684">
        <v>1.002196189</v>
      </c>
      <c r="X684">
        <v>2.8248732649999999</v>
      </c>
      <c r="Y684">
        <v>10.92070416</v>
      </c>
      <c r="Z684">
        <v>0.32318204299999997</v>
      </c>
      <c r="AA684">
        <v>5.7967075E-2</v>
      </c>
      <c r="AB684">
        <v>0.79085985199999997</v>
      </c>
      <c r="AC684">
        <v>5.0023497E-2</v>
      </c>
      <c r="AD684">
        <v>0.87866053600000005</v>
      </c>
      <c r="AE684">
        <v>1.8121533059999999</v>
      </c>
      <c r="AF684">
        <v>5.1918253830000003</v>
      </c>
      <c r="AG684">
        <v>0.91482918000000002</v>
      </c>
      <c r="AH684">
        <v>1.8036241000000001E-2</v>
      </c>
      <c r="AI684">
        <v>2.676418151</v>
      </c>
    </row>
    <row r="685" spans="1:35" x14ac:dyDescent="0.2">
      <c r="A685">
        <v>736</v>
      </c>
      <c r="B685" t="s">
        <v>850</v>
      </c>
      <c r="C685" t="s">
        <v>832</v>
      </c>
      <c r="D685" t="s">
        <v>200</v>
      </c>
      <c r="E685" s="11">
        <v>2.9900000000000002E-6</v>
      </c>
      <c r="F685" s="11">
        <v>2.1299999999999999E-6</v>
      </c>
      <c r="G685">
        <v>0.71309466899999996</v>
      </c>
      <c r="H685">
        <v>-0.45694809400000003</v>
      </c>
      <c r="I685" s="11">
        <v>5.1200000000000001E-6</v>
      </c>
      <c r="J685">
        <v>3.1352251529999999</v>
      </c>
      <c r="K685">
        <v>2.8559201999999999E-2</v>
      </c>
      <c r="L685">
        <v>18.868469319999999</v>
      </c>
      <c r="M685">
        <v>3.0269419999999999E-3</v>
      </c>
      <c r="N685">
        <v>3.3313282E-2</v>
      </c>
      <c r="O685">
        <v>1.0263356E-2</v>
      </c>
      <c r="P685">
        <v>3.75413E-2</v>
      </c>
      <c r="Q685">
        <v>4.1213538850000004</v>
      </c>
      <c r="R685">
        <v>24.803205899999998</v>
      </c>
      <c r="S685">
        <v>6.4233475999999998E-2</v>
      </c>
      <c r="T685">
        <v>6.1847156E-2</v>
      </c>
      <c r="U685">
        <v>0.49127849899999998</v>
      </c>
      <c r="V685">
        <v>0.51322447599999999</v>
      </c>
      <c r="W685">
        <v>1.0446711529999999</v>
      </c>
      <c r="X685">
        <v>2.6214033950000002</v>
      </c>
      <c r="Y685">
        <v>15.101256129999999</v>
      </c>
      <c r="Z685">
        <v>0.33778053899999999</v>
      </c>
      <c r="AA685">
        <v>7.9148535000000006E-2</v>
      </c>
      <c r="AB685">
        <v>-0.249463565</v>
      </c>
      <c r="AC685">
        <v>6.8380519000000001E-2</v>
      </c>
      <c r="AD685">
        <v>0.85981534800000003</v>
      </c>
      <c r="AE685">
        <v>2.5063137659999999</v>
      </c>
      <c r="AF685">
        <v>6.7783115900000004</v>
      </c>
      <c r="AG685">
        <v>1.1802784959999999</v>
      </c>
      <c r="AH685">
        <v>2.4654965000000001E-2</v>
      </c>
      <c r="AI685">
        <v>3.4936242439999998</v>
      </c>
    </row>
    <row r="686" spans="1:35" x14ac:dyDescent="0.2">
      <c r="A686">
        <v>737</v>
      </c>
      <c r="B686" t="s">
        <v>851</v>
      </c>
      <c r="C686" t="s">
        <v>832</v>
      </c>
      <c r="D686" t="s">
        <v>148</v>
      </c>
      <c r="E686" s="11">
        <v>8.5900000000000008E-6</v>
      </c>
      <c r="F686" s="11">
        <v>2.6900000000000001E-6</v>
      </c>
      <c r="G686">
        <v>0.31284574300000001</v>
      </c>
      <c r="H686">
        <v>0.39919852300000003</v>
      </c>
      <c r="I686" s="11">
        <v>1.13E-5</v>
      </c>
      <c r="J686">
        <v>0.366157026</v>
      </c>
      <c r="K686">
        <v>1.6464454999999999E-2</v>
      </c>
      <c r="L686">
        <v>2.2298710650000002</v>
      </c>
      <c r="M686">
        <v>3.796528E-3</v>
      </c>
      <c r="N686">
        <v>1.9134198000000002E-2</v>
      </c>
      <c r="O686">
        <v>5.9168520000000002E-3</v>
      </c>
      <c r="P686">
        <v>4.9639669999999997E-2</v>
      </c>
      <c r="Q686">
        <v>1.1633777670000001</v>
      </c>
      <c r="R686">
        <v>7.0795459320000003</v>
      </c>
      <c r="S686">
        <v>1.7710387000000001E-2</v>
      </c>
      <c r="T686">
        <v>1.6819535E-2</v>
      </c>
      <c r="U686">
        <v>0.13545479599999999</v>
      </c>
      <c r="V686">
        <v>0.139573063</v>
      </c>
      <c r="W686">
        <v>1.0304032569999999</v>
      </c>
      <c r="X686">
        <v>3.4106984530000002</v>
      </c>
      <c r="Y686">
        <v>3.4724538630000001</v>
      </c>
      <c r="Z686">
        <v>0.30976475599999997</v>
      </c>
      <c r="AA686">
        <v>2.3529972E-2</v>
      </c>
      <c r="AB686">
        <v>0.35783997299999998</v>
      </c>
      <c r="AC686">
        <v>0.16334175500000001</v>
      </c>
      <c r="AD686">
        <v>0.86906444299999996</v>
      </c>
      <c r="AE686">
        <v>0.492392779</v>
      </c>
      <c r="AF686">
        <v>1.5479505330000001</v>
      </c>
      <c r="AG686">
        <v>3.2788278270000002</v>
      </c>
      <c r="AH686">
        <v>7.3328719999999998E-3</v>
      </c>
      <c r="AI686">
        <v>0.93387784100000004</v>
      </c>
    </row>
    <row r="687" spans="1:35" x14ac:dyDescent="0.2">
      <c r="A687">
        <v>738</v>
      </c>
      <c r="B687" t="s">
        <v>852</v>
      </c>
      <c r="C687" t="s">
        <v>832</v>
      </c>
      <c r="D687" t="s">
        <v>150</v>
      </c>
      <c r="E687" s="11">
        <v>1.1199999999999999E-5</v>
      </c>
      <c r="F687" s="11">
        <v>3.5599999999999998E-6</v>
      </c>
      <c r="G687">
        <v>0.31834890999999998</v>
      </c>
      <c r="H687">
        <v>0.67369464400000001</v>
      </c>
      <c r="I687" s="11">
        <v>1.47E-5</v>
      </c>
      <c r="J687">
        <v>0.37597239900000001</v>
      </c>
      <c r="K687">
        <v>1.0959211999999999E-2</v>
      </c>
      <c r="L687">
        <v>2.2777528199999999</v>
      </c>
      <c r="M687">
        <v>9.5981680000000007E-3</v>
      </c>
      <c r="N687">
        <v>1.2756943999999999E-2</v>
      </c>
      <c r="O687">
        <v>3.9384260000000001E-3</v>
      </c>
      <c r="P687">
        <v>3.3739379999999999E-2</v>
      </c>
      <c r="Q687">
        <v>1.157555039</v>
      </c>
      <c r="R687">
        <v>7.0128089940000002</v>
      </c>
      <c r="S687">
        <v>1.9218433E-2</v>
      </c>
      <c r="T687">
        <v>1.76603E-2</v>
      </c>
      <c r="U687">
        <v>0.14698882099999999</v>
      </c>
      <c r="V687">
        <v>0.14654995900000001</v>
      </c>
      <c r="W687">
        <v>0.99701431699999998</v>
      </c>
      <c r="X687">
        <v>2.829391008</v>
      </c>
      <c r="Y687">
        <v>10.85671455</v>
      </c>
      <c r="Z687">
        <v>0.32277248400000003</v>
      </c>
      <c r="AA687">
        <v>5.7566212999999998E-2</v>
      </c>
      <c r="AB687">
        <v>0.790198701</v>
      </c>
      <c r="AC687">
        <v>4.9677499999999999E-2</v>
      </c>
      <c r="AD687">
        <v>0.87858395600000005</v>
      </c>
      <c r="AE687">
        <v>1.8015651020000001</v>
      </c>
      <c r="AF687">
        <v>5.1670563639999996</v>
      </c>
      <c r="AG687">
        <v>0.90948433100000003</v>
      </c>
      <c r="AH687">
        <v>1.7911489999999999E-2</v>
      </c>
      <c r="AI687">
        <v>2.6636052480000001</v>
      </c>
    </row>
    <row r="688" spans="1:35" x14ac:dyDescent="0.2">
      <c r="A688">
        <v>739</v>
      </c>
      <c r="B688" t="s">
        <v>853</v>
      </c>
      <c r="C688" t="s">
        <v>832</v>
      </c>
      <c r="D688" t="s">
        <v>204</v>
      </c>
      <c r="E688" s="11">
        <v>6.1700000000000002E-6</v>
      </c>
      <c r="F688" s="11">
        <v>1.9199999999999998E-6</v>
      </c>
      <c r="G688">
        <v>0.31147349299999999</v>
      </c>
      <c r="H688">
        <v>0.42845365299999999</v>
      </c>
      <c r="I688" s="11">
        <v>8.0900000000000005E-6</v>
      </c>
      <c r="J688">
        <v>0.308828306</v>
      </c>
      <c r="K688">
        <v>8.495921E-3</v>
      </c>
      <c r="L688">
        <v>1.869961677</v>
      </c>
      <c r="M688">
        <v>6.8446959999999999E-3</v>
      </c>
      <c r="N688">
        <v>9.837597E-3</v>
      </c>
      <c r="O688">
        <v>3.0531899999999999E-3</v>
      </c>
      <c r="P688">
        <v>2.665205E-2</v>
      </c>
      <c r="Q688">
        <v>0.97756843800000004</v>
      </c>
      <c r="R688">
        <v>5.9187147299999996</v>
      </c>
      <c r="S688">
        <v>1.227841E-2</v>
      </c>
      <c r="T688">
        <v>1.1779929999999999E-2</v>
      </c>
      <c r="U688">
        <v>9.3909271000000002E-2</v>
      </c>
      <c r="V688">
        <v>9.7753058000000004E-2</v>
      </c>
      <c r="W688">
        <v>1.0409308580000001</v>
      </c>
      <c r="X688">
        <v>3.606580675</v>
      </c>
      <c r="Y688">
        <v>4.0190734949999998</v>
      </c>
      <c r="Z688">
        <v>0.30759730699999999</v>
      </c>
      <c r="AA688">
        <v>1.7382201E-2</v>
      </c>
      <c r="AB688">
        <v>0.53472817100000003</v>
      </c>
      <c r="AC688">
        <v>1.5052421E-2</v>
      </c>
      <c r="AD688">
        <v>0.84222248899999996</v>
      </c>
      <c r="AE688">
        <v>0.66882330199999995</v>
      </c>
      <c r="AF688">
        <v>2.1776157729999999</v>
      </c>
      <c r="AG688">
        <v>0.30715294100000001</v>
      </c>
      <c r="AH688">
        <v>5.4272319999999997E-3</v>
      </c>
      <c r="AI688">
        <v>1.1191134730000001</v>
      </c>
    </row>
    <row r="689" spans="1:35" x14ac:dyDescent="0.2">
      <c r="A689">
        <v>740</v>
      </c>
      <c r="B689" t="s">
        <v>854</v>
      </c>
      <c r="C689" t="s">
        <v>832</v>
      </c>
      <c r="D689" t="s">
        <v>152</v>
      </c>
      <c r="E689" s="11">
        <v>8.1100000000000003E-6</v>
      </c>
      <c r="F689" s="11">
        <v>1.11E-5</v>
      </c>
      <c r="G689">
        <v>1.369837456</v>
      </c>
      <c r="H689">
        <v>0.26797545</v>
      </c>
      <c r="I689" s="11">
        <v>1.9199999999999999E-5</v>
      </c>
      <c r="J689">
        <v>8.4332176259999994</v>
      </c>
      <c r="K689">
        <v>7.9389777739999996</v>
      </c>
      <c r="L689">
        <v>66.477261310000003</v>
      </c>
      <c r="M689">
        <v>0.119218318</v>
      </c>
      <c r="N689">
        <v>0.12560998300000001</v>
      </c>
      <c r="O689">
        <v>3.6297968999999999E-2</v>
      </c>
      <c r="P689">
        <v>6.7416200599999998</v>
      </c>
      <c r="Q689">
        <v>5.7157030620000002</v>
      </c>
      <c r="R689">
        <v>47.77745848</v>
      </c>
      <c r="S689">
        <v>0.20417155100000001</v>
      </c>
      <c r="T689">
        <v>0.222315755</v>
      </c>
      <c r="U689">
        <v>1.5615703750000001</v>
      </c>
      <c r="V689">
        <v>1.8448364239999999</v>
      </c>
      <c r="W689">
        <v>1.181398196</v>
      </c>
      <c r="X689">
        <v>1.8530232440000001</v>
      </c>
      <c r="Y689">
        <v>136.81726380000001</v>
      </c>
      <c r="Z689">
        <v>1.2566550160000001</v>
      </c>
      <c r="AA689">
        <v>0.26566906299999998</v>
      </c>
      <c r="AB689">
        <v>0.51411642400000002</v>
      </c>
      <c r="AC689">
        <v>10.82748705</v>
      </c>
      <c r="AD689">
        <v>1.069522423</v>
      </c>
      <c r="AE689">
        <v>16.90396118</v>
      </c>
      <c r="AF689">
        <v>11.8378125</v>
      </c>
      <c r="AG689">
        <v>46.828530819999997</v>
      </c>
      <c r="AH689">
        <v>8.0274923999999998E-2</v>
      </c>
      <c r="AI689">
        <v>8.1252108080000003</v>
      </c>
    </row>
    <row r="690" spans="1:35" x14ac:dyDescent="0.2">
      <c r="A690">
        <v>741</v>
      </c>
      <c r="B690" t="s">
        <v>855</v>
      </c>
      <c r="C690" t="s">
        <v>832</v>
      </c>
      <c r="D690" t="s">
        <v>207</v>
      </c>
      <c r="E690" s="11">
        <v>6.6800000000000004E-6</v>
      </c>
      <c r="F690" s="11">
        <v>2.1100000000000001E-6</v>
      </c>
      <c r="G690">
        <v>0.31634113899999999</v>
      </c>
      <c r="H690">
        <v>0.75289908699999997</v>
      </c>
      <c r="I690" s="11">
        <v>8.7900000000000005E-6</v>
      </c>
      <c r="J690">
        <v>0.34217036499999998</v>
      </c>
      <c r="K690">
        <v>9.875422E-3</v>
      </c>
      <c r="L690">
        <v>2.0727730320000002</v>
      </c>
      <c r="M690">
        <v>1.420468E-3</v>
      </c>
      <c r="N690">
        <v>1.1464401000000001E-2</v>
      </c>
      <c r="O690">
        <v>3.5489430000000001E-3</v>
      </c>
      <c r="P690">
        <v>3.0812229999999999E-2</v>
      </c>
      <c r="Q690">
        <v>1.0829505639999999</v>
      </c>
      <c r="R690">
        <v>6.5593278499999998</v>
      </c>
      <c r="S690">
        <v>1.1780244E-2</v>
      </c>
      <c r="T690">
        <v>1.0595667E-2</v>
      </c>
      <c r="U690">
        <v>9.0099132999999998E-2</v>
      </c>
      <c r="V690">
        <v>8.7925718E-2</v>
      </c>
      <c r="W690">
        <v>0.97587751499999997</v>
      </c>
      <c r="X690">
        <v>3.2742055450000001</v>
      </c>
      <c r="Y690">
        <v>5.8971669809999998</v>
      </c>
      <c r="Z690">
        <v>0.31139823100000003</v>
      </c>
      <c r="AA690">
        <v>2.9024713000000001E-2</v>
      </c>
      <c r="AB690">
        <v>0.64851376299999997</v>
      </c>
      <c r="AC690">
        <v>2.5082588999999999E-2</v>
      </c>
      <c r="AD690">
        <v>0.85837653800000002</v>
      </c>
      <c r="AE690">
        <v>0.97965780999999996</v>
      </c>
      <c r="AF690">
        <v>3.0344535370000001</v>
      </c>
      <c r="AG690">
        <v>0.49583735400000001</v>
      </c>
      <c r="AH690">
        <v>9.0436630000000004E-3</v>
      </c>
      <c r="AI690">
        <v>1.5625232229999999</v>
      </c>
    </row>
    <row r="691" spans="1:35" x14ac:dyDescent="0.2">
      <c r="A691">
        <v>742</v>
      </c>
      <c r="B691" t="s">
        <v>856</v>
      </c>
      <c r="C691" t="s">
        <v>832</v>
      </c>
      <c r="D691" t="s">
        <v>209</v>
      </c>
      <c r="E691" s="11">
        <v>7.34E-6</v>
      </c>
      <c r="F691" s="11">
        <v>2.34E-6</v>
      </c>
      <c r="G691">
        <v>0.31935989599999998</v>
      </c>
      <c r="H691">
        <v>0.61004734500000002</v>
      </c>
      <c r="I691" s="11">
        <v>9.6800000000000005E-6</v>
      </c>
      <c r="J691">
        <v>0.40696643199999999</v>
      </c>
      <c r="K691">
        <v>1.2737460000000001E-2</v>
      </c>
      <c r="L691">
        <v>2.467273515</v>
      </c>
      <c r="M691">
        <v>3.099858E-3</v>
      </c>
      <c r="N691">
        <v>1.4759036999999999E-2</v>
      </c>
      <c r="O691">
        <v>4.5774769999999999E-3</v>
      </c>
      <c r="P691">
        <v>3.8827100000000003E-2</v>
      </c>
      <c r="Q691">
        <v>1.291117056</v>
      </c>
      <c r="R691">
        <v>7.824356538</v>
      </c>
      <c r="S691">
        <v>1.4512195E-2</v>
      </c>
      <c r="T691">
        <v>1.6045863E-2</v>
      </c>
      <c r="U691">
        <v>0.110993984</v>
      </c>
      <c r="V691">
        <v>0.13315292000000001</v>
      </c>
      <c r="W691">
        <v>1.199640874</v>
      </c>
      <c r="X691">
        <v>3.1539971549999999</v>
      </c>
      <c r="Y691">
        <v>6.7274876509999997</v>
      </c>
      <c r="Z691">
        <v>0.32083401299999997</v>
      </c>
      <c r="AA691">
        <v>3.4832402999999998E-2</v>
      </c>
      <c r="AB691">
        <v>0.63325484300000001</v>
      </c>
      <c r="AC691">
        <v>3.0170140000000002E-2</v>
      </c>
      <c r="AD691">
        <v>0.85959852599999997</v>
      </c>
      <c r="AE691">
        <v>1.1167090159999999</v>
      </c>
      <c r="AF691">
        <v>3.4790800129999999</v>
      </c>
      <c r="AG691">
        <v>0.60315089700000002</v>
      </c>
      <c r="AH691">
        <v>1.0878007E-2</v>
      </c>
      <c r="AI691">
        <v>1.7930405140000001</v>
      </c>
    </row>
    <row r="692" spans="1:35" x14ac:dyDescent="0.2">
      <c r="A692">
        <v>743</v>
      </c>
      <c r="B692" t="s">
        <v>857</v>
      </c>
      <c r="C692" t="s">
        <v>832</v>
      </c>
      <c r="D692" t="s">
        <v>154</v>
      </c>
      <c r="E692" s="11">
        <v>6.1199999999999999E-6</v>
      </c>
      <c r="F692" s="11">
        <v>1.9E-6</v>
      </c>
      <c r="G692">
        <v>0.31007736499999999</v>
      </c>
      <c r="H692">
        <v>0.43908301500000002</v>
      </c>
      <c r="I692" s="11">
        <v>8.0199999999999994E-6</v>
      </c>
      <c r="J692">
        <v>0.330212748</v>
      </c>
      <c r="K692">
        <v>9.2978269999999998E-3</v>
      </c>
      <c r="L692">
        <v>1.999872139</v>
      </c>
      <c r="M692">
        <v>6.3633659999999996E-3</v>
      </c>
      <c r="N692">
        <v>1.0782356E-2</v>
      </c>
      <c r="O692">
        <v>3.341372E-3</v>
      </c>
      <c r="P692">
        <v>2.911468E-2</v>
      </c>
      <c r="Q692">
        <v>1.037945919</v>
      </c>
      <c r="R692">
        <v>6.285904876</v>
      </c>
      <c r="S692">
        <v>1.2039675E-2</v>
      </c>
      <c r="T692">
        <v>1.1865788E-2</v>
      </c>
      <c r="U692">
        <v>9.2083349999999994E-2</v>
      </c>
      <c r="V692">
        <v>9.8465523999999999E-2</v>
      </c>
      <c r="W692">
        <v>1.069308664</v>
      </c>
      <c r="X692">
        <v>3.6958975999999999</v>
      </c>
      <c r="Y692">
        <v>3.7409288100000002</v>
      </c>
      <c r="Z692">
        <v>0.30910649200000001</v>
      </c>
      <c r="AA692">
        <v>1.5158833E-2</v>
      </c>
      <c r="AB692">
        <v>0.46540759199999998</v>
      </c>
      <c r="AC692">
        <v>1.3122383E-2</v>
      </c>
      <c r="AD692">
        <v>0.83849761199999995</v>
      </c>
      <c r="AE692">
        <v>0.62304161000000002</v>
      </c>
      <c r="AF692">
        <v>2.0035595430000002</v>
      </c>
      <c r="AG692">
        <v>0.269331027</v>
      </c>
      <c r="AH692">
        <v>4.731346E-3</v>
      </c>
      <c r="AI692">
        <v>1.029063069</v>
      </c>
    </row>
    <row r="693" spans="1:35" x14ac:dyDescent="0.2">
      <c r="A693">
        <v>744</v>
      </c>
      <c r="B693" t="s">
        <v>858</v>
      </c>
      <c r="C693" t="s">
        <v>832</v>
      </c>
      <c r="D693" t="s">
        <v>156</v>
      </c>
      <c r="E693" s="11">
        <v>8.2300000000000008E-6</v>
      </c>
      <c r="F693" s="11">
        <v>2.5600000000000001E-6</v>
      </c>
      <c r="G693">
        <v>0.310801508</v>
      </c>
      <c r="H693">
        <v>0.94483730200000005</v>
      </c>
      <c r="I693" s="11">
        <v>1.08E-5</v>
      </c>
      <c r="J693">
        <v>0.21266138500000001</v>
      </c>
      <c r="K693">
        <v>6.4414650000000004E-3</v>
      </c>
      <c r="L693">
        <v>1.288851239</v>
      </c>
      <c r="M693">
        <v>9.9820399999999993E-3</v>
      </c>
      <c r="N693">
        <v>7.4844539999999998E-3</v>
      </c>
      <c r="O693">
        <v>2.3148769999999999E-3</v>
      </c>
      <c r="P693">
        <v>2.021214E-2</v>
      </c>
      <c r="Q693">
        <v>0.66711779500000001</v>
      </c>
      <c r="R693">
        <v>4.0431310460000001</v>
      </c>
      <c r="S693">
        <v>1.6302413000000002E-2</v>
      </c>
      <c r="T693">
        <v>1.458864E-2</v>
      </c>
      <c r="U693">
        <v>0.12468615399999999</v>
      </c>
      <c r="V693">
        <v>0.12106049000000001</v>
      </c>
      <c r="W693">
        <v>0.97092167900000004</v>
      </c>
      <c r="X693">
        <v>2.6301804029999998</v>
      </c>
      <c r="Y693">
        <v>8.4026840939999996</v>
      </c>
      <c r="Z693">
        <v>0.341649437</v>
      </c>
      <c r="AA693">
        <v>7.8159356999999999E-2</v>
      </c>
      <c r="AB693">
        <v>0.84661434099999999</v>
      </c>
      <c r="AC693">
        <v>6.7464645000000004E-2</v>
      </c>
      <c r="AD693">
        <v>0.87476547999999998</v>
      </c>
      <c r="AE693">
        <v>1.37784719</v>
      </c>
      <c r="AF693">
        <v>3.7387208379999999</v>
      </c>
      <c r="AG693">
        <v>1.168849276</v>
      </c>
      <c r="AH693">
        <v>2.4324741E-2</v>
      </c>
      <c r="AI693">
        <v>1.950393018</v>
      </c>
    </row>
    <row r="694" spans="1:35" x14ac:dyDescent="0.2">
      <c r="A694">
        <v>745</v>
      </c>
      <c r="B694" t="s">
        <v>859</v>
      </c>
      <c r="C694" t="s">
        <v>832</v>
      </c>
      <c r="D694" t="s">
        <v>158</v>
      </c>
      <c r="E694" s="11">
        <v>5.8599999999999998E-6</v>
      </c>
      <c r="F694" s="11">
        <v>1.8199999999999999E-6</v>
      </c>
      <c r="G694">
        <v>0.310546031</v>
      </c>
      <c r="H694">
        <v>0.57687465699999996</v>
      </c>
      <c r="I694" s="11">
        <v>7.6799999999999993E-6</v>
      </c>
      <c r="J694">
        <v>0.30809001699999999</v>
      </c>
      <c r="K694">
        <v>8.3789239999999994E-3</v>
      </c>
      <c r="L694">
        <v>1.865297948</v>
      </c>
      <c r="M694">
        <v>2.4454849999999998E-3</v>
      </c>
      <c r="N694">
        <v>9.7131749999999992E-3</v>
      </c>
      <c r="O694">
        <v>3.0111439999999999E-3</v>
      </c>
      <c r="P694">
        <v>5.1036940000000003E-2</v>
      </c>
      <c r="Q694">
        <v>0.970954545</v>
      </c>
      <c r="R694">
        <v>5.927801144</v>
      </c>
      <c r="S694">
        <v>9.5851600000000006E-3</v>
      </c>
      <c r="T694">
        <v>8.5853839999999997E-3</v>
      </c>
      <c r="U694">
        <v>7.3310421000000001E-2</v>
      </c>
      <c r="V694">
        <v>7.1243846999999999E-2</v>
      </c>
      <c r="W694">
        <v>0.971810638</v>
      </c>
      <c r="X694">
        <v>3.3416578260000001</v>
      </c>
      <c r="Y694">
        <v>4.1493185830000003</v>
      </c>
      <c r="Z694">
        <v>0.315040822</v>
      </c>
      <c r="AA694">
        <v>2.6097556000000001E-2</v>
      </c>
      <c r="AB694">
        <v>0.55045680100000005</v>
      </c>
      <c r="AC694">
        <v>2.2613465999999999E-2</v>
      </c>
      <c r="AD694">
        <v>0.85905542700000004</v>
      </c>
      <c r="AE694">
        <v>0.68647655100000005</v>
      </c>
      <c r="AF694">
        <v>2.791037668</v>
      </c>
      <c r="AG694">
        <v>0.77658388899999997</v>
      </c>
      <c r="AH694">
        <v>8.1534069999999997E-3</v>
      </c>
      <c r="AI694">
        <v>1.451671994</v>
      </c>
    </row>
    <row r="695" spans="1:35" x14ac:dyDescent="0.2">
      <c r="A695">
        <v>746</v>
      </c>
      <c r="B695" t="s">
        <v>860</v>
      </c>
      <c r="C695" t="s">
        <v>832</v>
      </c>
      <c r="D695" t="s">
        <v>214</v>
      </c>
      <c r="E695" s="11">
        <v>6.2700000000000001E-6</v>
      </c>
      <c r="F695" s="11">
        <v>1.9599999999999999E-6</v>
      </c>
      <c r="G695">
        <v>0.31261299100000001</v>
      </c>
      <c r="H695">
        <v>0.362391888</v>
      </c>
      <c r="I695" s="11">
        <v>8.2300000000000008E-6</v>
      </c>
      <c r="J695">
        <v>0.34766417599999999</v>
      </c>
      <c r="K695">
        <v>1.0038792E-2</v>
      </c>
      <c r="L695">
        <v>2.106062643</v>
      </c>
      <c r="M695">
        <v>4.3889150000000002E-3</v>
      </c>
      <c r="N695">
        <v>1.1644130000000001E-2</v>
      </c>
      <c r="O695">
        <v>3.6076530000000002E-3</v>
      </c>
      <c r="P695">
        <v>5.5984150000000003E-2</v>
      </c>
      <c r="Q695">
        <v>1.0920730940000001</v>
      </c>
      <c r="R695">
        <v>6.6644068660000002</v>
      </c>
      <c r="S695">
        <v>1.1319783E-2</v>
      </c>
      <c r="T695">
        <v>1.0498067E-2</v>
      </c>
      <c r="U695">
        <v>8.6577376999999997E-2</v>
      </c>
      <c r="V695">
        <v>8.7115806000000004E-2</v>
      </c>
      <c r="W695">
        <v>1.0062190499999999</v>
      </c>
      <c r="X695">
        <v>3.2943692260000002</v>
      </c>
      <c r="Y695">
        <v>4.1550663669999999</v>
      </c>
      <c r="Z695">
        <v>0.31119906200000003</v>
      </c>
      <c r="AA695">
        <v>2.8074473999999999E-2</v>
      </c>
      <c r="AB695">
        <v>0.493133814</v>
      </c>
      <c r="AC695">
        <v>2.4317493999999999E-2</v>
      </c>
      <c r="AD695">
        <v>0.86098451300000001</v>
      </c>
      <c r="AE695">
        <v>0.68647655100000005</v>
      </c>
      <c r="AF695">
        <v>2.9362306870000001</v>
      </c>
      <c r="AG695">
        <v>0.80846421700000004</v>
      </c>
      <c r="AH695">
        <v>8.7678040000000006E-3</v>
      </c>
      <c r="AI695">
        <v>1.5268045509999999</v>
      </c>
    </row>
    <row r="696" spans="1:35" x14ac:dyDescent="0.2">
      <c r="A696">
        <v>747</v>
      </c>
      <c r="B696" t="s">
        <v>861</v>
      </c>
      <c r="C696" t="s">
        <v>832</v>
      </c>
      <c r="D696" t="s">
        <v>160</v>
      </c>
      <c r="E696" s="11">
        <v>8.3100000000000001E-6</v>
      </c>
      <c r="F696" s="11">
        <v>2.5900000000000002E-6</v>
      </c>
      <c r="G696">
        <v>0.31155115</v>
      </c>
      <c r="H696">
        <v>0.91995799899999997</v>
      </c>
      <c r="I696" s="11">
        <v>1.0900000000000001E-5</v>
      </c>
      <c r="J696">
        <v>0.20977441399999999</v>
      </c>
      <c r="K696">
        <v>6.2594160000000003E-3</v>
      </c>
      <c r="L696">
        <v>1.2711653169999999</v>
      </c>
      <c r="M696">
        <v>9.8528299999999999E-3</v>
      </c>
      <c r="N696">
        <v>7.2738899999999999E-3</v>
      </c>
      <c r="O696">
        <v>2.2494540000000001E-3</v>
      </c>
      <c r="P696">
        <v>1.9660009999999999E-2</v>
      </c>
      <c r="Q696">
        <v>0.65865832300000005</v>
      </c>
      <c r="R696">
        <v>3.991269956</v>
      </c>
      <c r="S696">
        <v>1.5609346E-2</v>
      </c>
      <c r="T696">
        <v>1.3865446E-2</v>
      </c>
      <c r="U696">
        <v>0.119385349</v>
      </c>
      <c r="V696">
        <v>0.115059227</v>
      </c>
      <c r="W696">
        <v>0.96376337599999995</v>
      </c>
      <c r="X696">
        <v>2.5487307509999999</v>
      </c>
      <c r="Y696">
        <v>8.4987447239999998</v>
      </c>
      <c r="Z696">
        <v>0.33339065200000001</v>
      </c>
      <c r="AA696">
        <v>8.8484033000000004E-2</v>
      </c>
      <c r="AB696">
        <v>0.85042905099999999</v>
      </c>
      <c r="AC696">
        <v>7.6457615000000007E-2</v>
      </c>
      <c r="AD696">
        <v>0.87938319499999995</v>
      </c>
      <c r="AE696">
        <v>1.3889248910000001</v>
      </c>
      <c r="AF696">
        <v>4.1678823229999997</v>
      </c>
      <c r="AG696">
        <v>1.308138399</v>
      </c>
      <c r="AH696">
        <v>2.7567205000000001E-2</v>
      </c>
      <c r="AI696">
        <v>2.1745067730000001</v>
      </c>
    </row>
    <row r="697" spans="1:35" x14ac:dyDescent="0.2">
      <c r="A697">
        <v>748</v>
      </c>
      <c r="B697" t="s">
        <v>862</v>
      </c>
      <c r="C697" t="s">
        <v>832</v>
      </c>
      <c r="D697" t="s">
        <v>162</v>
      </c>
      <c r="E697" s="11">
        <v>1.13E-5</v>
      </c>
      <c r="F697" s="11">
        <v>3.5499999999999999E-6</v>
      </c>
      <c r="G697">
        <v>0.31526997699999998</v>
      </c>
      <c r="H697">
        <v>0.67534066699999995</v>
      </c>
      <c r="I697" s="11">
        <v>1.4800000000000001E-5</v>
      </c>
      <c r="J697">
        <v>0.37645417599999997</v>
      </c>
      <c r="K697">
        <v>1.0985079999999999E-2</v>
      </c>
      <c r="L697">
        <v>2.2806952159999998</v>
      </c>
      <c r="M697">
        <v>9.6207040000000008E-3</v>
      </c>
      <c r="N697">
        <v>1.2786878E-2</v>
      </c>
      <c r="O697">
        <v>3.9477219999999999E-3</v>
      </c>
      <c r="P697">
        <v>3.3814520000000001E-2</v>
      </c>
      <c r="Q697">
        <v>1.158884536</v>
      </c>
      <c r="R697">
        <v>7.0209362559999997</v>
      </c>
      <c r="S697">
        <v>1.9224274E-2</v>
      </c>
      <c r="T697">
        <v>1.8102044000000001E-2</v>
      </c>
      <c r="U697">
        <v>0.14703349600000001</v>
      </c>
      <c r="V697">
        <v>0.15021567299999999</v>
      </c>
      <c r="W697">
        <v>1.0216425309999999</v>
      </c>
      <c r="X697">
        <v>2.828151949</v>
      </c>
      <c r="Y697">
        <v>10.85439656</v>
      </c>
      <c r="Z697">
        <v>0.33915598600000002</v>
      </c>
      <c r="AA697">
        <v>5.7678048000000003E-2</v>
      </c>
      <c r="AB697">
        <v>0.78988281800000004</v>
      </c>
      <c r="AC697">
        <v>4.9772155999999998E-2</v>
      </c>
      <c r="AD697">
        <v>0.87984596699999995</v>
      </c>
      <c r="AE697">
        <v>1.8011206120000001</v>
      </c>
      <c r="AF697">
        <v>5.1644329869999996</v>
      </c>
      <c r="AG697">
        <v>0.91090304300000002</v>
      </c>
      <c r="AH697">
        <v>1.7945618999999999E-2</v>
      </c>
      <c r="AI697">
        <v>2.6623379150000002</v>
      </c>
    </row>
    <row r="698" spans="1:35" x14ac:dyDescent="0.2">
      <c r="A698">
        <v>749</v>
      </c>
      <c r="B698" t="s">
        <v>863</v>
      </c>
      <c r="C698" t="s">
        <v>832</v>
      </c>
      <c r="D698" t="s">
        <v>218</v>
      </c>
      <c r="E698" s="11">
        <v>8.4100000000000008E-6</v>
      </c>
      <c r="F698" s="11">
        <v>2.6299999999999998E-6</v>
      </c>
      <c r="G698">
        <v>0.31267447300000001</v>
      </c>
      <c r="H698">
        <v>0.99207328100000003</v>
      </c>
      <c r="I698" s="11">
        <v>1.1E-5</v>
      </c>
      <c r="J698">
        <v>0.38673964199999999</v>
      </c>
      <c r="K698">
        <v>1.1759344999999999E-2</v>
      </c>
      <c r="L698">
        <v>2.3439565450000002</v>
      </c>
      <c r="M698">
        <v>1.486315E-2</v>
      </c>
      <c r="N698">
        <v>1.3658997000000001E-2</v>
      </c>
      <c r="O698">
        <v>4.2259699999999999E-3</v>
      </c>
      <c r="P698">
        <v>3.6056089999999999E-2</v>
      </c>
      <c r="Q698">
        <v>1.2189453260000001</v>
      </c>
      <c r="R698">
        <v>7.3857841439999996</v>
      </c>
      <c r="S698">
        <v>1.7729008000000001E-2</v>
      </c>
      <c r="T698">
        <v>1.7092842E-2</v>
      </c>
      <c r="U698">
        <v>0.13559721499999999</v>
      </c>
      <c r="V698">
        <v>0.141841037</v>
      </c>
      <c r="W698">
        <v>1.046046831</v>
      </c>
      <c r="X698">
        <v>2.4580524079999999</v>
      </c>
      <c r="Y698">
        <v>19.96807192</v>
      </c>
      <c r="Z698">
        <v>0.34984521099999999</v>
      </c>
      <c r="AA698">
        <v>0.101807447</v>
      </c>
      <c r="AB698">
        <v>0.88261477799999999</v>
      </c>
      <c r="AC698">
        <v>8.7886623999999997E-2</v>
      </c>
      <c r="AD698">
        <v>0.86885923300000001</v>
      </c>
      <c r="AE698">
        <v>3.3154848889999999</v>
      </c>
      <c r="AF698">
        <v>8.4656420650000008</v>
      </c>
      <c r="AG698">
        <v>1.4321956629999999</v>
      </c>
      <c r="AH698">
        <v>3.1687996000000003E-2</v>
      </c>
      <c r="AI698">
        <v>4.3614010910000003</v>
      </c>
    </row>
    <row r="699" spans="1:35" x14ac:dyDescent="0.2">
      <c r="A699">
        <v>750</v>
      </c>
      <c r="B699" t="s">
        <v>864</v>
      </c>
      <c r="C699" t="s">
        <v>832</v>
      </c>
      <c r="D699" t="s">
        <v>220</v>
      </c>
      <c r="E699" s="11">
        <v>1.1199999999999999E-5</v>
      </c>
      <c r="F699" s="11">
        <v>3.5999999999999998E-6</v>
      </c>
      <c r="G699">
        <v>0.32015976200000001</v>
      </c>
      <c r="H699">
        <v>0.67399677099999999</v>
      </c>
      <c r="I699" s="11">
        <v>1.4800000000000001E-5</v>
      </c>
      <c r="J699">
        <v>0.37610832399999999</v>
      </c>
      <c r="K699">
        <v>1.096651E-2</v>
      </c>
      <c r="L699">
        <v>2.278582965</v>
      </c>
      <c r="M699">
        <v>9.6046299999999994E-3</v>
      </c>
      <c r="N699">
        <v>1.276564E-2</v>
      </c>
      <c r="O699">
        <v>3.9410479999999999E-3</v>
      </c>
      <c r="P699">
        <v>3.3761300000000001E-2</v>
      </c>
      <c r="Q699">
        <v>1.157954328</v>
      </c>
      <c r="R699">
        <v>7.0152485660000004</v>
      </c>
      <c r="S699">
        <v>1.9275036999999998E-2</v>
      </c>
      <c r="T699">
        <v>1.8264969999999998E-2</v>
      </c>
      <c r="U699">
        <v>0.14742174499999999</v>
      </c>
      <c r="V699">
        <v>0.15156767199999999</v>
      </c>
      <c r="W699">
        <v>1.0281229000000001</v>
      </c>
      <c r="X699">
        <v>2.8285220240000002</v>
      </c>
      <c r="Y699">
        <v>10.85509691</v>
      </c>
      <c r="Z699">
        <v>0.33874947700000002</v>
      </c>
      <c r="AA699">
        <v>5.7645363999999998E-2</v>
      </c>
      <c r="AB699">
        <v>0.79009096099999998</v>
      </c>
      <c r="AC699">
        <v>4.9743865999999998E-2</v>
      </c>
      <c r="AD699">
        <v>0.88134195900000001</v>
      </c>
      <c r="AE699">
        <v>1.8012547350000001</v>
      </c>
      <c r="AF699">
        <v>5.1652843019999999</v>
      </c>
      <c r="AG699">
        <v>0.910467374</v>
      </c>
      <c r="AH699">
        <v>1.7935419000000001E-2</v>
      </c>
      <c r="AI699">
        <v>2.6627502949999999</v>
      </c>
    </row>
    <row r="700" spans="1:35" x14ac:dyDescent="0.2">
      <c r="A700">
        <v>751</v>
      </c>
      <c r="B700" t="s">
        <v>865</v>
      </c>
      <c r="C700" t="s">
        <v>832</v>
      </c>
      <c r="D700" t="s">
        <v>164</v>
      </c>
      <c r="E700" s="11">
        <v>2.7599999999999998E-6</v>
      </c>
      <c r="F700" s="11">
        <v>8.6000000000000002E-7</v>
      </c>
      <c r="G700">
        <v>0.31129178899999999</v>
      </c>
      <c r="H700">
        <v>0.64313411399999998</v>
      </c>
      <c r="I700" s="11">
        <v>3.6200000000000001E-6</v>
      </c>
      <c r="J700">
        <v>0.40077029800000002</v>
      </c>
      <c r="K700">
        <v>4.1680429999999997E-3</v>
      </c>
      <c r="L700">
        <v>2.412957875</v>
      </c>
      <c r="M700">
        <v>7.1290850000000003E-3</v>
      </c>
      <c r="N700">
        <v>4.7869130000000003E-3</v>
      </c>
      <c r="O700">
        <v>1.4978750000000001E-3</v>
      </c>
      <c r="P700">
        <v>1.8204519999999998E-2</v>
      </c>
      <c r="Q700">
        <v>1.269601763</v>
      </c>
      <c r="R700">
        <v>7.6540196219999999</v>
      </c>
      <c r="S700">
        <v>4.1040800000000004E-3</v>
      </c>
      <c r="T700">
        <v>3.612606E-3</v>
      </c>
      <c r="U700">
        <v>3.1389337000000003E-2</v>
      </c>
      <c r="V700">
        <v>2.9978385E-2</v>
      </c>
      <c r="W700">
        <v>0.955049959</v>
      </c>
      <c r="X700">
        <v>2.3560270650000001</v>
      </c>
      <c r="Y700">
        <v>13.51718266</v>
      </c>
      <c r="Z700">
        <v>0.359257571</v>
      </c>
      <c r="AA700">
        <v>0.11905521500000001</v>
      </c>
      <c r="AB700">
        <v>0.82148958599999999</v>
      </c>
      <c r="AC700">
        <v>0.102800618</v>
      </c>
      <c r="AD700">
        <v>0.87359457699999998</v>
      </c>
      <c r="AE700">
        <v>2.2197638610000001</v>
      </c>
      <c r="AF700">
        <v>5.4250749950000001</v>
      </c>
      <c r="AG700">
        <v>1.603452321</v>
      </c>
      <c r="AH700">
        <v>3.7065317E-2</v>
      </c>
      <c r="AI700">
        <v>2.8259332879999999</v>
      </c>
    </row>
    <row r="701" spans="1:35" x14ac:dyDescent="0.2">
      <c r="A701">
        <v>752</v>
      </c>
      <c r="B701" t="s">
        <v>866</v>
      </c>
      <c r="C701" t="s">
        <v>832</v>
      </c>
      <c r="D701" t="s">
        <v>166</v>
      </c>
      <c r="E701" s="11">
        <v>1.63E-5</v>
      </c>
      <c r="F701" s="11">
        <v>5.5899999999999998E-6</v>
      </c>
      <c r="G701">
        <v>0.34283010400000002</v>
      </c>
      <c r="H701">
        <v>-2.1290250000000001E-3</v>
      </c>
      <c r="I701" s="11">
        <v>2.19E-5</v>
      </c>
      <c r="J701">
        <v>1.8154193780000001</v>
      </c>
      <c r="K701">
        <v>8.8245322000000001E-2</v>
      </c>
      <c r="L701">
        <v>11.069006910000001</v>
      </c>
      <c r="M701">
        <v>2.1256468000000001E-2</v>
      </c>
      <c r="N701">
        <v>0.10209865899999999</v>
      </c>
      <c r="O701">
        <v>3.1712830999999997E-2</v>
      </c>
      <c r="P701">
        <v>0.22532102000000001</v>
      </c>
      <c r="Q701">
        <v>4.6310859459999998</v>
      </c>
      <c r="R701">
        <v>28.237157710000002</v>
      </c>
      <c r="S701">
        <v>0.107125517</v>
      </c>
      <c r="T701">
        <v>0.100120853</v>
      </c>
      <c r="U701">
        <v>0.81933076900000001</v>
      </c>
      <c r="V701">
        <v>0.83082998799999996</v>
      </c>
      <c r="W701">
        <v>1.014034892</v>
      </c>
      <c r="X701">
        <v>2.455401272</v>
      </c>
      <c r="Y701">
        <v>11.069005020000001</v>
      </c>
      <c r="Z701">
        <v>0.342829948</v>
      </c>
      <c r="AA701">
        <v>0.102271271</v>
      </c>
      <c r="AB701" s="11">
        <v>-1.7100000000000001E-7</v>
      </c>
      <c r="AC701">
        <v>8.8245316000000004E-2</v>
      </c>
      <c r="AD701">
        <v>0.89546787999999999</v>
      </c>
      <c r="AE701">
        <v>1.8154190619999999</v>
      </c>
      <c r="AF701">
        <v>4.6326498139999996</v>
      </c>
      <c r="AG701">
        <v>1.437117915</v>
      </c>
      <c r="AH701">
        <v>3.1817324000000001E-2</v>
      </c>
      <c r="AI701">
        <v>2.416225925</v>
      </c>
    </row>
    <row r="702" spans="1:35" x14ac:dyDescent="0.2">
      <c r="A702">
        <v>753</v>
      </c>
      <c r="B702" t="s">
        <v>867</v>
      </c>
      <c r="C702" t="s">
        <v>832</v>
      </c>
      <c r="D702" t="s">
        <v>224</v>
      </c>
      <c r="E702" s="11">
        <v>7.5700000000000002E-7</v>
      </c>
      <c r="F702" s="11">
        <v>2.3999999999999998E-7</v>
      </c>
      <c r="G702">
        <v>0.31723193500000002</v>
      </c>
      <c r="H702">
        <v>7.6036041999999998E-2</v>
      </c>
      <c r="I702" s="11">
        <v>9.9699999999999994E-7</v>
      </c>
      <c r="J702">
        <v>0.23663055899999999</v>
      </c>
      <c r="K702">
        <v>4.65573E-4</v>
      </c>
      <c r="L702">
        <v>1.4207144979999999</v>
      </c>
      <c r="M702">
        <v>6.5542499999999995E-4</v>
      </c>
      <c r="N702">
        <v>5.1225200000000004E-4</v>
      </c>
      <c r="O702">
        <v>1.6740099999999999E-4</v>
      </c>
      <c r="P702">
        <v>1.42146E-3</v>
      </c>
      <c r="Q702">
        <v>0.72341545799999996</v>
      </c>
      <c r="R702">
        <v>4.3433356759999997</v>
      </c>
      <c r="S702">
        <v>8.7733400000000001E-4</v>
      </c>
      <c r="T702">
        <v>7.2079700000000002E-4</v>
      </c>
      <c r="U702">
        <v>6.7101319999999997E-3</v>
      </c>
      <c r="V702">
        <v>5.9813669999999996E-3</v>
      </c>
      <c r="W702">
        <v>0.89139334400000003</v>
      </c>
      <c r="X702">
        <v>3.2155301679999999</v>
      </c>
      <c r="Y702">
        <v>6.2513153350000001</v>
      </c>
      <c r="Z702">
        <v>0.31101127000000001</v>
      </c>
      <c r="AA702">
        <v>3.1757396E-2</v>
      </c>
      <c r="AB702">
        <v>0.77273350900000004</v>
      </c>
      <c r="AC702">
        <v>2.7448683000000001E-2</v>
      </c>
      <c r="AD702">
        <v>0.85851025000000003</v>
      </c>
      <c r="AE702">
        <v>1.0380013749999999</v>
      </c>
      <c r="AF702">
        <v>3.2347060129999998</v>
      </c>
      <c r="AG702">
        <v>0.53951538300000002</v>
      </c>
      <c r="AH702">
        <v>9.8967710000000004E-3</v>
      </c>
      <c r="AI702">
        <v>1.666134021</v>
      </c>
    </row>
    <row r="703" spans="1:35" x14ac:dyDescent="0.2">
      <c r="A703">
        <v>754</v>
      </c>
      <c r="B703" t="s">
        <v>868</v>
      </c>
      <c r="C703" t="s">
        <v>832</v>
      </c>
      <c r="D703" t="s">
        <v>226</v>
      </c>
      <c r="E703" s="11">
        <v>6.9500000000000004E-6</v>
      </c>
      <c r="F703" s="11">
        <v>2.1600000000000001E-6</v>
      </c>
      <c r="G703">
        <v>0.31024801400000002</v>
      </c>
      <c r="H703">
        <v>0.35471295400000002</v>
      </c>
      <c r="I703" s="11">
        <v>9.0999999999999993E-6</v>
      </c>
      <c r="J703">
        <v>0.37257372999999999</v>
      </c>
      <c r="K703">
        <v>1.1066286E-2</v>
      </c>
      <c r="L703">
        <v>2.2575749520000001</v>
      </c>
      <c r="M703">
        <v>2.4218780000000001E-3</v>
      </c>
      <c r="N703">
        <v>1.2842635E-2</v>
      </c>
      <c r="O703">
        <v>3.9769050000000002E-3</v>
      </c>
      <c r="P703">
        <v>3.4385770000000003E-2</v>
      </c>
      <c r="Q703">
        <v>1.1719894639999999</v>
      </c>
      <c r="R703">
        <v>7.1007083179999997</v>
      </c>
      <c r="S703">
        <v>1.3940658E-2</v>
      </c>
      <c r="T703">
        <v>1.297236E-2</v>
      </c>
      <c r="U703">
        <v>0.106622683</v>
      </c>
      <c r="V703">
        <v>0.10764816000000001</v>
      </c>
      <c r="W703">
        <v>1.009617813</v>
      </c>
      <c r="X703">
        <v>3.5105221260000001</v>
      </c>
      <c r="Y703">
        <v>4.5090551679999997</v>
      </c>
      <c r="Z703">
        <v>0.31575835099999999</v>
      </c>
      <c r="AA703">
        <v>2.0173065E-2</v>
      </c>
      <c r="AB703">
        <v>0.49932416699999999</v>
      </c>
      <c r="AC703">
        <v>1.7446092E-2</v>
      </c>
      <c r="AD703">
        <v>0.84959094099999999</v>
      </c>
      <c r="AE703">
        <v>0.75004473699999996</v>
      </c>
      <c r="AF703">
        <v>2.3802480560000001</v>
      </c>
      <c r="AG703">
        <v>0.35333702500000003</v>
      </c>
      <c r="AH703">
        <v>6.2902829999999998E-3</v>
      </c>
      <c r="AI703">
        <v>1.224045415</v>
      </c>
    </row>
    <row r="704" spans="1:35" x14ac:dyDescent="0.2">
      <c r="A704">
        <v>755</v>
      </c>
      <c r="B704" t="s">
        <v>869</v>
      </c>
      <c r="C704" t="s">
        <v>832</v>
      </c>
      <c r="D704" t="s">
        <v>870</v>
      </c>
      <c r="E704" s="11">
        <v>7.0099999999999998E-6</v>
      </c>
      <c r="F704" s="11">
        <v>2.17E-6</v>
      </c>
      <c r="G704">
        <v>0.30980043800000001</v>
      </c>
      <c r="H704">
        <v>0.21572805</v>
      </c>
      <c r="I704" s="11">
        <v>9.1800000000000002E-6</v>
      </c>
      <c r="J704">
        <v>0.38609200399999999</v>
      </c>
      <c r="K704">
        <v>1.571022E-2</v>
      </c>
      <c r="L704">
        <v>2.3479724640000001</v>
      </c>
      <c r="M704">
        <v>8.9466979999999995E-3</v>
      </c>
      <c r="N704">
        <v>1.8224407000000001E-2</v>
      </c>
      <c r="O704">
        <v>5.6458009999999998E-3</v>
      </c>
      <c r="P704">
        <v>7.1937349999999997E-2</v>
      </c>
      <c r="Q704">
        <v>1.5021208939999999</v>
      </c>
      <c r="R704">
        <v>9.1566000639999992</v>
      </c>
      <c r="S704">
        <v>1.3735081E-2</v>
      </c>
      <c r="T704">
        <v>1.2526219999999999E-2</v>
      </c>
      <c r="U704">
        <v>0.10505036600000001</v>
      </c>
      <c r="V704">
        <v>0.103945969</v>
      </c>
      <c r="W704">
        <v>0.98948697600000002</v>
      </c>
      <c r="X704">
        <v>3.336829689</v>
      </c>
      <c r="Y704">
        <v>4.1498864729999996</v>
      </c>
      <c r="Z704">
        <v>0.31104093300000002</v>
      </c>
      <c r="AA704">
        <v>2.6304606000000001E-2</v>
      </c>
      <c r="AB704">
        <v>0.434208025</v>
      </c>
      <c r="AC704">
        <v>2.2781827000000001E-2</v>
      </c>
      <c r="AD704">
        <v>0.86160904000000005</v>
      </c>
      <c r="AE704">
        <v>0.68647655100000005</v>
      </c>
      <c r="AF704">
        <v>2.805927353</v>
      </c>
      <c r="AG704">
        <v>0.78019758100000003</v>
      </c>
      <c r="AH704">
        <v>8.2141100000000002E-3</v>
      </c>
      <c r="AI704">
        <v>1.459392478</v>
      </c>
    </row>
    <row r="705" spans="1:35" x14ac:dyDescent="0.2">
      <c r="A705">
        <v>756</v>
      </c>
      <c r="B705" t="s">
        <v>871</v>
      </c>
      <c r="C705" t="s">
        <v>832</v>
      </c>
      <c r="D705" t="s">
        <v>168</v>
      </c>
      <c r="E705" s="11">
        <v>3.0400000000000001E-6</v>
      </c>
      <c r="F705" s="11">
        <v>9.6200000000000006E-7</v>
      </c>
      <c r="G705">
        <v>0.31620410300000001</v>
      </c>
      <c r="H705">
        <v>-1.3912055E-2</v>
      </c>
      <c r="I705" s="11">
        <v>3.9999999999999998E-6</v>
      </c>
      <c r="J705">
        <v>0.291942694</v>
      </c>
      <c r="K705" s="11">
        <v>9.83E-8</v>
      </c>
      <c r="L705">
        <v>1.7516563599999999</v>
      </c>
      <c r="M705" s="11">
        <v>1.12E-7</v>
      </c>
      <c r="N705">
        <v>9.1394100000000006E-3</v>
      </c>
      <c r="O705">
        <v>2.8509719999999998E-3</v>
      </c>
      <c r="P705" s="11">
        <v>3.2000000000000001E-7</v>
      </c>
      <c r="Q705">
        <v>0.93559150599999996</v>
      </c>
      <c r="R705">
        <v>5.6135496659999999</v>
      </c>
      <c r="S705">
        <v>7.5757970000000004E-3</v>
      </c>
      <c r="T705">
        <v>7.3809699999999997E-3</v>
      </c>
      <c r="U705">
        <v>5.7942159999999999E-2</v>
      </c>
      <c r="V705">
        <v>6.1249286999999999E-2</v>
      </c>
      <c r="W705">
        <v>1.05707635</v>
      </c>
      <c r="X705">
        <v>3.1460764060000002</v>
      </c>
      <c r="Y705">
        <v>6.5477425089999999</v>
      </c>
      <c r="Z705">
        <v>0.30618756899999999</v>
      </c>
      <c r="AA705">
        <v>3.5280508000000002E-2</v>
      </c>
      <c r="AB705">
        <v>0.73247934599999998</v>
      </c>
      <c r="AC705">
        <v>3.0539519000000001E-2</v>
      </c>
      <c r="AD705">
        <v>0.863961953</v>
      </c>
      <c r="AE705">
        <v>1.0862045119999999</v>
      </c>
      <c r="AF705">
        <v>3.5185690489999999</v>
      </c>
      <c r="AG705">
        <v>0.89504949099999997</v>
      </c>
      <c r="AH705">
        <v>1.1011188E-2</v>
      </c>
      <c r="AI705">
        <v>1.8262790689999999</v>
      </c>
    </row>
    <row r="706" spans="1:35" x14ac:dyDescent="0.2">
      <c r="A706">
        <v>757</v>
      </c>
      <c r="B706" t="s">
        <v>872</v>
      </c>
      <c r="C706" t="s">
        <v>226</v>
      </c>
      <c r="D706" t="s">
        <v>129</v>
      </c>
      <c r="E706" s="11">
        <v>6.7599999999999997E-6</v>
      </c>
      <c r="F706" s="11">
        <v>2.12E-6</v>
      </c>
      <c r="G706">
        <v>0.313435672</v>
      </c>
      <c r="H706">
        <v>-0.68869614499999998</v>
      </c>
      <c r="I706" s="11">
        <v>8.8799999999999997E-6</v>
      </c>
      <c r="J706">
        <v>0.623636364</v>
      </c>
      <c r="K706">
        <v>1.2472727269999999</v>
      </c>
      <c r="L706">
        <v>6.2363636360000001</v>
      </c>
      <c r="M706">
        <v>0.24656428899999999</v>
      </c>
      <c r="N706">
        <v>2.9677357000000001E-2</v>
      </c>
      <c r="O706">
        <v>9.1882739999999997E-3</v>
      </c>
      <c r="P706">
        <v>1.06335029</v>
      </c>
      <c r="Q706">
        <v>2.1161147819999999</v>
      </c>
      <c r="R706">
        <v>14.823389280000001</v>
      </c>
      <c r="S706">
        <v>2.6472318000000002E-2</v>
      </c>
      <c r="T706">
        <v>2.3115218E-2</v>
      </c>
      <c r="U706">
        <v>0.20246888900000001</v>
      </c>
      <c r="V706">
        <v>0.191816346</v>
      </c>
      <c r="W706">
        <v>0.94738676600000005</v>
      </c>
      <c r="X706">
        <v>4.2262618789999999</v>
      </c>
      <c r="Y706">
        <v>2.540436707</v>
      </c>
      <c r="Z706">
        <v>0.29651765099999999</v>
      </c>
      <c r="AA706">
        <v>1.0037570000000001E-2</v>
      </c>
      <c r="AB706">
        <v>-1</v>
      </c>
      <c r="AC706">
        <v>0.246585737</v>
      </c>
      <c r="AD706">
        <v>0.85215892900000001</v>
      </c>
      <c r="AE706">
        <v>0.25765684900000002</v>
      </c>
      <c r="AF706">
        <v>1.0859815930000001</v>
      </c>
      <c r="AG706">
        <v>2.8545326590000002</v>
      </c>
      <c r="AH706">
        <v>3.1124019999999998E-3</v>
      </c>
      <c r="AI706">
        <v>0.70737177600000001</v>
      </c>
    </row>
    <row r="707" spans="1:35" x14ac:dyDescent="0.2">
      <c r="A707">
        <v>758</v>
      </c>
      <c r="B707" t="s">
        <v>873</v>
      </c>
      <c r="C707" t="s">
        <v>226</v>
      </c>
      <c r="D707" t="s">
        <v>130</v>
      </c>
      <c r="E707" s="11">
        <v>8.8400000000000001E-6</v>
      </c>
      <c r="F707" s="11">
        <v>2.7499999999999999E-6</v>
      </c>
      <c r="G707">
        <v>0.31136169400000002</v>
      </c>
      <c r="H707">
        <v>-0.36300597400000001</v>
      </c>
      <c r="I707" s="11">
        <v>1.1600000000000001E-5</v>
      </c>
      <c r="J707">
        <v>0.30948650500000002</v>
      </c>
      <c r="K707">
        <v>8.2244699999999994E-3</v>
      </c>
      <c r="L707">
        <v>1.873367972</v>
      </c>
      <c r="M707">
        <v>8.7913249999999991E-3</v>
      </c>
      <c r="N707">
        <v>9.5618720000000008E-3</v>
      </c>
      <c r="O707">
        <v>2.955638E-3</v>
      </c>
      <c r="P707">
        <v>2.5611430000000001E-2</v>
      </c>
      <c r="Q707">
        <v>0.96380378499999997</v>
      </c>
      <c r="R707">
        <v>5.8340455779999996</v>
      </c>
      <c r="S707">
        <v>1.6065309E-2</v>
      </c>
      <c r="T707">
        <v>1.5436841999999999E-2</v>
      </c>
      <c r="U707">
        <v>0.122872708</v>
      </c>
      <c r="V707">
        <v>0.12809910299999999</v>
      </c>
      <c r="W707">
        <v>1.0425350360000001</v>
      </c>
      <c r="X707">
        <v>4.4210131270000002</v>
      </c>
      <c r="Y707">
        <v>1.9016593660000001</v>
      </c>
      <c r="Z707">
        <v>0.30630194799999999</v>
      </c>
      <c r="AA707">
        <v>8.3091769999999992E-3</v>
      </c>
      <c r="AB707">
        <v>1.4877214E-2</v>
      </c>
      <c r="AC707">
        <v>7.1281629999999999E-3</v>
      </c>
      <c r="AD707">
        <v>0.85867629199999995</v>
      </c>
      <c r="AE707">
        <v>0.31648553800000001</v>
      </c>
      <c r="AF707">
        <v>1.087008744</v>
      </c>
      <c r="AG707">
        <v>0.15610992200000001</v>
      </c>
      <c r="AH707">
        <v>2.5700979999999998E-3</v>
      </c>
      <c r="AI707">
        <v>0.55870520700000004</v>
      </c>
    </row>
    <row r="708" spans="1:35" x14ac:dyDescent="0.2">
      <c r="A708">
        <v>759</v>
      </c>
      <c r="B708" t="s">
        <v>874</v>
      </c>
      <c r="C708" t="s">
        <v>226</v>
      </c>
      <c r="D708" t="s">
        <v>132</v>
      </c>
      <c r="E708" s="11">
        <v>6.6800000000000004E-6</v>
      </c>
      <c r="F708" s="11">
        <v>2.12E-6</v>
      </c>
      <c r="G708">
        <v>0.31754979100000003</v>
      </c>
      <c r="H708">
        <v>-0.54548557399999997</v>
      </c>
      <c r="I708" s="11">
        <v>8.8000000000000004E-6</v>
      </c>
      <c r="J708">
        <v>0.39944074699999998</v>
      </c>
      <c r="K708">
        <v>1.2123214E-2</v>
      </c>
      <c r="L708">
        <v>2.4208909099999998</v>
      </c>
      <c r="M708">
        <v>2.2952779E-2</v>
      </c>
      <c r="N708">
        <v>1.4070545E-2</v>
      </c>
      <c r="O708">
        <v>4.3567349999999996E-3</v>
      </c>
      <c r="P708">
        <v>3.7721089999999999E-2</v>
      </c>
      <c r="Q708">
        <v>1.250353882</v>
      </c>
      <c r="R708">
        <v>7.5775654699999997</v>
      </c>
      <c r="S708">
        <v>1.7430567000000001E-2</v>
      </c>
      <c r="T708">
        <v>1.5877367999999999E-2</v>
      </c>
      <c r="U708">
        <v>0.13331464400000001</v>
      </c>
      <c r="V708">
        <v>0.131754709</v>
      </c>
      <c r="W708">
        <v>0.98829884700000004</v>
      </c>
      <c r="X708">
        <v>5.2452918180000001</v>
      </c>
      <c r="Y708">
        <v>0.93350100499999999</v>
      </c>
      <c r="Z708">
        <v>0.291613391</v>
      </c>
      <c r="AA708">
        <v>3.6889029999999999E-3</v>
      </c>
      <c r="AB708">
        <v>-1</v>
      </c>
      <c r="AC708">
        <v>3.1700349999999999E-3</v>
      </c>
      <c r="AD708">
        <v>0.85571847000000001</v>
      </c>
      <c r="AE708">
        <v>0.15558807099999999</v>
      </c>
      <c r="AF708">
        <v>0.58256428999999998</v>
      </c>
      <c r="AG708">
        <v>7.5667452999999996E-2</v>
      </c>
      <c r="AH708">
        <v>1.142973E-3</v>
      </c>
      <c r="AI708">
        <v>0.29898665000000002</v>
      </c>
    </row>
    <row r="709" spans="1:35" x14ac:dyDescent="0.2">
      <c r="A709">
        <v>760</v>
      </c>
      <c r="B709" t="s">
        <v>875</v>
      </c>
      <c r="C709" t="s">
        <v>226</v>
      </c>
      <c r="D709" t="s">
        <v>134</v>
      </c>
      <c r="E709" s="11">
        <v>1.0200000000000001E-5</v>
      </c>
      <c r="F709" s="11">
        <v>3.4800000000000001E-6</v>
      </c>
      <c r="G709">
        <v>0.34113444999999998</v>
      </c>
      <c r="H709">
        <v>-0.34930290000000003</v>
      </c>
      <c r="I709" s="11">
        <v>1.3699999999999999E-5</v>
      </c>
      <c r="J709">
        <v>0.31624983200000001</v>
      </c>
      <c r="K709">
        <v>1.1390429000000001E-2</v>
      </c>
      <c r="L709">
        <v>1.9202798510000001</v>
      </c>
      <c r="M709">
        <v>1.1857477E-2</v>
      </c>
      <c r="N709">
        <v>1.3258608E-2</v>
      </c>
      <c r="O709">
        <v>4.0933929999999999E-3</v>
      </c>
      <c r="P709">
        <v>3.2911160000000002E-2</v>
      </c>
      <c r="Q709">
        <v>0.91381328299999998</v>
      </c>
      <c r="R709">
        <v>5.5487020180000002</v>
      </c>
      <c r="S709">
        <v>2.2287064999999998E-2</v>
      </c>
      <c r="T709">
        <v>2.1499619000000001E-2</v>
      </c>
      <c r="U709">
        <v>0.17045871400000001</v>
      </c>
      <c r="V709">
        <v>0.17840966999999999</v>
      </c>
      <c r="W709">
        <v>1.046644468</v>
      </c>
      <c r="X709">
        <v>4.1165160839999997</v>
      </c>
      <c r="Y709">
        <v>1.826175299</v>
      </c>
      <c r="Z709">
        <v>0.39842103499999998</v>
      </c>
      <c r="AA709">
        <v>1.12128E-2</v>
      </c>
      <c r="AB709">
        <v>-5.1530951999999998E-2</v>
      </c>
      <c r="AC709">
        <v>9.6156379999999993E-3</v>
      </c>
      <c r="AD709">
        <v>0.88082637699999999</v>
      </c>
      <c r="AE709">
        <v>0.30199315799999998</v>
      </c>
      <c r="AF709">
        <v>0.78700073699999995</v>
      </c>
      <c r="AG709">
        <v>0.15980085999999999</v>
      </c>
      <c r="AH709">
        <v>3.4669700000000002E-3</v>
      </c>
      <c r="AI709">
        <v>0.40709196399999997</v>
      </c>
    </row>
    <row r="710" spans="1:35" x14ac:dyDescent="0.2">
      <c r="A710">
        <v>761</v>
      </c>
      <c r="B710" t="s">
        <v>876</v>
      </c>
      <c r="C710" t="s">
        <v>226</v>
      </c>
      <c r="D710" t="s">
        <v>136</v>
      </c>
      <c r="E710" s="11">
        <v>7.9999999999999996E-6</v>
      </c>
      <c r="F710" s="11">
        <v>2.5100000000000001E-6</v>
      </c>
      <c r="G710">
        <v>0.31447150200000001</v>
      </c>
      <c r="H710">
        <v>0.117318331</v>
      </c>
      <c r="I710" s="11">
        <v>1.0499999999999999E-5</v>
      </c>
      <c r="J710">
        <v>0.240855286</v>
      </c>
      <c r="K710">
        <v>8.0431040000000006E-3</v>
      </c>
      <c r="L710">
        <v>1.461217923</v>
      </c>
      <c r="M710">
        <v>1.1011368000000001E-2</v>
      </c>
      <c r="N710">
        <v>9.3472069999999997E-3</v>
      </c>
      <c r="O710">
        <v>2.8904600000000001E-3</v>
      </c>
      <c r="P710">
        <v>2.5057090000000001E-2</v>
      </c>
      <c r="Q710">
        <v>0.75018962700000003</v>
      </c>
      <c r="R710">
        <v>4.5512519319999996</v>
      </c>
      <c r="S710">
        <v>1.6568876E-2</v>
      </c>
      <c r="T710">
        <v>1.5125282E-2</v>
      </c>
      <c r="U710">
        <v>0.12672414800000001</v>
      </c>
      <c r="V710">
        <v>0.12551369100000001</v>
      </c>
      <c r="W710">
        <v>0.99044809499999997</v>
      </c>
      <c r="X710">
        <v>4.27544828</v>
      </c>
      <c r="Y710">
        <v>1.2615992300000001</v>
      </c>
      <c r="Z710">
        <v>0.31571159900000001</v>
      </c>
      <c r="AA710">
        <v>9.5860200000000007E-3</v>
      </c>
      <c r="AB710">
        <v>-0.15822670799999999</v>
      </c>
      <c r="AC710">
        <v>8.2247810000000005E-3</v>
      </c>
      <c r="AD710">
        <v>0.858677095</v>
      </c>
      <c r="AE710">
        <v>0.207527719</v>
      </c>
      <c r="AF710">
        <v>0.69592839399999995</v>
      </c>
      <c r="AG710">
        <v>0.17585110700000001</v>
      </c>
      <c r="AH710">
        <v>2.965489E-3</v>
      </c>
      <c r="AI710">
        <v>0.36189269800000001</v>
      </c>
    </row>
    <row r="711" spans="1:35" x14ac:dyDescent="0.2">
      <c r="A711">
        <v>762</v>
      </c>
      <c r="B711" t="s">
        <v>877</v>
      </c>
      <c r="C711" t="s">
        <v>226</v>
      </c>
      <c r="D711" t="s">
        <v>138</v>
      </c>
      <c r="E711" s="11">
        <v>9.1600000000000004E-6</v>
      </c>
      <c r="F711" s="11">
        <v>2.9399999999999998E-6</v>
      </c>
      <c r="G711">
        <v>0.32091604800000001</v>
      </c>
      <c r="H711">
        <v>0.86916551600000003</v>
      </c>
      <c r="I711" s="11">
        <v>1.2099999999999999E-5</v>
      </c>
      <c r="J711">
        <v>0.49666116199999999</v>
      </c>
      <c r="K711">
        <v>1.5572546E-2</v>
      </c>
      <c r="L711">
        <v>3.0111120659999999</v>
      </c>
      <c r="M711">
        <v>1.0338244999999999E-2</v>
      </c>
      <c r="N711">
        <v>1.8120594E-2</v>
      </c>
      <c r="O711">
        <v>5.5963250000000001E-3</v>
      </c>
      <c r="P711">
        <v>4.6940210000000003E-2</v>
      </c>
      <c r="Q711">
        <v>1.4971467629999999</v>
      </c>
      <c r="R711">
        <v>9.0767610059999999</v>
      </c>
      <c r="S711">
        <v>3.1737776000000002E-2</v>
      </c>
      <c r="T711">
        <v>2.9613800999999999E-2</v>
      </c>
      <c r="U711">
        <v>0.242740821</v>
      </c>
      <c r="V711">
        <v>0.245743352</v>
      </c>
      <c r="W711">
        <v>1.0123692870000001</v>
      </c>
      <c r="X711">
        <v>3.0845927799999999</v>
      </c>
      <c r="Y711">
        <v>11.687737869999999</v>
      </c>
      <c r="Z711">
        <v>0.36874227399999998</v>
      </c>
      <c r="AA711">
        <v>2.9551193999999999E-2</v>
      </c>
      <c r="AB711">
        <v>0.74236998600000004</v>
      </c>
      <c r="AC711">
        <v>2.6518096000000001E-2</v>
      </c>
      <c r="AD711">
        <v>0.88550109099999996</v>
      </c>
      <c r="AE711">
        <v>1.9571889760000001</v>
      </c>
      <c r="AF711">
        <v>3.479625365</v>
      </c>
      <c r="AG711">
        <v>0.37369232800000002</v>
      </c>
      <c r="AH711">
        <v>9.5612430000000005E-3</v>
      </c>
      <c r="AI711">
        <v>1.7815042649999999</v>
      </c>
    </row>
    <row r="712" spans="1:35" x14ac:dyDescent="0.2">
      <c r="A712">
        <v>763</v>
      </c>
      <c r="B712" t="s">
        <v>878</v>
      </c>
      <c r="C712" t="s">
        <v>226</v>
      </c>
      <c r="D712" t="s">
        <v>140</v>
      </c>
      <c r="E712" s="11">
        <v>4.4100000000000001E-6</v>
      </c>
      <c r="F712" s="11">
        <v>1.37E-6</v>
      </c>
      <c r="G712">
        <v>0.310995295</v>
      </c>
      <c r="H712">
        <v>3.7586690999999998E-2</v>
      </c>
      <c r="I712" s="11">
        <v>5.7799999999999997E-6</v>
      </c>
      <c r="J712">
        <v>0.27091385000000001</v>
      </c>
      <c r="K712">
        <v>2.8564929999999999E-3</v>
      </c>
      <c r="L712">
        <v>1.631196088</v>
      </c>
      <c r="M712">
        <v>3.5034670000000001E-3</v>
      </c>
      <c r="N712">
        <v>3.303121E-3</v>
      </c>
      <c r="O712">
        <v>1.0265420000000001E-3</v>
      </c>
      <c r="P712">
        <v>9.0692800000000007E-3</v>
      </c>
      <c r="Q712">
        <v>0.86016080100000003</v>
      </c>
      <c r="R712">
        <v>5.1791033679999998</v>
      </c>
      <c r="S712">
        <v>5.5674690000000002E-3</v>
      </c>
      <c r="T712">
        <v>5.1940479999999997E-3</v>
      </c>
      <c r="U712">
        <v>4.2581813000000003E-2</v>
      </c>
      <c r="V712">
        <v>4.310162E-2</v>
      </c>
      <c r="W712">
        <v>1.012207254</v>
      </c>
      <c r="X712">
        <v>5.4374267200000004</v>
      </c>
      <c r="Y712">
        <v>0.814535377</v>
      </c>
      <c r="Z712">
        <v>0.29275949499999998</v>
      </c>
      <c r="AA712">
        <v>3.0550070000000002E-3</v>
      </c>
      <c r="AB712">
        <v>-1</v>
      </c>
      <c r="AC712">
        <v>2.6244300000000001E-3</v>
      </c>
      <c r="AD712">
        <v>0.83829299099999999</v>
      </c>
      <c r="AE712">
        <v>0.135858533</v>
      </c>
      <c r="AF712">
        <v>0.51531028199999995</v>
      </c>
      <c r="AG712">
        <v>6.3467375000000006E-2</v>
      </c>
      <c r="AH712">
        <v>9.4625199999999997E-4</v>
      </c>
      <c r="AI712">
        <v>0.264278652</v>
      </c>
    </row>
    <row r="713" spans="1:35" x14ac:dyDescent="0.2">
      <c r="A713">
        <v>764</v>
      </c>
      <c r="B713" t="s">
        <v>879</v>
      </c>
      <c r="C713" t="s">
        <v>226</v>
      </c>
      <c r="D713" t="s">
        <v>142</v>
      </c>
      <c r="E713" s="11">
        <v>8.1899999999999995E-6</v>
      </c>
      <c r="F713" s="11">
        <v>2.65E-6</v>
      </c>
      <c r="G713">
        <v>0.32351328699999998</v>
      </c>
      <c r="H713">
        <v>0.98491062500000004</v>
      </c>
      <c r="I713" s="11">
        <v>1.08E-5</v>
      </c>
      <c r="J713">
        <v>0.37636628799999999</v>
      </c>
      <c r="K713">
        <v>1.6437826999999999E-2</v>
      </c>
      <c r="L713">
        <v>2.2910733840000002</v>
      </c>
      <c r="M713">
        <v>6.423598E-3</v>
      </c>
      <c r="N713">
        <v>1.9115947000000001E-2</v>
      </c>
      <c r="O713">
        <v>5.9072819999999998E-3</v>
      </c>
      <c r="P713">
        <v>4.9695610000000001E-2</v>
      </c>
      <c r="Q713">
        <v>1.1650774129999999</v>
      </c>
      <c r="R713">
        <v>7.0898556959999999</v>
      </c>
      <c r="S713">
        <v>2.4134174000000001E-2</v>
      </c>
      <c r="T713">
        <v>2.2813789000000001E-2</v>
      </c>
      <c r="U713">
        <v>0.184586004</v>
      </c>
      <c r="V713">
        <v>0.18931500800000001</v>
      </c>
      <c r="W713">
        <v>1.0256195159999999</v>
      </c>
      <c r="X713">
        <v>2.89657389</v>
      </c>
      <c r="Y713">
        <v>23.970903209999999</v>
      </c>
      <c r="Z713">
        <v>1.1714901980000001</v>
      </c>
      <c r="AA713">
        <v>3.8314119000000001E-2</v>
      </c>
      <c r="AB713">
        <v>0.90442273399999995</v>
      </c>
      <c r="AC713">
        <v>1.5498194320000001</v>
      </c>
      <c r="AD713">
        <v>1.044738672</v>
      </c>
      <c r="AE713">
        <v>2.9723704689999999</v>
      </c>
      <c r="AF713">
        <v>2.4903783590000002</v>
      </c>
      <c r="AG713">
        <v>8.122774497</v>
      </c>
      <c r="AH713">
        <v>1.150234E-2</v>
      </c>
      <c r="AI713">
        <v>1.7093212310000001</v>
      </c>
    </row>
    <row r="714" spans="1:35" x14ac:dyDescent="0.2">
      <c r="A714">
        <v>765</v>
      </c>
      <c r="B714" t="s">
        <v>880</v>
      </c>
      <c r="C714" t="s">
        <v>226</v>
      </c>
      <c r="D714" t="s">
        <v>144</v>
      </c>
      <c r="E714" s="11">
        <v>4.5800000000000002E-6</v>
      </c>
      <c r="F714" s="11">
        <v>1.42E-6</v>
      </c>
      <c r="G714">
        <v>0.31004430799999999</v>
      </c>
      <c r="H714">
        <v>5.3398058999999998E-2</v>
      </c>
      <c r="I714" s="11">
        <v>6.0000000000000002E-6</v>
      </c>
      <c r="J714">
        <v>0.23410196999999999</v>
      </c>
      <c r="K714">
        <v>3.8699889999999999E-3</v>
      </c>
      <c r="L714">
        <v>1.4123517969999999</v>
      </c>
      <c r="M714">
        <v>5.4864409999999999E-3</v>
      </c>
      <c r="N714">
        <v>4.4776440000000002E-3</v>
      </c>
      <c r="O714">
        <v>1.3907629999999999E-3</v>
      </c>
      <c r="P714">
        <v>1.223629E-2</v>
      </c>
      <c r="Q714">
        <v>0.74008311999999998</v>
      </c>
      <c r="R714">
        <v>4.4649712900000003</v>
      </c>
      <c r="S714">
        <v>8.0075739999999999E-3</v>
      </c>
      <c r="T714">
        <v>7.1844300000000003E-3</v>
      </c>
      <c r="U714">
        <v>6.1244529999999998E-2</v>
      </c>
      <c r="V714">
        <v>5.9618351999999999E-2</v>
      </c>
      <c r="W714">
        <v>0.97344778399999998</v>
      </c>
      <c r="X714">
        <v>3.9305595219999998</v>
      </c>
      <c r="Y714">
        <v>1.7615602779999999</v>
      </c>
      <c r="Z714">
        <v>0.30584314899999998</v>
      </c>
      <c r="AA714">
        <v>1.3459311E-2</v>
      </c>
      <c r="AB714">
        <v>0.19823816699999999</v>
      </c>
      <c r="AC714">
        <v>1.1544349000000001E-2</v>
      </c>
      <c r="AD714">
        <v>0.87424977699999995</v>
      </c>
      <c r="AE714">
        <v>0.28972728399999997</v>
      </c>
      <c r="AF714">
        <v>0.90600816699999998</v>
      </c>
      <c r="AG714">
        <v>0.23021482400000001</v>
      </c>
      <c r="AH714">
        <v>4.1623770000000001E-3</v>
      </c>
      <c r="AI714">
        <v>0.471207922</v>
      </c>
    </row>
    <row r="715" spans="1:35" x14ac:dyDescent="0.2">
      <c r="A715">
        <v>766</v>
      </c>
      <c r="B715" t="s">
        <v>881</v>
      </c>
      <c r="C715" t="s">
        <v>226</v>
      </c>
      <c r="D715" t="s">
        <v>146</v>
      </c>
      <c r="E715" s="11">
        <v>8.8400000000000001E-6</v>
      </c>
      <c r="F715" s="11">
        <v>2.7800000000000001E-6</v>
      </c>
      <c r="G715">
        <v>0.31452996100000002</v>
      </c>
      <c r="H715">
        <v>-0.357508571</v>
      </c>
      <c r="I715" s="11">
        <v>1.1600000000000001E-5</v>
      </c>
      <c r="J715">
        <v>0.30991715199999997</v>
      </c>
      <c r="K715">
        <v>8.2398809999999992E-3</v>
      </c>
      <c r="L715">
        <v>1.875982671</v>
      </c>
      <c r="M715">
        <v>8.761006E-3</v>
      </c>
      <c r="N715">
        <v>9.580346E-3</v>
      </c>
      <c r="O715">
        <v>2.9611759999999998E-3</v>
      </c>
      <c r="P715">
        <v>2.565914E-2</v>
      </c>
      <c r="Q715">
        <v>0.96513340599999997</v>
      </c>
      <c r="R715">
        <v>5.8421187080000001</v>
      </c>
      <c r="S715">
        <v>1.6102908999999999E-2</v>
      </c>
      <c r="T715">
        <v>1.5479362E-2</v>
      </c>
      <c r="U715">
        <v>0.123160279</v>
      </c>
      <c r="V715">
        <v>0.12845194700000001</v>
      </c>
      <c r="W715">
        <v>1.0429657029999999</v>
      </c>
      <c r="X715">
        <v>4.4147241150000003</v>
      </c>
      <c r="Y715">
        <v>1.9130053899999999</v>
      </c>
      <c r="Z715">
        <v>0.301238336</v>
      </c>
      <c r="AA715">
        <v>8.3605109999999993E-3</v>
      </c>
      <c r="AB715">
        <v>1.9353169999999999E-2</v>
      </c>
      <c r="AC715">
        <v>7.1723689999999996E-3</v>
      </c>
      <c r="AD715">
        <v>0.85806469100000005</v>
      </c>
      <c r="AE715">
        <v>0.31837264300000001</v>
      </c>
      <c r="AF715">
        <v>1.0924129060000001</v>
      </c>
      <c r="AG715">
        <v>0.156936933</v>
      </c>
      <c r="AH715">
        <v>2.5860359999999999E-3</v>
      </c>
      <c r="AI715">
        <v>0.56148567400000005</v>
      </c>
    </row>
    <row r="716" spans="1:35" x14ac:dyDescent="0.2">
      <c r="A716">
        <v>767</v>
      </c>
      <c r="B716" t="s">
        <v>882</v>
      </c>
      <c r="C716" t="s">
        <v>226</v>
      </c>
      <c r="D716" t="s">
        <v>148</v>
      </c>
      <c r="E716" s="11">
        <v>7.0099999999999998E-6</v>
      </c>
      <c r="F716" s="11">
        <v>2.2699999999999999E-6</v>
      </c>
      <c r="G716">
        <v>0.32341542600000001</v>
      </c>
      <c r="H716">
        <v>-1.056917852</v>
      </c>
      <c r="I716" s="11">
        <v>9.2799999999999992E-6</v>
      </c>
      <c r="J716">
        <v>0.29191448399999997</v>
      </c>
      <c r="K716">
        <v>0.13996286999999999</v>
      </c>
      <c r="L716">
        <v>2.0314126460000002</v>
      </c>
      <c r="M716">
        <v>0.10171865500000001</v>
      </c>
      <c r="N716">
        <v>2.0207369999999999E-2</v>
      </c>
      <c r="O716">
        <v>6.2626920000000003E-3</v>
      </c>
      <c r="P716">
        <v>0.70967557999999997</v>
      </c>
      <c r="Q716">
        <v>1.126545839</v>
      </c>
      <c r="R716">
        <v>8.1786261840000005</v>
      </c>
      <c r="S716">
        <v>1.4805555E-2</v>
      </c>
      <c r="T716">
        <v>1.3920546000000001E-2</v>
      </c>
      <c r="U716">
        <v>0.113237697</v>
      </c>
      <c r="V716">
        <v>0.115516469</v>
      </c>
      <c r="W716">
        <v>1.020123793</v>
      </c>
      <c r="X716">
        <v>5.3302542429999997</v>
      </c>
      <c r="Y716">
        <v>0.60827789700000001</v>
      </c>
      <c r="Z716">
        <v>0.28873206899999998</v>
      </c>
      <c r="AA716">
        <v>3.393695E-3</v>
      </c>
      <c r="AB716">
        <v>-1</v>
      </c>
      <c r="AC716">
        <v>2.341994E-2</v>
      </c>
      <c r="AD716">
        <v>0.848693531</v>
      </c>
      <c r="AE716">
        <v>8.6507244999999997E-2</v>
      </c>
      <c r="AF716">
        <v>0.32570454799999998</v>
      </c>
      <c r="AG716">
        <v>0.56247569799999997</v>
      </c>
      <c r="AH716">
        <v>1.051387E-3</v>
      </c>
      <c r="AI716">
        <v>0.19591820099999999</v>
      </c>
    </row>
    <row r="717" spans="1:35" x14ac:dyDescent="0.2">
      <c r="A717">
        <v>768</v>
      </c>
      <c r="B717" t="s">
        <v>883</v>
      </c>
      <c r="C717" t="s">
        <v>226</v>
      </c>
      <c r="D717" t="s">
        <v>150</v>
      </c>
      <c r="E717" s="11">
        <v>8.85E-6</v>
      </c>
      <c r="F717" s="11">
        <v>2.7599999999999998E-6</v>
      </c>
      <c r="G717">
        <v>0.31157927499999999</v>
      </c>
      <c r="H717">
        <v>-0.37073818600000003</v>
      </c>
      <c r="I717" s="11">
        <v>1.1600000000000001E-5</v>
      </c>
      <c r="J717">
        <v>0.30951735800000002</v>
      </c>
      <c r="K717">
        <v>8.2391670000000004E-3</v>
      </c>
      <c r="L717">
        <v>1.8735824800000001</v>
      </c>
      <c r="M717">
        <v>8.8070330000000006E-3</v>
      </c>
      <c r="N717">
        <v>9.5790259999999992E-3</v>
      </c>
      <c r="O717">
        <v>2.9609200000000001E-3</v>
      </c>
      <c r="P717">
        <v>2.5655600000000001E-2</v>
      </c>
      <c r="Q717">
        <v>0.96384167399999998</v>
      </c>
      <c r="R717">
        <v>5.8343612340000002</v>
      </c>
      <c r="S717">
        <v>1.6104797000000001E-2</v>
      </c>
      <c r="T717">
        <v>1.5451819E-2</v>
      </c>
      <c r="U717">
        <v>0.123174723</v>
      </c>
      <c r="V717">
        <v>0.128223385</v>
      </c>
      <c r="W717">
        <v>1.040987809</v>
      </c>
      <c r="X717">
        <v>4.4217844619999997</v>
      </c>
      <c r="Y717">
        <v>1.9017961800000001</v>
      </c>
      <c r="Z717">
        <v>0.30085658599999998</v>
      </c>
      <c r="AA717">
        <v>8.3026950000000006E-3</v>
      </c>
      <c r="AB717">
        <v>1.4835291E-2</v>
      </c>
      <c r="AC717">
        <v>7.1227599999999997E-3</v>
      </c>
      <c r="AD717">
        <v>0.85798990500000005</v>
      </c>
      <c r="AE717">
        <v>0.31651242800000001</v>
      </c>
      <c r="AF717">
        <v>1.0872012520000001</v>
      </c>
      <c r="AG717">
        <v>0.156020036</v>
      </c>
      <c r="AH717">
        <v>2.568149E-3</v>
      </c>
      <c r="AI717">
        <v>0.55879765599999998</v>
      </c>
    </row>
    <row r="718" spans="1:35" x14ac:dyDescent="0.2">
      <c r="A718">
        <v>769</v>
      </c>
      <c r="B718" t="s">
        <v>884</v>
      </c>
      <c r="C718" t="s">
        <v>226</v>
      </c>
      <c r="D718" t="s">
        <v>204</v>
      </c>
      <c r="E718" s="11">
        <v>5.4399999999999996E-6</v>
      </c>
      <c r="F718" s="11">
        <v>1.7E-6</v>
      </c>
      <c r="G718">
        <v>0.31266822500000002</v>
      </c>
      <c r="H718">
        <v>-0.68886529799999996</v>
      </c>
      <c r="I718" s="11">
        <v>7.1400000000000002E-6</v>
      </c>
      <c r="J718">
        <v>0.22924435600000001</v>
      </c>
      <c r="K718">
        <v>4.966453E-3</v>
      </c>
      <c r="L718">
        <v>1.3853990410000001</v>
      </c>
      <c r="M718">
        <v>7.1419209999999999E-3</v>
      </c>
      <c r="N718">
        <v>5.7561030000000003E-3</v>
      </c>
      <c r="O718">
        <v>1.7848E-3</v>
      </c>
      <c r="P718">
        <v>1.5650359999999999E-2</v>
      </c>
      <c r="Q718">
        <v>0.72221673399999997</v>
      </c>
      <c r="R718">
        <v>4.3646011280000003</v>
      </c>
      <c r="S718">
        <v>1.0446741000000001E-2</v>
      </c>
      <c r="T718">
        <v>9.40737E-3</v>
      </c>
      <c r="U718">
        <v>7.9900070000000004E-2</v>
      </c>
      <c r="V718">
        <v>7.8064903000000005E-2</v>
      </c>
      <c r="W718">
        <v>0.97703172199999999</v>
      </c>
      <c r="X718">
        <v>5.6363798239999996</v>
      </c>
      <c r="Y718">
        <v>0.70403054099999995</v>
      </c>
      <c r="Z718">
        <v>0.286711787</v>
      </c>
      <c r="AA718">
        <v>2.507011E-3</v>
      </c>
      <c r="AB718">
        <v>-0.96781099599999998</v>
      </c>
      <c r="AC718">
        <v>2.1582160000000001E-3</v>
      </c>
      <c r="AD718">
        <v>0.82248075300000001</v>
      </c>
      <c r="AE718">
        <v>0.11750387900000001</v>
      </c>
      <c r="AF718">
        <v>0.45819252399999999</v>
      </c>
      <c r="AG718">
        <v>5.2691411E-2</v>
      </c>
      <c r="AH718">
        <v>7.7815600000000001E-4</v>
      </c>
      <c r="AI718">
        <v>0.23477877799999999</v>
      </c>
    </row>
    <row r="719" spans="1:35" x14ac:dyDescent="0.2">
      <c r="A719">
        <v>770</v>
      </c>
      <c r="B719" t="s">
        <v>885</v>
      </c>
      <c r="C719" t="s">
        <v>226</v>
      </c>
      <c r="D719" t="s">
        <v>152</v>
      </c>
      <c r="E719" s="11">
        <v>8.2099999999999993E-6</v>
      </c>
      <c r="F719" s="11">
        <v>2.6299999999999998E-6</v>
      </c>
      <c r="G719">
        <v>0.320311391</v>
      </c>
      <c r="H719">
        <v>0.98328280899999998</v>
      </c>
      <c r="I719" s="11">
        <v>1.08E-5</v>
      </c>
      <c r="J719">
        <v>0.37629706800000001</v>
      </c>
      <c r="K719">
        <v>1.6433367000000001E-2</v>
      </c>
      <c r="L719">
        <v>2.2906491440000001</v>
      </c>
      <c r="M719">
        <v>6.4240290000000004E-3</v>
      </c>
      <c r="N719">
        <v>1.9110102E-2</v>
      </c>
      <c r="O719">
        <v>5.9056789999999996E-3</v>
      </c>
      <c r="P719">
        <v>4.9680719999999998E-2</v>
      </c>
      <c r="Q719">
        <v>1.164829436</v>
      </c>
      <c r="R719">
        <v>7.0883380520000001</v>
      </c>
      <c r="S719">
        <v>2.4206223999999998E-2</v>
      </c>
      <c r="T719">
        <v>2.2875427E-2</v>
      </c>
      <c r="U719">
        <v>0.18513706799999999</v>
      </c>
      <c r="V719">
        <v>0.18982649600000001</v>
      </c>
      <c r="W719">
        <v>1.0253294930000001</v>
      </c>
      <c r="X719">
        <v>2.8959127119999999</v>
      </c>
      <c r="Y719">
        <v>23.966601359999999</v>
      </c>
      <c r="Z719">
        <v>1.171329517</v>
      </c>
      <c r="AA719">
        <v>3.8317080000000003E-2</v>
      </c>
      <c r="AB719">
        <v>0.90442328000000005</v>
      </c>
      <c r="AC719">
        <v>1.5524450439999999</v>
      </c>
      <c r="AD719">
        <v>1.044452766</v>
      </c>
      <c r="AE719">
        <v>2.9698142989999998</v>
      </c>
      <c r="AF719">
        <v>2.4907962430000001</v>
      </c>
      <c r="AG719">
        <v>8.0333314139999992</v>
      </c>
      <c r="AH719">
        <v>1.1509818E-2</v>
      </c>
      <c r="AI719">
        <v>1.7045877039999999</v>
      </c>
    </row>
    <row r="720" spans="1:35" x14ac:dyDescent="0.2">
      <c r="A720">
        <v>771</v>
      </c>
      <c r="B720" t="s">
        <v>886</v>
      </c>
      <c r="C720" t="s">
        <v>226</v>
      </c>
      <c r="D720" t="s">
        <v>154</v>
      </c>
      <c r="E720" s="11">
        <v>5.3499999999999996E-6</v>
      </c>
      <c r="F720" s="11">
        <v>1.6700000000000001E-6</v>
      </c>
      <c r="G720">
        <v>0.31186838500000003</v>
      </c>
      <c r="H720">
        <v>-0.68875909099999999</v>
      </c>
      <c r="I720" s="11">
        <v>7.0199999999999997E-6</v>
      </c>
      <c r="J720">
        <v>0.22420120299999999</v>
      </c>
      <c r="K720">
        <v>4.7564269999999997E-3</v>
      </c>
      <c r="L720">
        <v>1.354720073</v>
      </c>
      <c r="M720">
        <v>7.0427019999999996E-3</v>
      </c>
      <c r="N720">
        <v>5.5117300000000003E-3</v>
      </c>
      <c r="O720">
        <v>1.709323E-3</v>
      </c>
      <c r="P720">
        <v>1.500048E-2</v>
      </c>
      <c r="Q720">
        <v>0.70686968100000003</v>
      </c>
      <c r="R720">
        <v>4.2712190459999997</v>
      </c>
      <c r="S720">
        <v>1.0110012E-2</v>
      </c>
      <c r="T720">
        <v>9.0815289999999996E-3</v>
      </c>
      <c r="U720">
        <v>7.7324659000000004E-2</v>
      </c>
      <c r="V720">
        <v>7.5360993000000001E-2</v>
      </c>
      <c r="W720">
        <v>0.97460491900000001</v>
      </c>
      <c r="X720">
        <v>5.7759646990000002</v>
      </c>
      <c r="Y720">
        <v>0.65530728400000005</v>
      </c>
      <c r="Z720">
        <v>0.2881185</v>
      </c>
      <c r="AA720">
        <v>2.186337E-3</v>
      </c>
      <c r="AB720">
        <v>-1</v>
      </c>
      <c r="AC720">
        <v>1.881487E-3</v>
      </c>
      <c r="AD720">
        <v>0.81884318700000003</v>
      </c>
      <c r="AE720">
        <v>0.109460609</v>
      </c>
      <c r="AF720">
        <v>0.421569321</v>
      </c>
      <c r="AG720">
        <v>4.6203145000000001E-2</v>
      </c>
      <c r="AH720">
        <v>6.7838000000000002E-4</v>
      </c>
      <c r="AI720">
        <v>0.21588710699999999</v>
      </c>
    </row>
    <row r="721" spans="1:35" x14ac:dyDescent="0.2">
      <c r="A721">
        <v>772</v>
      </c>
      <c r="B721" t="s">
        <v>887</v>
      </c>
      <c r="C721" t="s">
        <v>226</v>
      </c>
      <c r="D721" t="s">
        <v>156</v>
      </c>
      <c r="E721" s="11">
        <v>3.0400000000000001E-6</v>
      </c>
      <c r="F721" s="11">
        <v>9.850000000000001E-7</v>
      </c>
      <c r="G721">
        <v>0.32435602800000002</v>
      </c>
      <c r="H721">
        <v>-0.417859957</v>
      </c>
      <c r="I721" s="11">
        <v>4.0199999999999996E-6</v>
      </c>
      <c r="J721">
        <v>0.29191489399999998</v>
      </c>
      <c r="K721">
        <v>1.2173941000000001E-2</v>
      </c>
      <c r="L721">
        <v>1.775837243</v>
      </c>
      <c r="M721">
        <v>1.2697664000000001E-2</v>
      </c>
      <c r="N721">
        <v>1.4024815E-2</v>
      </c>
      <c r="O721">
        <v>4.3749640000000003E-3</v>
      </c>
      <c r="P721">
        <v>7.2086349999999993E-2</v>
      </c>
      <c r="Q721">
        <v>0.93574839799999998</v>
      </c>
      <c r="R721">
        <v>5.7586630799999998</v>
      </c>
      <c r="S721">
        <v>1.1060831E-2</v>
      </c>
      <c r="T721">
        <v>1.0947689E-2</v>
      </c>
      <c r="U721">
        <v>8.4596827999999999E-2</v>
      </c>
      <c r="V721">
        <v>9.0846890999999999E-2</v>
      </c>
      <c r="W721">
        <v>1.073880583</v>
      </c>
      <c r="X721">
        <v>4.1104572709999996</v>
      </c>
      <c r="Y721">
        <v>1.471917903</v>
      </c>
      <c r="Z721">
        <v>0.318451814</v>
      </c>
      <c r="AA721">
        <v>1.1272816E-2</v>
      </c>
      <c r="AB721">
        <v>-0.206478458</v>
      </c>
      <c r="AC721">
        <v>9.6730800000000006E-3</v>
      </c>
      <c r="AD721">
        <v>0.854260935</v>
      </c>
      <c r="AE721">
        <v>0.242070497</v>
      </c>
      <c r="AF721">
        <v>0.78666491900000002</v>
      </c>
      <c r="AG721">
        <v>0.200513521</v>
      </c>
      <c r="AH721">
        <v>3.4876809999999999E-3</v>
      </c>
      <c r="AI721">
        <v>0.40917288600000001</v>
      </c>
    </row>
    <row r="722" spans="1:35" x14ac:dyDescent="0.2">
      <c r="A722">
        <v>773</v>
      </c>
      <c r="B722" t="s">
        <v>888</v>
      </c>
      <c r="C722" t="s">
        <v>226</v>
      </c>
      <c r="D722" t="s">
        <v>158</v>
      </c>
      <c r="E722" s="11">
        <v>5.4999999999999999E-6</v>
      </c>
      <c r="F722" s="11">
        <v>1.7E-6</v>
      </c>
      <c r="G722">
        <v>0.30907642499999999</v>
      </c>
      <c r="H722">
        <v>-0.69060555800000001</v>
      </c>
      <c r="I722" s="11">
        <v>7.1999999999999997E-6</v>
      </c>
      <c r="J722">
        <v>0.29191489399999998</v>
      </c>
      <c r="K722">
        <v>1.0240317000000001E-2</v>
      </c>
      <c r="L722">
        <v>1.7719699950000001</v>
      </c>
      <c r="M722">
        <v>8.5695210000000001E-3</v>
      </c>
      <c r="N722">
        <v>1.1858488E-2</v>
      </c>
      <c r="O722">
        <v>3.6800750000000001E-3</v>
      </c>
      <c r="P722">
        <v>5.5689669999999997E-2</v>
      </c>
      <c r="Q722">
        <v>1.0990801379999999</v>
      </c>
      <c r="R722">
        <v>6.7058601739999997</v>
      </c>
      <c r="S722">
        <v>1.0025404999999999E-2</v>
      </c>
      <c r="T722">
        <v>8.8675569999999999E-3</v>
      </c>
      <c r="U722">
        <v>7.6677556999999993E-2</v>
      </c>
      <c r="V722">
        <v>7.3585391E-2</v>
      </c>
      <c r="W722">
        <v>0.95967312800000004</v>
      </c>
      <c r="X722">
        <v>5.2223572540000003</v>
      </c>
      <c r="Y722">
        <v>0.72684587899999997</v>
      </c>
      <c r="Z722">
        <v>0.29364989499999999</v>
      </c>
      <c r="AA722">
        <v>3.764014E-3</v>
      </c>
      <c r="AB722">
        <v>-1</v>
      </c>
      <c r="AC722">
        <v>3.242319E-3</v>
      </c>
      <c r="AD722">
        <v>0.83891912700000004</v>
      </c>
      <c r="AE722">
        <v>0.12060533399999999</v>
      </c>
      <c r="AF722">
        <v>0.58726273399999995</v>
      </c>
      <c r="AG722">
        <v>0.13322125700000001</v>
      </c>
      <c r="AH722">
        <v>1.1690349999999999E-3</v>
      </c>
      <c r="AI722">
        <v>0.30454621900000001</v>
      </c>
    </row>
    <row r="723" spans="1:35" x14ac:dyDescent="0.2">
      <c r="A723">
        <v>774</v>
      </c>
      <c r="B723" t="s">
        <v>889</v>
      </c>
      <c r="C723" t="s">
        <v>226</v>
      </c>
      <c r="D723" t="s">
        <v>160</v>
      </c>
      <c r="E723" s="11">
        <v>8.6500000000000002E-6</v>
      </c>
      <c r="F723" s="11">
        <v>2.7E-6</v>
      </c>
      <c r="G723">
        <v>0.31220713100000003</v>
      </c>
      <c r="H723">
        <v>-0.236924616</v>
      </c>
      <c r="I723" s="11">
        <v>1.1399999999999999E-5</v>
      </c>
      <c r="J723">
        <v>0.28742404399999999</v>
      </c>
      <c r="K723">
        <v>1.0808187E-2</v>
      </c>
      <c r="L723">
        <v>1.746160637</v>
      </c>
      <c r="M723">
        <v>1.2343296E-2</v>
      </c>
      <c r="N723">
        <v>1.2566266E-2</v>
      </c>
      <c r="O723">
        <v>3.8841520000000001E-3</v>
      </c>
      <c r="P723">
        <v>3.326279E-2</v>
      </c>
      <c r="Q723">
        <v>0.88466029000000002</v>
      </c>
      <c r="R723">
        <v>5.3744873220000002</v>
      </c>
      <c r="S723">
        <v>2.1023628999999999E-2</v>
      </c>
      <c r="T723">
        <v>2.0204360000000001E-2</v>
      </c>
      <c r="U723">
        <v>0.16079554400000001</v>
      </c>
      <c r="V723">
        <v>0.16766126100000001</v>
      </c>
      <c r="W723">
        <v>1.042698428</v>
      </c>
      <c r="X723">
        <v>3.9831674029999999</v>
      </c>
      <c r="Y723">
        <v>1.48874507</v>
      </c>
      <c r="Z723">
        <v>0.31075379199999997</v>
      </c>
      <c r="AA723">
        <v>1.2761929E-2</v>
      </c>
      <c r="AB723">
        <v>-0.172907755</v>
      </c>
      <c r="AC723">
        <v>1.0962492000000001E-2</v>
      </c>
      <c r="AD723">
        <v>0.85877041099999996</v>
      </c>
      <c r="AE723">
        <v>0.24401671</v>
      </c>
      <c r="AF723">
        <v>0.87696486399999996</v>
      </c>
      <c r="AG723">
        <v>0.224408264</v>
      </c>
      <c r="AH723">
        <v>3.9525860000000001E-3</v>
      </c>
      <c r="AI723">
        <v>0.456189703</v>
      </c>
    </row>
    <row r="724" spans="1:35" x14ac:dyDescent="0.2">
      <c r="A724">
        <v>775</v>
      </c>
      <c r="B724" t="s">
        <v>890</v>
      </c>
      <c r="C724" t="s">
        <v>226</v>
      </c>
      <c r="D724" t="s">
        <v>162</v>
      </c>
      <c r="E724" s="11">
        <v>6.3199999999999996E-6</v>
      </c>
      <c r="F724" s="11">
        <v>1.9700000000000002E-6</v>
      </c>
      <c r="G724">
        <v>0.31178148700000002</v>
      </c>
      <c r="H724">
        <v>0.25108855499999999</v>
      </c>
      <c r="I724" s="11">
        <v>8.2900000000000002E-6</v>
      </c>
      <c r="J724">
        <v>0.30163221000000001</v>
      </c>
      <c r="K724">
        <v>4.548374E-3</v>
      </c>
      <c r="L724">
        <v>1.8188900059999999</v>
      </c>
      <c r="M724">
        <v>4.9959799999999997E-3</v>
      </c>
      <c r="N724">
        <v>5.2764140000000001E-3</v>
      </c>
      <c r="O724">
        <v>1.634555E-3</v>
      </c>
      <c r="P724">
        <v>1.437417E-2</v>
      </c>
      <c r="Q724">
        <v>0.95328411800000001</v>
      </c>
      <c r="R724">
        <v>5.7484530559999998</v>
      </c>
      <c r="S724">
        <v>8.8191669999999993E-3</v>
      </c>
      <c r="T724">
        <v>8.4193749999999998E-3</v>
      </c>
      <c r="U724">
        <v>6.7451853000000006E-2</v>
      </c>
      <c r="V724">
        <v>6.9866254000000003E-2</v>
      </c>
      <c r="W724">
        <v>1.0357944349999999</v>
      </c>
      <c r="X724">
        <v>4.4198480550000001</v>
      </c>
      <c r="Y724">
        <v>1.901390132</v>
      </c>
      <c r="Z724">
        <v>0.31612766599999997</v>
      </c>
      <c r="AA724">
        <v>8.3188250000000002E-3</v>
      </c>
      <c r="AB724">
        <v>4.3389373000000002E-2</v>
      </c>
      <c r="AC724">
        <v>7.1363310000000001E-3</v>
      </c>
      <c r="AD724">
        <v>0.859222335</v>
      </c>
      <c r="AE724">
        <v>0.31643433700000001</v>
      </c>
      <c r="AF724">
        <v>1.0866492670000001</v>
      </c>
      <c r="AG724">
        <v>0.15626341199999999</v>
      </c>
      <c r="AH724">
        <v>2.5730430000000001E-3</v>
      </c>
      <c r="AI724">
        <v>0.55853178199999998</v>
      </c>
    </row>
    <row r="725" spans="1:35" x14ac:dyDescent="0.2">
      <c r="A725">
        <v>776</v>
      </c>
      <c r="B725" t="s">
        <v>891</v>
      </c>
      <c r="C725" t="s">
        <v>226</v>
      </c>
      <c r="D725" t="s">
        <v>220</v>
      </c>
      <c r="E725" s="11">
        <v>8.8000000000000004E-6</v>
      </c>
      <c r="F725" s="11">
        <v>2.7800000000000001E-6</v>
      </c>
      <c r="G725">
        <v>0.31577627699999999</v>
      </c>
      <c r="H725">
        <v>-0.367116367</v>
      </c>
      <c r="I725" s="11">
        <v>1.1600000000000001E-5</v>
      </c>
      <c r="J725">
        <v>0.30952980299999999</v>
      </c>
      <c r="K725">
        <v>8.2449919999999996E-3</v>
      </c>
      <c r="L725">
        <v>1.8736688020000001</v>
      </c>
      <c r="M725">
        <v>8.813296E-3</v>
      </c>
      <c r="N725">
        <v>9.5861200000000001E-3</v>
      </c>
      <c r="O725">
        <v>2.963013E-3</v>
      </c>
      <c r="P725">
        <v>2.5673990000000001E-2</v>
      </c>
      <c r="Q725">
        <v>0.96388749600000001</v>
      </c>
      <c r="R725">
        <v>5.8346729540000002</v>
      </c>
      <c r="S725">
        <v>1.6123772000000001E-2</v>
      </c>
      <c r="T725">
        <v>1.5474351000000001E-2</v>
      </c>
      <c r="U725">
        <v>0.12331984999999999</v>
      </c>
      <c r="V725">
        <v>0.12841036</v>
      </c>
      <c r="W725">
        <v>1.0412789179999999</v>
      </c>
      <c r="X725">
        <v>4.4204264100000001</v>
      </c>
      <c r="Y725">
        <v>1.9015128160000001</v>
      </c>
      <c r="Z725">
        <v>0.31574875800000002</v>
      </c>
      <c r="AA725">
        <v>8.3141110000000008E-3</v>
      </c>
      <c r="AB725">
        <v>1.4643085E-2</v>
      </c>
      <c r="AC725">
        <v>7.1322750000000004E-3</v>
      </c>
      <c r="AD725">
        <v>0.86068326100000003</v>
      </c>
      <c r="AE725">
        <v>0.31645790099999999</v>
      </c>
      <c r="AF725">
        <v>1.0868283919999999</v>
      </c>
      <c r="AG725">
        <v>0.156188674</v>
      </c>
      <c r="AH725">
        <v>2.57158E-3</v>
      </c>
      <c r="AI725">
        <v>0.55861829500000004</v>
      </c>
    </row>
    <row r="726" spans="1:35" x14ac:dyDescent="0.2">
      <c r="A726">
        <v>777</v>
      </c>
      <c r="B726" t="s">
        <v>892</v>
      </c>
      <c r="C726" t="s">
        <v>226</v>
      </c>
      <c r="D726" t="s">
        <v>164</v>
      </c>
      <c r="E726" s="11">
        <v>7.0999999999999998E-6</v>
      </c>
      <c r="F726" s="11">
        <v>2.2699999999999999E-6</v>
      </c>
      <c r="G726">
        <v>0.31978134000000003</v>
      </c>
      <c r="H726">
        <v>0.60305647200000001</v>
      </c>
      <c r="I726" s="11">
        <v>9.3700000000000001E-6</v>
      </c>
      <c r="J726">
        <v>0.47645375699999998</v>
      </c>
      <c r="K726">
        <v>2.3069025E-2</v>
      </c>
      <c r="L726">
        <v>2.9048605940000001</v>
      </c>
      <c r="M726">
        <v>6.650263E-3</v>
      </c>
      <c r="N726">
        <v>2.6769365999999999E-2</v>
      </c>
      <c r="O726">
        <v>8.2903439999999998E-3</v>
      </c>
      <c r="P726">
        <v>0.11152566999999999</v>
      </c>
      <c r="Q726">
        <v>1.4976503960000001</v>
      </c>
      <c r="R726">
        <v>9.2089537220000004</v>
      </c>
      <c r="S726">
        <v>1.8033916000000001E-2</v>
      </c>
      <c r="T726">
        <v>1.6636415000000002E-2</v>
      </c>
      <c r="U726">
        <v>0.137929249</v>
      </c>
      <c r="V726">
        <v>0.13805348100000001</v>
      </c>
      <c r="W726">
        <v>1.000900694</v>
      </c>
      <c r="X726">
        <v>3.6820092510000002</v>
      </c>
      <c r="Y726">
        <v>2.3678366259999999</v>
      </c>
      <c r="Z726">
        <v>0.33486437499999999</v>
      </c>
      <c r="AA726">
        <v>1.7171168000000001E-2</v>
      </c>
      <c r="AB726">
        <v>-0.226799418</v>
      </c>
      <c r="AC726">
        <v>1.4739552E-2</v>
      </c>
      <c r="AD726">
        <v>0.85311747800000004</v>
      </c>
      <c r="AE726">
        <v>0.38998471299999998</v>
      </c>
      <c r="AF726">
        <v>1.141490999</v>
      </c>
      <c r="AG726">
        <v>0.27506871700000002</v>
      </c>
      <c r="AH726">
        <v>5.3144250000000002E-3</v>
      </c>
      <c r="AI726">
        <v>0.59285244999999998</v>
      </c>
    </row>
    <row r="727" spans="1:35" x14ac:dyDescent="0.2">
      <c r="A727">
        <v>778</v>
      </c>
      <c r="B727" t="s">
        <v>893</v>
      </c>
      <c r="C727" t="s">
        <v>226</v>
      </c>
      <c r="D727" t="s">
        <v>166</v>
      </c>
      <c r="E727" s="11">
        <v>1.06E-5</v>
      </c>
      <c r="F727" s="11">
        <v>3.3900000000000002E-6</v>
      </c>
      <c r="G727">
        <v>0.31955203300000001</v>
      </c>
      <c r="H727">
        <v>-0.13328400000000001</v>
      </c>
      <c r="I727" s="11">
        <v>1.4E-5</v>
      </c>
      <c r="J727">
        <v>0.31894615300000001</v>
      </c>
      <c r="K727">
        <v>1.2652826000000001E-2</v>
      </c>
      <c r="L727">
        <v>1.9389825679999999</v>
      </c>
      <c r="M727">
        <v>1.3035239000000001E-2</v>
      </c>
      <c r="N727">
        <v>1.4725535E-2</v>
      </c>
      <c r="O727">
        <v>4.5469780000000001E-3</v>
      </c>
      <c r="P727">
        <v>3.8654090000000002E-2</v>
      </c>
      <c r="Q727">
        <v>0.97442746300000005</v>
      </c>
      <c r="R727">
        <v>5.9238729540000001</v>
      </c>
      <c r="S727">
        <v>2.4777611000000001E-2</v>
      </c>
      <c r="T727">
        <v>2.3867062000000001E-2</v>
      </c>
      <c r="U727">
        <v>0.189507225</v>
      </c>
      <c r="V727">
        <v>0.19805535299999999</v>
      </c>
      <c r="W727">
        <v>1.0451071350000001</v>
      </c>
      <c r="X727">
        <v>3.8373116920000001</v>
      </c>
      <c r="Y727">
        <v>1.9389836009999999</v>
      </c>
      <c r="Z727">
        <v>0.31955217000000002</v>
      </c>
      <c r="AA727">
        <v>1.4750443E-2</v>
      </c>
      <c r="AB727" s="11">
        <v>5.3300000000000002E-7</v>
      </c>
      <c r="AC727">
        <v>1.2652613E-2</v>
      </c>
      <c r="AD727">
        <v>0.87447806900000002</v>
      </c>
      <c r="AE727">
        <v>0.31894639600000002</v>
      </c>
      <c r="AF727">
        <v>0.97475667499999996</v>
      </c>
      <c r="AG727">
        <v>0.24653441600000001</v>
      </c>
      <c r="AH727">
        <v>4.5619679999999996E-3</v>
      </c>
      <c r="AI727">
        <v>0.50689995600000004</v>
      </c>
    </row>
    <row r="728" spans="1:35" x14ac:dyDescent="0.2">
      <c r="A728">
        <v>779</v>
      </c>
      <c r="B728" t="s">
        <v>894</v>
      </c>
      <c r="C728" t="s">
        <v>226</v>
      </c>
      <c r="D728" t="s">
        <v>168</v>
      </c>
      <c r="E728" s="11">
        <v>2.2699999999999999E-6</v>
      </c>
      <c r="F728" s="11">
        <v>7.1299999999999999E-7</v>
      </c>
      <c r="G728">
        <v>0.31412900799999999</v>
      </c>
      <c r="H728">
        <v>-0.85804219000000004</v>
      </c>
      <c r="I728" s="11">
        <v>2.9799999999999998E-6</v>
      </c>
      <c r="J728">
        <v>0.29301968699999997</v>
      </c>
      <c r="K728">
        <v>2.2965059999999998E-3</v>
      </c>
      <c r="L728">
        <v>1.7627111310000001</v>
      </c>
      <c r="M728">
        <v>2.6079810000000001E-3</v>
      </c>
      <c r="N728">
        <v>2.6315000000000002E-3</v>
      </c>
      <c r="O728">
        <v>8.2529800000000003E-4</v>
      </c>
      <c r="P728">
        <v>7.2436899999999997E-3</v>
      </c>
      <c r="Q728">
        <v>0.92436704800000002</v>
      </c>
      <c r="R728">
        <v>5.5606896639999999</v>
      </c>
      <c r="S728">
        <v>4.2782530000000001E-3</v>
      </c>
      <c r="T728">
        <v>4.001676E-3</v>
      </c>
      <c r="U728">
        <v>3.2721465999999998E-2</v>
      </c>
      <c r="V728">
        <v>3.3206997000000002E-2</v>
      </c>
      <c r="W728">
        <v>1.014838302</v>
      </c>
      <c r="X728">
        <v>4.9167017670000002</v>
      </c>
      <c r="Y728">
        <v>1.1469834299999999</v>
      </c>
      <c r="Z728">
        <v>0.28539776900000002</v>
      </c>
      <c r="AA728">
        <v>5.088459E-3</v>
      </c>
      <c r="AB728">
        <v>-0.53682353599999999</v>
      </c>
      <c r="AC728">
        <v>4.3787560000000001E-3</v>
      </c>
      <c r="AD728">
        <v>0.84371064299999998</v>
      </c>
      <c r="AE728">
        <v>0.190832531</v>
      </c>
      <c r="AF728">
        <v>0.74034274200000005</v>
      </c>
      <c r="AG728">
        <v>0.153543771</v>
      </c>
      <c r="AH728">
        <v>1.578784E-3</v>
      </c>
      <c r="AI728">
        <v>0.38313502500000002</v>
      </c>
    </row>
    <row r="729" spans="1:35" x14ac:dyDescent="0.2">
      <c r="A729">
        <v>780</v>
      </c>
      <c r="B729" t="s">
        <v>895</v>
      </c>
      <c r="C729" t="s">
        <v>870</v>
      </c>
      <c r="D729" t="s">
        <v>129</v>
      </c>
      <c r="E729" s="11">
        <v>6.72E-6</v>
      </c>
      <c r="F729" s="11">
        <v>2.08E-6</v>
      </c>
      <c r="G729">
        <v>0.30884729100000002</v>
      </c>
      <c r="H729">
        <v>-0.72081584300000001</v>
      </c>
      <c r="I729" s="11">
        <v>8.8000000000000004E-6</v>
      </c>
      <c r="J729">
        <v>0.623636364</v>
      </c>
      <c r="K729">
        <v>1.2472727269999999</v>
      </c>
      <c r="L729">
        <v>6.2363636360000001</v>
      </c>
      <c r="M729">
        <v>0.399764546</v>
      </c>
      <c r="N729">
        <v>2.9064936E-2</v>
      </c>
      <c r="O729">
        <v>8.9984079999999994E-3</v>
      </c>
      <c r="P729">
        <v>0.94934088000000005</v>
      </c>
      <c r="Q729">
        <v>2.0142876709999999</v>
      </c>
      <c r="R729">
        <v>13.984407790000001</v>
      </c>
      <c r="S729">
        <v>2.5576390000000001E-2</v>
      </c>
      <c r="T729">
        <v>2.2927777E-2</v>
      </c>
      <c r="U729">
        <v>0.195616546</v>
      </c>
      <c r="V729">
        <v>0.190260912</v>
      </c>
      <c r="W729">
        <v>0.97262177400000005</v>
      </c>
      <c r="X729">
        <v>4.0171563109999999</v>
      </c>
      <c r="Y729">
        <v>2.3380782739999999</v>
      </c>
      <c r="Z729">
        <v>0.29208768800000001</v>
      </c>
      <c r="AA729">
        <v>1.3088458000000001E-2</v>
      </c>
      <c r="AB729">
        <v>-1</v>
      </c>
      <c r="AC729">
        <v>0.32200183399999999</v>
      </c>
      <c r="AD729">
        <v>0.86421335399999999</v>
      </c>
      <c r="AE729">
        <v>0.23581978000000001</v>
      </c>
      <c r="AF729">
        <v>1.280196595</v>
      </c>
      <c r="AG729">
        <v>6.3030458659999997</v>
      </c>
      <c r="AH729">
        <v>4.064303E-3</v>
      </c>
      <c r="AI729">
        <v>0.84337806199999998</v>
      </c>
    </row>
    <row r="730" spans="1:35" x14ac:dyDescent="0.2">
      <c r="A730">
        <v>781</v>
      </c>
      <c r="B730" t="s">
        <v>896</v>
      </c>
      <c r="C730" t="s">
        <v>870</v>
      </c>
      <c r="D730" t="s">
        <v>130</v>
      </c>
      <c r="E730" s="11">
        <v>5.9499999999999998E-6</v>
      </c>
      <c r="F730" s="11">
        <v>1.8700000000000001E-6</v>
      </c>
      <c r="G730">
        <v>0.31412563300000002</v>
      </c>
      <c r="H730">
        <v>7.5382941999999994E-2</v>
      </c>
      <c r="I730" s="11">
        <v>7.8199999999999997E-6</v>
      </c>
      <c r="J730">
        <v>0.219682509</v>
      </c>
      <c r="K730">
        <v>3.5564860000000002E-3</v>
      </c>
      <c r="L730">
        <v>1.3252080239999999</v>
      </c>
      <c r="M730">
        <v>5.346099E-3</v>
      </c>
      <c r="N730">
        <v>4.1238910000000002E-3</v>
      </c>
      <c r="O730">
        <v>1.278099E-3</v>
      </c>
      <c r="P730">
        <v>1.1286249999999999E-2</v>
      </c>
      <c r="Q730">
        <v>0.69696743000000005</v>
      </c>
      <c r="R730">
        <v>4.2043770760000001</v>
      </c>
      <c r="S730">
        <v>7.624647E-3</v>
      </c>
      <c r="T730">
        <v>6.8682789999999997E-3</v>
      </c>
      <c r="U730">
        <v>5.8315781999999997E-2</v>
      </c>
      <c r="V730">
        <v>5.6994843000000003E-2</v>
      </c>
      <c r="W730">
        <v>0.97734851599999994</v>
      </c>
      <c r="X730">
        <v>4.202271723</v>
      </c>
      <c r="Y730">
        <v>1.750182729</v>
      </c>
      <c r="Z730">
        <v>0.30172580900000001</v>
      </c>
      <c r="AA730">
        <v>1.0834725999999999E-2</v>
      </c>
      <c r="AB730">
        <v>0.242817334</v>
      </c>
      <c r="AC730">
        <v>9.3082489999999993E-3</v>
      </c>
      <c r="AD730">
        <v>0.87082290900000003</v>
      </c>
      <c r="AE730">
        <v>0.28966258900000003</v>
      </c>
      <c r="AF730">
        <v>1.28140744</v>
      </c>
      <c r="AG730">
        <v>0.34470371</v>
      </c>
      <c r="AH730">
        <v>3.3561390000000002E-3</v>
      </c>
      <c r="AI730">
        <v>0.66612738900000001</v>
      </c>
    </row>
    <row r="731" spans="1:35" x14ac:dyDescent="0.2">
      <c r="A731">
        <v>782</v>
      </c>
      <c r="B731" t="s">
        <v>897</v>
      </c>
      <c r="C731" t="s">
        <v>870</v>
      </c>
      <c r="D731" t="s">
        <v>132</v>
      </c>
      <c r="E731" s="11">
        <v>7.4900000000000003E-6</v>
      </c>
      <c r="F731" s="11">
        <v>2.39E-6</v>
      </c>
      <c r="G731">
        <v>0.318866965</v>
      </c>
      <c r="H731">
        <v>-0.623839586</v>
      </c>
      <c r="I731" s="11">
        <v>9.8700000000000004E-6</v>
      </c>
      <c r="J731">
        <v>0.56198836399999996</v>
      </c>
      <c r="K731">
        <v>1.8489054000000001E-2</v>
      </c>
      <c r="L731">
        <v>3.4089082949999998</v>
      </c>
      <c r="M731">
        <v>1.0066669E-2</v>
      </c>
      <c r="N731">
        <v>2.1483773000000001E-2</v>
      </c>
      <c r="O731">
        <v>6.6444340000000003E-3</v>
      </c>
      <c r="P731">
        <v>5.6382929999999998E-2</v>
      </c>
      <c r="Q731">
        <v>1.715383858</v>
      </c>
      <c r="R731">
        <v>10.405068999999999</v>
      </c>
      <c r="S731">
        <v>2.6020538999999999E-2</v>
      </c>
      <c r="T731">
        <v>2.4017011000000001E-2</v>
      </c>
      <c r="U731">
        <v>0.19901354099999999</v>
      </c>
      <c r="V731">
        <v>0.19929966900000001</v>
      </c>
      <c r="W731">
        <v>1.001437731</v>
      </c>
      <c r="X731">
        <v>4.9857670289999998</v>
      </c>
      <c r="Y731">
        <v>0.85914300099999996</v>
      </c>
      <c r="Z731">
        <v>0.28725669799999998</v>
      </c>
      <c r="AA731">
        <v>4.8101339999999998E-3</v>
      </c>
      <c r="AB731">
        <v>-1</v>
      </c>
      <c r="AC731">
        <v>4.1395629999999997E-3</v>
      </c>
      <c r="AD731">
        <v>0.86782324700000002</v>
      </c>
      <c r="AE731">
        <v>0.142401589</v>
      </c>
      <c r="AF731">
        <v>0.68674904400000003</v>
      </c>
      <c r="AG731">
        <v>0.16708003900000001</v>
      </c>
      <c r="AH731">
        <v>1.4925419999999999E-3</v>
      </c>
      <c r="AI731">
        <v>0.35647277700000002</v>
      </c>
    </row>
    <row r="732" spans="1:35" x14ac:dyDescent="0.2">
      <c r="A732">
        <v>783</v>
      </c>
      <c r="B732" t="s">
        <v>898</v>
      </c>
      <c r="C732" t="s">
        <v>870</v>
      </c>
      <c r="D732" t="s">
        <v>175</v>
      </c>
      <c r="E732" s="11">
        <v>6.8500000000000001E-7</v>
      </c>
      <c r="F732" s="11">
        <v>2.1799999999999999E-7</v>
      </c>
      <c r="G732">
        <v>0.31893568500000002</v>
      </c>
      <c r="H732">
        <v>-0.90928801100000001</v>
      </c>
      <c r="I732" s="11">
        <v>9.0299999999999997E-7</v>
      </c>
      <c r="J732">
        <v>0.29191489399999998</v>
      </c>
      <c r="K732">
        <v>1.5357210000000001E-3</v>
      </c>
      <c r="L732">
        <v>1.7545608049999999</v>
      </c>
      <c r="M732">
        <v>1.735517E-3</v>
      </c>
      <c r="N732">
        <v>1.6784009999999999E-3</v>
      </c>
      <c r="O732">
        <v>5.5189400000000004E-4</v>
      </c>
      <c r="P732">
        <v>9.2397899999999995E-3</v>
      </c>
      <c r="Q732">
        <v>0.88877793599999999</v>
      </c>
      <c r="R732">
        <v>5.3511471999999998</v>
      </c>
      <c r="S732">
        <v>1.454604E-3</v>
      </c>
      <c r="T732">
        <v>1.30415E-3</v>
      </c>
      <c r="U732">
        <v>1.1125286E-2</v>
      </c>
      <c r="V732">
        <v>1.0822193000000001E-2</v>
      </c>
      <c r="W732">
        <v>0.97275638600000003</v>
      </c>
      <c r="X732">
        <v>5.9511625549999998</v>
      </c>
      <c r="Y732">
        <v>0.46628989100000001</v>
      </c>
      <c r="Z732">
        <v>0.28780138500000002</v>
      </c>
      <c r="AA732">
        <v>1.7672460000000001E-3</v>
      </c>
      <c r="AB732">
        <v>-1</v>
      </c>
      <c r="AC732">
        <v>1.5252429999999999E-3</v>
      </c>
      <c r="AD732">
        <v>0.85390127400000004</v>
      </c>
      <c r="AE732">
        <v>7.7639051000000001E-2</v>
      </c>
      <c r="AF732">
        <v>0.390993427</v>
      </c>
      <c r="AG732">
        <v>6.4314806000000002E-2</v>
      </c>
      <c r="AH732">
        <v>5.4993499999999999E-4</v>
      </c>
      <c r="AI732">
        <v>0.202034305</v>
      </c>
    </row>
    <row r="733" spans="1:35" x14ac:dyDescent="0.2">
      <c r="A733">
        <v>784</v>
      </c>
      <c r="B733" t="s">
        <v>899</v>
      </c>
      <c r="C733" t="s">
        <v>870</v>
      </c>
      <c r="D733" t="s">
        <v>134</v>
      </c>
      <c r="E733" s="11">
        <v>7.4399999999999999E-6</v>
      </c>
      <c r="F733" s="11">
        <v>2.39E-6</v>
      </c>
      <c r="G733">
        <v>0.32049252</v>
      </c>
      <c r="H733">
        <v>0.11323812699999999</v>
      </c>
      <c r="I733" s="11">
        <v>9.8300000000000008E-6</v>
      </c>
      <c r="J733">
        <v>0.19343740400000001</v>
      </c>
      <c r="K733">
        <v>4.8490080000000001E-3</v>
      </c>
      <c r="L733">
        <v>1.170322442</v>
      </c>
      <c r="M733">
        <v>8.2855970000000004E-3</v>
      </c>
      <c r="N733">
        <v>5.6318460000000002E-3</v>
      </c>
      <c r="O733">
        <v>1.7425940000000001E-3</v>
      </c>
      <c r="P733">
        <v>1.4911219999999999E-2</v>
      </c>
      <c r="Q733">
        <v>0.59465305400000001</v>
      </c>
      <c r="R733">
        <v>3.5977407640000001</v>
      </c>
      <c r="S733">
        <v>1.050218E-2</v>
      </c>
      <c r="T733">
        <v>9.1541190000000005E-3</v>
      </c>
      <c r="U733">
        <v>8.0324087000000002E-2</v>
      </c>
      <c r="V733">
        <v>7.5963363000000006E-2</v>
      </c>
      <c r="W733">
        <v>0.94571088000000003</v>
      </c>
      <c r="X733">
        <v>3.912840482</v>
      </c>
      <c r="Y733">
        <v>1.680711343</v>
      </c>
      <c r="Z733">
        <v>0.39246863999999998</v>
      </c>
      <c r="AA733">
        <v>1.4620896E-2</v>
      </c>
      <c r="AB733">
        <v>0.30367433599999999</v>
      </c>
      <c r="AC733">
        <v>1.2556496E-2</v>
      </c>
      <c r="AD733">
        <v>0.89328632399999996</v>
      </c>
      <c r="AE733">
        <v>0.27639847499999998</v>
      </c>
      <c r="AF733">
        <v>0.92774653799999995</v>
      </c>
      <c r="AG733">
        <v>0.35285360900000001</v>
      </c>
      <c r="AH733">
        <v>4.5273120000000003E-3</v>
      </c>
      <c r="AI733">
        <v>0.48536348699999998</v>
      </c>
    </row>
    <row r="734" spans="1:35" x14ac:dyDescent="0.2">
      <c r="A734">
        <v>785</v>
      </c>
      <c r="B734" t="s">
        <v>900</v>
      </c>
      <c r="C734" t="s">
        <v>870</v>
      </c>
      <c r="D734" t="s">
        <v>136</v>
      </c>
      <c r="E734" s="11">
        <v>7.61E-6</v>
      </c>
      <c r="F734" s="11">
        <v>2.39E-6</v>
      </c>
      <c r="G734">
        <v>0.313525942</v>
      </c>
      <c r="H734">
        <v>-0.130888699</v>
      </c>
      <c r="I734" s="11">
        <v>1.0000000000000001E-5</v>
      </c>
      <c r="J734">
        <v>0.29191489399999998</v>
      </c>
      <c r="K734">
        <v>1.2277384000000001E-2</v>
      </c>
      <c r="L734">
        <v>1.7760441300000001</v>
      </c>
      <c r="M734">
        <v>1.2810006000000001E-2</v>
      </c>
      <c r="N734">
        <v>1.4254074E-2</v>
      </c>
      <c r="O734">
        <v>4.4121389999999998E-3</v>
      </c>
      <c r="P734">
        <v>7.3244229999999994E-2</v>
      </c>
      <c r="Q734">
        <v>0.94304879200000002</v>
      </c>
      <c r="R734">
        <v>5.8047812040000002</v>
      </c>
      <c r="S734">
        <v>1.2881795E-2</v>
      </c>
      <c r="T734">
        <v>1.1469511999999999E-2</v>
      </c>
      <c r="U734">
        <v>9.8524157000000001E-2</v>
      </c>
      <c r="V734">
        <v>9.5177123000000002E-2</v>
      </c>
      <c r="W734">
        <v>0.96602829099999998</v>
      </c>
      <c r="X734">
        <v>4.0639090839999996</v>
      </c>
      <c r="Y734">
        <v>1.1611065700000001</v>
      </c>
      <c r="Z734">
        <v>0.31099487999999997</v>
      </c>
      <c r="AA734">
        <v>1.2499662E-2</v>
      </c>
      <c r="AB734">
        <v>-0.52961336699999995</v>
      </c>
      <c r="AC734">
        <v>1.0740259E-2</v>
      </c>
      <c r="AD734">
        <v>0.87082372399999997</v>
      </c>
      <c r="AE734">
        <v>0.18993922099999999</v>
      </c>
      <c r="AF734">
        <v>0.82038698099999996</v>
      </c>
      <c r="AG734">
        <v>0.38829388999999997</v>
      </c>
      <c r="AH734">
        <v>3.8724580000000001E-3</v>
      </c>
      <c r="AI734">
        <v>0.43147376300000001</v>
      </c>
    </row>
    <row r="735" spans="1:35" x14ac:dyDescent="0.2">
      <c r="A735">
        <v>786</v>
      </c>
      <c r="B735" t="s">
        <v>901</v>
      </c>
      <c r="C735" t="s">
        <v>870</v>
      </c>
      <c r="D735" t="s">
        <v>138</v>
      </c>
      <c r="E735" s="11">
        <v>7.4499999999999998E-6</v>
      </c>
      <c r="F735" s="11">
        <v>2.34E-6</v>
      </c>
      <c r="G735">
        <v>0.31362542100000002</v>
      </c>
      <c r="H735">
        <v>0.87120470000000005</v>
      </c>
      <c r="I735" s="11">
        <v>9.7799999999999995E-6</v>
      </c>
      <c r="J735">
        <v>0.27165706000000001</v>
      </c>
      <c r="K735">
        <v>6.7775960000000003E-3</v>
      </c>
      <c r="L735">
        <v>1.643497553</v>
      </c>
      <c r="M735">
        <v>8.2608300000000003E-3</v>
      </c>
      <c r="N735">
        <v>7.8725489999999995E-3</v>
      </c>
      <c r="O735">
        <v>2.4356730000000002E-3</v>
      </c>
      <c r="P735">
        <v>2.1227079999999999E-2</v>
      </c>
      <c r="Q735">
        <v>0.85078688000000002</v>
      </c>
      <c r="R735">
        <v>5.1471754340000002</v>
      </c>
      <c r="S735">
        <v>1.3344239000000001E-2</v>
      </c>
      <c r="T735">
        <v>1.2642141000000001E-2</v>
      </c>
      <c r="U735">
        <v>0.10206108</v>
      </c>
      <c r="V735">
        <v>0.10490791200000001</v>
      </c>
      <c r="W735">
        <v>1.027893414</v>
      </c>
      <c r="X735">
        <v>2.9319743329999999</v>
      </c>
      <c r="Y735">
        <v>10.75675135</v>
      </c>
      <c r="Z735">
        <v>0.36323327900000002</v>
      </c>
      <c r="AA735">
        <v>3.8533189000000002E-2</v>
      </c>
      <c r="AB735">
        <v>0.847212462</v>
      </c>
      <c r="AC735">
        <v>3.4628423999999998E-2</v>
      </c>
      <c r="AD735">
        <v>0.89802716599999999</v>
      </c>
      <c r="AE735">
        <v>1.791312265</v>
      </c>
      <c r="AF735">
        <v>4.1019153309999998</v>
      </c>
      <c r="AG735">
        <v>0.82514378600000005</v>
      </c>
      <c r="AH735">
        <v>1.2485464999999999E-2</v>
      </c>
      <c r="AI735">
        <v>2.1240338740000002</v>
      </c>
    </row>
    <row r="736" spans="1:35" x14ac:dyDescent="0.2">
      <c r="A736">
        <v>787</v>
      </c>
      <c r="B736" t="s">
        <v>902</v>
      </c>
      <c r="C736" t="s">
        <v>870</v>
      </c>
      <c r="D736" t="s">
        <v>182</v>
      </c>
      <c r="E736" s="11">
        <v>7.2400000000000001E-6</v>
      </c>
      <c r="F736" s="11">
        <v>2.26E-6</v>
      </c>
      <c r="G736">
        <v>0.31244407600000002</v>
      </c>
      <c r="H736">
        <v>0.70986606900000004</v>
      </c>
      <c r="I736" s="11">
        <v>9.5000000000000005E-6</v>
      </c>
      <c r="J736">
        <v>0.48557033199999999</v>
      </c>
      <c r="K736">
        <v>1.7664191999999999E-2</v>
      </c>
      <c r="L736">
        <v>2.9487503770000001</v>
      </c>
      <c r="M736">
        <v>8.400121E-3</v>
      </c>
      <c r="N736">
        <v>2.0498644E-2</v>
      </c>
      <c r="O736">
        <v>6.3480029999999996E-3</v>
      </c>
      <c r="P736">
        <v>7.7469270000000007E-2</v>
      </c>
      <c r="Q736">
        <v>1.6395212770000001</v>
      </c>
      <c r="R736">
        <v>9.9920662</v>
      </c>
      <c r="S736">
        <v>1.8517208E-2</v>
      </c>
      <c r="T736">
        <v>1.6631678E-2</v>
      </c>
      <c r="U736">
        <v>0.14162562400000001</v>
      </c>
      <c r="V736">
        <v>0.13801417799999999</v>
      </c>
      <c r="W736">
        <v>0.97450005200000001</v>
      </c>
      <c r="X736">
        <v>2.7529781440000001</v>
      </c>
      <c r="Y736">
        <v>23.522417019999999</v>
      </c>
      <c r="Z736">
        <v>0.526542234</v>
      </c>
      <c r="AA736">
        <v>4.8190674000000003E-2</v>
      </c>
      <c r="AB736">
        <v>0.874640843</v>
      </c>
      <c r="AC736">
        <v>2.5816465549999998</v>
      </c>
      <c r="AD736">
        <v>0.95271722599999997</v>
      </c>
      <c r="AE736">
        <v>2.6936833189999998</v>
      </c>
      <c r="AF736">
        <v>5.7373912679999997</v>
      </c>
      <c r="AG736">
        <v>33.588565549999998</v>
      </c>
      <c r="AH736">
        <v>1.5024579999999999E-2</v>
      </c>
      <c r="AI736">
        <v>3.9391513339999999</v>
      </c>
    </row>
    <row r="737" spans="1:35" x14ac:dyDescent="0.2">
      <c r="A737">
        <v>788</v>
      </c>
      <c r="B737" t="s">
        <v>903</v>
      </c>
      <c r="C737" t="s">
        <v>870</v>
      </c>
      <c r="D737" t="s">
        <v>184</v>
      </c>
      <c r="E737" s="11">
        <v>5.8200000000000002E-6</v>
      </c>
      <c r="F737" s="11">
        <v>1.81E-6</v>
      </c>
      <c r="G737">
        <v>0.31125636400000001</v>
      </c>
      <c r="H737">
        <v>-0.35251661099999998</v>
      </c>
      <c r="I737" s="11">
        <v>7.6299999999999998E-6</v>
      </c>
      <c r="J737">
        <v>0.20521831300000001</v>
      </c>
      <c r="K737">
        <v>3.9811710000000004E-3</v>
      </c>
      <c r="L737">
        <v>1.239272218</v>
      </c>
      <c r="M737">
        <v>6.4187209999999996E-3</v>
      </c>
      <c r="N737">
        <v>4.615475E-3</v>
      </c>
      <c r="O737">
        <v>1.4307180000000001E-3</v>
      </c>
      <c r="P737">
        <v>1.260726E-2</v>
      </c>
      <c r="Q737">
        <v>0.64962445099999999</v>
      </c>
      <c r="R737">
        <v>3.9229612239999998</v>
      </c>
      <c r="S737">
        <v>8.8125159999999994E-3</v>
      </c>
      <c r="T737">
        <v>7.8248299999999996E-3</v>
      </c>
      <c r="U737">
        <v>6.7400984999999997E-2</v>
      </c>
      <c r="V737">
        <v>6.493256E-2</v>
      </c>
      <c r="W737">
        <v>0.96337701899999995</v>
      </c>
      <c r="X737">
        <v>4.5857080200000002</v>
      </c>
      <c r="Y737">
        <v>1.1982898769999999</v>
      </c>
      <c r="Z737">
        <v>0.295568039</v>
      </c>
      <c r="AA737">
        <v>7.302879E-3</v>
      </c>
      <c r="AB737">
        <v>-3.4200690999999998E-2</v>
      </c>
      <c r="AC737">
        <v>6.26101E-3</v>
      </c>
      <c r="AD737">
        <v>0.85639828399999995</v>
      </c>
      <c r="AE737">
        <v>0.19837670099999999</v>
      </c>
      <c r="AF737">
        <v>0.93369523499999996</v>
      </c>
      <c r="AG737">
        <v>0.24468657299999999</v>
      </c>
      <c r="AH737">
        <v>2.2574409999999998E-3</v>
      </c>
      <c r="AI737">
        <v>0.48517905099999997</v>
      </c>
    </row>
    <row r="738" spans="1:35" x14ac:dyDescent="0.2">
      <c r="A738">
        <v>789</v>
      </c>
      <c r="B738" t="s">
        <v>904</v>
      </c>
      <c r="C738" t="s">
        <v>870</v>
      </c>
      <c r="D738" t="s">
        <v>186</v>
      </c>
      <c r="E738" s="11">
        <v>5.7599999999999999E-6</v>
      </c>
      <c r="F738" s="11">
        <v>1.79E-6</v>
      </c>
      <c r="G738">
        <v>0.31049459099999999</v>
      </c>
      <c r="H738">
        <v>-0.66242973999999999</v>
      </c>
      <c r="I738" s="11">
        <v>7.5499999999999997E-6</v>
      </c>
      <c r="J738">
        <v>0.20315554399999999</v>
      </c>
      <c r="K738">
        <v>2.3171246999999999E-2</v>
      </c>
      <c r="L738">
        <v>1.2652757569999999</v>
      </c>
      <c r="M738">
        <v>3.6763440000000001E-2</v>
      </c>
      <c r="N738">
        <v>4.7706609999999998E-3</v>
      </c>
      <c r="O738">
        <v>1.4790199999999999E-3</v>
      </c>
      <c r="P738">
        <v>7.3317960000000001E-2</v>
      </c>
      <c r="Q738">
        <v>0.64263734299999997</v>
      </c>
      <c r="R738">
        <v>4.0024599700000003</v>
      </c>
      <c r="S738">
        <v>8.929846E-3</v>
      </c>
      <c r="T738">
        <v>8.0229580000000002E-3</v>
      </c>
      <c r="U738">
        <v>6.8298363000000001E-2</v>
      </c>
      <c r="V738">
        <v>6.6576683999999997E-2</v>
      </c>
      <c r="W738">
        <v>0.97479179699999996</v>
      </c>
      <c r="X738">
        <v>4.8674657989999996</v>
      </c>
      <c r="Y738">
        <v>0.94964468099999999</v>
      </c>
      <c r="Z738">
        <v>0.28573478499999999</v>
      </c>
      <c r="AA738">
        <v>5.4347120000000004E-3</v>
      </c>
      <c r="AB738">
        <v>-0.33236755000000001</v>
      </c>
      <c r="AC738">
        <v>2.6339603999999999E-2</v>
      </c>
      <c r="AD738">
        <v>0.85250707000000003</v>
      </c>
      <c r="AE738">
        <v>0.14677611900000001</v>
      </c>
      <c r="AF738">
        <v>0.73464179600000001</v>
      </c>
      <c r="AG738">
        <v>1.055184371</v>
      </c>
      <c r="AH738">
        <v>1.686796E-3</v>
      </c>
      <c r="AI738">
        <v>0.40749675099999999</v>
      </c>
    </row>
    <row r="739" spans="1:35" x14ac:dyDescent="0.2">
      <c r="A739">
        <v>790</v>
      </c>
      <c r="B739" t="s">
        <v>905</v>
      </c>
      <c r="C739" t="s">
        <v>870</v>
      </c>
      <c r="D739" t="s">
        <v>188</v>
      </c>
      <c r="E739" s="11">
        <v>8.2600000000000005E-6</v>
      </c>
      <c r="F739" s="11">
        <v>2.6199999999999999E-6</v>
      </c>
      <c r="G739">
        <v>0.31677064999999999</v>
      </c>
      <c r="H739">
        <v>0.60992891599999999</v>
      </c>
      <c r="I739" s="11">
        <v>1.0900000000000001E-5</v>
      </c>
      <c r="J739">
        <v>0.41971957700000001</v>
      </c>
      <c r="K739">
        <v>1.2779192E-2</v>
      </c>
      <c r="L739">
        <v>2.543875844</v>
      </c>
      <c r="M739">
        <v>9.6365129999999993E-3</v>
      </c>
      <c r="N739">
        <v>1.4836093E-2</v>
      </c>
      <c r="O739">
        <v>4.592474E-3</v>
      </c>
      <c r="P739">
        <v>3.9841359999999999E-2</v>
      </c>
      <c r="Q739">
        <v>1.289686331</v>
      </c>
      <c r="R739">
        <v>7.8178006959999999</v>
      </c>
      <c r="S739">
        <v>2.1929753999999999E-2</v>
      </c>
      <c r="T739">
        <v>2.1967832999999999E-2</v>
      </c>
      <c r="U739">
        <v>0.16772588499999999</v>
      </c>
      <c r="V739">
        <v>0.18229503599999999</v>
      </c>
      <c r="W739">
        <v>1.0868628659999999</v>
      </c>
      <c r="X739">
        <v>2.753418345</v>
      </c>
      <c r="Y739">
        <v>29.17860825</v>
      </c>
      <c r="Z739">
        <v>0.43360462900000002</v>
      </c>
      <c r="AA739">
        <v>4.5485873000000003E-2</v>
      </c>
      <c r="AB739">
        <v>0.91281709499999997</v>
      </c>
      <c r="AC739">
        <v>2.5816466650000001</v>
      </c>
      <c r="AD739">
        <v>0.93320767900000001</v>
      </c>
      <c r="AE739">
        <v>3.6444938690000002</v>
      </c>
      <c r="AF739">
        <v>5.4330615519999998</v>
      </c>
      <c r="AG739">
        <v>34.626040420000002</v>
      </c>
      <c r="AH739">
        <v>1.5017740999999999E-2</v>
      </c>
      <c r="AI739">
        <v>3.8143633750000001</v>
      </c>
    </row>
    <row r="740" spans="1:35" x14ac:dyDescent="0.2">
      <c r="A740">
        <v>791</v>
      </c>
      <c r="B740" t="s">
        <v>906</v>
      </c>
      <c r="C740" t="s">
        <v>870</v>
      </c>
      <c r="D740" t="s">
        <v>140</v>
      </c>
      <c r="E740" s="11">
        <v>6.6699999999999997E-6</v>
      </c>
      <c r="F740" s="11">
        <v>2.08E-6</v>
      </c>
      <c r="G740">
        <v>0.31262582799999999</v>
      </c>
      <c r="H740">
        <v>-0.65653532299999995</v>
      </c>
      <c r="I740" s="11">
        <v>8.7499999999999992E-6</v>
      </c>
      <c r="J740">
        <v>0.29191489399999998</v>
      </c>
      <c r="K740">
        <v>1.0514809E-2</v>
      </c>
      <c r="L740">
        <v>1.7725189800000001</v>
      </c>
      <c r="M740">
        <v>8.5920549999999995E-3</v>
      </c>
      <c r="N740">
        <v>1.2196711000000001E-2</v>
      </c>
      <c r="O740">
        <v>3.7787200000000002E-3</v>
      </c>
      <c r="P740">
        <v>5.6676919999999999E-2</v>
      </c>
      <c r="Q740">
        <v>1.118184541</v>
      </c>
      <c r="R740">
        <v>6.8224610820000002</v>
      </c>
      <c r="S740">
        <v>1.01788E-2</v>
      </c>
      <c r="T740">
        <v>9.0339449999999998E-3</v>
      </c>
      <c r="U740">
        <v>7.7850770999999999E-2</v>
      </c>
      <c r="V740">
        <v>7.4966123999999995E-2</v>
      </c>
      <c r="W740">
        <v>0.96294645599999995</v>
      </c>
      <c r="X740">
        <v>5.168395544</v>
      </c>
      <c r="Y740">
        <v>0.74965357899999996</v>
      </c>
      <c r="Z740">
        <v>0.28838567900000001</v>
      </c>
      <c r="AA740">
        <v>3.983566E-3</v>
      </c>
      <c r="AB740">
        <v>-1</v>
      </c>
      <c r="AC740">
        <v>3.4270889999999999E-3</v>
      </c>
      <c r="AD740">
        <v>0.85015127199999996</v>
      </c>
      <c r="AE740">
        <v>0.124344179</v>
      </c>
      <c r="AF740">
        <v>0.60746744900000005</v>
      </c>
      <c r="AG740">
        <v>0.140141249</v>
      </c>
      <c r="AH740">
        <v>1.235655E-3</v>
      </c>
      <c r="AI740">
        <v>0.31509147700000001</v>
      </c>
    </row>
    <row r="741" spans="1:35" x14ac:dyDescent="0.2">
      <c r="A741">
        <v>792</v>
      </c>
      <c r="B741" t="s">
        <v>907</v>
      </c>
      <c r="C741" t="s">
        <v>870</v>
      </c>
      <c r="D741" t="s">
        <v>191</v>
      </c>
      <c r="E741" s="11">
        <v>6.6000000000000003E-6</v>
      </c>
      <c r="F741" s="11">
        <v>2.0899999999999999E-6</v>
      </c>
      <c r="G741">
        <v>0.31678866300000003</v>
      </c>
      <c r="H741">
        <v>-0.62973826799999999</v>
      </c>
      <c r="I741" s="11">
        <v>8.6899999999999998E-6</v>
      </c>
      <c r="J741">
        <v>0.29191489399999998</v>
      </c>
      <c r="K741">
        <v>9.6264369999999998E-3</v>
      </c>
      <c r="L741">
        <v>1.7707422349999999</v>
      </c>
      <c r="M741">
        <v>8.6093390000000006E-3</v>
      </c>
      <c r="N741">
        <v>1.1163629E-2</v>
      </c>
      <c r="O741">
        <v>3.4594640000000002E-3</v>
      </c>
      <c r="P741">
        <v>5.4022439999999998E-2</v>
      </c>
      <c r="Q741">
        <v>1.0543021930000001</v>
      </c>
      <c r="R741">
        <v>6.433858034</v>
      </c>
      <c r="S741">
        <v>9.7292200000000002E-3</v>
      </c>
      <c r="T741">
        <v>8.6207200000000001E-3</v>
      </c>
      <c r="U741">
        <v>7.4412239000000005E-2</v>
      </c>
      <c r="V741">
        <v>7.1537076000000005E-2</v>
      </c>
      <c r="W741">
        <v>0.96136169199999999</v>
      </c>
      <c r="X741">
        <v>5.3286389280000002</v>
      </c>
      <c r="Y741">
        <v>0.67040734000000002</v>
      </c>
      <c r="Z741">
        <v>0.28707337999999999</v>
      </c>
      <c r="AA741">
        <v>3.3746219999999999E-3</v>
      </c>
      <c r="AB741">
        <v>-1</v>
      </c>
      <c r="AC741">
        <v>2.9036930000000002E-3</v>
      </c>
      <c r="AD741">
        <v>0.84534737500000001</v>
      </c>
      <c r="AE741">
        <v>0.11127836000000001</v>
      </c>
      <c r="AF741">
        <v>0.54857652099999998</v>
      </c>
      <c r="AG741">
        <v>0.119817489</v>
      </c>
      <c r="AH741">
        <v>1.0469419999999999E-3</v>
      </c>
      <c r="AI741">
        <v>0.28434379599999998</v>
      </c>
    </row>
    <row r="742" spans="1:35" x14ac:dyDescent="0.2">
      <c r="A742">
        <v>793</v>
      </c>
      <c r="B742" t="s">
        <v>908</v>
      </c>
      <c r="C742" t="s">
        <v>870</v>
      </c>
      <c r="D742" t="s">
        <v>193</v>
      </c>
      <c r="E742" s="11">
        <v>6.3300000000000004E-6</v>
      </c>
      <c r="F742" s="11">
        <v>1.99E-6</v>
      </c>
      <c r="G742">
        <v>0.31377392399999998</v>
      </c>
      <c r="H742">
        <v>-0.63223976000000004</v>
      </c>
      <c r="I742" s="11">
        <v>8.3100000000000001E-6</v>
      </c>
      <c r="J742">
        <v>0.29191489399999998</v>
      </c>
      <c r="K742">
        <v>8.0821120000000007E-3</v>
      </c>
      <c r="L742">
        <v>1.7676535849999999</v>
      </c>
      <c r="M742">
        <v>8.6577760000000007E-3</v>
      </c>
      <c r="N742">
        <v>9.3734950000000008E-3</v>
      </c>
      <c r="O742">
        <v>2.9044790000000002E-3</v>
      </c>
      <c r="P742">
        <v>4.9444439999999999E-2</v>
      </c>
      <c r="Q742">
        <v>0.94205829600000002</v>
      </c>
      <c r="R742">
        <v>5.7512386519999996</v>
      </c>
      <c r="S742">
        <v>8.6194259999999995E-3</v>
      </c>
      <c r="T742">
        <v>7.5741439999999997E-3</v>
      </c>
      <c r="U742">
        <v>6.5924168000000005E-2</v>
      </c>
      <c r="V742">
        <v>6.2852297000000001E-2</v>
      </c>
      <c r="W742">
        <v>0.95340296099999999</v>
      </c>
      <c r="X742">
        <v>5.722844834</v>
      </c>
      <c r="Y742">
        <v>0.52552170399999998</v>
      </c>
      <c r="Z742">
        <v>0.28280224199999998</v>
      </c>
      <c r="AA742">
        <v>2.2428190000000001E-3</v>
      </c>
      <c r="AB742">
        <v>-1</v>
      </c>
      <c r="AC742">
        <v>1.9314779999999999E-3</v>
      </c>
      <c r="AD742">
        <v>0.86390323000000002</v>
      </c>
      <c r="AE742">
        <v>8.7397631000000003E-2</v>
      </c>
      <c r="AF742">
        <v>0.43788402900000001</v>
      </c>
      <c r="AG742">
        <v>8.1015572999999994E-2</v>
      </c>
      <c r="AH742">
        <v>6.9640499999999998E-4</v>
      </c>
      <c r="AI742">
        <v>0.22653194099999999</v>
      </c>
    </row>
    <row r="743" spans="1:35" x14ac:dyDescent="0.2">
      <c r="A743">
        <v>794</v>
      </c>
      <c r="B743" t="s">
        <v>909</v>
      </c>
      <c r="C743" t="s">
        <v>870</v>
      </c>
      <c r="D743" t="s">
        <v>142</v>
      </c>
      <c r="E743" s="11">
        <v>7.1300000000000003E-6</v>
      </c>
      <c r="F743" s="11">
        <v>2.2400000000000002E-6</v>
      </c>
      <c r="G743">
        <v>0.31364914300000002</v>
      </c>
      <c r="H743">
        <v>0.98045787200000001</v>
      </c>
      <c r="I743" s="11">
        <v>9.3700000000000001E-6</v>
      </c>
      <c r="J743">
        <v>0.219232065</v>
      </c>
      <c r="K743">
        <v>6.7531290000000001E-3</v>
      </c>
      <c r="L743">
        <v>1.32889865</v>
      </c>
      <c r="M743">
        <v>1.0149302000000001E-2</v>
      </c>
      <c r="N743">
        <v>7.8424480000000001E-3</v>
      </c>
      <c r="O743">
        <v>2.4268800000000002E-3</v>
      </c>
      <c r="P743">
        <v>2.1148210000000001E-2</v>
      </c>
      <c r="Q743">
        <v>0.686318023</v>
      </c>
      <c r="R743">
        <v>4.1602045580000002</v>
      </c>
      <c r="S743">
        <v>1.3382556E-2</v>
      </c>
      <c r="T743">
        <v>1.2583499E-2</v>
      </c>
      <c r="U743">
        <v>0.102354135</v>
      </c>
      <c r="V743">
        <v>0.104421289</v>
      </c>
      <c r="W743">
        <v>1.0201960969999999</v>
      </c>
      <c r="X743">
        <v>2.7532581789999999</v>
      </c>
      <c r="Y743">
        <v>22.061501419999999</v>
      </c>
      <c r="Z743">
        <v>1.15398818</v>
      </c>
      <c r="AA743">
        <v>4.9959576999999998E-2</v>
      </c>
      <c r="AB743">
        <v>0.93976390700000001</v>
      </c>
      <c r="AC743">
        <v>2.0238181850000001</v>
      </c>
      <c r="AD743">
        <v>1.059517281</v>
      </c>
      <c r="AE743">
        <v>2.7204545609999999</v>
      </c>
      <c r="AF743">
        <v>2.9357531630000002</v>
      </c>
      <c r="AG743">
        <v>17.93576264</v>
      </c>
      <c r="AH743">
        <v>1.5020229E-2</v>
      </c>
      <c r="AI743">
        <v>2.037972216</v>
      </c>
    </row>
    <row r="744" spans="1:35" x14ac:dyDescent="0.2">
      <c r="A744">
        <v>795</v>
      </c>
      <c r="B744" t="s">
        <v>910</v>
      </c>
      <c r="C744" t="s">
        <v>870</v>
      </c>
      <c r="D744" t="s">
        <v>196</v>
      </c>
      <c r="E744" s="11">
        <v>6.64E-6</v>
      </c>
      <c r="F744" s="11">
        <v>2.0499999999999999E-6</v>
      </c>
      <c r="G744">
        <v>0.308860356</v>
      </c>
      <c r="H744">
        <v>-0.50287303299999997</v>
      </c>
      <c r="I744" s="11">
        <v>8.6899999999999998E-6</v>
      </c>
      <c r="J744">
        <v>0.41163332200000002</v>
      </c>
      <c r="K744">
        <v>1.7911491820000001</v>
      </c>
      <c r="L744">
        <v>6.0520982969999997</v>
      </c>
      <c r="M744">
        <v>0.59203456700000001</v>
      </c>
      <c r="N744">
        <v>1.3958827E-2</v>
      </c>
      <c r="O744">
        <v>4.3195940000000004E-3</v>
      </c>
      <c r="P744">
        <v>0.17247445</v>
      </c>
      <c r="Q744">
        <v>1.2579412969999999</v>
      </c>
      <c r="R744">
        <v>7.8925966900000004</v>
      </c>
      <c r="S744">
        <v>2.5364945999999999E-2</v>
      </c>
      <c r="T744">
        <v>2.2475436000000001E-2</v>
      </c>
      <c r="U744">
        <v>0.19399935099999999</v>
      </c>
      <c r="V744">
        <v>0.18650726000000001</v>
      </c>
      <c r="W744">
        <v>0.96138084499999998</v>
      </c>
      <c r="X744">
        <v>3.9897104030000001</v>
      </c>
      <c r="Y744">
        <v>6.8609589150000003</v>
      </c>
      <c r="Z744">
        <v>0.29484819400000001</v>
      </c>
      <c r="AA744">
        <v>1.3489925999999999E-2</v>
      </c>
      <c r="AB744">
        <v>0.117893232</v>
      </c>
      <c r="AC744">
        <v>1.6528570359999999</v>
      </c>
      <c r="AD744">
        <v>0.86153789800000002</v>
      </c>
      <c r="AE744">
        <v>0.346347244</v>
      </c>
      <c r="AF744">
        <v>1.4743635770000001</v>
      </c>
      <c r="AG744">
        <v>3.6151095230000001</v>
      </c>
      <c r="AH744">
        <v>4.1813229999999998E-3</v>
      </c>
      <c r="AI744">
        <v>0.86251350900000001</v>
      </c>
    </row>
    <row r="745" spans="1:35" x14ac:dyDescent="0.2">
      <c r="A745">
        <v>796</v>
      </c>
      <c r="B745" t="s">
        <v>911</v>
      </c>
      <c r="C745" t="s">
        <v>870</v>
      </c>
      <c r="D745" t="s">
        <v>144</v>
      </c>
      <c r="E745" s="11">
        <v>9.3000000000000007E-6</v>
      </c>
      <c r="F745" s="11">
        <v>2.9100000000000001E-6</v>
      </c>
      <c r="G745">
        <v>0.31250072400000001</v>
      </c>
      <c r="H745">
        <v>-0.12620666999999999</v>
      </c>
      <c r="I745" s="11">
        <v>1.22E-5</v>
      </c>
      <c r="J745">
        <v>0.29191489399999998</v>
      </c>
      <c r="K745">
        <v>1.6503446000000001E-2</v>
      </c>
      <c r="L745">
        <v>1.784496254</v>
      </c>
      <c r="M745">
        <v>1.2618055E-2</v>
      </c>
      <c r="N745">
        <v>1.9179090999999999E-2</v>
      </c>
      <c r="O745">
        <v>5.9308640000000001E-3</v>
      </c>
      <c r="P745">
        <v>8.5293389999999997E-2</v>
      </c>
      <c r="Q745">
        <v>1.1477668480000001</v>
      </c>
      <c r="R745">
        <v>7.0571878579999998</v>
      </c>
      <c r="S745">
        <v>1.5509683E-2</v>
      </c>
      <c r="T745">
        <v>1.4231338E-2</v>
      </c>
      <c r="U745">
        <v>0.118623094</v>
      </c>
      <c r="V745">
        <v>0.11809549900000001</v>
      </c>
      <c r="W745">
        <v>0.99555234199999998</v>
      </c>
      <c r="X745">
        <v>3.7360846159999999</v>
      </c>
      <c r="Y745">
        <v>1.621243231</v>
      </c>
      <c r="Z745">
        <v>0.30127386499999997</v>
      </c>
      <c r="AA745">
        <v>1.7550227000000002E-2</v>
      </c>
      <c r="AB745">
        <v>-0.100696194</v>
      </c>
      <c r="AC745">
        <v>1.5075088E-2</v>
      </c>
      <c r="AD745">
        <v>0.88661669300000001</v>
      </c>
      <c r="AE745">
        <v>0.26517216500000002</v>
      </c>
      <c r="AF745">
        <v>1.068037044</v>
      </c>
      <c r="AG745">
        <v>0.50833350600000005</v>
      </c>
      <c r="AH745">
        <v>5.4354039999999996E-3</v>
      </c>
      <c r="AI745">
        <v>0.56180701200000005</v>
      </c>
    </row>
    <row r="746" spans="1:35" x14ac:dyDescent="0.2">
      <c r="A746">
        <v>797</v>
      </c>
      <c r="B746" t="s">
        <v>912</v>
      </c>
      <c r="C746" t="s">
        <v>870</v>
      </c>
      <c r="D746" t="s">
        <v>146</v>
      </c>
      <c r="E746" s="11">
        <v>6.63E-6</v>
      </c>
      <c r="F746" s="11">
        <v>2.0899999999999999E-6</v>
      </c>
      <c r="G746">
        <v>0.31481604299999999</v>
      </c>
      <c r="H746">
        <v>-8.6957251999999999E-2</v>
      </c>
      <c r="I746" s="11">
        <v>8.7199999999999995E-6</v>
      </c>
      <c r="J746">
        <v>0.20853053999999999</v>
      </c>
      <c r="K746">
        <v>4.115446E-3</v>
      </c>
      <c r="L746">
        <v>1.2594141320000001</v>
      </c>
      <c r="M746">
        <v>6.529951E-3</v>
      </c>
      <c r="N746">
        <v>4.775573E-3</v>
      </c>
      <c r="O746">
        <v>1.478973E-3</v>
      </c>
      <c r="P746">
        <v>1.3035980000000001E-2</v>
      </c>
      <c r="Q746">
        <v>0.66035716099999997</v>
      </c>
      <c r="R746">
        <v>3.9882149299999998</v>
      </c>
      <c r="S746">
        <v>8.962991E-3</v>
      </c>
      <c r="T746">
        <v>8.1028509999999995E-3</v>
      </c>
      <c r="U746">
        <v>6.8551867000000002E-2</v>
      </c>
      <c r="V746">
        <v>6.7239657999999994E-2</v>
      </c>
      <c r="W746">
        <v>0.98085815799999998</v>
      </c>
      <c r="X746">
        <v>4.1962938760000004</v>
      </c>
      <c r="Y746">
        <v>1.7606249860000001</v>
      </c>
      <c r="Z746">
        <v>0.296737847</v>
      </c>
      <c r="AA746">
        <v>1.0901661999999999E-2</v>
      </c>
      <c r="AB746">
        <v>0.28467780300000001</v>
      </c>
      <c r="AC746">
        <v>9.3659750000000003E-3</v>
      </c>
      <c r="AD746">
        <v>0.87020265699999999</v>
      </c>
      <c r="AE746">
        <v>0.29138975700000003</v>
      </c>
      <c r="AF746">
        <v>1.2877780729999999</v>
      </c>
      <c r="AG746">
        <v>0.34652981900000002</v>
      </c>
      <c r="AH746">
        <v>3.3769529999999998E-3</v>
      </c>
      <c r="AI746">
        <v>0.66944245700000005</v>
      </c>
    </row>
    <row r="747" spans="1:35" x14ac:dyDescent="0.2">
      <c r="A747">
        <v>798</v>
      </c>
      <c r="B747" t="s">
        <v>913</v>
      </c>
      <c r="C747" t="s">
        <v>870</v>
      </c>
      <c r="D747" t="s">
        <v>200</v>
      </c>
      <c r="E747" s="11">
        <v>6.1999999999999999E-6</v>
      </c>
      <c r="F747" s="11">
        <v>1.9800000000000001E-6</v>
      </c>
      <c r="G747">
        <v>0.32003890800000001</v>
      </c>
      <c r="H747">
        <v>-0.43046542199999999</v>
      </c>
      <c r="I747" s="11">
        <v>8.1899999999999995E-6</v>
      </c>
      <c r="J747">
        <v>0.47867041100000002</v>
      </c>
      <c r="K747">
        <v>1.7422908000000001E-2</v>
      </c>
      <c r="L747">
        <v>2.9068682830000001</v>
      </c>
      <c r="M747">
        <v>8.3819659999999994E-3</v>
      </c>
      <c r="N747">
        <v>2.0203143999999999E-2</v>
      </c>
      <c r="O747">
        <v>6.2612919999999999E-3</v>
      </c>
      <c r="P747">
        <v>7.6667879999999994E-2</v>
      </c>
      <c r="Q747">
        <v>1.6207062270000001</v>
      </c>
      <c r="R747">
        <v>9.8775731239999995</v>
      </c>
      <c r="S747">
        <v>1.8621341E-2</v>
      </c>
      <c r="T747">
        <v>1.6597377E-2</v>
      </c>
      <c r="U747">
        <v>0.14242206800000001</v>
      </c>
      <c r="V747">
        <v>0.13772953199999999</v>
      </c>
      <c r="W747">
        <v>0.96705190399999996</v>
      </c>
      <c r="X747">
        <v>3.894043371</v>
      </c>
      <c r="Y747">
        <v>2.4346093880000002</v>
      </c>
      <c r="Z747">
        <v>0.31014182899999998</v>
      </c>
      <c r="AA747">
        <v>1.4885183999999999E-2</v>
      </c>
      <c r="AB747">
        <v>-0.193977275</v>
      </c>
      <c r="AC747">
        <v>1.2802988E-2</v>
      </c>
      <c r="AD747">
        <v>0.85153886999999995</v>
      </c>
      <c r="AE747">
        <v>0.40300903700000001</v>
      </c>
      <c r="AF747">
        <v>1.68128941</v>
      </c>
      <c r="AG747">
        <v>0.44707985099999997</v>
      </c>
      <c r="AH747">
        <v>4.6161860000000004E-3</v>
      </c>
      <c r="AI747">
        <v>0.87384715899999998</v>
      </c>
    </row>
    <row r="748" spans="1:35" x14ac:dyDescent="0.2">
      <c r="A748">
        <v>799</v>
      </c>
      <c r="B748" t="s">
        <v>914</v>
      </c>
      <c r="C748" t="s">
        <v>870</v>
      </c>
      <c r="D748" t="s">
        <v>148</v>
      </c>
      <c r="E748" s="11">
        <v>6.9299999999999997E-6</v>
      </c>
      <c r="F748" s="11">
        <v>2.1600000000000001E-6</v>
      </c>
      <c r="G748">
        <v>0.31171214899999999</v>
      </c>
      <c r="H748">
        <v>-0.60097450799999996</v>
      </c>
      <c r="I748" s="11">
        <v>9.0899999999999994E-6</v>
      </c>
      <c r="J748">
        <v>0.29191489399999998</v>
      </c>
      <c r="K748">
        <v>1.2274319000000001E-2</v>
      </c>
      <c r="L748">
        <v>1.7760379989999999</v>
      </c>
      <c r="M748">
        <v>1.2805186E-2</v>
      </c>
      <c r="N748">
        <v>1.4243512999999999E-2</v>
      </c>
      <c r="O748">
        <v>4.4108639999999996E-3</v>
      </c>
      <c r="P748">
        <v>7.3193190000000005E-2</v>
      </c>
      <c r="Q748">
        <v>0.94261658100000001</v>
      </c>
      <c r="R748">
        <v>5.80208587</v>
      </c>
      <c r="S748">
        <v>1.2200868E-2</v>
      </c>
      <c r="T748">
        <v>1.069178E-2</v>
      </c>
      <c r="U748">
        <v>9.3316201000000001E-2</v>
      </c>
      <c r="V748">
        <v>8.8723291999999995E-2</v>
      </c>
      <c r="W748">
        <v>0.95078122600000003</v>
      </c>
      <c r="X748">
        <v>5.0665257119999998</v>
      </c>
      <c r="Y748">
        <v>0.55982553400000001</v>
      </c>
      <c r="Z748">
        <v>0.28441842299999998</v>
      </c>
      <c r="AA748">
        <v>4.425198E-3</v>
      </c>
      <c r="AB748">
        <v>-1</v>
      </c>
      <c r="AC748">
        <v>3.0582723999999999E-2</v>
      </c>
      <c r="AD748">
        <v>0.86069893500000005</v>
      </c>
      <c r="AE748">
        <v>7.9175538000000004E-2</v>
      </c>
      <c r="AF748">
        <v>0.38395296600000001</v>
      </c>
      <c r="AG748">
        <v>1.2419931909999999</v>
      </c>
      <c r="AH748">
        <v>1.372945E-3</v>
      </c>
      <c r="AI748">
        <v>0.23358736999999999</v>
      </c>
    </row>
    <row r="749" spans="1:35" x14ac:dyDescent="0.2">
      <c r="A749">
        <v>800</v>
      </c>
      <c r="B749" t="s">
        <v>915</v>
      </c>
      <c r="C749" t="s">
        <v>870</v>
      </c>
      <c r="D749" t="s">
        <v>150</v>
      </c>
      <c r="E749" s="11">
        <v>6.63E-6</v>
      </c>
      <c r="F749" s="11">
        <v>2.0600000000000002E-6</v>
      </c>
      <c r="G749">
        <v>0.31110425800000002</v>
      </c>
      <c r="H749">
        <v>-9.5128964999999996E-2</v>
      </c>
      <c r="I749" s="11">
        <v>8.6899999999999998E-6</v>
      </c>
      <c r="J749">
        <v>0.208473566</v>
      </c>
      <c r="K749">
        <v>4.1084679999999997E-3</v>
      </c>
      <c r="L749">
        <v>1.259058333</v>
      </c>
      <c r="M749">
        <v>6.5188759999999998E-3</v>
      </c>
      <c r="N749">
        <v>4.766943E-3</v>
      </c>
      <c r="O749">
        <v>1.4764649999999999E-3</v>
      </c>
      <c r="P749">
        <v>1.3012839999999999E-2</v>
      </c>
      <c r="Q749">
        <v>0.66015824599999995</v>
      </c>
      <c r="R749">
        <v>3.986975164</v>
      </c>
      <c r="S749">
        <v>8.9464339999999996E-3</v>
      </c>
      <c r="T749">
        <v>8.0725139999999994E-3</v>
      </c>
      <c r="U749">
        <v>6.8425232000000002E-2</v>
      </c>
      <c r="V749">
        <v>6.6987909999999998E-2</v>
      </c>
      <c r="W749">
        <v>0.97899426899999997</v>
      </c>
      <c r="X749">
        <v>4.2030048940000002</v>
      </c>
      <c r="Y749">
        <v>1.7503086450000001</v>
      </c>
      <c r="Z749">
        <v>0.29636180000000001</v>
      </c>
      <c r="AA749">
        <v>1.0826274E-2</v>
      </c>
      <c r="AB749">
        <v>0.28066496400000002</v>
      </c>
      <c r="AC749">
        <v>9.3011940000000005E-3</v>
      </c>
      <c r="AD749">
        <v>0.87012681400000003</v>
      </c>
      <c r="AE749">
        <v>0.28968719999999998</v>
      </c>
      <c r="AF749">
        <v>1.281634376</v>
      </c>
      <c r="AG749">
        <v>0.34450523399999999</v>
      </c>
      <c r="AH749">
        <v>3.353595E-3</v>
      </c>
      <c r="AI749">
        <v>0.66623761299999995</v>
      </c>
    </row>
    <row r="750" spans="1:35" x14ac:dyDescent="0.2">
      <c r="A750">
        <v>801</v>
      </c>
      <c r="B750" t="s">
        <v>916</v>
      </c>
      <c r="C750" t="s">
        <v>870</v>
      </c>
      <c r="D750" t="s">
        <v>204</v>
      </c>
      <c r="E750" s="11">
        <v>5.4199999999999998E-6</v>
      </c>
      <c r="F750" s="11">
        <v>1.6899999999999999E-6</v>
      </c>
      <c r="G750">
        <v>0.31269069799999999</v>
      </c>
      <c r="H750">
        <v>-0.716005157</v>
      </c>
      <c r="I750" s="11">
        <v>7.1099999999999997E-6</v>
      </c>
      <c r="J750">
        <v>0.29191489399999998</v>
      </c>
      <c r="K750">
        <v>9.1326189999999998E-3</v>
      </c>
      <c r="L750">
        <v>1.7697546</v>
      </c>
      <c r="M750">
        <v>8.6250149999999998E-3</v>
      </c>
      <c r="N750">
        <v>1.0574116E-2</v>
      </c>
      <c r="O750">
        <v>3.2820010000000001E-3</v>
      </c>
      <c r="P750">
        <v>5.2484280000000001E-2</v>
      </c>
      <c r="Q750">
        <v>1.0167473</v>
      </c>
      <c r="R750">
        <v>6.2054523619999999</v>
      </c>
      <c r="S750">
        <v>9.4718949999999993E-3</v>
      </c>
      <c r="T750">
        <v>8.3185759999999994E-3</v>
      </c>
      <c r="U750">
        <v>7.2444127999999997E-2</v>
      </c>
      <c r="V750">
        <v>6.9029799000000003E-2</v>
      </c>
      <c r="W750">
        <v>0.95286948599999999</v>
      </c>
      <c r="X750">
        <v>5.3575049139999997</v>
      </c>
      <c r="Y750">
        <v>0.64795100299999997</v>
      </c>
      <c r="Z750">
        <v>0.28242832400000001</v>
      </c>
      <c r="AA750">
        <v>3.2690089999999998E-3</v>
      </c>
      <c r="AB750">
        <v>-1</v>
      </c>
      <c r="AC750">
        <v>2.818288E-3</v>
      </c>
      <c r="AD750">
        <v>0.83411535800000003</v>
      </c>
      <c r="AE750">
        <v>0.107545128</v>
      </c>
      <c r="AF750">
        <v>0.54013485400000005</v>
      </c>
      <c r="AG750">
        <v>0.11634702399999999</v>
      </c>
      <c r="AH750">
        <v>1.016149E-3</v>
      </c>
      <c r="AI750">
        <v>0.27991966499999998</v>
      </c>
    </row>
    <row r="751" spans="1:35" x14ac:dyDescent="0.2">
      <c r="A751">
        <v>802</v>
      </c>
      <c r="B751" t="s">
        <v>917</v>
      </c>
      <c r="C751" t="s">
        <v>870</v>
      </c>
      <c r="D751" t="s">
        <v>152</v>
      </c>
      <c r="E751" s="11">
        <v>7.1099999999999997E-6</v>
      </c>
      <c r="F751" s="11">
        <v>2.2199999999999999E-6</v>
      </c>
      <c r="G751">
        <v>0.31222765800000002</v>
      </c>
      <c r="H751">
        <v>0.98076738399999996</v>
      </c>
      <c r="I751" s="11">
        <v>9.3400000000000004E-6</v>
      </c>
      <c r="J751">
        <v>0.219192159</v>
      </c>
      <c r="K751">
        <v>6.7503989999999998E-3</v>
      </c>
      <c r="L751">
        <v>1.3286537549999999</v>
      </c>
      <c r="M751">
        <v>1.0145161999999999E-2</v>
      </c>
      <c r="N751">
        <v>7.8389930000000007E-3</v>
      </c>
      <c r="O751">
        <v>2.425899E-3</v>
      </c>
      <c r="P751">
        <v>2.1139149999999999E-2</v>
      </c>
      <c r="Q751">
        <v>0.686174591</v>
      </c>
      <c r="R751">
        <v>4.1593258359999998</v>
      </c>
      <c r="S751">
        <v>1.3375087000000001E-2</v>
      </c>
      <c r="T751">
        <v>1.2568391999999999E-2</v>
      </c>
      <c r="U751">
        <v>0.10229701200000001</v>
      </c>
      <c r="V751">
        <v>0.104295928</v>
      </c>
      <c r="W751">
        <v>1.0195403169999999</v>
      </c>
      <c r="X751">
        <v>2.7526297149999999</v>
      </c>
      <c r="Y751">
        <v>22.057542229999999</v>
      </c>
      <c r="Z751">
        <v>1.153829899</v>
      </c>
      <c r="AA751">
        <v>4.9963438999999998E-2</v>
      </c>
      <c r="AB751">
        <v>0.939764198</v>
      </c>
      <c r="AC751">
        <v>2.027246817</v>
      </c>
      <c r="AD751">
        <v>1.059227331</v>
      </c>
      <c r="AE751">
        <v>2.7181150330000001</v>
      </c>
      <c r="AF751">
        <v>2.9362457800000001</v>
      </c>
      <c r="AG751">
        <v>17.738264860000001</v>
      </c>
      <c r="AH751">
        <v>1.5029995000000001E-2</v>
      </c>
      <c r="AI751">
        <v>2.0323285740000001</v>
      </c>
    </row>
    <row r="752" spans="1:35" x14ac:dyDescent="0.2">
      <c r="A752">
        <v>803</v>
      </c>
      <c r="B752" t="s">
        <v>918</v>
      </c>
      <c r="C752" t="s">
        <v>870</v>
      </c>
      <c r="D752" t="s">
        <v>207</v>
      </c>
      <c r="E752" s="11">
        <v>6.1500000000000004E-6</v>
      </c>
      <c r="F752" s="11">
        <v>1.9199999999999998E-6</v>
      </c>
      <c r="G752">
        <v>0.31259107400000002</v>
      </c>
      <c r="H752">
        <v>-0.65822925899999996</v>
      </c>
      <c r="I752" s="11">
        <v>8.0700000000000007E-6</v>
      </c>
      <c r="J752">
        <v>0.29191489399999998</v>
      </c>
      <c r="K752">
        <v>1.1908419E-2</v>
      </c>
      <c r="L752">
        <v>1.7753061990000001</v>
      </c>
      <c r="M752">
        <v>8.5330939999999997E-3</v>
      </c>
      <c r="N752">
        <v>1.3807931000000001E-2</v>
      </c>
      <c r="O752">
        <v>4.2795430000000002E-3</v>
      </c>
      <c r="P752">
        <v>6.068904E-2</v>
      </c>
      <c r="Q752">
        <v>1.220267537</v>
      </c>
      <c r="R752">
        <v>7.442983302</v>
      </c>
      <c r="S752">
        <v>1.093215E-2</v>
      </c>
      <c r="T752">
        <v>9.8346179999999998E-3</v>
      </c>
      <c r="U752">
        <v>8.3612633000000006E-2</v>
      </c>
      <c r="V752">
        <v>8.1610325999999997E-2</v>
      </c>
      <c r="W752">
        <v>0.976052578</v>
      </c>
      <c r="X752">
        <v>4.8637681720000003</v>
      </c>
      <c r="Y752">
        <v>0.95073535399999998</v>
      </c>
      <c r="Z752">
        <v>0.28591823999999999</v>
      </c>
      <c r="AA752">
        <v>5.4585750000000002E-3</v>
      </c>
      <c r="AB752">
        <v>-0.867297973</v>
      </c>
      <c r="AC752">
        <v>4.6962510000000002E-3</v>
      </c>
      <c r="AD752">
        <v>0.85011391000000003</v>
      </c>
      <c r="AE752">
        <v>0.15752654599999999</v>
      </c>
      <c r="AF752">
        <v>0.75266451400000001</v>
      </c>
      <c r="AG752">
        <v>0.187819138</v>
      </c>
      <c r="AH752">
        <v>1.6932589999999999E-3</v>
      </c>
      <c r="AI752">
        <v>0.39082808699999999</v>
      </c>
    </row>
    <row r="753" spans="1:35" x14ac:dyDescent="0.2">
      <c r="A753">
        <v>804</v>
      </c>
      <c r="B753" t="s">
        <v>919</v>
      </c>
      <c r="C753" t="s">
        <v>870</v>
      </c>
      <c r="D753" t="s">
        <v>209</v>
      </c>
      <c r="E753" s="11">
        <v>5.7400000000000001E-6</v>
      </c>
      <c r="F753" s="11">
        <v>1.79E-6</v>
      </c>
      <c r="G753">
        <v>0.31240486499999998</v>
      </c>
      <c r="H753">
        <v>-0.67233264699999995</v>
      </c>
      <c r="I753" s="11">
        <v>7.5399999999999998E-6</v>
      </c>
      <c r="J753">
        <v>0.29191379000000001</v>
      </c>
      <c r="K753">
        <v>8.7932170000000007E-3</v>
      </c>
      <c r="L753">
        <v>1.769069174</v>
      </c>
      <c r="M753">
        <v>6.5656450000000002E-3</v>
      </c>
      <c r="N753">
        <v>1.0183156E-2</v>
      </c>
      <c r="O753">
        <v>3.160029E-3</v>
      </c>
      <c r="P753">
        <v>5.1519860000000001E-2</v>
      </c>
      <c r="Q753">
        <v>0.99642131499999997</v>
      </c>
      <c r="R753">
        <v>6.0815676080000003</v>
      </c>
      <c r="S753">
        <v>9.7600499999999993E-3</v>
      </c>
      <c r="T753">
        <v>9.0230650000000003E-3</v>
      </c>
      <c r="U753">
        <v>7.4648032000000003E-2</v>
      </c>
      <c r="V753">
        <v>7.4875841999999998E-2</v>
      </c>
      <c r="W753">
        <v>1.0030517880000001</v>
      </c>
      <c r="X753">
        <v>4.6852009629999998</v>
      </c>
      <c r="Y753">
        <v>1.0845988209999999</v>
      </c>
      <c r="Z753">
        <v>0.29458194300000001</v>
      </c>
      <c r="AA753">
        <v>6.5508069999999996E-3</v>
      </c>
      <c r="AB753">
        <v>-0.63108159399999997</v>
      </c>
      <c r="AC753">
        <v>5.6488010000000002E-3</v>
      </c>
      <c r="AD753">
        <v>0.85132413500000004</v>
      </c>
      <c r="AE753">
        <v>0.17956404000000001</v>
      </c>
      <c r="AF753">
        <v>0.86294946800000005</v>
      </c>
      <c r="AG753">
        <v>0.228468632</v>
      </c>
      <c r="AH753">
        <v>2.0367060000000001E-3</v>
      </c>
      <c r="AI753">
        <v>0.448486514</v>
      </c>
    </row>
    <row r="754" spans="1:35" x14ac:dyDescent="0.2">
      <c r="A754">
        <v>805</v>
      </c>
      <c r="B754" t="s">
        <v>920</v>
      </c>
      <c r="C754" t="s">
        <v>870</v>
      </c>
      <c r="D754" t="s">
        <v>154</v>
      </c>
      <c r="E754" s="11">
        <v>5.3600000000000004E-6</v>
      </c>
      <c r="F754" s="11">
        <v>1.6700000000000001E-6</v>
      </c>
      <c r="G754">
        <v>0.31056721999999998</v>
      </c>
      <c r="H754">
        <v>-0.71586718800000004</v>
      </c>
      <c r="I754" s="11">
        <v>7.0299999999999996E-6</v>
      </c>
      <c r="J754">
        <v>0.29191489399999998</v>
      </c>
      <c r="K754">
        <v>8.5676859999999997E-3</v>
      </c>
      <c r="L754">
        <v>1.7686247340000001</v>
      </c>
      <c r="M754">
        <v>8.6427410000000007E-3</v>
      </c>
      <c r="N754">
        <v>9.9197569999999995E-3</v>
      </c>
      <c r="O754">
        <v>3.0789799999999998E-3</v>
      </c>
      <c r="P754">
        <v>5.081832E-2</v>
      </c>
      <c r="Q754">
        <v>0.975733772</v>
      </c>
      <c r="R754">
        <v>5.9560392780000004</v>
      </c>
      <c r="S754">
        <v>9.1960989999999992E-3</v>
      </c>
      <c r="T754">
        <v>8.0762239999999999E-3</v>
      </c>
      <c r="U754">
        <v>7.0334751000000001E-2</v>
      </c>
      <c r="V754">
        <v>6.7018699000000001E-2</v>
      </c>
      <c r="W754">
        <v>0.95285329200000002</v>
      </c>
      <c r="X754">
        <v>5.4901834559999996</v>
      </c>
      <c r="Y754">
        <v>0.603108796</v>
      </c>
      <c r="Z754">
        <v>0.28381402100000003</v>
      </c>
      <c r="AA754">
        <v>2.8508679999999999E-3</v>
      </c>
      <c r="AB754">
        <v>-1</v>
      </c>
      <c r="AC754">
        <v>2.4569240000000001E-3</v>
      </c>
      <c r="AD754">
        <v>0.83042633600000004</v>
      </c>
      <c r="AE754">
        <v>0.100183546</v>
      </c>
      <c r="AF754">
        <v>0.49696202299999997</v>
      </c>
      <c r="AG754">
        <v>0.102020392</v>
      </c>
      <c r="AH754">
        <v>8.8585699999999999E-4</v>
      </c>
      <c r="AI754">
        <v>0.25739569499999998</v>
      </c>
    </row>
    <row r="755" spans="1:35" x14ac:dyDescent="0.2">
      <c r="A755">
        <v>806</v>
      </c>
      <c r="B755" t="s">
        <v>921</v>
      </c>
      <c r="C755" t="s">
        <v>870</v>
      </c>
      <c r="D755" t="s">
        <v>156</v>
      </c>
      <c r="E755" s="11">
        <v>7.43E-6</v>
      </c>
      <c r="F755" s="11">
        <v>2.3499999999999999E-6</v>
      </c>
      <c r="G755">
        <v>0.31691376599999999</v>
      </c>
      <c r="H755">
        <v>9.2794899E-2</v>
      </c>
      <c r="I755" s="11">
        <v>9.7799999999999995E-6</v>
      </c>
      <c r="J755">
        <v>0.29191489399999998</v>
      </c>
      <c r="K755">
        <v>1.2276792999999999E-2</v>
      </c>
      <c r="L755">
        <v>1.7760429470000001</v>
      </c>
      <c r="M755">
        <v>1.2809340000000001E-2</v>
      </c>
      <c r="N755">
        <v>1.4252285999999999E-2</v>
      </c>
      <c r="O755">
        <v>4.411926E-3</v>
      </c>
      <c r="P755">
        <v>7.3235040000000001E-2</v>
      </c>
      <c r="Q755">
        <v>0.94297575899999997</v>
      </c>
      <c r="R755">
        <v>5.8043246399999999</v>
      </c>
      <c r="S755">
        <v>1.2852094999999999E-2</v>
      </c>
      <c r="T755">
        <v>1.1437892E-2</v>
      </c>
      <c r="U755">
        <v>9.8296997999999997E-2</v>
      </c>
      <c r="V755">
        <v>9.4914731000000002E-2</v>
      </c>
      <c r="W755">
        <v>0.96559134999999996</v>
      </c>
      <c r="X755">
        <v>3.9070814440000001</v>
      </c>
      <c r="Y755">
        <v>1.354672313</v>
      </c>
      <c r="Z755">
        <v>0.313694156</v>
      </c>
      <c r="AA755">
        <v>1.4699153E-2</v>
      </c>
      <c r="AB755">
        <v>-0.31104986000000001</v>
      </c>
      <c r="AC755">
        <v>1.2631508E-2</v>
      </c>
      <c r="AD755">
        <v>0.86634509400000004</v>
      </c>
      <c r="AE755">
        <v>0.22155441100000001</v>
      </c>
      <c r="AF755">
        <v>0.92735066399999999</v>
      </c>
      <c r="AG755">
        <v>0.44275055600000002</v>
      </c>
      <c r="AH755">
        <v>4.5543579999999997E-3</v>
      </c>
      <c r="AI755">
        <v>0.48784450699999998</v>
      </c>
    </row>
    <row r="756" spans="1:35" x14ac:dyDescent="0.2">
      <c r="A756">
        <v>807</v>
      </c>
      <c r="B756" t="s">
        <v>922</v>
      </c>
      <c r="C756" t="s">
        <v>870</v>
      </c>
      <c r="D756" t="s">
        <v>158</v>
      </c>
      <c r="E756" s="11">
        <v>5.2499999999999997E-6</v>
      </c>
      <c r="F756" s="11">
        <v>1.64E-6</v>
      </c>
      <c r="G756">
        <v>0.31153503700000001</v>
      </c>
      <c r="H756">
        <v>-0.71541133800000001</v>
      </c>
      <c r="I756" s="11">
        <v>6.8800000000000002E-6</v>
      </c>
      <c r="J756">
        <v>0.29191489399999998</v>
      </c>
      <c r="K756">
        <v>8.0819670000000007E-3</v>
      </c>
      <c r="L756">
        <v>1.767653296</v>
      </c>
      <c r="M756">
        <v>8.6566960000000002E-3</v>
      </c>
      <c r="N756">
        <v>9.3597779999999992E-3</v>
      </c>
      <c r="O756">
        <v>2.9044269999999998E-3</v>
      </c>
      <c r="P756">
        <v>4.9369990000000002E-2</v>
      </c>
      <c r="Q756">
        <v>0.94069267000000001</v>
      </c>
      <c r="R756">
        <v>5.7428960059999996</v>
      </c>
      <c r="S756">
        <v>8.2076890000000007E-3</v>
      </c>
      <c r="T756">
        <v>7.1438650000000001E-3</v>
      </c>
      <c r="U756">
        <v>6.2775070000000002E-2</v>
      </c>
      <c r="V756">
        <v>5.9281726999999999E-2</v>
      </c>
      <c r="W756">
        <v>0.94435142800000005</v>
      </c>
      <c r="X756">
        <v>4.9639672130000001</v>
      </c>
      <c r="Y756">
        <v>0.66894898599999997</v>
      </c>
      <c r="Z756">
        <v>0.28926277700000003</v>
      </c>
      <c r="AA756">
        <v>4.9080749999999996E-3</v>
      </c>
      <c r="AB756">
        <v>-1</v>
      </c>
      <c r="AC756">
        <v>4.2339539999999998E-3</v>
      </c>
      <c r="AD756">
        <v>0.85078626400000001</v>
      </c>
      <c r="AE756">
        <v>0.110383727</v>
      </c>
      <c r="AF756">
        <v>0.69228774900000001</v>
      </c>
      <c r="AG756">
        <v>0.29416363200000001</v>
      </c>
      <c r="AH756">
        <v>1.5265750000000001E-3</v>
      </c>
      <c r="AI756">
        <v>0.36310128400000002</v>
      </c>
    </row>
    <row r="757" spans="1:35" x14ac:dyDescent="0.2">
      <c r="A757">
        <v>808</v>
      </c>
      <c r="B757" t="s">
        <v>923</v>
      </c>
      <c r="C757" t="s">
        <v>870</v>
      </c>
      <c r="D757" t="s">
        <v>214</v>
      </c>
      <c r="E757" s="11">
        <v>5.2800000000000003E-6</v>
      </c>
      <c r="F757" s="11">
        <v>1.66E-6</v>
      </c>
      <c r="G757">
        <v>0.31416178</v>
      </c>
      <c r="H757">
        <v>-0.71360633399999995</v>
      </c>
      <c r="I757" s="11">
        <v>6.9500000000000004E-6</v>
      </c>
      <c r="J757">
        <v>0.29191489399999998</v>
      </c>
      <c r="K757">
        <v>8.0860020000000001E-3</v>
      </c>
      <c r="L757">
        <v>1.767661366</v>
      </c>
      <c r="M757">
        <v>8.6608399999999995E-3</v>
      </c>
      <c r="N757">
        <v>9.3644550000000007E-3</v>
      </c>
      <c r="O757">
        <v>2.905786E-3</v>
      </c>
      <c r="P757">
        <v>4.9395080000000001E-2</v>
      </c>
      <c r="Q757">
        <v>0.940722316</v>
      </c>
      <c r="R757">
        <v>5.7431240499999996</v>
      </c>
      <c r="S757">
        <v>8.2194499999999997E-3</v>
      </c>
      <c r="T757">
        <v>7.1569399999999997E-3</v>
      </c>
      <c r="U757">
        <v>6.2865022000000007E-2</v>
      </c>
      <c r="V757">
        <v>5.9390229000000003E-2</v>
      </c>
      <c r="W757">
        <v>0.94472613100000002</v>
      </c>
      <c r="X757">
        <v>4.8937209240000001</v>
      </c>
      <c r="Y757">
        <v>0.66987563800000005</v>
      </c>
      <c r="Z757">
        <v>0.28573536700000002</v>
      </c>
      <c r="AA757">
        <v>5.2798669999999997E-3</v>
      </c>
      <c r="AB757">
        <v>-1</v>
      </c>
      <c r="AC757">
        <v>4.5530010000000001E-3</v>
      </c>
      <c r="AD757">
        <v>0.85269678100000001</v>
      </c>
      <c r="AE757">
        <v>0.110383727</v>
      </c>
      <c r="AF757">
        <v>0.72830136199999995</v>
      </c>
      <c r="AG757">
        <v>0.30623963999999998</v>
      </c>
      <c r="AH757">
        <v>1.641609E-3</v>
      </c>
      <c r="AI757">
        <v>0.38189390899999998</v>
      </c>
    </row>
    <row r="758" spans="1:35" x14ac:dyDescent="0.2">
      <c r="A758">
        <v>809</v>
      </c>
      <c r="B758" t="s">
        <v>924</v>
      </c>
      <c r="C758" t="s">
        <v>870</v>
      </c>
      <c r="D758" t="s">
        <v>160</v>
      </c>
      <c r="E758" s="11">
        <v>7.8099999999999998E-6</v>
      </c>
      <c r="F758" s="11">
        <v>2.4600000000000002E-6</v>
      </c>
      <c r="G758">
        <v>0.315332642</v>
      </c>
      <c r="H758">
        <v>-0.28269791399999999</v>
      </c>
      <c r="I758" s="11">
        <v>1.03E-5</v>
      </c>
      <c r="J758">
        <v>0.29191489399999998</v>
      </c>
      <c r="K758">
        <v>1.4545618E-2</v>
      </c>
      <c r="L758">
        <v>1.7805805969999999</v>
      </c>
      <c r="M758">
        <v>1.2696855999999999E-2</v>
      </c>
      <c r="N758">
        <v>1.6883281E-2</v>
      </c>
      <c r="O758">
        <v>5.2271069999999999E-3</v>
      </c>
      <c r="P758">
        <v>7.9668119999999995E-2</v>
      </c>
      <c r="Q758">
        <v>1.052713317</v>
      </c>
      <c r="R758">
        <v>6.4756161399999996</v>
      </c>
      <c r="S758">
        <v>1.4542746E-2</v>
      </c>
      <c r="T758">
        <v>1.3088518E-2</v>
      </c>
      <c r="U758">
        <v>0.11122765</v>
      </c>
      <c r="V758">
        <v>0.10861207</v>
      </c>
      <c r="W758">
        <v>0.97648444400000001</v>
      </c>
      <c r="X758">
        <v>3.7860895819999998</v>
      </c>
      <c r="Y758">
        <v>1.3701591120000001</v>
      </c>
      <c r="Z758">
        <v>0.306111142</v>
      </c>
      <c r="AA758">
        <v>1.6640879000000001E-2</v>
      </c>
      <c r="AB758">
        <v>-0.29954293700000001</v>
      </c>
      <c r="AC758">
        <v>1.4315275000000001E-2</v>
      </c>
      <c r="AD758">
        <v>0.87091836</v>
      </c>
      <c r="AE758">
        <v>0.22333567800000001</v>
      </c>
      <c r="AF758">
        <v>1.0337996890000001</v>
      </c>
      <c r="AG758">
        <v>0.49551213700000002</v>
      </c>
      <c r="AH758">
        <v>5.1614490000000002E-3</v>
      </c>
      <c r="AI758">
        <v>0.54390124200000001</v>
      </c>
    </row>
    <row r="759" spans="1:35" x14ac:dyDescent="0.2">
      <c r="A759">
        <v>810</v>
      </c>
      <c r="B759" t="s">
        <v>925</v>
      </c>
      <c r="C759" t="s">
        <v>870</v>
      </c>
      <c r="D759" t="s">
        <v>162</v>
      </c>
      <c r="E759" s="11">
        <v>6.63E-6</v>
      </c>
      <c r="F759" s="11">
        <v>2.0700000000000001E-6</v>
      </c>
      <c r="G759">
        <v>0.31182384699999999</v>
      </c>
      <c r="H759">
        <v>-9.1080585000000006E-2</v>
      </c>
      <c r="I759" s="11">
        <v>8.6999999999999997E-6</v>
      </c>
      <c r="J759">
        <v>0.20837319100000001</v>
      </c>
      <c r="K759">
        <v>4.1134079999999998E-3</v>
      </c>
      <c r="L759">
        <v>1.2584659600000001</v>
      </c>
      <c r="M759">
        <v>6.5267160000000001E-3</v>
      </c>
      <c r="N759">
        <v>4.772737E-3</v>
      </c>
      <c r="O759">
        <v>1.47824E-3</v>
      </c>
      <c r="P759">
        <v>1.3028359999999999E-2</v>
      </c>
      <c r="Q759">
        <v>0.65983381100000005</v>
      </c>
      <c r="R759">
        <v>3.9850595919999998</v>
      </c>
      <c r="S759">
        <v>8.9606740000000001E-3</v>
      </c>
      <c r="T759">
        <v>8.0972249999999996E-3</v>
      </c>
      <c r="U759">
        <v>6.8534143000000006E-2</v>
      </c>
      <c r="V759">
        <v>6.7192966000000007E-2</v>
      </c>
      <c r="W759">
        <v>0.98043052799999997</v>
      </c>
      <c r="X759">
        <v>4.201164296</v>
      </c>
      <c r="Y759">
        <v>1.749934941</v>
      </c>
      <c r="Z759">
        <v>0.31140473099999999</v>
      </c>
      <c r="AA759">
        <v>1.0847305999999999E-2</v>
      </c>
      <c r="AB759">
        <v>0.28084985899999998</v>
      </c>
      <c r="AC759">
        <v>9.318916E-3</v>
      </c>
      <c r="AD759">
        <v>0.87137667699999999</v>
      </c>
      <c r="AE759">
        <v>0.28961572699999999</v>
      </c>
      <c r="AF759">
        <v>1.2809836750000001</v>
      </c>
      <c r="AG759">
        <v>0.34504263000000002</v>
      </c>
      <c r="AH759">
        <v>3.3599849999999998E-3</v>
      </c>
      <c r="AI759">
        <v>0.66592061999999996</v>
      </c>
    </row>
    <row r="760" spans="1:35" x14ac:dyDescent="0.2">
      <c r="A760">
        <v>811</v>
      </c>
      <c r="B760" t="s">
        <v>926</v>
      </c>
      <c r="C760" t="s">
        <v>870</v>
      </c>
      <c r="D760" t="s">
        <v>218</v>
      </c>
      <c r="E760" s="11">
        <v>6.4300000000000003E-6</v>
      </c>
      <c r="F760" s="11">
        <v>1.9999999999999999E-6</v>
      </c>
      <c r="G760">
        <v>0.31022657999999997</v>
      </c>
      <c r="H760">
        <v>0.54870022900000004</v>
      </c>
      <c r="I760" s="11">
        <v>8.4300000000000006E-6</v>
      </c>
      <c r="J760">
        <v>0.23696275999999999</v>
      </c>
      <c r="K760">
        <v>5.3047229999999999E-3</v>
      </c>
      <c r="L760">
        <v>1.4323860079999999</v>
      </c>
      <c r="M760">
        <v>7.4154249999999998E-3</v>
      </c>
      <c r="N760">
        <v>6.1544440000000002E-3</v>
      </c>
      <c r="O760">
        <v>1.9063649999999999E-3</v>
      </c>
      <c r="P760">
        <v>1.6707509999999998E-2</v>
      </c>
      <c r="Q760">
        <v>0.74622826900000006</v>
      </c>
      <c r="R760">
        <v>4.510784632</v>
      </c>
      <c r="S760">
        <v>1.0998885E-2</v>
      </c>
      <c r="T760">
        <v>9.9846480000000005E-3</v>
      </c>
      <c r="U760">
        <v>8.4123046000000007E-2</v>
      </c>
      <c r="V760">
        <v>8.2855313E-2</v>
      </c>
      <c r="W760">
        <v>0.98493001499999999</v>
      </c>
      <c r="X760">
        <v>3.6513886809999998</v>
      </c>
      <c r="Y760">
        <v>3.219232554</v>
      </c>
      <c r="Z760">
        <v>0.32121931599999998</v>
      </c>
      <c r="AA760">
        <v>1.9146566E-2</v>
      </c>
      <c r="AB760">
        <v>0.55505357799999999</v>
      </c>
      <c r="AC760">
        <v>1.6455146E-2</v>
      </c>
      <c r="AD760">
        <v>0.86049569999999997</v>
      </c>
      <c r="AE760">
        <v>0.53312174700000003</v>
      </c>
      <c r="AF760">
        <v>2.099814115</v>
      </c>
      <c r="AG760">
        <v>0.54250401500000001</v>
      </c>
      <c r="AH760">
        <v>5.9329910000000003E-3</v>
      </c>
      <c r="AI760">
        <v>1.090900934</v>
      </c>
    </row>
    <row r="761" spans="1:35" x14ac:dyDescent="0.2">
      <c r="A761">
        <v>812</v>
      </c>
      <c r="B761" t="s">
        <v>927</v>
      </c>
      <c r="C761" t="s">
        <v>870</v>
      </c>
      <c r="D761" t="s">
        <v>220</v>
      </c>
      <c r="E761" s="11">
        <v>6.6499999999999999E-6</v>
      </c>
      <c r="F761" s="11">
        <v>2.0600000000000002E-6</v>
      </c>
      <c r="G761">
        <v>0.309638313</v>
      </c>
      <c r="H761">
        <v>-9.2450187000000003E-2</v>
      </c>
      <c r="I761" s="11">
        <v>8.7099999999999996E-6</v>
      </c>
      <c r="J761">
        <v>0.20835704899999999</v>
      </c>
      <c r="K761">
        <v>4.1142139999999997E-3</v>
      </c>
      <c r="L761">
        <v>1.2583707239999999</v>
      </c>
      <c r="M761">
        <v>6.52799E-3</v>
      </c>
      <c r="N761">
        <v>4.7735570000000003E-3</v>
      </c>
      <c r="O761">
        <v>1.47853E-3</v>
      </c>
      <c r="P761">
        <v>1.303056E-2</v>
      </c>
      <c r="Q761">
        <v>0.659763302</v>
      </c>
      <c r="R761">
        <v>3.9846409359999999</v>
      </c>
      <c r="S761">
        <v>8.9595500000000002E-3</v>
      </c>
      <c r="T761">
        <v>8.1042110000000001E-3</v>
      </c>
      <c r="U761">
        <v>6.8525550000000005E-2</v>
      </c>
      <c r="V761">
        <v>6.7250937999999996E-2</v>
      </c>
      <c r="W761">
        <v>0.98139946300000003</v>
      </c>
      <c r="X761">
        <v>4.2017140350000002</v>
      </c>
      <c r="Y761">
        <v>1.750047852</v>
      </c>
      <c r="Z761">
        <v>0.31103148400000002</v>
      </c>
      <c r="AA761">
        <v>1.0841159E-2</v>
      </c>
      <c r="AB761">
        <v>0.28095067600000001</v>
      </c>
      <c r="AC761">
        <v>9.3136190000000004E-3</v>
      </c>
      <c r="AD761">
        <v>0.87285826799999999</v>
      </c>
      <c r="AE761">
        <v>0.28963729399999999</v>
      </c>
      <c r="AF761">
        <v>1.281194835</v>
      </c>
      <c r="AG761">
        <v>0.34487760200000001</v>
      </c>
      <c r="AH761">
        <v>3.3580760000000002E-3</v>
      </c>
      <c r="AI761">
        <v>0.66602376699999999</v>
      </c>
    </row>
    <row r="762" spans="1:35" x14ac:dyDescent="0.2">
      <c r="A762">
        <v>813</v>
      </c>
      <c r="B762" t="s">
        <v>928</v>
      </c>
      <c r="C762" t="s">
        <v>870</v>
      </c>
      <c r="D762" t="s">
        <v>164</v>
      </c>
      <c r="E762" s="11">
        <v>7.3599999999999998E-6</v>
      </c>
      <c r="F762" s="11">
        <v>2.3199999999999998E-6</v>
      </c>
      <c r="G762">
        <v>0.31552377999999998</v>
      </c>
      <c r="H762">
        <v>-4.3601725000000001E-2</v>
      </c>
      <c r="I762" s="11">
        <v>9.6900000000000004E-6</v>
      </c>
      <c r="J762">
        <v>0.47349876400000002</v>
      </c>
      <c r="K762">
        <v>2.1851662000000001E-2</v>
      </c>
      <c r="L762">
        <v>2.8846959079999999</v>
      </c>
      <c r="M762">
        <v>1.2210393E-2</v>
      </c>
      <c r="N762">
        <v>2.5358254E-2</v>
      </c>
      <c r="O762">
        <v>7.8528590000000002E-3</v>
      </c>
      <c r="P762">
        <v>0.10754228</v>
      </c>
      <c r="Q762">
        <v>1.473056581</v>
      </c>
      <c r="R762">
        <v>9.0534240540000006</v>
      </c>
      <c r="S762">
        <v>2.1088005999999999E-2</v>
      </c>
      <c r="T762">
        <v>1.9513979000000001E-2</v>
      </c>
      <c r="U762">
        <v>0.161287927</v>
      </c>
      <c r="V762">
        <v>0.16193228500000001</v>
      </c>
      <c r="W762">
        <v>1.0039950790000001</v>
      </c>
      <c r="X762">
        <v>3.4998320330000001</v>
      </c>
      <c r="Y762">
        <v>2.1792266489999998</v>
      </c>
      <c r="Z762">
        <v>0.32986151499999999</v>
      </c>
      <c r="AA762">
        <v>2.2390291999999999E-2</v>
      </c>
      <c r="AB762">
        <v>-0.323724593</v>
      </c>
      <c r="AC762">
        <v>1.9247515999999999E-2</v>
      </c>
      <c r="AD762">
        <v>0.86518546200000002</v>
      </c>
      <c r="AE762">
        <v>0.356932523</v>
      </c>
      <c r="AF762">
        <v>1.3456332040000001</v>
      </c>
      <c r="AG762">
        <v>0.60737463800000002</v>
      </c>
      <c r="AH762">
        <v>6.9397950000000003E-3</v>
      </c>
      <c r="AI762">
        <v>0.70684011800000002</v>
      </c>
    </row>
    <row r="763" spans="1:35" x14ac:dyDescent="0.2">
      <c r="A763">
        <v>814</v>
      </c>
      <c r="B763" t="s">
        <v>929</v>
      </c>
      <c r="C763" t="s">
        <v>870</v>
      </c>
      <c r="D763" t="s">
        <v>166</v>
      </c>
      <c r="E763" s="11">
        <v>9.2699999999999993E-6</v>
      </c>
      <c r="F763" s="11">
        <v>2.92E-6</v>
      </c>
      <c r="G763">
        <v>0.31477771199999999</v>
      </c>
      <c r="H763">
        <v>-1.7482276000000001E-2</v>
      </c>
      <c r="I763" s="11">
        <v>1.22E-5</v>
      </c>
      <c r="J763">
        <v>0.29191489399999998</v>
      </c>
      <c r="K763">
        <v>1.6522302999999999E-2</v>
      </c>
      <c r="L763">
        <v>1.784533967</v>
      </c>
      <c r="M763">
        <v>1.2617270999999999E-2</v>
      </c>
      <c r="N763">
        <v>1.9201329999999999E-2</v>
      </c>
      <c r="O763">
        <v>5.9376409999999996E-3</v>
      </c>
      <c r="P763">
        <v>8.5349750000000002E-2</v>
      </c>
      <c r="Q763">
        <v>1.1486923520000001</v>
      </c>
      <c r="R763">
        <v>7.0628536139999998</v>
      </c>
      <c r="S763">
        <v>1.5518472E-2</v>
      </c>
      <c r="T763">
        <v>1.4241551E-2</v>
      </c>
      <c r="U763">
        <v>0.118690316</v>
      </c>
      <c r="V763">
        <v>0.118180252</v>
      </c>
      <c r="W763">
        <v>0.99570256400000001</v>
      </c>
      <c r="X763">
        <v>3.647450471</v>
      </c>
      <c r="Y763">
        <v>1.784533903</v>
      </c>
      <c r="Z763">
        <v>0.31477807299999999</v>
      </c>
      <c r="AA763">
        <v>1.9233796000000001E-2</v>
      </c>
      <c r="AB763" s="11">
        <v>-3.6099999999999999E-8</v>
      </c>
      <c r="AC763">
        <v>1.6522304000000002E-2</v>
      </c>
      <c r="AD763">
        <v>0.886848215</v>
      </c>
      <c r="AE763">
        <v>0.29191488300000001</v>
      </c>
      <c r="AF763">
        <v>1.149080412</v>
      </c>
      <c r="AG763">
        <v>0.54436852400000002</v>
      </c>
      <c r="AH763">
        <v>5.9572059999999996E-3</v>
      </c>
      <c r="AI763">
        <v>0.60436154900000005</v>
      </c>
    </row>
    <row r="764" spans="1:35" x14ac:dyDescent="0.2">
      <c r="A764">
        <v>815</v>
      </c>
      <c r="B764" t="s">
        <v>930</v>
      </c>
      <c r="C764" t="s">
        <v>870</v>
      </c>
      <c r="D764" t="s">
        <v>224</v>
      </c>
      <c r="E764" s="11">
        <v>7.1300000000000003E-6</v>
      </c>
      <c r="F764" s="11">
        <v>2.2000000000000001E-6</v>
      </c>
      <c r="G764">
        <v>0.30878837399999998</v>
      </c>
      <c r="H764">
        <v>-0.63285650699999996</v>
      </c>
      <c r="I764" s="11">
        <v>9.3400000000000004E-6</v>
      </c>
      <c r="J764">
        <v>0.29191489399999998</v>
      </c>
      <c r="K764">
        <v>1.2407115E-2</v>
      </c>
      <c r="L764">
        <v>1.776303591</v>
      </c>
      <c r="M764">
        <v>8.5547490000000004E-3</v>
      </c>
      <c r="N764">
        <v>1.4397648000000001E-2</v>
      </c>
      <c r="O764">
        <v>4.45876E-3</v>
      </c>
      <c r="P764">
        <v>6.228786E-2</v>
      </c>
      <c r="Q764">
        <v>1.253914124</v>
      </c>
      <c r="R764">
        <v>7.6480604540000003</v>
      </c>
      <c r="S764">
        <v>1.1141171E-2</v>
      </c>
      <c r="T764">
        <v>1.0479351E-2</v>
      </c>
      <c r="U764">
        <v>8.5211298000000005E-2</v>
      </c>
      <c r="V764">
        <v>8.6960495999999998E-2</v>
      </c>
      <c r="W764">
        <v>1.020527771</v>
      </c>
      <c r="X764">
        <v>4.7766070479999998</v>
      </c>
      <c r="Y764">
        <v>1.007830797</v>
      </c>
      <c r="Z764">
        <v>0.28556294100000001</v>
      </c>
      <c r="AA764">
        <v>5.9725009999999999E-3</v>
      </c>
      <c r="AB764">
        <v>-0.76250179699999998</v>
      </c>
      <c r="AC764">
        <v>5.1392590000000002E-3</v>
      </c>
      <c r="AD764">
        <v>0.85024633500000002</v>
      </c>
      <c r="AE764">
        <v>0.166908047</v>
      </c>
      <c r="AF764">
        <v>0.80233505000000005</v>
      </c>
      <c r="AG764">
        <v>0.20436401900000001</v>
      </c>
      <c r="AH764">
        <v>1.852987E-3</v>
      </c>
      <c r="AI764">
        <v>0.41674386800000002</v>
      </c>
    </row>
    <row r="765" spans="1:35" x14ac:dyDescent="0.2">
      <c r="A765">
        <v>816</v>
      </c>
      <c r="B765" t="s">
        <v>931</v>
      </c>
      <c r="C765" t="s">
        <v>870</v>
      </c>
      <c r="D765" t="s">
        <v>226</v>
      </c>
      <c r="E765" s="11">
        <v>7.2200000000000003E-7</v>
      </c>
      <c r="F765" s="11">
        <v>2.29E-7</v>
      </c>
      <c r="G765">
        <v>0.31739983100000002</v>
      </c>
      <c r="H765">
        <v>-0.520716599</v>
      </c>
      <c r="I765" s="11">
        <v>9.5199999999999995E-7</v>
      </c>
      <c r="J765">
        <v>0.29191489399999998</v>
      </c>
      <c r="K765">
        <v>1.54412E-3</v>
      </c>
      <c r="L765">
        <v>1.7545776019999999</v>
      </c>
      <c r="M765">
        <v>1.744949E-3</v>
      </c>
      <c r="N765">
        <v>1.6924010000000001E-3</v>
      </c>
      <c r="O765">
        <v>5.5491199999999996E-4</v>
      </c>
      <c r="P765">
        <v>9.3162999999999996E-3</v>
      </c>
      <c r="Q765">
        <v>0.89153240499999997</v>
      </c>
      <c r="R765">
        <v>5.3678270360000004</v>
      </c>
      <c r="S765">
        <v>1.507483E-3</v>
      </c>
      <c r="T765">
        <v>1.1664710000000001E-3</v>
      </c>
      <c r="U765">
        <v>1.1529721999999999E-2</v>
      </c>
      <c r="V765">
        <v>9.6796959999999998E-3</v>
      </c>
      <c r="W765">
        <v>0.83954287900000002</v>
      </c>
      <c r="X765">
        <v>5.2148118209999996</v>
      </c>
      <c r="Y765">
        <v>0.72694535800000004</v>
      </c>
      <c r="Z765">
        <v>0.28992159499999998</v>
      </c>
      <c r="AA765">
        <v>3.7938770000000002E-3</v>
      </c>
      <c r="AB765">
        <v>-1</v>
      </c>
      <c r="AC765">
        <v>3.2664579999999999E-3</v>
      </c>
      <c r="AD765">
        <v>0.84141288199999997</v>
      </c>
      <c r="AE765">
        <v>0.12060533399999999</v>
      </c>
      <c r="AF765">
        <v>0.59039567599999998</v>
      </c>
      <c r="AG765">
        <v>0.13384117800000001</v>
      </c>
      <c r="AH765">
        <v>1.1777389999999999E-3</v>
      </c>
      <c r="AI765">
        <v>0.30616589900000002</v>
      </c>
    </row>
    <row r="766" spans="1:35" x14ac:dyDescent="0.2">
      <c r="A766">
        <v>817</v>
      </c>
      <c r="B766" t="s">
        <v>932</v>
      </c>
      <c r="C766" t="s">
        <v>870</v>
      </c>
      <c r="D766" t="s">
        <v>168</v>
      </c>
      <c r="E766" s="11">
        <v>6.81E-6</v>
      </c>
      <c r="F766" s="11">
        <v>2.1399999999999998E-6</v>
      </c>
      <c r="G766">
        <v>0.31356588499999999</v>
      </c>
      <c r="H766">
        <v>-0.72106637699999998</v>
      </c>
      <c r="I766" s="11">
        <v>8.9500000000000007E-6</v>
      </c>
      <c r="J766">
        <v>0.52762231699999995</v>
      </c>
      <c r="K766">
        <v>2.0577340999999999E-2</v>
      </c>
      <c r="L766">
        <v>3.2068885809999998</v>
      </c>
      <c r="M766">
        <v>8.3619820000000004E-3</v>
      </c>
      <c r="N766">
        <v>2.3848985E-2</v>
      </c>
      <c r="O766">
        <v>7.3949050000000002E-3</v>
      </c>
      <c r="P766">
        <v>8.5594610000000002E-2</v>
      </c>
      <c r="Q766">
        <v>1.8511779770000001</v>
      </c>
      <c r="R766">
        <v>11.278257079999999</v>
      </c>
      <c r="S766">
        <v>2.0272765000000002E-2</v>
      </c>
      <c r="T766">
        <v>1.7992721E-2</v>
      </c>
      <c r="U766">
        <v>0.15505269299999999</v>
      </c>
      <c r="V766">
        <v>0.14930848199999999</v>
      </c>
      <c r="W766">
        <v>0.96295316799999997</v>
      </c>
      <c r="X766">
        <v>4.6734348470000002</v>
      </c>
      <c r="Y766">
        <v>1.0556204890000001</v>
      </c>
      <c r="Z766">
        <v>0.281133937</v>
      </c>
      <c r="AA766">
        <v>6.6350799999999998E-3</v>
      </c>
      <c r="AB766">
        <v>-1</v>
      </c>
      <c r="AC766">
        <v>5.7179600000000002E-3</v>
      </c>
      <c r="AD766">
        <v>0.85564556000000003</v>
      </c>
      <c r="AE766">
        <v>0.17465899200000001</v>
      </c>
      <c r="AF766">
        <v>0.87274431100000005</v>
      </c>
      <c r="AG766">
        <v>0.33903743400000003</v>
      </c>
      <c r="AH766">
        <v>2.0616409999999999E-3</v>
      </c>
      <c r="AI766">
        <v>0.45680034899999999</v>
      </c>
    </row>
    <row r="767" spans="1:35" x14ac:dyDescent="0.2">
      <c r="A767">
        <v>818</v>
      </c>
      <c r="B767" t="s">
        <v>933</v>
      </c>
      <c r="C767" t="s">
        <v>168</v>
      </c>
      <c r="D767" t="s">
        <v>130</v>
      </c>
      <c r="E767" s="11">
        <v>8.9099999999999994E-6</v>
      </c>
      <c r="F767" s="11">
        <v>2.7700000000000002E-6</v>
      </c>
      <c r="G767">
        <v>0.31103830599999999</v>
      </c>
      <c r="H767">
        <v>-0.69829226499999997</v>
      </c>
      <c r="I767" s="11">
        <v>1.17E-5</v>
      </c>
      <c r="J767">
        <v>0.46366411400000002</v>
      </c>
      <c r="K767">
        <v>1.7052376000000001E-2</v>
      </c>
      <c r="L767">
        <v>2.8160894359999999</v>
      </c>
      <c r="M767">
        <v>8.3898989999999993E-3</v>
      </c>
      <c r="N767">
        <v>1.9810268999999998E-2</v>
      </c>
      <c r="O767">
        <v>6.1281340000000004E-3</v>
      </c>
      <c r="P767">
        <v>7.5729580000000005E-2</v>
      </c>
      <c r="Q767">
        <v>1.5967705720000001</v>
      </c>
      <c r="R767">
        <v>9.7320825880000008</v>
      </c>
      <c r="S767">
        <v>1.8387278E-2</v>
      </c>
      <c r="T767">
        <v>1.6872087000000001E-2</v>
      </c>
      <c r="U767">
        <v>0.14063188099999999</v>
      </c>
      <c r="V767">
        <v>0.140009153</v>
      </c>
      <c r="W767">
        <v>0.99557192900000002</v>
      </c>
      <c r="X767">
        <v>3.9620445599999998</v>
      </c>
      <c r="Y767">
        <v>2.761460085</v>
      </c>
      <c r="Z767">
        <v>0.297017794</v>
      </c>
      <c r="AA767">
        <v>1.4531852E-2</v>
      </c>
      <c r="AB767">
        <v>-1.9782778000000001E-2</v>
      </c>
      <c r="AC767">
        <v>1.2477904E-2</v>
      </c>
      <c r="AD767">
        <v>0.87320098400000001</v>
      </c>
      <c r="AE767">
        <v>0.45833002</v>
      </c>
      <c r="AF767">
        <v>1.606855769</v>
      </c>
      <c r="AG767">
        <v>0.39544711199999999</v>
      </c>
      <c r="AH767">
        <v>4.4989749999999997E-3</v>
      </c>
      <c r="AI767">
        <v>0.83358967799999995</v>
      </c>
    </row>
    <row r="768" spans="1:35" x14ac:dyDescent="0.2">
      <c r="A768">
        <v>819</v>
      </c>
      <c r="B768" t="s">
        <v>934</v>
      </c>
      <c r="C768" t="s">
        <v>168</v>
      </c>
      <c r="D768" t="s">
        <v>150</v>
      </c>
      <c r="E768" s="11">
        <v>8.9199999999999993E-6</v>
      </c>
      <c r="F768" s="11">
        <v>2.7700000000000002E-6</v>
      </c>
      <c r="G768">
        <v>0.31080627999999999</v>
      </c>
      <c r="H768">
        <v>-0.70739166600000003</v>
      </c>
      <c r="I768" s="11">
        <v>1.17E-5</v>
      </c>
      <c r="J768">
        <v>0.46392278199999998</v>
      </c>
      <c r="K768">
        <v>1.7060074000000001E-2</v>
      </c>
      <c r="L768">
        <v>2.8176568409999998</v>
      </c>
      <c r="M768">
        <v>8.3847060000000005E-3</v>
      </c>
      <c r="N768">
        <v>1.9820568E-2</v>
      </c>
      <c r="O768">
        <v>6.1308999999999999E-3</v>
      </c>
      <c r="P768">
        <v>7.5744259999999994E-2</v>
      </c>
      <c r="Q768">
        <v>1.597232778</v>
      </c>
      <c r="R768">
        <v>9.7348851859999996</v>
      </c>
      <c r="S768">
        <v>1.8427433E-2</v>
      </c>
      <c r="T768">
        <v>1.6695622E-2</v>
      </c>
      <c r="U768">
        <v>0.14093899600000001</v>
      </c>
      <c r="V768">
        <v>0.138544797</v>
      </c>
      <c r="W768">
        <v>0.98301251599999995</v>
      </c>
      <c r="X768">
        <v>3.9627358190000002</v>
      </c>
      <c r="Y768">
        <v>2.7616587570000002</v>
      </c>
      <c r="Z768">
        <v>0.29173748399999999</v>
      </c>
      <c r="AA768">
        <v>1.4520514999999999E-2</v>
      </c>
      <c r="AB768">
        <v>-2.0276974E-2</v>
      </c>
      <c r="AC768">
        <v>1.2468445999999999E-2</v>
      </c>
      <c r="AD768">
        <v>0.87250298800000003</v>
      </c>
      <c r="AE768">
        <v>0.45836896199999999</v>
      </c>
      <c r="AF768">
        <v>1.607140343</v>
      </c>
      <c r="AG768">
        <v>0.39521941799999999</v>
      </c>
      <c r="AH768">
        <v>4.495565E-3</v>
      </c>
      <c r="AI768">
        <v>0.83372761299999998</v>
      </c>
    </row>
    <row r="769" spans="1:35" x14ac:dyDescent="0.2">
      <c r="A769">
        <v>820</v>
      </c>
      <c r="B769" t="s">
        <v>935</v>
      </c>
      <c r="C769" t="s">
        <v>168</v>
      </c>
      <c r="D769" t="s">
        <v>158</v>
      </c>
      <c r="E769" s="11">
        <v>5.4E-6</v>
      </c>
      <c r="F769" s="11">
        <v>1.6700000000000001E-6</v>
      </c>
      <c r="G769">
        <v>0.30910021399999998</v>
      </c>
      <c r="H769">
        <v>-0.72316981499999999</v>
      </c>
      <c r="I769" s="11">
        <v>7.0700000000000001E-6</v>
      </c>
      <c r="J769">
        <v>0.29191700900000001</v>
      </c>
      <c r="K769">
        <v>9.9153439999999995E-3</v>
      </c>
      <c r="L769">
        <v>1.7713327409999999</v>
      </c>
      <c r="M769">
        <v>8.6148660000000005E-3</v>
      </c>
      <c r="N769">
        <v>1.1468897E-2</v>
      </c>
      <c r="O769">
        <v>3.5632889999999999E-3</v>
      </c>
      <c r="P769">
        <v>5.4766519999999999E-2</v>
      </c>
      <c r="Q769">
        <v>1.0715732790000001</v>
      </c>
      <c r="R769">
        <v>6.5389727100000004</v>
      </c>
      <c r="S769">
        <v>1.0330295E-2</v>
      </c>
      <c r="T769">
        <v>9.0581580000000002E-3</v>
      </c>
      <c r="U769">
        <v>7.9009449999999995E-2</v>
      </c>
      <c r="V769">
        <v>7.5167049999999999E-2</v>
      </c>
      <c r="W769">
        <v>0.95136784299999999</v>
      </c>
      <c r="X769">
        <v>4.6801969479999999</v>
      </c>
      <c r="Y769">
        <v>1.0554760329999999</v>
      </c>
      <c r="Z769">
        <v>0.28474923099999999</v>
      </c>
      <c r="AA769">
        <v>6.582854E-3</v>
      </c>
      <c r="AB769">
        <v>-0.67823113499999998</v>
      </c>
      <c r="AC769">
        <v>5.6757040000000002E-3</v>
      </c>
      <c r="AD769">
        <v>0.85310962300000004</v>
      </c>
      <c r="AE769">
        <v>0.17465899200000001</v>
      </c>
      <c r="AF769">
        <v>0.86811308399999998</v>
      </c>
      <c r="AG769">
        <v>0.33746709200000002</v>
      </c>
      <c r="AH769">
        <v>2.0464049999999998E-3</v>
      </c>
      <c r="AI769">
        <v>0.45438378200000001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7CF4-C82E-6345-94A1-5A317F97412C}">
  <dimension ref="A1:G67"/>
  <sheetViews>
    <sheetView workbookViewId="0">
      <selection activeCell="G2" sqref="G2"/>
    </sheetView>
  </sheetViews>
  <sheetFormatPr baseColWidth="10" defaultRowHeight="16" x14ac:dyDescent="0.2"/>
  <cols>
    <col min="2" max="3" width="13.6640625" bestFit="1" customWidth="1"/>
    <col min="4" max="4" width="12.6640625" bestFit="1" customWidth="1"/>
    <col min="5" max="5" width="10.6640625" bestFit="1" customWidth="1"/>
    <col min="6" max="6" width="12.6640625" bestFit="1" customWidth="1"/>
    <col min="7" max="7" width="33.5" bestFit="1" customWidth="1"/>
  </cols>
  <sheetData>
    <row r="1" spans="1:7" x14ac:dyDescent="0.2">
      <c r="A1" t="s">
        <v>939</v>
      </c>
      <c r="B1" t="s">
        <v>0</v>
      </c>
      <c r="C1" t="s">
        <v>940</v>
      </c>
      <c r="D1" t="s">
        <v>941</v>
      </c>
      <c r="E1" t="s">
        <v>6</v>
      </c>
      <c r="F1" t="s">
        <v>942</v>
      </c>
      <c r="G1" t="s">
        <v>998</v>
      </c>
    </row>
    <row r="2" spans="1:7" x14ac:dyDescent="0.2">
      <c r="A2" t="s">
        <v>943</v>
      </c>
      <c r="B2" t="s">
        <v>1</v>
      </c>
      <c r="C2" t="s">
        <v>944</v>
      </c>
      <c r="D2" t="s">
        <v>945</v>
      </c>
      <c r="E2">
        <v>1</v>
      </c>
      <c r="F2" t="s">
        <v>946</v>
      </c>
      <c r="G2" s="8">
        <v>0.18149999999999999</v>
      </c>
    </row>
    <row r="3" spans="1:7" x14ac:dyDescent="0.2">
      <c r="A3" t="s">
        <v>943</v>
      </c>
      <c r="B3" t="s">
        <v>1</v>
      </c>
      <c r="C3" t="s">
        <v>944</v>
      </c>
      <c r="D3" t="s">
        <v>945</v>
      </c>
      <c r="E3">
        <v>2</v>
      </c>
      <c r="F3" t="s">
        <v>946</v>
      </c>
      <c r="G3" s="8">
        <v>0.17037905421438701</v>
      </c>
    </row>
    <row r="4" spans="1:7" x14ac:dyDescent="0.2">
      <c r="A4" t="s">
        <v>943</v>
      </c>
      <c r="B4" t="s">
        <v>1</v>
      </c>
      <c r="C4" t="s">
        <v>944</v>
      </c>
      <c r="D4" t="s">
        <v>945</v>
      </c>
      <c r="E4">
        <v>3</v>
      </c>
      <c r="F4" t="s">
        <v>946</v>
      </c>
      <c r="G4" s="8">
        <v>0.1729</v>
      </c>
    </row>
    <row r="5" spans="1:7" x14ac:dyDescent="0.2">
      <c r="A5" t="s">
        <v>943</v>
      </c>
      <c r="B5" t="s">
        <v>1</v>
      </c>
      <c r="C5" t="s">
        <v>26</v>
      </c>
      <c r="D5" t="s">
        <v>945</v>
      </c>
      <c r="E5">
        <v>1</v>
      </c>
      <c r="F5" t="s">
        <v>946</v>
      </c>
      <c r="G5" s="8">
        <v>8.7505463073336398E-2</v>
      </c>
    </row>
    <row r="6" spans="1:7" x14ac:dyDescent="0.2">
      <c r="A6" t="s">
        <v>943</v>
      </c>
      <c r="B6" t="s">
        <v>1</v>
      </c>
      <c r="C6" t="s">
        <v>26</v>
      </c>
      <c r="D6" t="s">
        <v>945</v>
      </c>
      <c r="E6">
        <v>2</v>
      </c>
      <c r="F6" t="s">
        <v>946</v>
      </c>
      <c r="G6" s="8">
        <v>8.9709155100068605E-2</v>
      </c>
    </row>
    <row r="7" spans="1:7" x14ac:dyDescent="0.2">
      <c r="A7" t="s">
        <v>943</v>
      </c>
      <c r="B7" t="s">
        <v>1</v>
      </c>
      <c r="C7" t="s">
        <v>26</v>
      </c>
      <c r="D7" t="s">
        <v>945</v>
      </c>
      <c r="E7">
        <v>3</v>
      </c>
      <c r="F7" t="s">
        <v>946</v>
      </c>
      <c r="G7" s="8">
        <v>9.5046672186162307E-2</v>
      </c>
    </row>
    <row r="8" spans="1:7" x14ac:dyDescent="0.2">
      <c r="A8" t="s">
        <v>943</v>
      </c>
      <c r="B8" t="s">
        <v>1</v>
      </c>
      <c r="C8" t="s">
        <v>947</v>
      </c>
      <c r="D8" t="s">
        <v>945</v>
      </c>
      <c r="E8">
        <v>1</v>
      </c>
      <c r="F8" t="s">
        <v>946</v>
      </c>
      <c r="G8" s="8">
        <v>0.15410166667140099</v>
      </c>
    </row>
    <row r="9" spans="1:7" x14ac:dyDescent="0.2">
      <c r="A9" t="s">
        <v>943</v>
      </c>
      <c r="B9" t="s">
        <v>1</v>
      </c>
      <c r="C9" t="s">
        <v>947</v>
      </c>
      <c r="D9" t="s">
        <v>945</v>
      </c>
      <c r="E9">
        <v>2</v>
      </c>
      <c r="F9" t="s">
        <v>946</v>
      </c>
      <c r="G9" s="8">
        <v>0.15403281833367</v>
      </c>
    </row>
    <row r="10" spans="1:7" x14ac:dyDescent="0.2">
      <c r="A10" t="s">
        <v>943</v>
      </c>
      <c r="B10" t="s">
        <v>1</v>
      </c>
      <c r="C10" t="s">
        <v>947</v>
      </c>
      <c r="D10" t="s">
        <v>945</v>
      </c>
      <c r="E10">
        <v>3</v>
      </c>
      <c r="F10" t="s">
        <v>946</v>
      </c>
      <c r="G10" s="8">
        <v>0.15145965831988101</v>
      </c>
    </row>
    <row r="11" spans="1:7" x14ac:dyDescent="0.2">
      <c r="A11" t="s">
        <v>943</v>
      </c>
      <c r="B11" t="s">
        <v>1</v>
      </c>
      <c r="C11" t="s">
        <v>2</v>
      </c>
      <c r="D11" t="s">
        <v>945</v>
      </c>
      <c r="E11">
        <v>1</v>
      </c>
      <c r="F11" t="s">
        <v>946</v>
      </c>
      <c r="G11" s="8">
        <v>7.7662694419240605E-2</v>
      </c>
    </row>
    <row r="12" spans="1:7" x14ac:dyDescent="0.2">
      <c r="A12" t="s">
        <v>943</v>
      </c>
      <c r="B12" t="s">
        <v>1</v>
      </c>
      <c r="C12" t="s">
        <v>2</v>
      </c>
      <c r="D12" t="s">
        <v>945</v>
      </c>
      <c r="E12">
        <v>2</v>
      </c>
      <c r="F12" t="s">
        <v>946</v>
      </c>
      <c r="G12" s="8">
        <v>8.2266608036758004E-2</v>
      </c>
    </row>
    <row r="13" spans="1:7" x14ac:dyDescent="0.2">
      <c r="A13" t="s">
        <v>943</v>
      </c>
      <c r="B13" t="s">
        <v>1</v>
      </c>
      <c r="C13" t="s">
        <v>2</v>
      </c>
      <c r="D13" t="s">
        <v>945</v>
      </c>
      <c r="E13">
        <v>3</v>
      </c>
      <c r="F13" t="s">
        <v>946</v>
      </c>
      <c r="G13" s="8">
        <v>7.4332841717672099E-2</v>
      </c>
    </row>
    <row r="14" spans="1:7" x14ac:dyDescent="0.2">
      <c r="A14" t="s">
        <v>943</v>
      </c>
      <c r="B14" t="s">
        <v>1</v>
      </c>
      <c r="C14" t="s">
        <v>944</v>
      </c>
      <c r="D14" t="s">
        <v>945</v>
      </c>
      <c r="E14">
        <v>1</v>
      </c>
      <c r="F14" t="s">
        <v>948</v>
      </c>
      <c r="G14" s="8">
        <v>0.118253076803739</v>
      </c>
    </row>
    <row r="15" spans="1:7" x14ac:dyDescent="0.2">
      <c r="A15" t="s">
        <v>943</v>
      </c>
      <c r="B15" t="s">
        <v>1</v>
      </c>
      <c r="C15" t="s">
        <v>944</v>
      </c>
      <c r="D15" t="s">
        <v>945</v>
      </c>
      <c r="E15">
        <v>2</v>
      </c>
      <c r="F15" t="s">
        <v>948</v>
      </c>
      <c r="G15" s="8">
        <v>0.13416867454732201</v>
      </c>
    </row>
    <row r="16" spans="1:7" x14ac:dyDescent="0.2">
      <c r="A16" t="s">
        <v>943</v>
      </c>
      <c r="B16" t="s">
        <v>1</v>
      </c>
      <c r="C16" t="s">
        <v>944</v>
      </c>
      <c r="D16" t="s">
        <v>945</v>
      </c>
      <c r="E16">
        <v>3</v>
      </c>
      <c r="F16" t="s">
        <v>948</v>
      </c>
      <c r="G16" s="8">
        <v>0.120316111648556</v>
      </c>
    </row>
    <row r="17" spans="1:7" x14ac:dyDescent="0.2">
      <c r="A17" t="s">
        <v>943</v>
      </c>
      <c r="B17" t="s">
        <v>1</v>
      </c>
      <c r="C17" t="s">
        <v>26</v>
      </c>
      <c r="D17" t="s">
        <v>945</v>
      </c>
      <c r="E17">
        <v>1</v>
      </c>
      <c r="F17" t="s">
        <v>948</v>
      </c>
      <c r="G17" s="8">
        <v>0.103167199280634</v>
      </c>
    </row>
    <row r="18" spans="1:7" x14ac:dyDescent="0.2">
      <c r="A18" t="s">
        <v>943</v>
      </c>
      <c r="B18" t="s">
        <v>1</v>
      </c>
      <c r="C18" t="s">
        <v>26</v>
      </c>
      <c r="D18" t="s">
        <v>945</v>
      </c>
      <c r="E18">
        <v>2</v>
      </c>
      <c r="F18" t="s">
        <v>948</v>
      </c>
      <c r="G18" s="8">
        <v>9.9645791281446405E-2</v>
      </c>
    </row>
    <row r="19" spans="1:7" x14ac:dyDescent="0.2">
      <c r="A19" t="s">
        <v>943</v>
      </c>
      <c r="B19" t="s">
        <v>1</v>
      </c>
      <c r="C19" t="s">
        <v>26</v>
      </c>
      <c r="D19" t="s">
        <v>945</v>
      </c>
      <c r="E19">
        <v>3</v>
      </c>
      <c r="F19" t="s">
        <v>948</v>
      </c>
      <c r="G19" s="8">
        <v>9.9199999999999997E-2</v>
      </c>
    </row>
    <row r="20" spans="1:7" x14ac:dyDescent="0.2">
      <c r="A20" t="s">
        <v>943</v>
      </c>
      <c r="B20" t="s">
        <v>1</v>
      </c>
      <c r="C20" t="s">
        <v>947</v>
      </c>
      <c r="D20" t="s">
        <v>945</v>
      </c>
      <c r="E20">
        <v>1</v>
      </c>
      <c r="F20" t="s">
        <v>948</v>
      </c>
      <c r="G20" s="8">
        <v>0.109752693488655</v>
      </c>
    </row>
    <row r="21" spans="1:7" x14ac:dyDescent="0.2">
      <c r="A21" t="s">
        <v>943</v>
      </c>
      <c r="B21" t="s">
        <v>1</v>
      </c>
      <c r="C21" t="s">
        <v>947</v>
      </c>
      <c r="D21" t="s">
        <v>945</v>
      </c>
      <c r="E21">
        <v>2</v>
      </c>
      <c r="F21" t="s">
        <v>948</v>
      </c>
      <c r="G21" s="8">
        <v>0.11478935403354799</v>
      </c>
    </row>
    <row r="22" spans="1:7" x14ac:dyDescent="0.2">
      <c r="A22" t="s">
        <v>943</v>
      </c>
      <c r="B22" t="s">
        <v>1</v>
      </c>
      <c r="C22" t="s">
        <v>947</v>
      </c>
      <c r="D22" t="s">
        <v>945</v>
      </c>
      <c r="E22">
        <v>3</v>
      </c>
      <c r="F22" t="s">
        <v>948</v>
      </c>
      <c r="G22" s="8">
        <v>0.113667528454217</v>
      </c>
    </row>
    <row r="23" spans="1:7" x14ac:dyDescent="0.2">
      <c r="A23" t="s">
        <v>943</v>
      </c>
      <c r="B23" t="s">
        <v>1</v>
      </c>
      <c r="C23" t="s">
        <v>2</v>
      </c>
      <c r="D23" t="s">
        <v>945</v>
      </c>
      <c r="E23">
        <v>1</v>
      </c>
      <c r="F23" t="s">
        <v>948</v>
      </c>
      <c r="G23" s="8">
        <v>9.9942576959127546E-2</v>
      </c>
    </row>
    <row r="24" spans="1:7" x14ac:dyDescent="0.2">
      <c r="A24" t="s">
        <v>943</v>
      </c>
      <c r="B24" t="s">
        <v>1</v>
      </c>
      <c r="C24" t="s">
        <v>2</v>
      </c>
      <c r="D24" t="s">
        <v>945</v>
      </c>
      <c r="E24">
        <v>2</v>
      </c>
      <c r="F24" t="s">
        <v>948</v>
      </c>
      <c r="G24" s="8">
        <v>9.4229452663765409E-2</v>
      </c>
    </row>
    <row r="25" spans="1:7" x14ac:dyDescent="0.2">
      <c r="A25" t="s">
        <v>943</v>
      </c>
      <c r="B25" t="s">
        <v>1</v>
      </c>
      <c r="C25" t="s">
        <v>2</v>
      </c>
      <c r="D25" t="s">
        <v>945</v>
      </c>
      <c r="E25">
        <v>3</v>
      </c>
      <c r="F25" t="s">
        <v>948</v>
      </c>
      <c r="G25" s="8">
        <v>9.8607041409562377E-2</v>
      </c>
    </row>
    <row r="26" spans="1:7" x14ac:dyDescent="0.2">
      <c r="A26" t="s">
        <v>943</v>
      </c>
      <c r="B26" t="s">
        <v>949</v>
      </c>
      <c r="C26" t="s">
        <v>944</v>
      </c>
      <c r="D26" t="s">
        <v>945</v>
      </c>
      <c r="E26">
        <v>1</v>
      </c>
      <c r="F26" t="s">
        <v>946</v>
      </c>
      <c r="G26" s="8">
        <v>0.31043537966684998</v>
      </c>
    </row>
    <row r="27" spans="1:7" x14ac:dyDescent="0.2">
      <c r="A27" t="s">
        <v>943</v>
      </c>
      <c r="B27" t="s">
        <v>949</v>
      </c>
      <c r="C27" t="s">
        <v>944</v>
      </c>
      <c r="D27" t="s">
        <v>945</v>
      </c>
      <c r="E27">
        <v>2</v>
      </c>
      <c r="F27" t="s">
        <v>946</v>
      </c>
      <c r="G27" s="8">
        <v>0.30697030182039098</v>
      </c>
    </row>
    <row r="28" spans="1:7" x14ac:dyDescent="0.2">
      <c r="A28" t="s">
        <v>943</v>
      </c>
      <c r="B28" t="s">
        <v>949</v>
      </c>
      <c r="C28" t="s">
        <v>944</v>
      </c>
      <c r="D28" t="s">
        <v>945</v>
      </c>
      <c r="E28">
        <v>3</v>
      </c>
      <c r="F28" t="s">
        <v>946</v>
      </c>
      <c r="G28" s="8">
        <v>0.30687518713204098</v>
      </c>
    </row>
    <row r="29" spans="1:7" x14ac:dyDescent="0.2">
      <c r="A29" t="s">
        <v>943</v>
      </c>
      <c r="B29" t="s">
        <v>949</v>
      </c>
      <c r="C29" t="s">
        <v>26</v>
      </c>
      <c r="D29" t="s">
        <v>945</v>
      </c>
      <c r="E29">
        <v>1</v>
      </c>
      <c r="F29" t="s">
        <v>946</v>
      </c>
      <c r="G29" s="8">
        <v>0.28576044697415398</v>
      </c>
    </row>
    <row r="30" spans="1:7" x14ac:dyDescent="0.2">
      <c r="A30" t="s">
        <v>943</v>
      </c>
      <c r="B30" t="s">
        <v>949</v>
      </c>
      <c r="C30" t="s">
        <v>26</v>
      </c>
      <c r="D30" t="s">
        <v>945</v>
      </c>
      <c r="E30">
        <v>2</v>
      </c>
      <c r="F30" t="s">
        <v>946</v>
      </c>
      <c r="G30" s="8">
        <v>0.28577940248476902</v>
      </c>
    </row>
    <row r="31" spans="1:7" x14ac:dyDescent="0.2">
      <c r="A31" t="s">
        <v>943</v>
      </c>
      <c r="B31" t="s">
        <v>949</v>
      </c>
      <c r="C31" t="s">
        <v>26</v>
      </c>
      <c r="D31" t="s">
        <v>945</v>
      </c>
      <c r="E31">
        <v>3</v>
      </c>
      <c r="F31" t="s">
        <v>946</v>
      </c>
      <c r="G31" s="8">
        <v>0.282393502979434</v>
      </c>
    </row>
    <row r="32" spans="1:7" x14ac:dyDescent="0.2">
      <c r="A32" t="s">
        <v>943</v>
      </c>
      <c r="B32" t="s">
        <v>949</v>
      </c>
      <c r="C32" t="s">
        <v>947</v>
      </c>
      <c r="D32" t="s">
        <v>945</v>
      </c>
      <c r="E32">
        <v>1</v>
      </c>
      <c r="F32" t="s">
        <v>946</v>
      </c>
      <c r="G32" s="8">
        <v>0.16669920545985401</v>
      </c>
    </row>
    <row r="33" spans="1:7" x14ac:dyDescent="0.2">
      <c r="A33" t="s">
        <v>943</v>
      </c>
      <c r="B33" t="s">
        <v>949</v>
      </c>
      <c r="C33" t="s">
        <v>947</v>
      </c>
      <c r="D33" t="s">
        <v>945</v>
      </c>
      <c r="E33">
        <v>2</v>
      </c>
      <c r="F33" t="s">
        <v>946</v>
      </c>
      <c r="G33" s="8">
        <v>0.172862182230235</v>
      </c>
    </row>
    <row r="34" spans="1:7" x14ac:dyDescent="0.2">
      <c r="A34" t="s">
        <v>943</v>
      </c>
      <c r="B34" t="s">
        <v>949</v>
      </c>
      <c r="C34" t="s">
        <v>947</v>
      </c>
      <c r="D34" t="s">
        <v>945</v>
      </c>
      <c r="E34">
        <v>3</v>
      </c>
      <c r="F34" t="s">
        <v>946</v>
      </c>
      <c r="G34" s="8">
        <v>0.174621433757538</v>
      </c>
    </row>
    <row r="35" spans="1:7" x14ac:dyDescent="0.2">
      <c r="A35" t="s">
        <v>943</v>
      </c>
      <c r="B35" t="s">
        <v>949</v>
      </c>
      <c r="C35" t="s">
        <v>2</v>
      </c>
      <c r="D35" t="s">
        <v>945</v>
      </c>
      <c r="E35">
        <v>1</v>
      </c>
      <c r="F35" t="s">
        <v>946</v>
      </c>
      <c r="G35" s="8">
        <v>8.9282817017517599E-2</v>
      </c>
    </row>
    <row r="36" spans="1:7" x14ac:dyDescent="0.2">
      <c r="A36" t="s">
        <v>943</v>
      </c>
      <c r="B36" t="s">
        <v>949</v>
      </c>
      <c r="C36" t="s">
        <v>2</v>
      </c>
      <c r="D36" t="s">
        <v>945</v>
      </c>
      <c r="E36">
        <v>2</v>
      </c>
      <c r="F36" t="s">
        <v>946</v>
      </c>
      <c r="G36" s="8">
        <v>9.2305760460567196E-2</v>
      </c>
    </row>
    <row r="37" spans="1:7" x14ac:dyDescent="0.2">
      <c r="A37" t="s">
        <v>943</v>
      </c>
      <c r="B37" t="s">
        <v>949</v>
      </c>
      <c r="C37" t="s">
        <v>2</v>
      </c>
      <c r="D37" t="s">
        <v>945</v>
      </c>
      <c r="E37">
        <v>3</v>
      </c>
      <c r="F37" t="s">
        <v>946</v>
      </c>
      <c r="G37" s="8">
        <v>9.3122278559372704E-2</v>
      </c>
    </row>
    <row r="38" spans="1:7" x14ac:dyDescent="0.2">
      <c r="A38" t="s">
        <v>943</v>
      </c>
      <c r="B38" t="s">
        <v>949</v>
      </c>
      <c r="C38" t="s">
        <v>944</v>
      </c>
      <c r="D38" t="s">
        <v>945</v>
      </c>
      <c r="E38">
        <v>1</v>
      </c>
      <c r="F38" t="s">
        <v>948</v>
      </c>
      <c r="G38">
        <v>4.4999999999999998E-2</v>
      </c>
    </row>
    <row r="39" spans="1:7" x14ac:dyDescent="0.2">
      <c r="A39" t="s">
        <v>943</v>
      </c>
      <c r="B39" t="s">
        <v>949</v>
      </c>
      <c r="C39" t="s">
        <v>944</v>
      </c>
      <c r="D39" t="s">
        <v>945</v>
      </c>
      <c r="E39">
        <v>2</v>
      </c>
      <c r="F39" t="s">
        <v>948</v>
      </c>
      <c r="G39">
        <v>5.5899999999999998E-2</v>
      </c>
    </row>
    <row r="40" spans="1:7" x14ac:dyDescent="0.2">
      <c r="A40" t="s">
        <v>943</v>
      </c>
      <c r="B40" t="s">
        <v>949</v>
      </c>
      <c r="C40" t="s">
        <v>944</v>
      </c>
      <c r="D40" t="s">
        <v>945</v>
      </c>
      <c r="E40">
        <v>3</v>
      </c>
      <c r="F40" t="s">
        <v>948</v>
      </c>
      <c r="G40">
        <v>5.0799999999999998E-2</v>
      </c>
    </row>
    <row r="41" spans="1:7" x14ac:dyDescent="0.2">
      <c r="A41" t="s">
        <v>943</v>
      </c>
      <c r="B41" t="s">
        <v>949</v>
      </c>
      <c r="C41" t="s">
        <v>26</v>
      </c>
      <c r="D41" t="s">
        <v>945</v>
      </c>
      <c r="E41">
        <v>1</v>
      </c>
      <c r="F41" t="s">
        <v>948</v>
      </c>
      <c r="G41">
        <v>3.6999999999999998E-2</v>
      </c>
    </row>
    <row r="42" spans="1:7" x14ac:dyDescent="0.2">
      <c r="A42" t="s">
        <v>943</v>
      </c>
      <c r="B42" t="s">
        <v>949</v>
      </c>
      <c r="C42" t="s">
        <v>26</v>
      </c>
      <c r="D42" t="s">
        <v>945</v>
      </c>
      <c r="E42">
        <v>2</v>
      </c>
      <c r="F42" t="s">
        <v>948</v>
      </c>
      <c r="G42">
        <v>3.2199999999999999E-2</v>
      </c>
    </row>
    <row r="43" spans="1:7" x14ac:dyDescent="0.2">
      <c r="A43" t="s">
        <v>943</v>
      </c>
      <c r="B43" t="s">
        <v>949</v>
      </c>
      <c r="C43" t="s">
        <v>26</v>
      </c>
      <c r="D43" t="s">
        <v>945</v>
      </c>
      <c r="E43">
        <v>3</v>
      </c>
      <c r="F43" t="s">
        <v>948</v>
      </c>
      <c r="G43">
        <v>3.2399999999999998E-2</v>
      </c>
    </row>
    <row r="44" spans="1:7" x14ac:dyDescent="0.2">
      <c r="A44" t="s">
        <v>943</v>
      </c>
      <c r="B44" t="s">
        <v>949</v>
      </c>
      <c r="C44" t="s">
        <v>947</v>
      </c>
      <c r="D44" t="s">
        <v>945</v>
      </c>
      <c r="E44">
        <v>1</v>
      </c>
      <c r="F44" t="s">
        <v>948</v>
      </c>
      <c r="G44">
        <v>0.15113693820246701</v>
      </c>
    </row>
    <row r="45" spans="1:7" x14ac:dyDescent="0.2">
      <c r="A45" t="s">
        <v>943</v>
      </c>
      <c r="B45" t="s">
        <v>949</v>
      </c>
      <c r="C45" t="s">
        <v>947</v>
      </c>
      <c r="D45" t="s">
        <v>945</v>
      </c>
      <c r="E45">
        <v>2</v>
      </c>
      <c r="F45" t="s">
        <v>948</v>
      </c>
      <c r="G45">
        <v>0.14054521499130801</v>
      </c>
    </row>
    <row r="46" spans="1:7" x14ac:dyDescent="0.2">
      <c r="A46" t="s">
        <v>943</v>
      </c>
      <c r="B46" t="s">
        <v>949</v>
      </c>
      <c r="C46" t="s">
        <v>947</v>
      </c>
      <c r="D46" t="s">
        <v>945</v>
      </c>
      <c r="E46">
        <v>3</v>
      </c>
      <c r="F46" t="s">
        <v>948</v>
      </c>
      <c r="G46">
        <v>0.13480863783036801</v>
      </c>
    </row>
    <row r="47" spans="1:7" x14ac:dyDescent="0.2">
      <c r="A47" t="s">
        <v>943</v>
      </c>
      <c r="B47" t="s">
        <v>949</v>
      </c>
      <c r="C47" t="s">
        <v>2</v>
      </c>
      <c r="D47" t="s">
        <v>945</v>
      </c>
      <c r="E47">
        <v>1</v>
      </c>
      <c r="F47" t="s">
        <v>948</v>
      </c>
      <c r="G47">
        <v>0.157850249806813</v>
      </c>
    </row>
    <row r="48" spans="1:7" x14ac:dyDescent="0.2">
      <c r="A48" t="s">
        <v>943</v>
      </c>
      <c r="B48" t="s">
        <v>949</v>
      </c>
      <c r="C48" t="s">
        <v>2</v>
      </c>
      <c r="D48" t="s">
        <v>945</v>
      </c>
      <c r="E48">
        <v>2</v>
      </c>
      <c r="F48" t="s">
        <v>948</v>
      </c>
      <c r="G48">
        <v>0.14675698159564199</v>
      </c>
    </row>
    <row r="49" spans="1:7" x14ac:dyDescent="0.2">
      <c r="A49" t="s">
        <v>943</v>
      </c>
      <c r="B49" t="s">
        <v>949</v>
      </c>
      <c r="C49" t="s">
        <v>2</v>
      </c>
      <c r="D49" t="s">
        <v>945</v>
      </c>
      <c r="E49">
        <v>3</v>
      </c>
      <c r="F49" t="s">
        <v>948</v>
      </c>
      <c r="G49">
        <v>0.126602967263509</v>
      </c>
    </row>
    <row r="50" spans="1:7" x14ac:dyDescent="0.2">
      <c r="A50" t="s">
        <v>943</v>
      </c>
      <c r="B50" t="s">
        <v>1</v>
      </c>
      <c r="C50" t="s">
        <v>26</v>
      </c>
      <c r="D50" t="s">
        <v>997</v>
      </c>
      <c r="E50">
        <v>1</v>
      </c>
      <c r="F50" t="s">
        <v>946</v>
      </c>
      <c r="G50" s="2">
        <v>0.16402154999999999</v>
      </c>
    </row>
    <row r="51" spans="1:7" x14ac:dyDescent="0.2">
      <c r="A51" t="s">
        <v>943</v>
      </c>
      <c r="B51" t="s">
        <v>1</v>
      </c>
      <c r="C51" t="s">
        <v>26</v>
      </c>
      <c r="D51" t="s">
        <v>997</v>
      </c>
      <c r="E51">
        <v>2</v>
      </c>
      <c r="F51" t="s">
        <v>946</v>
      </c>
      <c r="G51" s="2">
        <v>0.15002016000000001</v>
      </c>
    </row>
    <row r="52" spans="1:7" x14ac:dyDescent="0.2">
      <c r="A52" t="s">
        <v>943</v>
      </c>
      <c r="B52" t="s">
        <v>1</v>
      </c>
      <c r="C52" t="s">
        <v>26</v>
      </c>
      <c r="D52" t="s">
        <v>997</v>
      </c>
      <c r="E52">
        <v>3</v>
      </c>
      <c r="F52" t="s">
        <v>946</v>
      </c>
      <c r="G52" s="2">
        <v>0.14976597999999999</v>
      </c>
    </row>
    <row r="53" spans="1:7" x14ac:dyDescent="0.2">
      <c r="A53" t="s">
        <v>943</v>
      </c>
      <c r="B53" t="s">
        <v>1</v>
      </c>
      <c r="C53" t="s">
        <v>26</v>
      </c>
      <c r="D53" t="s">
        <v>997</v>
      </c>
      <c r="E53">
        <v>1</v>
      </c>
      <c r="F53" t="s">
        <v>948</v>
      </c>
      <c r="G53" s="2">
        <v>8.0242889999999997E-2</v>
      </c>
    </row>
    <row r="54" spans="1:7" x14ac:dyDescent="0.2">
      <c r="A54" t="s">
        <v>943</v>
      </c>
      <c r="B54" t="s">
        <v>1</v>
      </c>
      <c r="C54" t="s">
        <v>26</v>
      </c>
      <c r="D54" t="s">
        <v>997</v>
      </c>
      <c r="E54">
        <v>2</v>
      </c>
      <c r="F54" t="s">
        <v>948</v>
      </c>
      <c r="G54" s="2">
        <v>9.0813140000000001E-2</v>
      </c>
    </row>
    <row r="55" spans="1:7" x14ac:dyDescent="0.2">
      <c r="A55" t="s">
        <v>943</v>
      </c>
      <c r="B55" t="s">
        <v>1</v>
      </c>
      <c r="C55" t="s">
        <v>26</v>
      </c>
      <c r="D55" t="s">
        <v>997</v>
      </c>
      <c r="E55">
        <v>3</v>
      </c>
      <c r="F55" t="s">
        <v>948</v>
      </c>
      <c r="G55" s="2">
        <v>7.9145370000000007E-2</v>
      </c>
    </row>
    <row r="56" spans="1:7" x14ac:dyDescent="0.2">
      <c r="A56" t="s">
        <v>943</v>
      </c>
      <c r="B56" t="s">
        <v>1</v>
      </c>
      <c r="C56" t="s">
        <v>947</v>
      </c>
      <c r="D56" t="s">
        <v>997</v>
      </c>
      <c r="E56">
        <v>1</v>
      </c>
      <c r="F56" t="s">
        <v>946</v>
      </c>
      <c r="G56" s="2">
        <v>0.10701239999999999</v>
      </c>
    </row>
    <row r="57" spans="1:7" x14ac:dyDescent="0.2">
      <c r="A57" t="s">
        <v>943</v>
      </c>
      <c r="B57" t="s">
        <v>1</v>
      </c>
      <c r="C57" t="s">
        <v>947</v>
      </c>
      <c r="D57" t="s">
        <v>997</v>
      </c>
      <c r="E57">
        <v>2</v>
      </c>
      <c r="F57" t="s">
        <v>946</v>
      </c>
      <c r="G57" s="2">
        <v>9.5611440000000006E-2</v>
      </c>
    </row>
    <row r="58" spans="1:7" x14ac:dyDescent="0.2">
      <c r="A58" t="s">
        <v>943</v>
      </c>
      <c r="B58" t="s">
        <v>1</v>
      </c>
      <c r="C58" t="s">
        <v>947</v>
      </c>
      <c r="D58" t="s">
        <v>997</v>
      </c>
      <c r="E58">
        <v>3</v>
      </c>
      <c r="F58" t="s">
        <v>946</v>
      </c>
      <c r="G58" s="2">
        <v>0.10149229999999999</v>
      </c>
    </row>
    <row r="59" spans="1:7" x14ac:dyDescent="0.2">
      <c r="A59" t="s">
        <v>943</v>
      </c>
      <c r="B59" t="s">
        <v>1</v>
      </c>
      <c r="C59" t="s">
        <v>947</v>
      </c>
      <c r="D59" t="s">
        <v>997</v>
      </c>
      <c r="E59">
        <v>1</v>
      </c>
      <c r="F59" t="s">
        <v>948</v>
      </c>
      <c r="G59" s="2">
        <v>6.3728209999999993E-2</v>
      </c>
    </row>
    <row r="60" spans="1:7" x14ac:dyDescent="0.2">
      <c r="A60" t="s">
        <v>943</v>
      </c>
      <c r="B60" t="s">
        <v>1</v>
      </c>
      <c r="C60" t="s">
        <v>947</v>
      </c>
      <c r="D60" t="s">
        <v>997</v>
      </c>
      <c r="E60">
        <v>2</v>
      </c>
      <c r="F60" t="s">
        <v>948</v>
      </c>
      <c r="G60" s="2">
        <v>7.376974E-2</v>
      </c>
    </row>
    <row r="61" spans="1:7" x14ac:dyDescent="0.2">
      <c r="A61" t="s">
        <v>943</v>
      </c>
      <c r="B61" t="s">
        <v>1</v>
      </c>
      <c r="C61" t="s">
        <v>947</v>
      </c>
      <c r="D61" t="s">
        <v>997</v>
      </c>
      <c r="E61">
        <v>3</v>
      </c>
      <c r="F61" t="s">
        <v>948</v>
      </c>
      <c r="G61" s="2">
        <v>6.4974030000000002E-2</v>
      </c>
    </row>
    <row r="62" spans="1:7" x14ac:dyDescent="0.2">
      <c r="A62" t="s">
        <v>943</v>
      </c>
      <c r="B62" t="s">
        <v>1</v>
      </c>
      <c r="C62" t="s">
        <v>2</v>
      </c>
      <c r="D62" t="s">
        <v>997</v>
      </c>
      <c r="E62">
        <v>1</v>
      </c>
      <c r="F62" t="s">
        <v>946</v>
      </c>
      <c r="G62">
        <v>5.122811E-2</v>
      </c>
    </row>
    <row r="63" spans="1:7" x14ac:dyDescent="0.2">
      <c r="A63" t="s">
        <v>943</v>
      </c>
      <c r="B63" t="s">
        <v>1</v>
      </c>
      <c r="C63" t="s">
        <v>2</v>
      </c>
      <c r="D63" t="s">
        <v>997</v>
      </c>
      <c r="E63">
        <v>2</v>
      </c>
      <c r="F63" t="s">
        <v>946</v>
      </c>
      <c r="G63">
        <v>4.5719419999999997E-2</v>
      </c>
    </row>
    <row r="64" spans="1:7" x14ac:dyDescent="0.2">
      <c r="A64" t="s">
        <v>943</v>
      </c>
      <c r="B64" s="4" t="s">
        <v>1</v>
      </c>
      <c r="C64" t="s">
        <v>2</v>
      </c>
      <c r="D64" t="s">
        <v>997</v>
      </c>
      <c r="E64">
        <v>3</v>
      </c>
      <c r="F64" t="s">
        <v>946</v>
      </c>
      <c r="G64">
        <v>4.567094E-2</v>
      </c>
    </row>
    <row r="65" spans="1:7" x14ac:dyDescent="0.2">
      <c r="A65" t="s">
        <v>943</v>
      </c>
      <c r="B65" t="s">
        <v>1</v>
      </c>
      <c r="C65" t="s">
        <v>2</v>
      </c>
      <c r="D65" t="s">
        <v>997</v>
      </c>
      <c r="E65">
        <v>1</v>
      </c>
      <c r="F65" t="s">
        <v>948</v>
      </c>
      <c r="G65">
        <v>4.4883590000000001E-2</v>
      </c>
    </row>
    <row r="66" spans="1:7" x14ac:dyDescent="0.2">
      <c r="A66" t="s">
        <v>943</v>
      </c>
      <c r="B66" t="s">
        <v>1</v>
      </c>
      <c r="C66" t="s">
        <v>2</v>
      </c>
      <c r="D66" t="s">
        <v>997</v>
      </c>
      <c r="E66">
        <v>2</v>
      </c>
      <c r="F66" t="s">
        <v>948</v>
      </c>
      <c r="G66">
        <v>4.6821050000000003E-2</v>
      </c>
    </row>
    <row r="67" spans="1:7" x14ac:dyDescent="0.2">
      <c r="A67" t="s">
        <v>943</v>
      </c>
      <c r="B67" t="s">
        <v>1</v>
      </c>
      <c r="C67" t="s">
        <v>2</v>
      </c>
      <c r="D67" t="s">
        <v>997</v>
      </c>
      <c r="E67">
        <v>3</v>
      </c>
      <c r="F67" t="s">
        <v>948</v>
      </c>
      <c r="G67">
        <v>3.866377E-2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DFFA-AD88-8047-8CCA-09984AB6CEAE}">
  <dimension ref="A1:K181"/>
  <sheetViews>
    <sheetView workbookViewId="0">
      <selection activeCell="A25" sqref="A25:A26"/>
    </sheetView>
  </sheetViews>
  <sheetFormatPr baseColWidth="10" defaultRowHeight="16" x14ac:dyDescent="0.2"/>
  <cols>
    <col min="1" max="1" width="19.6640625" bestFit="1" customWidth="1"/>
    <col min="2" max="2" width="17.83203125" bestFit="1" customWidth="1"/>
    <col min="3" max="3" width="18.1640625" bestFit="1" customWidth="1"/>
    <col min="4" max="4" width="16.5" bestFit="1" customWidth="1"/>
    <col min="5" max="5" width="15" bestFit="1" customWidth="1"/>
    <col min="6" max="6" width="13.6640625" bestFit="1" customWidth="1"/>
    <col min="7" max="7" width="16.5" bestFit="1" customWidth="1"/>
    <col min="8" max="8" width="15" bestFit="1" customWidth="1"/>
    <col min="9" max="9" width="17.6640625" bestFit="1" customWidth="1"/>
  </cols>
  <sheetData>
    <row r="1" spans="1:11" x14ac:dyDescent="0.2">
      <c r="A1" s="3" t="s">
        <v>950</v>
      </c>
      <c r="B1" s="3" t="s">
        <v>951</v>
      </c>
      <c r="C1" s="3" t="s">
        <v>952</v>
      </c>
      <c r="D1" s="3" t="s">
        <v>953</v>
      </c>
      <c r="E1" s="3" t="s">
        <v>954</v>
      </c>
      <c r="F1" s="9" t="s">
        <v>955</v>
      </c>
      <c r="G1" s="3" t="s">
        <v>956</v>
      </c>
      <c r="H1" s="3" t="s">
        <v>957</v>
      </c>
      <c r="I1" s="9" t="s">
        <v>958</v>
      </c>
      <c r="J1" s="3" t="s">
        <v>959</v>
      </c>
      <c r="K1" s="3" t="s">
        <v>960</v>
      </c>
    </row>
    <row r="2" spans="1:11" x14ac:dyDescent="0.2">
      <c r="A2" t="s">
        <v>961</v>
      </c>
      <c r="B2" s="10" t="s">
        <v>944</v>
      </c>
      <c r="C2" t="s">
        <v>1</v>
      </c>
      <c r="D2">
        <v>9</v>
      </c>
      <c r="E2">
        <v>5</v>
      </c>
      <c r="F2" s="11">
        <f>D2/5*1000*10^E2</f>
        <v>180000000</v>
      </c>
      <c r="G2">
        <v>13</v>
      </c>
      <c r="H2">
        <v>4</v>
      </c>
      <c r="I2" s="11">
        <f>G2/5*1000*10^H2</f>
        <v>26000000</v>
      </c>
      <c r="J2" s="11">
        <f>I2/F2</f>
        <v>0.14444444444444443</v>
      </c>
      <c r="K2">
        <f>LOG10(J2)</f>
        <v>-0.84029915713248815</v>
      </c>
    </row>
    <row r="3" spans="1:11" x14ac:dyDescent="0.2">
      <c r="A3" t="s">
        <v>961</v>
      </c>
      <c r="B3" s="10" t="s">
        <v>944</v>
      </c>
      <c r="C3" t="s">
        <v>1</v>
      </c>
      <c r="D3">
        <v>18</v>
      </c>
      <c r="E3">
        <v>5</v>
      </c>
      <c r="F3" s="11">
        <f t="shared" ref="F3:F25" si="0">D3/5*1000*10^E3</f>
        <v>360000000</v>
      </c>
      <c r="G3">
        <v>25</v>
      </c>
      <c r="H3">
        <v>4</v>
      </c>
      <c r="I3" s="11">
        <f t="shared" ref="I3:I25" si="1">G3/5*1000*10^H3</f>
        <v>50000000</v>
      </c>
      <c r="J3" s="11">
        <f t="shared" ref="J3:J66" si="2">I3/F3</f>
        <v>0.1388888888888889</v>
      </c>
      <c r="K3">
        <f t="shared" ref="K3:K66" si="3">LOG10(J3)</f>
        <v>-0.85733249643126841</v>
      </c>
    </row>
    <row r="4" spans="1:11" x14ac:dyDescent="0.2">
      <c r="A4" t="s">
        <v>961</v>
      </c>
      <c r="B4" s="10" t="s">
        <v>944</v>
      </c>
      <c r="C4" t="s">
        <v>1</v>
      </c>
      <c r="D4">
        <v>20</v>
      </c>
      <c r="E4">
        <v>5</v>
      </c>
      <c r="F4" s="11">
        <f t="shared" si="0"/>
        <v>400000000</v>
      </c>
      <c r="G4">
        <v>27</v>
      </c>
      <c r="H4">
        <v>4</v>
      </c>
      <c r="I4" s="11">
        <f t="shared" si="1"/>
        <v>54000000</v>
      </c>
      <c r="J4" s="11">
        <f t="shared" si="2"/>
        <v>0.13500000000000001</v>
      </c>
      <c r="K4">
        <f t="shared" si="3"/>
        <v>-0.86966623150499389</v>
      </c>
    </row>
    <row r="5" spans="1:11" x14ac:dyDescent="0.2">
      <c r="A5" t="s">
        <v>961</v>
      </c>
      <c r="B5" s="10" t="s">
        <v>26</v>
      </c>
      <c r="C5" t="s">
        <v>1</v>
      </c>
      <c r="D5">
        <v>15</v>
      </c>
      <c r="E5">
        <v>5</v>
      </c>
      <c r="F5" s="11">
        <f t="shared" si="0"/>
        <v>300000000</v>
      </c>
      <c r="G5">
        <v>26</v>
      </c>
      <c r="H5">
        <v>4</v>
      </c>
      <c r="I5" s="11">
        <f t="shared" si="1"/>
        <v>52000000</v>
      </c>
      <c r="J5" s="11">
        <f t="shared" si="2"/>
        <v>0.17333333333333334</v>
      </c>
      <c r="K5">
        <f t="shared" si="3"/>
        <v>-0.76111791108486326</v>
      </c>
    </row>
    <row r="6" spans="1:11" x14ac:dyDescent="0.2">
      <c r="A6" t="s">
        <v>961</v>
      </c>
      <c r="B6" s="10" t="s">
        <v>26</v>
      </c>
      <c r="C6" t="s">
        <v>1</v>
      </c>
      <c r="D6">
        <v>13</v>
      </c>
      <c r="E6">
        <v>5</v>
      </c>
      <c r="F6" s="11">
        <f t="shared" si="0"/>
        <v>260000000</v>
      </c>
      <c r="G6">
        <v>29</v>
      </c>
      <c r="H6">
        <v>4</v>
      </c>
      <c r="I6" s="11">
        <f t="shared" si="1"/>
        <v>58000000</v>
      </c>
      <c r="J6" s="11">
        <f t="shared" si="2"/>
        <v>0.22307692307692309</v>
      </c>
      <c r="K6">
        <f t="shared" si="3"/>
        <v>-0.65154535440788064</v>
      </c>
    </row>
    <row r="7" spans="1:11" x14ac:dyDescent="0.2">
      <c r="A7" t="s">
        <v>961</v>
      </c>
      <c r="B7" s="10" t="s">
        <v>26</v>
      </c>
      <c r="C7" t="s">
        <v>1</v>
      </c>
      <c r="D7">
        <v>24</v>
      </c>
      <c r="E7">
        <v>5</v>
      </c>
      <c r="F7" s="11">
        <f t="shared" si="0"/>
        <v>480000000</v>
      </c>
      <c r="G7">
        <v>25</v>
      </c>
      <c r="H7">
        <v>4</v>
      </c>
      <c r="I7" s="11">
        <f t="shared" si="1"/>
        <v>50000000</v>
      </c>
      <c r="J7" s="11">
        <f t="shared" si="2"/>
        <v>0.10416666666666667</v>
      </c>
      <c r="K7">
        <f t="shared" si="3"/>
        <v>-0.98227123303956843</v>
      </c>
    </row>
    <row r="8" spans="1:11" x14ac:dyDescent="0.2">
      <c r="A8" t="s">
        <v>961</v>
      </c>
      <c r="B8" s="10" t="s">
        <v>947</v>
      </c>
      <c r="C8" t="s">
        <v>1</v>
      </c>
      <c r="D8">
        <v>21</v>
      </c>
      <c r="E8">
        <v>5</v>
      </c>
      <c r="F8" s="11">
        <f t="shared" si="0"/>
        <v>420000000</v>
      </c>
      <c r="G8">
        <v>13</v>
      </c>
      <c r="H8">
        <v>4</v>
      </c>
      <c r="I8" s="11">
        <f t="shared" si="1"/>
        <v>26000000</v>
      </c>
      <c r="J8" s="11">
        <f t="shared" si="2"/>
        <v>6.1904761904761907E-2</v>
      </c>
      <c r="K8">
        <f t="shared" si="3"/>
        <v>-1.2082759424270826</v>
      </c>
    </row>
    <row r="9" spans="1:11" x14ac:dyDescent="0.2">
      <c r="A9" t="s">
        <v>961</v>
      </c>
      <c r="B9" s="10" t="s">
        <v>947</v>
      </c>
      <c r="C9" t="s">
        <v>1</v>
      </c>
      <c r="D9">
        <v>27</v>
      </c>
      <c r="E9">
        <v>5</v>
      </c>
      <c r="F9" s="11">
        <f t="shared" si="0"/>
        <v>540000000</v>
      </c>
      <c r="G9">
        <v>18</v>
      </c>
      <c r="H9">
        <v>4</v>
      </c>
      <c r="I9" s="11">
        <f t="shared" si="1"/>
        <v>36000000</v>
      </c>
      <c r="J9" s="11">
        <f t="shared" si="2"/>
        <v>6.6666666666666666E-2</v>
      </c>
      <c r="K9">
        <f t="shared" si="3"/>
        <v>-1.1760912590556813</v>
      </c>
    </row>
    <row r="10" spans="1:11" x14ac:dyDescent="0.2">
      <c r="A10" t="s">
        <v>961</v>
      </c>
      <c r="B10" s="10" t="s">
        <v>947</v>
      </c>
      <c r="C10" t="s">
        <v>1</v>
      </c>
      <c r="D10">
        <v>25</v>
      </c>
      <c r="E10">
        <v>5</v>
      </c>
      <c r="F10" s="11">
        <f t="shared" si="0"/>
        <v>500000000</v>
      </c>
      <c r="G10">
        <v>24</v>
      </c>
      <c r="H10">
        <v>4</v>
      </c>
      <c r="I10" s="11">
        <f t="shared" si="1"/>
        <v>48000000</v>
      </c>
      <c r="J10" s="11">
        <f t="shared" si="2"/>
        <v>9.6000000000000002E-2</v>
      </c>
      <c r="K10">
        <f t="shared" si="3"/>
        <v>-1.0177287669604316</v>
      </c>
    </row>
    <row r="11" spans="1:11" x14ac:dyDescent="0.2">
      <c r="A11" t="s">
        <v>961</v>
      </c>
      <c r="B11" s="10" t="s">
        <v>2</v>
      </c>
      <c r="C11" t="s">
        <v>1</v>
      </c>
      <c r="D11">
        <v>5</v>
      </c>
      <c r="E11">
        <v>5</v>
      </c>
      <c r="F11" s="11">
        <f t="shared" si="0"/>
        <v>100000000</v>
      </c>
      <c r="G11">
        <v>20</v>
      </c>
      <c r="H11">
        <v>5</v>
      </c>
      <c r="I11" s="11">
        <f t="shared" si="1"/>
        <v>400000000</v>
      </c>
      <c r="J11" s="11">
        <f t="shared" si="2"/>
        <v>4</v>
      </c>
      <c r="K11">
        <f t="shared" si="3"/>
        <v>0.6020599913279624</v>
      </c>
    </row>
    <row r="12" spans="1:11" x14ac:dyDescent="0.2">
      <c r="A12" t="s">
        <v>961</v>
      </c>
      <c r="B12" s="10" t="s">
        <v>2</v>
      </c>
      <c r="C12" t="s">
        <v>1</v>
      </c>
      <c r="D12">
        <v>11</v>
      </c>
      <c r="E12">
        <v>5</v>
      </c>
      <c r="F12" s="11">
        <f t="shared" si="0"/>
        <v>220000000</v>
      </c>
      <c r="G12">
        <v>14</v>
      </c>
      <c r="H12">
        <v>5</v>
      </c>
      <c r="I12" s="11">
        <f t="shared" si="1"/>
        <v>280000000</v>
      </c>
      <c r="J12" s="11">
        <f t="shared" si="2"/>
        <v>1.2727272727272727</v>
      </c>
      <c r="K12">
        <f t="shared" si="3"/>
        <v>0.10473535052001298</v>
      </c>
    </row>
    <row r="13" spans="1:11" x14ac:dyDescent="0.2">
      <c r="A13" t="s">
        <v>961</v>
      </c>
      <c r="B13" s="10" t="s">
        <v>2</v>
      </c>
      <c r="C13" t="s">
        <v>1</v>
      </c>
      <c r="D13">
        <v>9</v>
      </c>
      <c r="E13">
        <v>5</v>
      </c>
      <c r="F13" s="11">
        <f t="shared" si="0"/>
        <v>180000000</v>
      </c>
      <c r="G13">
        <v>14</v>
      </c>
      <c r="H13">
        <v>5</v>
      </c>
      <c r="I13" s="11">
        <f t="shared" si="1"/>
        <v>280000000</v>
      </c>
      <c r="J13" s="11">
        <f t="shared" si="2"/>
        <v>1.5555555555555556</v>
      </c>
      <c r="K13">
        <f t="shared" si="3"/>
        <v>0.19188552623891317</v>
      </c>
    </row>
    <row r="14" spans="1:11" x14ac:dyDescent="0.2">
      <c r="A14" t="s">
        <v>961</v>
      </c>
      <c r="B14" s="10" t="s">
        <v>944</v>
      </c>
      <c r="C14" t="s">
        <v>949</v>
      </c>
      <c r="D14">
        <v>16</v>
      </c>
      <c r="E14">
        <v>5</v>
      </c>
      <c r="F14" s="11">
        <f t="shared" si="0"/>
        <v>320000000</v>
      </c>
      <c r="G14">
        <v>18</v>
      </c>
      <c r="H14">
        <v>3</v>
      </c>
      <c r="I14" s="11">
        <f t="shared" si="1"/>
        <v>3600000</v>
      </c>
      <c r="J14" s="11">
        <f t="shared" si="2"/>
        <v>1.125E-2</v>
      </c>
      <c r="K14">
        <f t="shared" si="3"/>
        <v>-1.9488474775526188</v>
      </c>
    </row>
    <row r="15" spans="1:11" x14ac:dyDescent="0.2">
      <c r="A15" t="s">
        <v>961</v>
      </c>
      <c r="B15" s="10" t="s">
        <v>944</v>
      </c>
      <c r="C15" t="s">
        <v>949</v>
      </c>
      <c r="D15">
        <v>19</v>
      </c>
      <c r="E15">
        <v>5</v>
      </c>
      <c r="F15" s="11">
        <f t="shared" si="0"/>
        <v>380000000</v>
      </c>
      <c r="G15">
        <v>21</v>
      </c>
      <c r="H15">
        <v>3</v>
      </c>
      <c r="I15" s="11">
        <f t="shared" si="1"/>
        <v>4200000</v>
      </c>
      <c r="J15" s="11">
        <f t="shared" si="2"/>
        <v>1.1052631578947368E-2</v>
      </c>
      <c r="K15">
        <f t="shared" si="3"/>
        <v>-1.9565343062189098</v>
      </c>
    </row>
    <row r="16" spans="1:11" x14ac:dyDescent="0.2">
      <c r="A16" t="s">
        <v>961</v>
      </c>
      <c r="B16" s="10" t="s">
        <v>944</v>
      </c>
      <c r="C16" t="s">
        <v>949</v>
      </c>
      <c r="D16">
        <v>16</v>
      </c>
      <c r="E16">
        <v>5</v>
      </c>
      <c r="F16" s="11">
        <f t="shared" si="0"/>
        <v>320000000</v>
      </c>
      <c r="G16">
        <f>(110+21)/2</f>
        <v>65.5</v>
      </c>
      <c r="H16">
        <v>3</v>
      </c>
      <c r="I16" s="11">
        <f t="shared" si="1"/>
        <v>13100000</v>
      </c>
      <c r="J16" s="11">
        <f t="shared" si="2"/>
        <v>4.0937500000000002E-2</v>
      </c>
      <c r="K16">
        <f t="shared" si="3"/>
        <v>-1.3878786826641416</v>
      </c>
    </row>
    <row r="17" spans="1:11" x14ac:dyDescent="0.2">
      <c r="A17" t="s">
        <v>961</v>
      </c>
      <c r="B17" s="10" t="s">
        <v>26</v>
      </c>
      <c r="C17" t="s">
        <v>949</v>
      </c>
      <c r="D17">
        <v>16</v>
      </c>
      <c r="E17">
        <v>5</v>
      </c>
      <c r="F17" s="11">
        <f t="shared" si="0"/>
        <v>320000000</v>
      </c>
      <c r="G17">
        <v>19</v>
      </c>
      <c r="H17">
        <v>3</v>
      </c>
      <c r="I17" s="11">
        <f t="shared" si="1"/>
        <v>3800000</v>
      </c>
      <c r="J17" s="11">
        <f t="shared" si="2"/>
        <v>1.1875E-2</v>
      </c>
      <c r="K17">
        <f t="shared" si="3"/>
        <v>-1.9253663817030957</v>
      </c>
    </row>
    <row r="18" spans="1:11" x14ac:dyDescent="0.2">
      <c r="A18" t="s">
        <v>961</v>
      </c>
      <c r="B18" s="10" t="s">
        <v>26</v>
      </c>
      <c r="C18" t="s">
        <v>949</v>
      </c>
      <c r="D18">
        <v>20</v>
      </c>
      <c r="E18">
        <v>5</v>
      </c>
      <c r="F18" s="11">
        <f t="shared" si="0"/>
        <v>400000000</v>
      </c>
      <c r="G18">
        <v>23</v>
      </c>
      <c r="H18">
        <v>3</v>
      </c>
      <c r="I18" s="11">
        <f t="shared" si="1"/>
        <v>4600000</v>
      </c>
      <c r="J18" s="11">
        <f t="shared" si="2"/>
        <v>1.15E-2</v>
      </c>
      <c r="K18">
        <f t="shared" si="3"/>
        <v>-1.9393021596463884</v>
      </c>
    </row>
    <row r="19" spans="1:11" x14ac:dyDescent="0.2">
      <c r="A19" t="s">
        <v>961</v>
      </c>
      <c r="B19" s="10" t="s">
        <v>26</v>
      </c>
      <c r="C19" t="s">
        <v>949</v>
      </c>
      <c r="D19">
        <v>19</v>
      </c>
      <c r="E19">
        <v>5</v>
      </c>
      <c r="F19" s="11">
        <f t="shared" si="0"/>
        <v>380000000</v>
      </c>
      <c r="G19">
        <v>25</v>
      </c>
      <c r="H19">
        <v>3</v>
      </c>
      <c r="I19" s="11">
        <f t="shared" si="1"/>
        <v>5000000</v>
      </c>
      <c r="J19" s="11">
        <f t="shared" si="2"/>
        <v>1.3157894736842105E-2</v>
      </c>
      <c r="K19">
        <f t="shared" si="3"/>
        <v>-1.8808135922807914</v>
      </c>
    </row>
    <row r="20" spans="1:11" x14ac:dyDescent="0.2">
      <c r="A20" t="s">
        <v>961</v>
      </c>
      <c r="B20" s="10" t="s">
        <v>947</v>
      </c>
      <c r="C20" t="s">
        <v>949</v>
      </c>
      <c r="D20">
        <v>15</v>
      </c>
      <c r="E20">
        <v>5</v>
      </c>
      <c r="F20" s="11">
        <f t="shared" si="0"/>
        <v>300000000</v>
      </c>
      <c r="G20">
        <v>9</v>
      </c>
      <c r="H20">
        <v>4</v>
      </c>
      <c r="I20" s="11">
        <f t="shared" si="1"/>
        <v>18000000</v>
      </c>
      <c r="J20" s="11">
        <f t="shared" si="2"/>
        <v>0.06</v>
      </c>
      <c r="K20">
        <f t="shared" si="3"/>
        <v>-1.2218487496163564</v>
      </c>
    </row>
    <row r="21" spans="1:11" x14ac:dyDescent="0.2">
      <c r="A21" t="s">
        <v>961</v>
      </c>
      <c r="B21" s="10" t="s">
        <v>947</v>
      </c>
      <c r="C21" t="s">
        <v>949</v>
      </c>
      <c r="D21">
        <v>20</v>
      </c>
      <c r="E21">
        <v>5</v>
      </c>
      <c r="F21" s="11">
        <f t="shared" si="0"/>
        <v>400000000</v>
      </c>
      <c r="G21">
        <v>10</v>
      </c>
      <c r="H21">
        <v>4</v>
      </c>
      <c r="I21" s="11">
        <f t="shared" si="1"/>
        <v>20000000</v>
      </c>
      <c r="J21" s="11">
        <f t="shared" si="2"/>
        <v>0.05</v>
      </c>
      <c r="K21">
        <f t="shared" si="3"/>
        <v>-1.3010299956639813</v>
      </c>
    </row>
    <row r="22" spans="1:11" x14ac:dyDescent="0.2">
      <c r="A22" t="s">
        <v>961</v>
      </c>
      <c r="B22" s="10" t="s">
        <v>947</v>
      </c>
      <c r="C22" t="s">
        <v>949</v>
      </c>
      <c r="D22">
        <v>18</v>
      </c>
      <c r="E22">
        <v>5</v>
      </c>
      <c r="F22" s="11">
        <f t="shared" si="0"/>
        <v>360000000</v>
      </c>
      <c r="G22">
        <v>8</v>
      </c>
      <c r="H22">
        <v>4</v>
      </c>
      <c r="I22" s="11">
        <f t="shared" si="1"/>
        <v>16000000</v>
      </c>
      <c r="J22" s="11">
        <f t="shared" si="2"/>
        <v>4.4444444444444446E-2</v>
      </c>
      <c r="K22">
        <f t="shared" si="3"/>
        <v>-1.3521825181113625</v>
      </c>
    </row>
    <row r="23" spans="1:11" x14ac:dyDescent="0.2">
      <c r="A23" t="s">
        <v>961</v>
      </c>
      <c r="B23" s="10" t="s">
        <v>2</v>
      </c>
      <c r="C23" t="s">
        <v>949</v>
      </c>
      <c r="D23">
        <v>7</v>
      </c>
      <c r="E23">
        <v>5</v>
      </c>
      <c r="F23" s="11">
        <f t="shared" si="0"/>
        <v>140000000</v>
      </c>
      <c r="G23">
        <f>(20+60)/2</f>
        <v>40</v>
      </c>
      <c r="H23">
        <v>4</v>
      </c>
      <c r="I23" s="11">
        <f t="shared" si="1"/>
        <v>80000000</v>
      </c>
      <c r="J23" s="11">
        <f t="shared" si="2"/>
        <v>0.5714285714285714</v>
      </c>
      <c r="K23">
        <f t="shared" si="3"/>
        <v>-0.24303804868629447</v>
      </c>
    </row>
    <row r="24" spans="1:11" x14ac:dyDescent="0.2">
      <c r="A24" t="s">
        <v>961</v>
      </c>
      <c r="B24" s="10" t="s">
        <v>2</v>
      </c>
      <c r="C24" t="s">
        <v>949</v>
      </c>
      <c r="D24">
        <v>8</v>
      </c>
      <c r="E24">
        <v>5</v>
      </c>
      <c r="F24" s="11">
        <f t="shared" si="0"/>
        <v>160000000</v>
      </c>
      <c r="G24">
        <v>25</v>
      </c>
      <c r="H24">
        <v>4</v>
      </c>
      <c r="I24" s="11">
        <f t="shared" si="1"/>
        <v>50000000</v>
      </c>
      <c r="J24" s="11">
        <f t="shared" si="2"/>
        <v>0.3125</v>
      </c>
      <c r="K24">
        <f t="shared" si="3"/>
        <v>-0.50514997831990593</v>
      </c>
    </row>
    <row r="25" spans="1:11" x14ac:dyDescent="0.2">
      <c r="A25" t="s">
        <v>961</v>
      </c>
      <c r="B25" s="10" t="s">
        <v>2</v>
      </c>
      <c r="C25" t="s">
        <v>949</v>
      </c>
      <c r="D25">
        <v>7</v>
      </c>
      <c r="E25">
        <v>5</v>
      </c>
      <c r="F25" s="11">
        <f t="shared" si="0"/>
        <v>140000000</v>
      </c>
      <c r="G25">
        <f>(15+60)/2</f>
        <v>37.5</v>
      </c>
      <c r="H25">
        <v>4</v>
      </c>
      <c r="I25" s="11">
        <f t="shared" si="1"/>
        <v>75000000</v>
      </c>
      <c r="J25" s="11">
        <f t="shared" si="2"/>
        <v>0.5357142857142857</v>
      </c>
      <c r="K25">
        <f t="shared" si="3"/>
        <v>-0.27106677228653797</v>
      </c>
    </row>
    <row r="26" spans="1:11" x14ac:dyDescent="0.2">
      <c r="A26" t="s">
        <v>962</v>
      </c>
      <c r="B26" t="s">
        <v>944</v>
      </c>
      <c r="C26" t="s">
        <v>1</v>
      </c>
      <c r="D26">
        <v>24</v>
      </c>
      <c r="E26">
        <v>5</v>
      </c>
      <c r="F26" s="11">
        <v>480000000</v>
      </c>
      <c r="G26">
        <v>9</v>
      </c>
      <c r="H26">
        <v>5</v>
      </c>
      <c r="I26" s="11">
        <v>180000000</v>
      </c>
      <c r="J26" s="11">
        <f t="shared" si="2"/>
        <v>0.375</v>
      </c>
      <c r="K26">
        <f t="shared" si="3"/>
        <v>-0.42596873227228116</v>
      </c>
    </row>
    <row r="27" spans="1:11" x14ac:dyDescent="0.2">
      <c r="A27" t="s">
        <v>962</v>
      </c>
      <c r="B27" t="s">
        <v>944</v>
      </c>
      <c r="C27" t="s">
        <v>1</v>
      </c>
      <c r="D27">
        <v>32</v>
      </c>
      <c r="E27">
        <v>5</v>
      </c>
      <c r="F27" s="11">
        <v>640000000</v>
      </c>
      <c r="G27">
        <v>9</v>
      </c>
      <c r="H27">
        <v>5</v>
      </c>
      <c r="I27" s="11">
        <v>180000000</v>
      </c>
      <c r="J27" s="11">
        <f t="shared" si="2"/>
        <v>0.28125</v>
      </c>
      <c r="K27">
        <f t="shared" si="3"/>
        <v>-0.55090746888058106</v>
      </c>
    </row>
    <row r="28" spans="1:11" x14ac:dyDescent="0.2">
      <c r="A28" t="s">
        <v>962</v>
      </c>
      <c r="B28" t="s">
        <v>944</v>
      </c>
      <c r="C28" t="s">
        <v>1</v>
      </c>
      <c r="D28">
        <v>29</v>
      </c>
      <c r="E28">
        <v>5</v>
      </c>
      <c r="F28" s="11">
        <v>580000000</v>
      </c>
      <c r="G28">
        <v>5</v>
      </c>
      <c r="H28">
        <v>5</v>
      </c>
      <c r="I28" s="11">
        <v>100000000</v>
      </c>
      <c r="J28" s="11">
        <f t="shared" si="2"/>
        <v>0.17241379310344829</v>
      </c>
      <c r="K28">
        <f t="shared" si="3"/>
        <v>-0.76342799356293722</v>
      </c>
    </row>
    <row r="29" spans="1:11" x14ac:dyDescent="0.2">
      <c r="A29" t="s">
        <v>962</v>
      </c>
      <c r="B29" t="s">
        <v>26</v>
      </c>
      <c r="C29" t="s">
        <v>1</v>
      </c>
      <c r="D29">
        <v>30</v>
      </c>
      <c r="E29">
        <v>5</v>
      </c>
      <c r="F29" s="11">
        <v>600000000</v>
      </c>
      <c r="G29">
        <v>7</v>
      </c>
      <c r="H29">
        <v>5</v>
      </c>
      <c r="I29" s="11">
        <v>140000000</v>
      </c>
      <c r="J29" s="11">
        <f t="shared" si="2"/>
        <v>0.23333333333333334</v>
      </c>
      <c r="K29">
        <f t="shared" si="3"/>
        <v>-0.63202321470540557</v>
      </c>
    </row>
    <row r="30" spans="1:11" x14ac:dyDescent="0.2">
      <c r="A30" t="s">
        <v>962</v>
      </c>
      <c r="B30" t="s">
        <v>26</v>
      </c>
      <c r="C30" t="s">
        <v>1</v>
      </c>
      <c r="D30">
        <v>27</v>
      </c>
      <c r="E30">
        <v>5</v>
      </c>
      <c r="F30" s="11">
        <v>540000000</v>
      </c>
      <c r="G30">
        <v>8</v>
      </c>
      <c r="H30">
        <v>5</v>
      </c>
      <c r="I30" s="11">
        <v>160000000</v>
      </c>
      <c r="J30" s="11">
        <f t="shared" si="2"/>
        <v>0.29629629629629628</v>
      </c>
      <c r="K30">
        <f t="shared" si="3"/>
        <v>-0.52827377716704371</v>
      </c>
    </row>
    <row r="31" spans="1:11" x14ac:dyDescent="0.2">
      <c r="A31" t="s">
        <v>962</v>
      </c>
      <c r="B31" t="s">
        <v>26</v>
      </c>
      <c r="C31" t="s">
        <v>1</v>
      </c>
      <c r="D31">
        <v>44</v>
      </c>
      <c r="E31">
        <v>5</v>
      </c>
      <c r="F31" s="11">
        <v>880000000</v>
      </c>
      <c r="G31">
        <v>16</v>
      </c>
      <c r="H31">
        <v>5</v>
      </c>
      <c r="I31" s="11">
        <v>320000000</v>
      </c>
      <c r="J31" s="11">
        <f t="shared" si="2"/>
        <v>0.36363636363636365</v>
      </c>
      <c r="K31">
        <f t="shared" si="3"/>
        <v>-0.43933269383026263</v>
      </c>
    </row>
    <row r="32" spans="1:11" x14ac:dyDescent="0.2">
      <c r="A32" t="s">
        <v>962</v>
      </c>
      <c r="B32" t="s">
        <v>947</v>
      </c>
      <c r="C32" t="s">
        <v>1</v>
      </c>
      <c r="D32">
        <v>26</v>
      </c>
      <c r="E32">
        <v>5</v>
      </c>
      <c r="F32" s="11">
        <v>520000000</v>
      </c>
      <c r="G32">
        <v>12</v>
      </c>
      <c r="H32">
        <v>5</v>
      </c>
      <c r="I32" s="11">
        <v>240000000</v>
      </c>
      <c r="J32" s="11">
        <f t="shared" si="2"/>
        <v>0.46153846153846156</v>
      </c>
      <c r="K32">
        <f t="shared" si="3"/>
        <v>-0.33579210192319309</v>
      </c>
    </row>
    <row r="33" spans="1:11" x14ac:dyDescent="0.2">
      <c r="A33" t="s">
        <v>962</v>
      </c>
      <c r="B33" t="s">
        <v>947</v>
      </c>
      <c r="C33" t="s">
        <v>1</v>
      </c>
      <c r="D33">
        <v>23</v>
      </c>
      <c r="E33">
        <v>5</v>
      </c>
      <c r="F33" s="11">
        <v>460000000</v>
      </c>
      <c r="G33">
        <v>10</v>
      </c>
      <c r="H33">
        <v>5</v>
      </c>
      <c r="I33" s="11">
        <v>200000000</v>
      </c>
      <c r="J33" s="11">
        <f t="shared" si="2"/>
        <v>0.43478260869565216</v>
      </c>
      <c r="K33">
        <f t="shared" si="3"/>
        <v>-0.3617278360175929</v>
      </c>
    </row>
    <row r="34" spans="1:11" x14ac:dyDescent="0.2">
      <c r="A34" t="s">
        <v>962</v>
      </c>
      <c r="B34" t="s">
        <v>947</v>
      </c>
      <c r="C34" t="s">
        <v>1</v>
      </c>
      <c r="D34">
        <v>31</v>
      </c>
      <c r="E34">
        <v>5</v>
      </c>
      <c r="F34" s="11">
        <v>620000000</v>
      </c>
      <c r="G34">
        <v>5</v>
      </c>
      <c r="H34">
        <v>5</v>
      </c>
      <c r="I34" s="11">
        <v>100000000</v>
      </c>
      <c r="J34" s="11">
        <f t="shared" si="2"/>
        <v>0.16129032258064516</v>
      </c>
      <c r="K34">
        <f t="shared" si="3"/>
        <v>-0.79239168949825389</v>
      </c>
    </row>
    <row r="35" spans="1:11" x14ac:dyDescent="0.2">
      <c r="A35" t="s">
        <v>962</v>
      </c>
      <c r="B35" t="s">
        <v>2</v>
      </c>
      <c r="C35" t="s">
        <v>1</v>
      </c>
      <c r="D35">
        <v>12</v>
      </c>
      <c r="E35">
        <v>5</v>
      </c>
      <c r="F35" s="11">
        <v>240000000</v>
      </c>
      <c r="G35">
        <v>7</v>
      </c>
      <c r="H35">
        <v>5</v>
      </c>
      <c r="I35" s="11">
        <v>140000000</v>
      </c>
      <c r="J35" s="11">
        <f t="shared" si="2"/>
        <v>0.58333333333333337</v>
      </c>
      <c r="K35">
        <f t="shared" si="3"/>
        <v>-0.23408320603336796</v>
      </c>
    </row>
    <row r="36" spans="1:11" x14ac:dyDescent="0.2">
      <c r="A36" t="s">
        <v>962</v>
      </c>
      <c r="B36" t="s">
        <v>2</v>
      </c>
      <c r="C36" t="s">
        <v>1</v>
      </c>
      <c r="D36">
        <v>16</v>
      </c>
      <c r="E36">
        <v>5</v>
      </c>
      <c r="F36" s="11">
        <v>320000000</v>
      </c>
      <c r="G36">
        <v>10</v>
      </c>
      <c r="H36">
        <v>5</v>
      </c>
      <c r="I36" s="11">
        <v>200000000</v>
      </c>
      <c r="J36" s="11">
        <f t="shared" si="2"/>
        <v>0.625</v>
      </c>
      <c r="K36">
        <f t="shared" si="3"/>
        <v>-0.20411998265592479</v>
      </c>
    </row>
    <row r="37" spans="1:11" x14ac:dyDescent="0.2">
      <c r="A37" t="s">
        <v>962</v>
      </c>
      <c r="B37" t="s">
        <v>2</v>
      </c>
      <c r="C37" t="s">
        <v>1</v>
      </c>
      <c r="D37">
        <v>21</v>
      </c>
      <c r="E37">
        <v>5</v>
      </c>
      <c r="F37" s="11">
        <v>420000000</v>
      </c>
      <c r="G37">
        <v>10</v>
      </c>
      <c r="H37">
        <v>5</v>
      </c>
      <c r="I37" s="11">
        <v>200000000</v>
      </c>
      <c r="J37" s="11">
        <f t="shared" si="2"/>
        <v>0.47619047619047616</v>
      </c>
      <c r="K37">
        <f t="shared" si="3"/>
        <v>-0.3222192947339193</v>
      </c>
    </row>
    <row r="38" spans="1:11" x14ac:dyDescent="0.2">
      <c r="A38" t="s">
        <v>962</v>
      </c>
      <c r="B38" s="5" t="s">
        <v>944</v>
      </c>
      <c r="C38" t="s">
        <v>949</v>
      </c>
      <c r="D38">
        <v>34</v>
      </c>
      <c r="E38">
        <v>5</v>
      </c>
      <c r="F38" s="11">
        <v>680000000</v>
      </c>
      <c r="G38">
        <v>17</v>
      </c>
      <c r="H38">
        <v>4</v>
      </c>
      <c r="I38" s="11">
        <v>34000000</v>
      </c>
      <c r="J38" s="11">
        <f t="shared" si="2"/>
        <v>0.05</v>
      </c>
      <c r="K38">
        <f t="shared" si="3"/>
        <v>-1.3010299956639813</v>
      </c>
    </row>
    <row r="39" spans="1:11" x14ac:dyDescent="0.2">
      <c r="A39" t="s">
        <v>962</v>
      </c>
      <c r="B39" s="5" t="s">
        <v>944</v>
      </c>
      <c r="C39" t="s">
        <v>949</v>
      </c>
      <c r="D39">
        <v>22</v>
      </c>
      <c r="E39">
        <v>5</v>
      </c>
      <c r="F39" s="11">
        <v>440000000</v>
      </c>
      <c r="G39">
        <v>13</v>
      </c>
      <c r="H39">
        <v>4</v>
      </c>
      <c r="I39" s="11">
        <v>26000000</v>
      </c>
      <c r="J39" s="11">
        <f t="shared" si="2"/>
        <v>5.909090909090909E-2</v>
      </c>
      <c r="K39">
        <f t="shared" si="3"/>
        <v>-1.2284793285153695</v>
      </c>
    </row>
    <row r="40" spans="1:11" x14ac:dyDescent="0.2">
      <c r="A40" t="s">
        <v>962</v>
      </c>
      <c r="B40" s="5" t="s">
        <v>944</v>
      </c>
      <c r="C40" t="s">
        <v>949</v>
      </c>
      <c r="D40">
        <v>27</v>
      </c>
      <c r="E40">
        <v>5</v>
      </c>
      <c r="F40" s="11">
        <v>540000000</v>
      </c>
      <c r="G40">
        <v>15</v>
      </c>
      <c r="H40">
        <v>4</v>
      </c>
      <c r="I40" s="11">
        <v>30000000</v>
      </c>
      <c r="J40" s="11">
        <f t="shared" si="2"/>
        <v>5.5555555555555552E-2</v>
      </c>
      <c r="K40">
        <f t="shared" si="3"/>
        <v>-1.255272505103306</v>
      </c>
    </row>
    <row r="41" spans="1:11" x14ac:dyDescent="0.2">
      <c r="A41" t="s">
        <v>962</v>
      </c>
      <c r="B41" s="5" t="s">
        <v>26</v>
      </c>
      <c r="C41" t="s">
        <v>949</v>
      </c>
      <c r="D41">
        <v>28</v>
      </c>
      <c r="E41">
        <v>5</v>
      </c>
      <c r="F41" s="11">
        <v>560000000</v>
      </c>
      <c r="G41">
        <v>18</v>
      </c>
      <c r="H41">
        <v>4</v>
      </c>
      <c r="I41" s="11">
        <v>36000000</v>
      </c>
      <c r="J41" s="11">
        <f t="shared" si="2"/>
        <v>6.4285714285714279E-2</v>
      </c>
      <c r="K41">
        <f t="shared" si="3"/>
        <v>-1.1918855262389132</v>
      </c>
    </row>
    <row r="42" spans="1:11" x14ac:dyDescent="0.2">
      <c r="A42" t="s">
        <v>962</v>
      </c>
      <c r="B42" s="10" t="s">
        <v>26</v>
      </c>
      <c r="C42" t="s">
        <v>949</v>
      </c>
      <c r="D42">
        <v>46</v>
      </c>
      <c r="E42">
        <v>5</v>
      </c>
      <c r="F42" s="11">
        <v>920000000</v>
      </c>
      <c r="G42">
        <v>18</v>
      </c>
      <c r="H42">
        <v>4</v>
      </c>
      <c r="I42" s="11">
        <v>36000000</v>
      </c>
      <c r="J42" s="11">
        <f t="shared" si="2"/>
        <v>3.9130434782608699E-2</v>
      </c>
      <c r="K42">
        <f t="shared" si="3"/>
        <v>-1.4074853265782681</v>
      </c>
    </row>
    <row r="43" spans="1:11" x14ac:dyDescent="0.2">
      <c r="A43" t="s">
        <v>962</v>
      </c>
      <c r="B43" s="10" t="s">
        <v>26</v>
      </c>
      <c r="C43" t="s">
        <v>949</v>
      </c>
      <c r="D43">
        <v>34</v>
      </c>
      <c r="E43">
        <v>5</v>
      </c>
      <c r="F43" s="11">
        <v>680000000</v>
      </c>
      <c r="G43">
        <v>14</v>
      </c>
      <c r="H43">
        <v>4</v>
      </c>
      <c r="I43" s="11">
        <v>28000000</v>
      </c>
      <c r="J43" s="11">
        <f t="shared" si="2"/>
        <v>4.1176470588235294E-2</v>
      </c>
      <c r="K43">
        <f t="shared" si="3"/>
        <v>-1.3853508813640172</v>
      </c>
    </row>
    <row r="44" spans="1:11" x14ac:dyDescent="0.2">
      <c r="A44" t="s">
        <v>962</v>
      </c>
      <c r="B44" s="10" t="s">
        <v>947</v>
      </c>
      <c r="C44" t="s">
        <v>949</v>
      </c>
      <c r="D44">
        <v>24</v>
      </c>
      <c r="E44">
        <v>5</v>
      </c>
      <c r="F44" s="11">
        <v>480000000</v>
      </c>
      <c r="G44">
        <v>12</v>
      </c>
      <c r="H44">
        <v>4</v>
      </c>
      <c r="I44" s="11">
        <v>24000000</v>
      </c>
      <c r="J44" s="11">
        <f t="shared" si="2"/>
        <v>0.05</v>
      </c>
      <c r="K44">
        <f t="shared" si="3"/>
        <v>-1.3010299956639813</v>
      </c>
    </row>
    <row r="45" spans="1:11" x14ac:dyDescent="0.2">
      <c r="A45" t="s">
        <v>962</v>
      </c>
      <c r="B45" s="10" t="s">
        <v>947</v>
      </c>
      <c r="C45" t="s">
        <v>949</v>
      </c>
      <c r="D45">
        <v>20</v>
      </c>
      <c r="E45">
        <v>5</v>
      </c>
      <c r="F45" s="11">
        <v>400000000</v>
      </c>
      <c r="G45">
        <v>18</v>
      </c>
      <c r="H45">
        <v>4</v>
      </c>
      <c r="I45" s="11">
        <v>36000000</v>
      </c>
      <c r="J45" s="11">
        <f t="shared" si="2"/>
        <v>0.09</v>
      </c>
      <c r="K45">
        <f t="shared" si="3"/>
        <v>-1.0457574905606752</v>
      </c>
    </row>
    <row r="46" spans="1:11" x14ac:dyDescent="0.2">
      <c r="A46" t="s">
        <v>962</v>
      </c>
      <c r="B46" s="10" t="s">
        <v>947</v>
      </c>
      <c r="C46" t="s">
        <v>949</v>
      </c>
      <c r="D46">
        <v>21</v>
      </c>
      <c r="E46">
        <v>5</v>
      </c>
      <c r="F46" s="11">
        <v>420000000</v>
      </c>
      <c r="G46">
        <v>11</v>
      </c>
      <c r="H46">
        <v>4</v>
      </c>
      <c r="I46" s="11">
        <v>22000000</v>
      </c>
      <c r="J46" s="11">
        <f t="shared" si="2"/>
        <v>5.2380952380952382E-2</v>
      </c>
      <c r="K46">
        <f t="shared" si="3"/>
        <v>-1.2808266095756942</v>
      </c>
    </row>
    <row r="47" spans="1:11" x14ac:dyDescent="0.2">
      <c r="A47" t="s">
        <v>962</v>
      </c>
      <c r="B47" s="10" t="s">
        <v>2</v>
      </c>
      <c r="C47" t="s">
        <v>949</v>
      </c>
      <c r="D47">
        <v>13</v>
      </c>
      <c r="E47">
        <v>5</v>
      </c>
      <c r="F47" s="11">
        <v>260000000</v>
      </c>
      <c r="G47">
        <v>18</v>
      </c>
      <c r="H47">
        <v>4</v>
      </c>
      <c r="I47" s="11">
        <v>36000000</v>
      </c>
      <c r="J47" s="11">
        <f t="shared" si="2"/>
        <v>0.13846153846153847</v>
      </c>
      <c r="K47">
        <f t="shared" si="3"/>
        <v>-0.85867084720353071</v>
      </c>
    </row>
    <row r="48" spans="1:11" x14ac:dyDescent="0.2">
      <c r="A48" t="s">
        <v>962</v>
      </c>
      <c r="B48" s="10" t="s">
        <v>2</v>
      </c>
      <c r="C48" t="s">
        <v>949</v>
      </c>
      <c r="D48">
        <v>12</v>
      </c>
      <c r="E48">
        <v>5</v>
      </c>
      <c r="F48" s="11">
        <v>240000000</v>
      </c>
      <c r="G48">
        <v>18</v>
      </c>
      <c r="H48">
        <v>4</v>
      </c>
      <c r="I48" s="11">
        <v>36000000</v>
      </c>
      <c r="J48" s="11">
        <f t="shared" si="2"/>
        <v>0.15</v>
      </c>
      <c r="K48">
        <f t="shared" si="3"/>
        <v>-0.82390874094431876</v>
      </c>
    </row>
    <row r="49" spans="1:11" x14ac:dyDescent="0.2">
      <c r="A49" t="s">
        <v>962</v>
      </c>
      <c r="B49" s="10" t="s">
        <v>2</v>
      </c>
      <c r="C49" t="s">
        <v>949</v>
      </c>
      <c r="D49">
        <v>21</v>
      </c>
      <c r="E49">
        <v>5</v>
      </c>
      <c r="F49" s="11">
        <v>420000000</v>
      </c>
      <c r="G49">
        <v>19</v>
      </c>
      <c r="H49">
        <v>4</v>
      </c>
      <c r="I49" s="11">
        <v>38000000</v>
      </c>
      <c r="J49" s="11">
        <f t="shared" si="2"/>
        <v>9.0476190476190474E-2</v>
      </c>
      <c r="K49">
        <f t="shared" si="3"/>
        <v>-1.0434656937810902</v>
      </c>
    </row>
    <row r="50" spans="1:11" x14ac:dyDescent="0.2">
      <c r="A50" t="s">
        <v>963</v>
      </c>
      <c r="B50" t="s">
        <v>944</v>
      </c>
      <c r="C50" t="s">
        <v>1</v>
      </c>
      <c r="D50">
        <v>16</v>
      </c>
      <c r="E50">
        <v>5</v>
      </c>
      <c r="F50" s="11">
        <f t="shared" ref="F50:F109" si="4">D50/5*1000*10^E50</f>
        <v>320000000</v>
      </c>
      <c r="G50">
        <v>50</v>
      </c>
      <c r="H50">
        <v>4</v>
      </c>
      <c r="I50" s="11">
        <f t="shared" ref="I50:I109" si="5">G50/5*1000*10^H50</f>
        <v>100000000</v>
      </c>
      <c r="J50" s="11">
        <f t="shared" si="2"/>
        <v>0.3125</v>
      </c>
      <c r="K50">
        <f t="shared" si="3"/>
        <v>-0.50514997831990593</v>
      </c>
    </row>
    <row r="51" spans="1:11" x14ac:dyDescent="0.2">
      <c r="A51" t="s">
        <v>963</v>
      </c>
      <c r="B51" t="s">
        <v>944</v>
      </c>
      <c r="C51" t="s">
        <v>1</v>
      </c>
      <c r="D51">
        <v>11</v>
      </c>
      <c r="E51">
        <v>5</v>
      </c>
      <c r="F51" s="11">
        <f t="shared" si="4"/>
        <v>220000000</v>
      </c>
      <c r="G51">
        <v>26</v>
      </c>
      <c r="H51">
        <v>4</v>
      </c>
      <c r="I51" s="11">
        <f t="shared" si="5"/>
        <v>52000000</v>
      </c>
      <c r="J51" s="11">
        <f t="shared" si="2"/>
        <v>0.23636363636363636</v>
      </c>
      <c r="K51">
        <f t="shared" si="3"/>
        <v>-0.62641933718740705</v>
      </c>
    </row>
    <row r="52" spans="1:11" x14ac:dyDescent="0.2">
      <c r="A52" t="s">
        <v>963</v>
      </c>
      <c r="B52" t="s">
        <v>944</v>
      </c>
      <c r="C52" t="s">
        <v>1</v>
      </c>
      <c r="D52">
        <v>11</v>
      </c>
      <c r="E52">
        <v>5</v>
      </c>
      <c r="F52" s="11">
        <f t="shared" si="4"/>
        <v>220000000</v>
      </c>
      <c r="G52">
        <v>23</v>
      </c>
      <c r="H52">
        <v>4</v>
      </c>
      <c r="I52" s="11">
        <f t="shared" si="5"/>
        <v>46000000</v>
      </c>
      <c r="J52" s="11">
        <f t="shared" si="2"/>
        <v>0.20909090909090908</v>
      </c>
      <c r="K52">
        <f t="shared" si="3"/>
        <v>-0.67966484914063219</v>
      </c>
    </row>
    <row r="53" spans="1:11" x14ac:dyDescent="0.2">
      <c r="A53" t="s">
        <v>963</v>
      </c>
      <c r="B53" t="s">
        <v>26</v>
      </c>
      <c r="C53" t="s">
        <v>1</v>
      </c>
      <c r="D53">
        <v>10</v>
      </c>
      <c r="E53">
        <v>5</v>
      </c>
      <c r="F53" s="11">
        <f t="shared" si="4"/>
        <v>200000000</v>
      </c>
      <c r="G53">
        <v>18</v>
      </c>
      <c r="H53">
        <v>4</v>
      </c>
      <c r="I53" s="11">
        <f t="shared" si="5"/>
        <v>36000000</v>
      </c>
      <c r="J53" s="11">
        <f t="shared" si="2"/>
        <v>0.18</v>
      </c>
      <c r="K53">
        <f t="shared" si="3"/>
        <v>-0.74472749489669399</v>
      </c>
    </row>
    <row r="54" spans="1:11" x14ac:dyDescent="0.2">
      <c r="A54" t="s">
        <v>963</v>
      </c>
      <c r="B54" t="s">
        <v>26</v>
      </c>
      <c r="C54" t="s">
        <v>1</v>
      </c>
      <c r="D54">
        <v>23</v>
      </c>
      <c r="E54">
        <v>5</v>
      </c>
      <c r="F54" s="11">
        <f t="shared" si="4"/>
        <v>460000000</v>
      </c>
      <c r="G54">
        <v>23</v>
      </c>
      <c r="H54">
        <v>4</v>
      </c>
      <c r="I54" s="11">
        <f t="shared" si="5"/>
        <v>46000000</v>
      </c>
      <c r="J54" s="11">
        <f t="shared" si="2"/>
        <v>0.1</v>
      </c>
      <c r="K54">
        <f t="shared" si="3"/>
        <v>-1</v>
      </c>
    </row>
    <row r="55" spans="1:11" x14ac:dyDescent="0.2">
      <c r="A55" t="s">
        <v>963</v>
      </c>
      <c r="B55" t="s">
        <v>26</v>
      </c>
      <c r="C55" t="s">
        <v>1</v>
      </c>
      <c r="D55">
        <v>14</v>
      </c>
      <c r="E55">
        <v>5</v>
      </c>
      <c r="F55" s="11">
        <f t="shared" si="4"/>
        <v>280000000</v>
      </c>
      <c r="G55">
        <v>15</v>
      </c>
      <c r="H55">
        <v>4</v>
      </c>
      <c r="I55" s="11">
        <f t="shared" si="5"/>
        <v>30000000</v>
      </c>
      <c r="J55" s="11">
        <f t="shared" si="2"/>
        <v>0.10714285714285714</v>
      </c>
      <c r="K55">
        <f t="shared" si="3"/>
        <v>-0.97003677662255683</v>
      </c>
    </row>
    <row r="56" spans="1:11" x14ac:dyDescent="0.2">
      <c r="A56" t="s">
        <v>963</v>
      </c>
      <c r="B56" t="s">
        <v>947</v>
      </c>
      <c r="C56" t="s">
        <v>1</v>
      </c>
      <c r="D56">
        <v>4</v>
      </c>
      <c r="E56">
        <v>5</v>
      </c>
      <c r="F56" s="11">
        <f t="shared" si="4"/>
        <v>80000000</v>
      </c>
      <c r="G56">
        <v>13</v>
      </c>
      <c r="H56">
        <v>4</v>
      </c>
      <c r="I56" s="11">
        <f t="shared" si="5"/>
        <v>26000000</v>
      </c>
      <c r="J56" s="11">
        <f t="shared" si="2"/>
        <v>0.32500000000000001</v>
      </c>
      <c r="K56">
        <f t="shared" si="3"/>
        <v>-0.48811663902112562</v>
      </c>
    </row>
    <row r="57" spans="1:11" x14ac:dyDescent="0.2">
      <c r="A57" t="s">
        <v>963</v>
      </c>
      <c r="B57" t="s">
        <v>947</v>
      </c>
      <c r="C57" t="s">
        <v>1</v>
      </c>
      <c r="D57">
        <v>7</v>
      </c>
      <c r="E57">
        <v>5</v>
      </c>
      <c r="F57" s="11">
        <f t="shared" si="4"/>
        <v>140000000</v>
      </c>
      <c r="G57">
        <v>11</v>
      </c>
      <c r="H57">
        <v>4</v>
      </c>
      <c r="I57" s="11">
        <f t="shared" si="5"/>
        <v>22000000</v>
      </c>
      <c r="J57" s="11">
        <f t="shared" si="2"/>
        <v>0.15714285714285714</v>
      </c>
      <c r="K57">
        <f t="shared" si="3"/>
        <v>-0.80370535485603178</v>
      </c>
    </row>
    <row r="58" spans="1:11" x14ac:dyDescent="0.2">
      <c r="A58" t="s">
        <v>963</v>
      </c>
      <c r="B58" t="s">
        <v>947</v>
      </c>
      <c r="C58" t="s">
        <v>1</v>
      </c>
      <c r="D58">
        <v>7</v>
      </c>
      <c r="E58">
        <v>5</v>
      </c>
      <c r="F58" s="11">
        <f t="shared" si="4"/>
        <v>140000000</v>
      </c>
      <c r="G58">
        <v>13</v>
      </c>
      <c r="H58">
        <v>4</v>
      </c>
      <c r="I58" s="11">
        <f t="shared" si="5"/>
        <v>26000000</v>
      </c>
      <c r="J58" s="11">
        <f t="shared" si="2"/>
        <v>0.18571428571428572</v>
      </c>
      <c r="K58">
        <f t="shared" si="3"/>
        <v>-0.73115468770742009</v>
      </c>
    </row>
    <row r="59" spans="1:11" x14ac:dyDescent="0.2">
      <c r="A59" t="s">
        <v>963</v>
      </c>
      <c r="B59" t="s">
        <v>2</v>
      </c>
      <c r="C59" t="s">
        <v>1</v>
      </c>
      <c r="D59">
        <v>0.6</v>
      </c>
      <c r="E59">
        <v>5</v>
      </c>
      <c r="F59" s="11">
        <f t="shared" si="4"/>
        <v>12000000</v>
      </c>
      <c r="G59">
        <v>80</v>
      </c>
      <c r="H59">
        <v>4</v>
      </c>
      <c r="I59" s="11">
        <f t="shared" si="5"/>
        <v>160000000</v>
      </c>
      <c r="J59" s="11">
        <f t="shared" si="2"/>
        <v>13.333333333333334</v>
      </c>
      <c r="K59">
        <f t="shared" si="3"/>
        <v>1.1249387366082999</v>
      </c>
    </row>
    <row r="60" spans="1:11" x14ac:dyDescent="0.2">
      <c r="A60" t="s">
        <v>963</v>
      </c>
      <c r="B60" t="s">
        <v>2</v>
      </c>
      <c r="C60" t="s">
        <v>1</v>
      </c>
      <c r="D60">
        <v>1.5</v>
      </c>
      <c r="E60">
        <v>5</v>
      </c>
      <c r="F60" s="11">
        <f t="shared" si="4"/>
        <v>30000000</v>
      </c>
      <c r="G60">
        <v>50</v>
      </c>
      <c r="H60">
        <v>4</v>
      </c>
      <c r="I60" s="11">
        <f t="shared" si="5"/>
        <v>100000000</v>
      </c>
      <c r="J60" s="11">
        <f t="shared" si="2"/>
        <v>3.3333333333333335</v>
      </c>
      <c r="K60">
        <f t="shared" si="3"/>
        <v>0.52287874528033762</v>
      </c>
    </row>
    <row r="61" spans="1:11" x14ac:dyDescent="0.2">
      <c r="A61" t="s">
        <v>963</v>
      </c>
      <c r="B61" t="s">
        <v>2</v>
      </c>
      <c r="C61" t="s">
        <v>1</v>
      </c>
      <c r="D61">
        <v>4.7</v>
      </c>
      <c r="E61">
        <v>5</v>
      </c>
      <c r="F61" s="11">
        <f t="shared" si="4"/>
        <v>94000000.000000015</v>
      </c>
      <c r="G61">
        <v>110</v>
      </c>
      <c r="H61">
        <v>4</v>
      </c>
      <c r="I61" s="11">
        <f t="shared" si="5"/>
        <v>220000000</v>
      </c>
      <c r="J61" s="11">
        <f t="shared" si="2"/>
        <v>2.3404255319148932</v>
      </c>
      <c r="K61">
        <f t="shared" si="3"/>
        <v>0.3692948272225075</v>
      </c>
    </row>
    <row r="62" spans="1:11" x14ac:dyDescent="0.2">
      <c r="A62" t="s">
        <v>963</v>
      </c>
      <c r="B62" s="5" t="s">
        <v>944</v>
      </c>
      <c r="C62" t="s">
        <v>949</v>
      </c>
      <c r="D62">
        <v>16</v>
      </c>
      <c r="E62">
        <v>5</v>
      </c>
      <c r="F62" s="11">
        <f t="shared" si="4"/>
        <v>320000000</v>
      </c>
      <c r="G62">
        <v>19</v>
      </c>
      <c r="H62">
        <v>4</v>
      </c>
      <c r="I62" s="11">
        <f t="shared" si="5"/>
        <v>38000000</v>
      </c>
      <c r="J62" s="11">
        <f t="shared" si="2"/>
        <v>0.11874999999999999</v>
      </c>
      <c r="K62">
        <f t="shared" si="3"/>
        <v>-0.92536638170309582</v>
      </c>
    </row>
    <row r="63" spans="1:11" x14ac:dyDescent="0.2">
      <c r="A63" t="s">
        <v>963</v>
      </c>
      <c r="B63" s="5" t="s">
        <v>944</v>
      </c>
      <c r="C63" t="s">
        <v>949</v>
      </c>
      <c r="D63">
        <v>13</v>
      </c>
      <c r="E63">
        <v>5</v>
      </c>
      <c r="F63" s="11">
        <f t="shared" si="4"/>
        <v>260000000</v>
      </c>
      <c r="G63">
        <v>16</v>
      </c>
      <c r="H63">
        <v>4</v>
      </c>
      <c r="I63" s="11">
        <f t="shared" si="5"/>
        <v>32000000</v>
      </c>
      <c r="J63" s="11">
        <f t="shared" si="2"/>
        <v>0.12307692307692308</v>
      </c>
      <c r="K63">
        <f t="shared" si="3"/>
        <v>-0.90982336965091193</v>
      </c>
    </row>
    <row r="64" spans="1:11" x14ac:dyDescent="0.2">
      <c r="A64" t="s">
        <v>963</v>
      </c>
      <c r="B64" s="5" t="s">
        <v>944</v>
      </c>
      <c r="C64" t="s">
        <v>949</v>
      </c>
      <c r="D64">
        <v>11</v>
      </c>
      <c r="E64">
        <v>5</v>
      </c>
      <c r="F64" s="11">
        <f t="shared" si="4"/>
        <v>220000000</v>
      </c>
      <c r="G64">
        <v>14</v>
      </c>
      <c r="H64">
        <v>4</v>
      </c>
      <c r="I64" s="11">
        <f t="shared" si="5"/>
        <v>28000000</v>
      </c>
      <c r="J64" s="11">
        <f t="shared" si="2"/>
        <v>0.12727272727272726</v>
      </c>
      <c r="K64">
        <f t="shared" si="3"/>
        <v>-0.89526464947998707</v>
      </c>
    </row>
    <row r="65" spans="1:11" x14ac:dyDescent="0.2">
      <c r="A65" t="s">
        <v>963</v>
      </c>
      <c r="B65" s="5" t="s">
        <v>26</v>
      </c>
      <c r="C65" t="s">
        <v>949</v>
      </c>
      <c r="D65">
        <v>5</v>
      </c>
      <c r="E65">
        <v>5</v>
      </c>
      <c r="F65" s="11">
        <f t="shared" si="4"/>
        <v>100000000</v>
      </c>
      <c r="G65">
        <v>8</v>
      </c>
      <c r="H65">
        <v>4</v>
      </c>
      <c r="I65" s="11">
        <f t="shared" si="5"/>
        <v>16000000</v>
      </c>
      <c r="J65" s="11">
        <f t="shared" si="2"/>
        <v>0.16</v>
      </c>
      <c r="K65">
        <f t="shared" si="3"/>
        <v>-0.79588001734407521</v>
      </c>
    </row>
    <row r="66" spans="1:11" x14ac:dyDescent="0.2">
      <c r="A66" t="s">
        <v>963</v>
      </c>
      <c r="B66" s="10" t="s">
        <v>26</v>
      </c>
      <c r="C66" t="s">
        <v>949</v>
      </c>
      <c r="D66">
        <v>14</v>
      </c>
      <c r="E66">
        <v>5</v>
      </c>
      <c r="F66" s="11">
        <f t="shared" si="4"/>
        <v>280000000</v>
      </c>
      <c r="G66">
        <v>15</v>
      </c>
      <c r="H66">
        <v>4</v>
      </c>
      <c r="I66" s="11">
        <f t="shared" si="5"/>
        <v>30000000</v>
      </c>
      <c r="J66" s="11">
        <f t="shared" si="2"/>
        <v>0.10714285714285714</v>
      </c>
      <c r="K66">
        <f t="shared" si="3"/>
        <v>-0.97003677662255683</v>
      </c>
    </row>
    <row r="67" spans="1:11" x14ac:dyDescent="0.2">
      <c r="A67" t="s">
        <v>963</v>
      </c>
      <c r="B67" s="10" t="s">
        <v>26</v>
      </c>
      <c r="C67" t="s">
        <v>949</v>
      </c>
      <c r="D67">
        <v>11</v>
      </c>
      <c r="E67">
        <v>5</v>
      </c>
      <c r="F67" s="11">
        <f t="shared" si="4"/>
        <v>220000000</v>
      </c>
      <c r="G67">
        <v>13</v>
      </c>
      <c r="H67">
        <v>4</v>
      </c>
      <c r="I67" s="11">
        <f t="shared" si="5"/>
        <v>26000000</v>
      </c>
      <c r="J67" s="11">
        <f t="shared" ref="J67:J109" si="6">I67/F67</f>
        <v>0.11818181818181818</v>
      </c>
      <c r="K67">
        <f t="shared" ref="K67:K109" si="7">LOG10(J67)</f>
        <v>-0.92744933285138831</v>
      </c>
    </row>
    <row r="68" spans="1:11" x14ac:dyDescent="0.2">
      <c r="A68" t="s">
        <v>963</v>
      </c>
      <c r="B68" s="10" t="s">
        <v>947</v>
      </c>
      <c r="C68" t="s">
        <v>949</v>
      </c>
      <c r="D68">
        <v>6</v>
      </c>
      <c r="E68">
        <v>5</v>
      </c>
      <c r="F68" s="11">
        <f t="shared" si="4"/>
        <v>120000000</v>
      </c>
      <c r="G68">
        <v>10</v>
      </c>
      <c r="H68">
        <v>4</v>
      </c>
      <c r="I68" s="11">
        <f t="shared" si="5"/>
        <v>20000000</v>
      </c>
      <c r="J68" s="11">
        <f t="shared" si="6"/>
        <v>0.16666666666666666</v>
      </c>
      <c r="K68">
        <f t="shared" si="7"/>
        <v>-0.77815125038364363</v>
      </c>
    </row>
    <row r="69" spans="1:11" x14ac:dyDescent="0.2">
      <c r="A69" t="s">
        <v>963</v>
      </c>
      <c r="B69" s="10" t="s">
        <v>947</v>
      </c>
      <c r="C69" t="s">
        <v>949</v>
      </c>
      <c r="D69">
        <v>7</v>
      </c>
      <c r="E69">
        <v>5</v>
      </c>
      <c r="F69" s="11">
        <f t="shared" si="4"/>
        <v>140000000</v>
      </c>
      <c r="G69">
        <v>5</v>
      </c>
      <c r="H69">
        <v>4</v>
      </c>
      <c r="I69" s="11">
        <f t="shared" si="5"/>
        <v>10000000</v>
      </c>
      <c r="J69" s="11">
        <f t="shared" si="6"/>
        <v>7.1428571428571425E-2</v>
      </c>
      <c r="K69">
        <f t="shared" si="7"/>
        <v>-1.146128035678238</v>
      </c>
    </row>
    <row r="70" spans="1:11" x14ac:dyDescent="0.2">
      <c r="A70" t="s">
        <v>963</v>
      </c>
      <c r="B70" s="10" t="s">
        <v>947</v>
      </c>
      <c r="C70" t="s">
        <v>949</v>
      </c>
      <c r="D70">
        <v>5</v>
      </c>
      <c r="E70">
        <v>5</v>
      </c>
      <c r="F70" s="11">
        <f t="shared" si="4"/>
        <v>100000000</v>
      </c>
      <c r="G70">
        <v>7</v>
      </c>
      <c r="H70">
        <v>4</v>
      </c>
      <c r="I70" s="11">
        <f t="shared" si="5"/>
        <v>14000000</v>
      </c>
      <c r="J70" s="11">
        <f t="shared" si="6"/>
        <v>0.14000000000000001</v>
      </c>
      <c r="K70">
        <f t="shared" si="7"/>
        <v>-0.85387196432176193</v>
      </c>
    </row>
    <row r="71" spans="1:11" x14ac:dyDescent="0.2">
      <c r="A71" t="s">
        <v>963</v>
      </c>
      <c r="B71" s="10" t="s">
        <v>2</v>
      </c>
      <c r="C71" t="s">
        <v>949</v>
      </c>
      <c r="D71">
        <v>28</v>
      </c>
      <c r="E71">
        <v>4</v>
      </c>
      <c r="F71" s="11">
        <f t="shared" si="4"/>
        <v>56000000</v>
      </c>
      <c r="G71">
        <v>15</v>
      </c>
      <c r="H71">
        <v>4</v>
      </c>
      <c r="I71" s="11">
        <f t="shared" si="5"/>
        <v>30000000</v>
      </c>
      <c r="J71" s="11">
        <f t="shared" si="6"/>
        <v>0.5357142857142857</v>
      </c>
      <c r="K71">
        <f t="shared" si="7"/>
        <v>-0.27106677228653797</v>
      </c>
    </row>
    <row r="72" spans="1:11" x14ac:dyDescent="0.2">
      <c r="A72" t="s">
        <v>963</v>
      </c>
      <c r="B72" s="10" t="s">
        <v>2</v>
      </c>
      <c r="C72" t="s">
        <v>949</v>
      </c>
      <c r="D72">
        <v>23</v>
      </c>
      <c r="E72">
        <v>4</v>
      </c>
      <c r="F72" s="11">
        <f t="shared" si="4"/>
        <v>46000000</v>
      </c>
      <c r="G72">
        <v>14</v>
      </c>
      <c r="H72">
        <v>4</v>
      </c>
      <c r="I72" s="11">
        <f t="shared" si="5"/>
        <v>28000000</v>
      </c>
      <c r="J72" s="11">
        <f t="shared" si="6"/>
        <v>0.60869565217391308</v>
      </c>
      <c r="K72">
        <f t="shared" si="7"/>
        <v>-0.21559980033935483</v>
      </c>
    </row>
    <row r="73" spans="1:11" x14ac:dyDescent="0.2">
      <c r="A73" t="s">
        <v>963</v>
      </c>
      <c r="B73" s="10" t="s">
        <v>2</v>
      </c>
      <c r="C73" t="s">
        <v>949</v>
      </c>
      <c r="D73">
        <v>26</v>
      </c>
      <c r="E73">
        <v>4</v>
      </c>
      <c r="F73" s="11">
        <f t="shared" si="4"/>
        <v>52000000</v>
      </c>
      <c r="G73">
        <v>15</v>
      </c>
      <c r="H73">
        <v>4</v>
      </c>
      <c r="I73" s="11">
        <f t="shared" si="5"/>
        <v>30000000</v>
      </c>
      <c r="J73" s="11">
        <f t="shared" si="6"/>
        <v>0.57692307692307687</v>
      </c>
      <c r="K73">
        <f t="shared" si="7"/>
        <v>-0.23888208891513676</v>
      </c>
    </row>
    <row r="74" spans="1:11" x14ac:dyDescent="0.2">
      <c r="A74" t="s">
        <v>964</v>
      </c>
      <c r="B74" s="5" t="s">
        <v>944</v>
      </c>
      <c r="C74" t="s">
        <v>1</v>
      </c>
      <c r="D74">
        <v>16</v>
      </c>
      <c r="E74">
        <v>5</v>
      </c>
      <c r="F74" s="11">
        <f t="shared" si="4"/>
        <v>320000000</v>
      </c>
      <c r="G74">
        <v>13</v>
      </c>
      <c r="H74">
        <v>4</v>
      </c>
      <c r="I74" s="11">
        <f t="shared" si="5"/>
        <v>26000000</v>
      </c>
      <c r="J74" s="11">
        <f t="shared" si="6"/>
        <v>8.1250000000000003E-2</v>
      </c>
      <c r="K74">
        <f t="shared" si="7"/>
        <v>-1.0901766303490881</v>
      </c>
    </row>
    <row r="75" spans="1:11" x14ac:dyDescent="0.2">
      <c r="A75" t="s">
        <v>964</v>
      </c>
      <c r="B75" s="5" t="s">
        <v>944</v>
      </c>
      <c r="C75" t="s">
        <v>1</v>
      </c>
      <c r="D75">
        <v>29</v>
      </c>
      <c r="E75">
        <v>5</v>
      </c>
      <c r="F75" s="11">
        <f t="shared" si="4"/>
        <v>580000000</v>
      </c>
      <c r="G75">
        <v>9</v>
      </c>
      <c r="H75">
        <v>4</v>
      </c>
      <c r="I75" s="11">
        <f t="shared" si="5"/>
        <v>18000000</v>
      </c>
      <c r="J75" s="11">
        <f t="shared" si="6"/>
        <v>3.1034482758620689E-2</v>
      </c>
      <c r="K75">
        <f t="shared" si="7"/>
        <v>-1.5081554884596313</v>
      </c>
    </row>
    <row r="76" spans="1:11" x14ac:dyDescent="0.2">
      <c r="A76" t="s">
        <v>964</v>
      </c>
      <c r="B76" s="5" t="s">
        <v>944</v>
      </c>
      <c r="C76" t="s">
        <v>1</v>
      </c>
      <c r="D76">
        <v>19</v>
      </c>
      <c r="E76">
        <v>5</v>
      </c>
      <c r="F76" s="11">
        <f t="shared" si="4"/>
        <v>380000000</v>
      </c>
      <c r="G76">
        <v>12</v>
      </c>
      <c r="H76">
        <v>4</v>
      </c>
      <c r="I76" s="11">
        <f t="shared" si="5"/>
        <v>24000000</v>
      </c>
      <c r="J76" s="11">
        <f t="shared" si="6"/>
        <v>6.3157894736842107E-2</v>
      </c>
      <c r="K76">
        <f t="shared" si="7"/>
        <v>-1.1995723549052042</v>
      </c>
    </row>
    <row r="77" spans="1:11" x14ac:dyDescent="0.2">
      <c r="A77" t="s">
        <v>964</v>
      </c>
      <c r="B77" s="5" t="s">
        <v>26</v>
      </c>
      <c r="C77" t="s">
        <v>1</v>
      </c>
      <c r="D77">
        <v>12</v>
      </c>
      <c r="E77">
        <v>5</v>
      </c>
      <c r="F77" s="11">
        <f t="shared" si="4"/>
        <v>240000000</v>
      </c>
      <c r="G77">
        <v>11</v>
      </c>
      <c r="H77">
        <v>4</v>
      </c>
      <c r="I77" s="11">
        <f t="shared" si="5"/>
        <v>22000000</v>
      </c>
      <c r="J77" s="11">
        <f t="shared" si="6"/>
        <v>9.166666666666666E-2</v>
      </c>
      <c r="K77">
        <f t="shared" si="7"/>
        <v>-1.0377885608893997</v>
      </c>
    </row>
    <row r="78" spans="1:11" x14ac:dyDescent="0.2">
      <c r="A78" t="s">
        <v>964</v>
      </c>
      <c r="B78" s="10" t="s">
        <v>26</v>
      </c>
      <c r="C78" t="s">
        <v>1</v>
      </c>
      <c r="D78">
        <v>18</v>
      </c>
      <c r="E78">
        <v>5</v>
      </c>
      <c r="F78" s="11">
        <f t="shared" si="4"/>
        <v>360000000</v>
      </c>
      <c r="G78">
        <v>10</v>
      </c>
      <c r="H78">
        <v>4</v>
      </c>
      <c r="I78" s="11">
        <f t="shared" si="5"/>
        <v>20000000</v>
      </c>
      <c r="J78" s="11">
        <f t="shared" si="6"/>
        <v>5.5555555555555552E-2</v>
      </c>
      <c r="K78">
        <f t="shared" si="7"/>
        <v>-1.255272505103306</v>
      </c>
    </row>
    <row r="79" spans="1:11" x14ac:dyDescent="0.2">
      <c r="A79" t="s">
        <v>964</v>
      </c>
      <c r="B79" s="10" t="s">
        <v>26</v>
      </c>
      <c r="C79" t="s">
        <v>1</v>
      </c>
      <c r="D79">
        <v>17</v>
      </c>
      <c r="E79">
        <v>5</v>
      </c>
      <c r="F79" s="11">
        <f t="shared" si="4"/>
        <v>340000000</v>
      </c>
      <c r="G79">
        <v>13</v>
      </c>
      <c r="H79">
        <v>4</v>
      </c>
      <c r="I79" s="11">
        <f t="shared" si="5"/>
        <v>26000000</v>
      </c>
      <c r="J79" s="11">
        <f t="shared" si="6"/>
        <v>7.6470588235294124E-2</v>
      </c>
      <c r="K79">
        <f t="shared" si="7"/>
        <v>-1.1165055690714372</v>
      </c>
    </row>
    <row r="80" spans="1:11" x14ac:dyDescent="0.2">
      <c r="A80" t="s">
        <v>964</v>
      </c>
      <c r="B80" s="10" t="s">
        <v>947</v>
      </c>
      <c r="C80" t="s">
        <v>1</v>
      </c>
      <c r="D80">
        <v>15</v>
      </c>
      <c r="E80">
        <v>5</v>
      </c>
      <c r="F80" s="11">
        <f t="shared" si="4"/>
        <v>300000000</v>
      </c>
      <c r="G80">
        <v>6</v>
      </c>
      <c r="H80">
        <v>4</v>
      </c>
      <c r="I80" s="11">
        <f t="shared" si="5"/>
        <v>12000000</v>
      </c>
      <c r="J80" s="11">
        <f t="shared" si="6"/>
        <v>0.04</v>
      </c>
      <c r="K80">
        <f t="shared" si="7"/>
        <v>-1.3979400086720375</v>
      </c>
    </row>
    <row r="81" spans="1:11" x14ac:dyDescent="0.2">
      <c r="A81" t="s">
        <v>964</v>
      </c>
      <c r="B81" s="10" t="s">
        <v>947</v>
      </c>
      <c r="C81" t="s">
        <v>1</v>
      </c>
      <c r="D81">
        <v>23</v>
      </c>
      <c r="E81">
        <v>5</v>
      </c>
      <c r="F81" s="11">
        <f t="shared" si="4"/>
        <v>460000000</v>
      </c>
      <c r="G81">
        <v>5</v>
      </c>
      <c r="H81">
        <v>4</v>
      </c>
      <c r="I81" s="11">
        <f t="shared" si="5"/>
        <v>10000000</v>
      </c>
      <c r="J81" s="11">
        <f t="shared" si="6"/>
        <v>2.1739130434782608E-2</v>
      </c>
      <c r="K81">
        <f t="shared" si="7"/>
        <v>-1.6627578316815741</v>
      </c>
    </row>
    <row r="82" spans="1:11" x14ac:dyDescent="0.2">
      <c r="A82" t="s">
        <v>964</v>
      </c>
      <c r="B82" s="10" t="s">
        <v>947</v>
      </c>
      <c r="C82" t="s">
        <v>1</v>
      </c>
      <c r="D82">
        <v>17</v>
      </c>
      <c r="E82">
        <v>5</v>
      </c>
      <c r="F82" s="11">
        <f t="shared" si="4"/>
        <v>340000000</v>
      </c>
      <c r="G82">
        <v>10</v>
      </c>
      <c r="H82">
        <v>4</v>
      </c>
      <c r="I82" s="11">
        <f t="shared" si="5"/>
        <v>20000000</v>
      </c>
      <c r="J82" s="11">
        <f t="shared" si="6"/>
        <v>5.8823529411764705E-2</v>
      </c>
      <c r="K82">
        <f t="shared" si="7"/>
        <v>-1.2304489213782739</v>
      </c>
    </row>
    <row r="83" spans="1:11" x14ac:dyDescent="0.2">
      <c r="A83" t="s">
        <v>964</v>
      </c>
      <c r="B83" s="10" t="s">
        <v>2</v>
      </c>
      <c r="C83" t="s">
        <v>1</v>
      </c>
      <c r="D83">
        <v>12</v>
      </c>
      <c r="E83">
        <v>5</v>
      </c>
      <c r="F83" s="11">
        <f t="shared" si="4"/>
        <v>240000000</v>
      </c>
      <c r="G83">
        <v>18</v>
      </c>
      <c r="H83">
        <v>4</v>
      </c>
      <c r="I83" s="11">
        <f t="shared" si="5"/>
        <v>36000000</v>
      </c>
      <c r="J83" s="11">
        <f t="shared" si="6"/>
        <v>0.15</v>
      </c>
      <c r="K83">
        <f t="shared" si="7"/>
        <v>-0.82390874094431876</v>
      </c>
    </row>
    <row r="84" spans="1:11" x14ac:dyDescent="0.2">
      <c r="A84" t="s">
        <v>964</v>
      </c>
      <c r="B84" s="10" t="s">
        <v>2</v>
      </c>
      <c r="C84" t="s">
        <v>1</v>
      </c>
      <c r="D84">
        <v>15</v>
      </c>
      <c r="E84">
        <v>5</v>
      </c>
      <c r="F84" s="11">
        <f t="shared" si="4"/>
        <v>300000000</v>
      </c>
      <c r="G84">
        <v>27</v>
      </c>
      <c r="H84">
        <v>4</v>
      </c>
      <c r="I84" s="11">
        <f t="shared" si="5"/>
        <v>54000000</v>
      </c>
      <c r="J84" s="11">
        <f t="shared" si="6"/>
        <v>0.18</v>
      </c>
      <c r="K84">
        <f t="shared" si="7"/>
        <v>-0.74472749489669399</v>
      </c>
    </row>
    <row r="85" spans="1:11" x14ac:dyDescent="0.2">
      <c r="A85" t="s">
        <v>964</v>
      </c>
      <c r="B85" s="10" t="s">
        <v>2</v>
      </c>
      <c r="C85" t="s">
        <v>1</v>
      </c>
      <c r="D85">
        <v>13</v>
      </c>
      <c r="E85">
        <v>5</v>
      </c>
      <c r="F85" s="11">
        <f t="shared" si="4"/>
        <v>260000000</v>
      </c>
      <c r="G85">
        <v>37</v>
      </c>
      <c r="H85">
        <v>4</v>
      </c>
      <c r="I85" s="11">
        <f t="shared" si="5"/>
        <v>74000000</v>
      </c>
      <c r="J85" s="11">
        <f t="shared" si="6"/>
        <v>0.2846153846153846</v>
      </c>
      <c r="K85">
        <f t="shared" si="7"/>
        <v>-0.54574162823984174</v>
      </c>
    </row>
    <row r="86" spans="1:11" x14ac:dyDescent="0.2">
      <c r="A86" t="s">
        <v>964</v>
      </c>
      <c r="B86" s="5" t="s">
        <v>944</v>
      </c>
      <c r="C86" t="s">
        <v>949</v>
      </c>
      <c r="D86">
        <v>22</v>
      </c>
      <c r="E86">
        <v>5</v>
      </c>
      <c r="F86" s="11">
        <f t="shared" si="4"/>
        <v>440000000</v>
      </c>
      <c r="G86">
        <v>30</v>
      </c>
      <c r="H86">
        <v>3</v>
      </c>
      <c r="I86" s="11">
        <f t="shared" si="5"/>
        <v>6000000</v>
      </c>
      <c r="J86" s="11">
        <f t="shared" si="6"/>
        <v>1.3636363636363636E-2</v>
      </c>
      <c r="K86">
        <f t="shared" si="7"/>
        <v>-1.8653014261025438</v>
      </c>
    </row>
    <row r="87" spans="1:11" x14ac:dyDescent="0.2">
      <c r="A87" t="s">
        <v>964</v>
      </c>
      <c r="B87" s="5" t="s">
        <v>944</v>
      </c>
      <c r="C87" t="s">
        <v>949</v>
      </c>
      <c r="D87">
        <v>15</v>
      </c>
      <c r="E87">
        <v>5</v>
      </c>
      <c r="F87" s="11">
        <f t="shared" si="4"/>
        <v>300000000</v>
      </c>
      <c r="G87">
        <v>25</v>
      </c>
      <c r="H87">
        <v>3</v>
      </c>
      <c r="I87" s="11">
        <f t="shared" si="5"/>
        <v>5000000</v>
      </c>
      <c r="J87" s="11">
        <f t="shared" si="6"/>
        <v>1.6666666666666666E-2</v>
      </c>
      <c r="K87">
        <f t="shared" si="7"/>
        <v>-1.7781512503836436</v>
      </c>
    </row>
    <row r="88" spans="1:11" x14ac:dyDescent="0.2">
      <c r="A88" t="s">
        <v>964</v>
      </c>
      <c r="B88" s="5" t="s">
        <v>944</v>
      </c>
      <c r="C88" t="s">
        <v>949</v>
      </c>
      <c r="D88">
        <v>22</v>
      </c>
      <c r="E88">
        <v>5</v>
      </c>
      <c r="F88" s="11">
        <f t="shared" si="4"/>
        <v>440000000</v>
      </c>
      <c r="G88">
        <v>27</v>
      </c>
      <c r="H88">
        <v>3</v>
      </c>
      <c r="I88" s="11">
        <f t="shared" si="5"/>
        <v>5400000</v>
      </c>
      <c r="J88" s="11">
        <f t="shared" si="6"/>
        <v>1.2272727272727272E-2</v>
      </c>
      <c r="K88">
        <f t="shared" si="7"/>
        <v>-1.911058916663219</v>
      </c>
    </row>
    <row r="89" spans="1:11" x14ac:dyDescent="0.2">
      <c r="A89" t="s">
        <v>964</v>
      </c>
      <c r="B89" s="5" t="s">
        <v>26</v>
      </c>
      <c r="C89" t="s">
        <v>949</v>
      </c>
      <c r="D89">
        <v>19</v>
      </c>
      <c r="E89">
        <v>5</v>
      </c>
      <c r="F89" s="11">
        <f t="shared" si="4"/>
        <v>380000000</v>
      </c>
      <c r="G89">
        <f>(25+70)/2</f>
        <v>47.5</v>
      </c>
      <c r="H89">
        <v>3</v>
      </c>
      <c r="I89" s="11">
        <f t="shared" si="5"/>
        <v>9500000</v>
      </c>
      <c r="J89" s="11">
        <f t="shared" si="6"/>
        <v>2.5000000000000001E-2</v>
      </c>
      <c r="K89">
        <f t="shared" si="7"/>
        <v>-1.6020599913279623</v>
      </c>
    </row>
    <row r="90" spans="1:11" x14ac:dyDescent="0.2">
      <c r="A90" t="s">
        <v>964</v>
      </c>
      <c r="B90" s="10" t="s">
        <v>26</v>
      </c>
      <c r="C90" t="s">
        <v>949</v>
      </c>
      <c r="D90">
        <v>7</v>
      </c>
      <c r="E90">
        <v>5</v>
      </c>
      <c r="F90" s="11">
        <f t="shared" si="4"/>
        <v>140000000</v>
      </c>
      <c r="G90">
        <v>23</v>
      </c>
      <c r="H90">
        <v>3</v>
      </c>
      <c r="I90" s="11">
        <f t="shared" si="5"/>
        <v>4600000</v>
      </c>
      <c r="J90" s="11">
        <f t="shared" si="6"/>
        <v>3.2857142857142856E-2</v>
      </c>
      <c r="K90">
        <f t="shared" si="7"/>
        <v>-1.4833702039966641</v>
      </c>
    </row>
    <row r="91" spans="1:11" x14ac:dyDescent="0.2">
      <c r="A91" t="s">
        <v>964</v>
      </c>
      <c r="B91" s="10" t="s">
        <v>26</v>
      </c>
      <c r="C91" t="s">
        <v>949</v>
      </c>
      <c r="D91">
        <v>14</v>
      </c>
      <c r="E91">
        <v>5</v>
      </c>
      <c r="F91" s="11">
        <f t="shared" si="4"/>
        <v>280000000</v>
      </c>
      <c r="G91">
        <f>(28+60)/2</f>
        <v>44</v>
      </c>
      <c r="H91">
        <v>3</v>
      </c>
      <c r="I91" s="11">
        <f t="shared" si="5"/>
        <v>8800000</v>
      </c>
      <c r="J91" s="11">
        <f t="shared" si="6"/>
        <v>3.1428571428571431E-2</v>
      </c>
      <c r="K91">
        <f t="shared" si="7"/>
        <v>-1.5026753591920505</v>
      </c>
    </row>
    <row r="92" spans="1:11" x14ac:dyDescent="0.2">
      <c r="A92" t="s">
        <v>964</v>
      </c>
      <c r="B92" s="10" t="s">
        <v>947</v>
      </c>
      <c r="C92" t="s">
        <v>949</v>
      </c>
      <c r="D92">
        <v>14</v>
      </c>
      <c r="E92">
        <v>5</v>
      </c>
      <c r="F92" s="11">
        <f t="shared" si="4"/>
        <v>280000000</v>
      </c>
      <c r="G92">
        <f>(28+60)/2</f>
        <v>44</v>
      </c>
      <c r="H92">
        <v>3</v>
      </c>
      <c r="I92" s="11">
        <f t="shared" si="5"/>
        <v>8800000</v>
      </c>
      <c r="J92" s="11">
        <f t="shared" si="6"/>
        <v>3.1428571428571431E-2</v>
      </c>
      <c r="K92">
        <f t="shared" si="7"/>
        <v>-1.5026753591920505</v>
      </c>
    </row>
    <row r="93" spans="1:11" x14ac:dyDescent="0.2">
      <c r="A93" t="s">
        <v>964</v>
      </c>
      <c r="B93" s="10" t="s">
        <v>947</v>
      </c>
      <c r="C93" t="s">
        <v>949</v>
      </c>
      <c r="D93">
        <v>13</v>
      </c>
      <c r="E93">
        <v>5</v>
      </c>
      <c r="F93" s="11">
        <f t="shared" si="4"/>
        <v>260000000</v>
      </c>
      <c r="G93">
        <f>(33+50)/2</f>
        <v>41.5</v>
      </c>
      <c r="H93">
        <v>3</v>
      </c>
      <c r="I93" s="11">
        <f t="shared" si="5"/>
        <v>8300000</v>
      </c>
      <c r="J93" s="11">
        <f t="shared" si="6"/>
        <v>3.1923076923076922E-2</v>
      </c>
      <c r="K93">
        <f t="shared" si="7"/>
        <v>-1.495895255594744</v>
      </c>
    </row>
    <row r="94" spans="1:11" x14ac:dyDescent="0.2">
      <c r="A94" t="s">
        <v>964</v>
      </c>
      <c r="B94" s="10" t="s">
        <v>947</v>
      </c>
      <c r="C94" t="s">
        <v>949</v>
      </c>
      <c r="D94">
        <v>12</v>
      </c>
      <c r="E94">
        <v>5</v>
      </c>
      <c r="F94" s="11">
        <f t="shared" si="4"/>
        <v>240000000</v>
      </c>
      <c r="G94">
        <f>26</f>
        <v>26</v>
      </c>
      <c r="H94">
        <v>3</v>
      </c>
      <c r="I94" s="11">
        <f t="shared" si="5"/>
        <v>5200000</v>
      </c>
      <c r="J94" s="11">
        <f t="shared" si="6"/>
        <v>2.1666666666666667E-2</v>
      </c>
      <c r="K94">
        <f t="shared" si="7"/>
        <v>-1.6642078980768069</v>
      </c>
    </row>
    <row r="95" spans="1:11" x14ac:dyDescent="0.2">
      <c r="A95" t="s">
        <v>964</v>
      </c>
      <c r="B95" s="10" t="s">
        <v>2</v>
      </c>
      <c r="C95" t="s">
        <v>949</v>
      </c>
      <c r="D95">
        <v>43</v>
      </c>
      <c r="E95">
        <v>4</v>
      </c>
      <c r="F95" s="11">
        <f t="shared" si="4"/>
        <v>86000000</v>
      </c>
      <c r="G95">
        <v>42</v>
      </c>
      <c r="H95">
        <v>3</v>
      </c>
      <c r="I95" s="11">
        <f t="shared" si="5"/>
        <v>8400000</v>
      </c>
      <c r="J95" s="11">
        <f t="shared" si="6"/>
        <v>9.7674418604651161E-2</v>
      </c>
      <c r="K95">
        <f t="shared" si="7"/>
        <v>-1.0102191651816861</v>
      </c>
    </row>
    <row r="96" spans="1:11" x14ac:dyDescent="0.2">
      <c r="A96" t="s">
        <v>964</v>
      </c>
      <c r="B96" s="10" t="s">
        <v>2</v>
      </c>
      <c r="C96" t="s">
        <v>949</v>
      </c>
      <c r="D96">
        <f>(42+130)/2</f>
        <v>86</v>
      </c>
      <c r="E96">
        <v>4</v>
      </c>
      <c r="F96" s="11">
        <f t="shared" si="4"/>
        <v>172000000</v>
      </c>
      <c r="G96">
        <v>130</v>
      </c>
      <c r="H96">
        <v>3</v>
      </c>
      <c r="I96" s="11">
        <f t="shared" si="5"/>
        <v>26000000</v>
      </c>
      <c r="J96" s="11">
        <f t="shared" si="6"/>
        <v>0.15116279069767441</v>
      </c>
      <c r="K96">
        <f t="shared" si="7"/>
        <v>-0.82055509893673095</v>
      </c>
    </row>
    <row r="97" spans="1:11" x14ac:dyDescent="0.2">
      <c r="A97" t="s">
        <v>964</v>
      </c>
      <c r="B97" s="10" t="s">
        <v>2</v>
      </c>
      <c r="C97" t="s">
        <v>949</v>
      </c>
      <c r="D97">
        <f>(41+110)/2</f>
        <v>75.5</v>
      </c>
      <c r="E97">
        <v>4</v>
      </c>
      <c r="F97" s="11">
        <f t="shared" si="4"/>
        <v>151000000</v>
      </c>
      <c r="G97">
        <v>80</v>
      </c>
      <c r="H97">
        <v>3</v>
      </c>
      <c r="I97" s="11">
        <f t="shared" si="5"/>
        <v>16000000</v>
      </c>
      <c r="J97" s="11">
        <f t="shared" si="6"/>
        <v>0.10596026490066225</v>
      </c>
      <c r="K97">
        <f t="shared" si="7"/>
        <v>-0.97485696463724469</v>
      </c>
    </row>
    <row r="98" spans="1:11" x14ac:dyDescent="0.2">
      <c r="A98" t="s">
        <v>965</v>
      </c>
      <c r="B98" s="5" t="s">
        <v>944</v>
      </c>
      <c r="C98" t="s">
        <v>1</v>
      </c>
      <c r="D98">
        <v>15</v>
      </c>
      <c r="E98">
        <v>5</v>
      </c>
      <c r="F98" s="11">
        <f t="shared" si="4"/>
        <v>300000000</v>
      </c>
      <c r="G98">
        <v>10</v>
      </c>
      <c r="H98">
        <v>4</v>
      </c>
      <c r="I98" s="11">
        <f t="shared" si="5"/>
        <v>20000000</v>
      </c>
      <c r="J98" s="11">
        <f t="shared" si="6"/>
        <v>6.6666666666666666E-2</v>
      </c>
      <c r="K98">
        <f t="shared" si="7"/>
        <v>-1.1760912590556813</v>
      </c>
    </row>
    <row r="99" spans="1:11" x14ac:dyDescent="0.2">
      <c r="A99" t="s">
        <v>965</v>
      </c>
      <c r="B99" s="5" t="s">
        <v>944</v>
      </c>
      <c r="C99" t="s">
        <v>1</v>
      </c>
      <c r="D99">
        <v>15</v>
      </c>
      <c r="E99">
        <v>5</v>
      </c>
      <c r="F99" s="11">
        <f t="shared" si="4"/>
        <v>300000000</v>
      </c>
      <c r="G99">
        <v>20</v>
      </c>
      <c r="H99">
        <v>4</v>
      </c>
      <c r="I99" s="11">
        <f t="shared" si="5"/>
        <v>40000000</v>
      </c>
      <c r="J99" s="11">
        <f t="shared" si="6"/>
        <v>0.13333333333333333</v>
      </c>
      <c r="K99">
        <f t="shared" si="7"/>
        <v>-0.87506126339170009</v>
      </c>
    </row>
    <row r="100" spans="1:11" x14ac:dyDescent="0.2">
      <c r="A100" t="s">
        <v>965</v>
      </c>
      <c r="B100" s="5" t="s">
        <v>944</v>
      </c>
      <c r="C100" t="s">
        <v>1</v>
      </c>
      <c r="D100">
        <v>14</v>
      </c>
      <c r="E100">
        <v>5</v>
      </c>
      <c r="F100" s="11">
        <f t="shared" si="4"/>
        <v>280000000</v>
      </c>
      <c r="G100">
        <v>4</v>
      </c>
      <c r="H100">
        <v>4</v>
      </c>
      <c r="I100" s="11">
        <f t="shared" si="5"/>
        <v>8000000</v>
      </c>
      <c r="J100" s="11">
        <f t="shared" si="6"/>
        <v>2.8571428571428571E-2</v>
      </c>
      <c r="K100">
        <f t="shared" si="7"/>
        <v>-1.5440680443502757</v>
      </c>
    </row>
    <row r="101" spans="1:11" x14ac:dyDescent="0.2">
      <c r="A101" t="s">
        <v>965</v>
      </c>
      <c r="B101" s="5" t="s">
        <v>26</v>
      </c>
      <c r="C101" t="s">
        <v>1</v>
      </c>
      <c r="D101">
        <v>18</v>
      </c>
      <c r="E101">
        <v>5</v>
      </c>
      <c r="F101" s="11">
        <f t="shared" si="4"/>
        <v>360000000</v>
      </c>
      <c r="G101">
        <v>14</v>
      </c>
      <c r="H101">
        <v>4</v>
      </c>
      <c r="I101" s="11">
        <f t="shared" si="5"/>
        <v>28000000</v>
      </c>
      <c r="J101" s="11">
        <f t="shared" si="6"/>
        <v>7.7777777777777779E-2</v>
      </c>
      <c r="K101">
        <f t="shared" si="7"/>
        <v>-1.1091444694250681</v>
      </c>
    </row>
    <row r="102" spans="1:11" x14ac:dyDescent="0.2">
      <c r="A102" t="s">
        <v>965</v>
      </c>
      <c r="B102" s="10" t="s">
        <v>26</v>
      </c>
      <c r="C102" t="s">
        <v>1</v>
      </c>
      <c r="D102">
        <v>16</v>
      </c>
      <c r="E102">
        <v>5</v>
      </c>
      <c r="F102" s="11">
        <f t="shared" si="4"/>
        <v>320000000</v>
      </c>
      <c r="G102">
        <v>7</v>
      </c>
      <c r="H102">
        <v>4</v>
      </c>
      <c r="I102" s="11">
        <f t="shared" si="5"/>
        <v>14000000</v>
      </c>
      <c r="J102" s="11">
        <f t="shared" si="6"/>
        <v>4.3749999999999997E-2</v>
      </c>
      <c r="K102">
        <f t="shared" si="7"/>
        <v>-1.3590219426416679</v>
      </c>
    </row>
    <row r="103" spans="1:11" x14ac:dyDescent="0.2">
      <c r="A103" t="s">
        <v>965</v>
      </c>
      <c r="B103" s="10" t="s">
        <v>26</v>
      </c>
      <c r="C103" t="s">
        <v>1</v>
      </c>
      <c r="D103">
        <v>19</v>
      </c>
      <c r="E103">
        <v>5</v>
      </c>
      <c r="F103" s="11">
        <f t="shared" si="4"/>
        <v>380000000</v>
      </c>
      <c r="G103">
        <v>9</v>
      </c>
      <c r="H103">
        <v>4</v>
      </c>
      <c r="I103" s="11">
        <f t="shared" si="5"/>
        <v>18000000</v>
      </c>
      <c r="J103" s="11">
        <f t="shared" si="6"/>
        <v>4.736842105263158E-2</v>
      </c>
      <c r="K103">
        <f t="shared" si="7"/>
        <v>-1.3245110915135041</v>
      </c>
    </row>
    <row r="104" spans="1:11" x14ac:dyDescent="0.2">
      <c r="A104" t="s">
        <v>965</v>
      </c>
      <c r="B104" s="10" t="s">
        <v>947</v>
      </c>
      <c r="C104" t="s">
        <v>1</v>
      </c>
      <c r="D104">
        <v>19</v>
      </c>
      <c r="E104">
        <v>5</v>
      </c>
      <c r="F104" s="11">
        <f t="shared" si="4"/>
        <v>380000000</v>
      </c>
      <c r="G104">
        <v>24</v>
      </c>
      <c r="H104">
        <v>4</v>
      </c>
      <c r="I104" s="11">
        <f t="shared" si="5"/>
        <v>48000000</v>
      </c>
      <c r="J104" s="11">
        <f t="shared" si="6"/>
        <v>0.12631578947368421</v>
      </c>
      <c r="K104">
        <f t="shared" si="7"/>
        <v>-0.89854235924122294</v>
      </c>
    </row>
    <row r="105" spans="1:11" x14ac:dyDescent="0.2">
      <c r="A105" t="s">
        <v>965</v>
      </c>
      <c r="B105" s="10" t="s">
        <v>947</v>
      </c>
      <c r="C105" t="s">
        <v>1</v>
      </c>
      <c r="D105">
        <v>11</v>
      </c>
      <c r="E105">
        <v>5</v>
      </c>
      <c r="F105" s="11">
        <f t="shared" si="4"/>
        <v>220000000</v>
      </c>
      <c r="G105">
        <v>32</v>
      </c>
      <c r="H105">
        <v>4</v>
      </c>
      <c r="I105" s="11">
        <f t="shared" si="5"/>
        <v>64000000</v>
      </c>
      <c r="J105" s="11">
        <f t="shared" si="6"/>
        <v>0.29090909090909089</v>
      </c>
      <c r="K105">
        <f t="shared" si="7"/>
        <v>-0.53624270683831909</v>
      </c>
    </row>
    <row r="106" spans="1:11" x14ac:dyDescent="0.2">
      <c r="A106" t="s">
        <v>965</v>
      </c>
      <c r="B106" s="10" t="s">
        <v>947</v>
      </c>
      <c r="C106" t="s">
        <v>1</v>
      </c>
      <c r="D106">
        <v>21</v>
      </c>
      <c r="E106">
        <v>5</v>
      </c>
      <c r="F106" s="11">
        <f t="shared" si="4"/>
        <v>420000000</v>
      </c>
      <c r="G106">
        <v>31</v>
      </c>
      <c r="H106">
        <v>4</v>
      </c>
      <c r="I106" s="11">
        <f t="shared" si="5"/>
        <v>62000000</v>
      </c>
      <c r="J106" s="11">
        <f t="shared" si="6"/>
        <v>0.14761904761904762</v>
      </c>
      <c r="K106">
        <f t="shared" si="7"/>
        <v>-0.83085760089964655</v>
      </c>
    </row>
    <row r="107" spans="1:11" x14ac:dyDescent="0.2">
      <c r="A107" t="s">
        <v>965</v>
      </c>
      <c r="B107" s="10" t="s">
        <v>2</v>
      </c>
      <c r="C107" t="s">
        <v>1</v>
      </c>
      <c r="D107">
        <v>20</v>
      </c>
      <c r="E107">
        <v>5</v>
      </c>
      <c r="F107" s="11">
        <f t="shared" si="4"/>
        <v>400000000</v>
      </c>
      <c r="G107">
        <v>27</v>
      </c>
      <c r="H107">
        <v>4</v>
      </c>
      <c r="I107" s="11">
        <f t="shared" si="5"/>
        <v>54000000</v>
      </c>
      <c r="J107" s="11">
        <f t="shared" si="6"/>
        <v>0.13500000000000001</v>
      </c>
      <c r="K107">
        <f t="shared" si="7"/>
        <v>-0.86966623150499389</v>
      </c>
    </row>
    <row r="108" spans="1:11" x14ac:dyDescent="0.2">
      <c r="A108" t="s">
        <v>965</v>
      </c>
      <c r="B108" s="10" t="s">
        <v>2</v>
      </c>
      <c r="C108" t="s">
        <v>1</v>
      </c>
      <c r="D108">
        <v>18</v>
      </c>
      <c r="E108">
        <v>5</v>
      </c>
      <c r="F108" s="11">
        <f t="shared" si="4"/>
        <v>360000000</v>
      </c>
      <c r="G108">
        <v>25</v>
      </c>
      <c r="H108">
        <v>4</v>
      </c>
      <c r="I108" s="11">
        <f t="shared" si="5"/>
        <v>50000000</v>
      </c>
      <c r="J108" s="11">
        <f t="shared" si="6"/>
        <v>0.1388888888888889</v>
      </c>
      <c r="K108">
        <f t="shared" si="7"/>
        <v>-0.85733249643126841</v>
      </c>
    </row>
    <row r="109" spans="1:11" x14ac:dyDescent="0.2">
      <c r="A109" t="s">
        <v>965</v>
      </c>
      <c r="B109" s="10" t="s">
        <v>2</v>
      </c>
      <c r="C109" t="s">
        <v>1</v>
      </c>
      <c r="D109">
        <v>13</v>
      </c>
      <c r="E109">
        <v>5</v>
      </c>
      <c r="F109" s="11">
        <f t="shared" si="4"/>
        <v>260000000</v>
      </c>
      <c r="G109">
        <v>48</v>
      </c>
      <c r="H109">
        <v>4</v>
      </c>
      <c r="I109" s="11">
        <f t="shared" si="5"/>
        <v>96000000</v>
      </c>
      <c r="J109" s="11">
        <f t="shared" si="6"/>
        <v>0.36923076923076925</v>
      </c>
      <c r="K109">
        <f t="shared" si="7"/>
        <v>-0.43270211493124955</v>
      </c>
    </row>
    <row r="110" spans="1:11" x14ac:dyDescent="0.2">
      <c r="A110" t="s">
        <v>966</v>
      </c>
      <c r="B110" s="5" t="s">
        <v>944</v>
      </c>
      <c r="C110" t="s">
        <v>949</v>
      </c>
      <c r="D110">
        <v>19</v>
      </c>
      <c r="E110">
        <v>5</v>
      </c>
      <c r="F110" s="11">
        <v>380000000</v>
      </c>
      <c r="G110">
        <v>22</v>
      </c>
      <c r="H110">
        <v>3</v>
      </c>
      <c r="I110" s="11">
        <v>4400000</v>
      </c>
      <c r="J110" s="11">
        <v>1.1578947368421053E-2</v>
      </c>
      <c r="K110">
        <v>-1.9363309201306227</v>
      </c>
    </row>
    <row r="111" spans="1:11" x14ac:dyDescent="0.2">
      <c r="A111" t="s">
        <v>966</v>
      </c>
      <c r="B111" s="5" t="s">
        <v>944</v>
      </c>
      <c r="C111" t="s">
        <v>949</v>
      </c>
      <c r="D111">
        <v>20</v>
      </c>
      <c r="E111">
        <v>5</v>
      </c>
      <c r="F111" s="11">
        <v>400000000</v>
      </c>
      <c r="G111">
        <v>12</v>
      </c>
      <c r="H111">
        <v>3</v>
      </c>
      <c r="I111" s="11">
        <v>2400000</v>
      </c>
      <c r="J111" s="11">
        <v>6.0000000000000001E-3</v>
      </c>
      <c r="K111">
        <v>-2.2218487496163561</v>
      </c>
    </row>
    <row r="112" spans="1:11" x14ac:dyDescent="0.2">
      <c r="A112" t="s">
        <v>966</v>
      </c>
      <c r="B112" s="5" t="s">
        <v>944</v>
      </c>
      <c r="C112" t="s">
        <v>949</v>
      </c>
      <c r="D112">
        <v>19</v>
      </c>
      <c r="E112">
        <v>5</v>
      </c>
      <c r="F112" s="11">
        <v>380000000</v>
      </c>
      <c r="G112">
        <v>14</v>
      </c>
      <c r="H112">
        <v>3</v>
      </c>
      <c r="I112" s="11">
        <v>2800000</v>
      </c>
      <c r="J112" s="11">
        <v>7.3684210526315788E-3</v>
      </c>
      <c r="K112">
        <v>-2.1326255652745911</v>
      </c>
    </row>
    <row r="113" spans="1:11" x14ac:dyDescent="0.2">
      <c r="A113" t="s">
        <v>966</v>
      </c>
      <c r="B113" s="5" t="s">
        <v>26</v>
      </c>
      <c r="C113" t="s">
        <v>949</v>
      </c>
      <c r="D113">
        <v>11</v>
      </c>
      <c r="E113">
        <v>5</v>
      </c>
      <c r="F113" s="11">
        <v>220000000</v>
      </c>
      <c r="G113">
        <v>8</v>
      </c>
      <c r="H113">
        <v>3</v>
      </c>
      <c r="I113" s="11">
        <v>1600000</v>
      </c>
      <c r="J113" s="11">
        <v>7.2727272727272727E-3</v>
      </c>
      <c r="K113">
        <v>-2.1383026981662816</v>
      </c>
    </row>
    <row r="114" spans="1:11" x14ac:dyDescent="0.2">
      <c r="A114" t="s">
        <v>966</v>
      </c>
      <c r="B114" s="10" t="s">
        <v>26</v>
      </c>
      <c r="C114" t="s">
        <v>949</v>
      </c>
      <c r="D114">
        <v>22</v>
      </c>
      <c r="E114">
        <v>5</v>
      </c>
      <c r="F114" s="11">
        <v>440000000</v>
      </c>
      <c r="G114">
        <v>15</v>
      </c>
      <c r="H114">
        <v>3</v>
      </c>
      <c r="I114" s="11">
        <v>3000000</v>
      </c>
      <c r="J114" s="11">
        <v>6.8181818181818179E-3</v>
      </c>
      <c r="K114">
        <v>-2.1663314217665248</v>
      </c>
    </row>
    <row r="115" spans="1:11" x14ac:dyDescent="0.2">
      <c r="A115" t="s">
        <v>966</v>
      </c>
      <c r="B115" s="10" t="s">
        <v>26</v>
      </c>
      <c r="C115" t="s">
        <v>949</v>
      </c>
      <c r="D115">
        <v>16</v>
      </c>
      <c r="E115">
        <v>5</v>
      </c>
      <c r="F115" s="11">
        <v>320000000</v>
      </c>
      <c r="G115">
        <v>12</v>
      </c>
      <c r="H115">
        <v>3</v>
      </c>
      <c r="I115" s="11">
        <v>2400000</v>
      </c>
      <c r="J115" s="11">
        <v>7.4999999999999997E-3</v>
      </c>
      <c r="K115">
        <v>-2.1249387366082999</v>
      </c>
    </row>
    <row r="116" spans="1:11" x14ac:dyDescent="0.2">
      <c r="A116" t="s">
        <v>966</v>
      </c>
      <c r="B116" s="10" t="s">
        <v>947</v>
      </c>
      <c r="C116" t="s">
        <v>949</v>
      </c>
      <c r="D116">
        <v>30</v>
      </c>
      <c r="E116">
        <v>5</v>
      </c>
      <c r="F116" s="11">
        <v>600000000</v>
      </c>
      <c r="G116">
        <v>16</v>
      </c>
      <c r="H116">
        <v>3</v>
      </c>
      <c r="I116" s="11">
        <v>3200000</v>
      </c>
      <c r="J116" s="11">
        <v>5.3333333333333332E-3</v>
      </c>
      <c r="K116">
        <v>-2.2730012720637376</v>
      </c>
    </row>
    <row r="117" spans="1:11" x14ac:dyDescent="0.2">
      <c r="A117" t="s">
        <v>966</v>
      </c>
      <c r="B117" s="10" t="s">
        <v>947</v>
      </c>
      <c r="C117" t="s">
        <v>949</v>
      </c>
      <c r="D117">
        <v>39</v>
      </c>
      <c r="E117">
        <v>5</v>
      </c>
      <c r="F117" s="11">
        <v>780000000</v>
      </c>
      <c r="G117">
        <v>13</v>
      </c>
      <c r="H117">
        <v>3</v>
      </c>
      <c r="I117" s="11">
        <v>2600000</v>
      </c>
      <c r="J117" s="11">
        <v>3.3333333333333335E-3</v>
      </c>
      <c r="K117">
        <v>-2.4771212547196626</v>
      </c>
    </row>
    <row r="118" spans="1:11" x14ac:dyDescent="0.2">
      <c r="A118" t="s">
        <v>966</v>
      </c>
      <c r="B118" s="10" t="s">
        <v>947</v>
      </c>
      <c r="C118" t="s">
        <v>949</v>
      </c>
      <c r="D118">
        <v>7</v>
      </c>
      <c r="E118">
        <v>5</v>
      </c>
      <c r="F118" s="11">
        <v>140000000</v>
      </c>
      <c r="G118">
        <v>17</v>
      </c>
      <c r="H118">
        <v>3</v>
      </c>
      <c r="I118" s="11">
        <v>3400000</v>
      </c>
      <c r="J118" s="11">
        <v>2.4285714285714285E-2</v>
      </c>
      <c r="K118">
        <v>-1.6146491186359828</v>
      </c>
    </row>
    <row r="119" spans="1:11" x14ac:dyDescent="0.2">
      <c r="A119" t="s">
        <v>966</v>
      </c>
      <c r="B119" s="10" t="s">
        <v>2</v>
      </c>
      <c r="C119" t="s">
        <v>949</v>
      </c>
      <c r="D119">
        <v>5</v>
      </c>
      <c r="E119">
        <v>5</v>
      </c>
      <c r="F119" s="11">
        <v>100000000</v>
      </c>
      <c r="G119">
        <v>84</v>
      </c>
      <c r="H119">
        <v>3</v>
      </c>
      <c r="I119" s="11">
        <v>16800000</v>
      </c>
      <c r="J119" s="11">
        <v>0.16800000000000001</v>
      </c>
      <c r="K119">
        <v>-0.77469071827413716</v>
      </c>
    </row>
    <row r="120" spans="1:11" x14ac:dyDescent="0.2">
      <c r="A120" t="s">
        <v>966</v>
      </c>
      <c r="B120" s="10" t="s">
        <v>2</v>
      </c>
      <c r="C120" t="s">
        <v>949</v>
      </c>
      <c r="D120">
        <v>6</v>
      </c>
      <c r="E120">
        <v>5</v>
      </c>
      <c r="F120" s="11">
        <v>120000000</v>
      </c>
      <c r="G120">
        <v>44</v>
      </c>
      <c r="H120">
        <v>3</v>
      </c>
      <c r="I120" s="11">
        <v>8800000</v>
      </c>
      <c r="J120" s="11">
        <v>7.3333333333333334E-2</v>
      </c>
      <c r="K120">
        <v>-1.1346985738974562</v>
      </c>
    </row>
    <row r="121" spans="1:11" x14ac:dyDescent="0.2">
      <c r="A121" t="s">
        <v>966</v>
      </c>
      <c r="B121" s="10" t="s">
        <v>2</v>
      </c>
      <c r="C121" t="s">
        <v>949</v>
      </c>
      <c r="D121">
        <v>14</v>
      </c>
      <c r="E121">
        <v>5</v>
      </c>
      <c r="F121" s="11">
        <v>280000000</v>
      </c>
      <c r="G121">
        <v>24</v>
      </c>
      <c r="H121">
        <v>3</v>
      </c>
      <c r="I121" s="11">
        <v>4800000</v>
      </c>
      <c r="J121" s="11">
        <v>1.7142857142857144E-2</v>
      </c>
      <c r="K121">
        <v>-1.765916793966632</v>
      </c>
    </row>
    <row r="122" spans="1:11" x14ac:dyDescent="0.2">
      <c r="A122" t="s">
        <v>1000</v>
      </c>
      <c r="B122" s="5" t="s">
        <v>944</v>
      </c>
      <c r="C122" t="s">
        <v>1</v>
      </c>
      <c r="D122">
        <v>22</v>
      </c>
      <c r="E122">
        <v>5</v>
      </c>
      <c r="F122" s="11">
        <f t="shared" ref="F122:F145" si="8">D122/5*1000*10^E122</f>
        <v>440000000</v>
      </c>
      <c r="G122">
        <v>12</v>
      </c>
      <c r="H122">
        <v>4</v>
      </c>
      <c r="I122" s="11">
        <f t="shared" ref="I122:I145" si="9">G122/5*1000*10^H122</f>
        <v>24000000</v>
      </c>
      <c r="J122" s="11">
        <f t="shared" ref="J122:J145" si="10">I122/F122</f>
        <v>5.4545454545454543E-2</v>
      </c>
      <c r="K122">
        <f t="shared" ref="K122:K145" si="11">LOG10(J122)</f>
        <v>-1.2632414347745815</v>
      </c>
    </row>
    <row r="123" spans="1:11" x14ac:dyDescent="0.2">
      <c r="A123" t="s">
        <v>1000</v>
      </c>
      <c r="B123" s="5" t="s">
        <v>944</v>
      </c>
      <c r="C123" t="s">
        <v>1</v>
      </c>
      <c r="D123">
        <v>11</v>
      </c>
      <c r="E123">
        <v>5</v>
      </c>
      <c r="F123" s="11">
        <f t="shared" si="8"/>
        <v>220000000</v>
      </c>
      <c r="G123">
        <v>9</v>
      </c>
      <c r="H123">
        <v>4</v>
      </c>
      <c r="I123" s="11">
        <f t="shared" si="9"/>
        <v>18000000</v>
      </c>
      <c r="J123" s="11">
        <f t="shared" si="10"/>
        <v>8.1818181818181818E-2</v>
      </c>
      <c r="K123">
        <f t="shared" si="11"/>
        <v>-1.0871501757189002</v>
      </c>
    </row>
    <row r="124" spans="1:11" x14ac:dyDescent="0.2">
      <c r="A124" t="s">
        <v>1000</v>
      </c>
      <c r="B124" s="5" t="s">
        <v>944</v>
      </c>
      <c r="C124" t="s">
        <v>1</v>
      </c>
      <c r="D124">
        <v>16</v>
      </c>
      <c r="E124">
        <v>5</v>
      </c>
      <c r="F124" s="11">
        <f t="shared" si="8"/>
        <v>320000000</v>
      </c>
      <c r="G124">
        <v>11</v>
      </c>
      <c r="H124">
        <v>4</v>
      </c>
      <c r="I124" s="11">
        <f t="shared" si="9"/>
        <v>22000000</v>
      </c>
      <c r="J124" s="11">
        <f t="shared" si="10"/>
        <v>6.8750000000000006E-2</v>
      </c>
      <c r="K124">
        <f t="shared" si="11"/>
        <v>-1.1627272974976997</v>
      </c>
    </row>
    <row r="125" spans="1:11" x14ac:dyDescent="0.2">
      <c r="A125" t="s">
        <v>1000</v>
      </c>
      <c r="B125" s="5" t="s">
        <v>26</v>
      </c>
      <c r="C125" t="s">
        <v>1</v>
      </c>
      <c r="D125">
        <v>11</v>
      </c>
      <c r="E125">
        <v>5</v>
      </c>
      <c r="F125" s="11">
        <f t="shared" si="8"/>
        <v>220000000</v>
      </c>
      <c r="G125">
        <v>10</v>
      </c>
      <c r="H125">
        <v>4</v>
      </c>
      <c r="I125" s="11">
        <f t="shared" si="9"/>
        <v>20000000</v>
      </c>
      <c r="J125" s="11">
        <f t="shared" si="10"/>
        <v>9.0909090909090912E-2</v>
      </c>
      <c r="K125">
        <f t="shared" si="11"/>
        <v>-1.0413926851582249</v>
      </c>
    </row>
    <row r="126" spans="1:11" x14ac:dyDescent="0.2">
      <c r="A126" t="s">
        <v>1000</v>
      </c>
      <c r="B126" s="10" t="s">
        <v>26</v>
      </c>
      <c r="C126" t="s">
        <v>1</v>
      </c>
      <c r="D126">
        <v>3.7</v>
      </c>
      <c r="E126">
        <v>5</v>
      </c>
      <c r="F126" s="11">
        <f t="shared" si="8"/>
        <v>74000000</v>
      </c>
      <c r="G126">
        <v>7</v>
      </c>
      <c r="H126">
        <v>4</v>
      </c>
      <c r="I126" s="11">
        <f t="shared" si="9"/>
        <v>14000000</v>
      </c>
      <c r="J126" s="11">
        <f t="shared" si="10"/>
        <v>0.1891891891891892</v>
      </c>
      <c r="K126">
        <f t="shared" si="11"/>
        <v>-0.72310368405273817</v>
      </c>
    </row>
    <row r="127" spans="1:11" x14ac:dyDescent="0.2">
      <c r="A127" t="s">
        <v>1000</v>
      </c>
      <c r="B127" s="10" t="s">
        <v>26</v>
      </c>
      <c r="C127" t="s">
        <v>1</v>
      </c>
      <c r="D127">
        <v>11</v>
      </c>
      <c r="E127">
        <v>5</v>
      </c>
      <c r="F127" s="11">
        <f t="shared" si="8"/>
        <v>220000000</v>
      </c>
      <c r="G127">
        <v>12</v>
      </c>
      <c r="H127">
        <v>4</v>
      </c>
      <c r="I127" s="11">
        <f t="shared" si="9"/>
        <v>24000000</v>
      </c>
      <c r="J127" s="11">
        <f t="shared" si="10"/>
        <v>0.10909090909090909</v>
      </c>
      <c r="K127">
        <f t="shared" si="11"/>
        <v>-0.96221143911060025</v>
      </c>
    </row>
    <row r="128" spans="1:11" x14ac:dyDescent="0.2">
      <c r="A128" t="s">
        <v>1000</v>
      </c>
      <c r="B128" s="10" t="s">
        <v>947</v>
      </c>
      <c r="C128" t="s">
        <v>1</v>
      </c>
      <c r="D128">
        <v>27</v>
      </c>
      <c r="E128">
        <v>5</v>
      </c>
      <c r="F128" s="11">
        <f t="shared" si="8"/>
        <v>540000000</v>
      </c>
      <c r="G128">
        <v>10</v>
      </c>
      <c r="H128">
        <v>4</v>
      </c>
      <c r="I128" s="11">
        <f t="shared" si="9"/>
        <v>20000000</v>
      </c>
      <c r="J128" s="11">
        <f t="shared" si="10"/>
        <v>3.7037037037037035E-2</v>
      </c>
      <c r="K128">
        <f t="shared" si="11"/>
        <v>-1.4313637641589874</v>
      </c>
    </row>
    <row r="129" spans="1:11" x14ac:dyDescent="0.2">
      <c r="A129" t="s">
        <v>1000</v>
      </c>
      <c r="B129" s="10" t="s">
        <v>947</v>
      </c>
      <c r="C129" t="s">
        <v>1</v>
      </c>
      <c r="D129">
        <v>21</v>
      </c>
      <c r="E129">
        <v>5</v>
      </c>
      <c r="F129" s="11">
        <f t="shared" si="8"/>
        <v>420000000</v>
      </c>
      <c r="G129">
        <v>12</v>
      </c>
      <c r="H129">
        <v>4</v>
      </c>
      <c r="I129" s="11">
        <f t="shared" si="9"/>
        <v>24000000</v>
      </c>
      <c r="J129" s="11">
        <f t="shared" si="10"/>
        <v>5.7142857142857141E-2</v>
      </c>
      <c r="K129">
        <f t="shared" si="11"/>
        <v>-1.2430380486862944</v>
      </c>
    </row>
    <row r="130" spans="1:11" x14ac:dyDescent="0.2">
      <c r="A130" t="s">
        <v>1000</v>
      </c>
      <c r="B130" s="10" t="s">
        <v>947</v>
      </c>
      <c r="C130" t="s">
        <v>1</v>
      </c>
      <c r="D130">
        <v>11</v>
      </c>
      <c r="E130">
        <v>5</v>
      </c>
      <c r="F130" s="11">
        <f t="shared" si="8"/>
        <v>220000000</v>
      </c>
      <c r="G130">
        <v>9</v>
      </c>
      <c r="H130">
        <v>4</v>
      </c>
      <c r="I130" s="11">
        <f t="shared" si="9"/>
        <v>18000000</v>
      </c>
      <c r="J130" s="11">
        <f t="shared" si="10"/>
        <v>8.1818181818181818E-2</v>
      </c>
      <c r="K130">
        <f t="shared" si="11"/>
        <v>-1.0871501757189002</v>
      </c>
    </row>
    <row r="131" spans="1:11" x14ac:dyDescent="0.2">
      <c r="A131" t="s">
        <v>1000</v>
      </c>
      <c r="B131" s="10" t="s">
        <v>2</v>
      </c>
      <c r="C131" t="s">
        <v>1</v>
      </c>
      <c r="D131">
        <v>33</v>
      </c>
      <c r="E131">
        <v>4</v>
      </c>
      <c r="F131" s="11">
        <f t="shared" si="8"/>
        <v>66000000</v>
      </c>
      <c r="G131">
        <f>(4.6+9)/2</f>
        <v>6.8</v>
      </c>
      <c r="H131">
        <v>5</v>
      </c>
      <c r="I131" s="11">
        <f t="shared" si="9"/>
        <v>135999999.99999997</v>
      </c>
      <c r="J131" s="11">
        <f t="shared" si="10"/>
        <v>2.0606060606060601</v>
      </c>
      <c r="K131">
        <f t="shared" si="11"/>
        <v>0.31399497282834876</v>
      </c>
    </row>
    <row r="132" spans="1:11" x14ac:dyDescent="0.2">
      <c r="A132" t="s">
        <v>1000</v>
      </c>
      <c r="B132" s="10" t="s">
        <v>2</v>
      </c>
      <c r="C132" t="s">
        <v>1</v>
      </c>
      <c r="D132">
        <f>(41+60)/2</f>
        <v>50.5</v>
      </c>
      <c r="E132">
        <v>4</v>
      </c>
      <c r="F132" s="11">
        <f t="shared" si="8"/>
        <v>101000000</v>
      </c>
      <c r="G132">
        <f>(6.5+8)/2</f>
        <v>7.25</v>
      </c>
      <c r="H132">
        <v>5</v>
      </c>
      <c r="I132" s="11">
        <f t="shared" si="9"/>
        <v>145000000</v>
      </c>
      <c r="J132" s="11">
        <f t="shared" si="10"/>
        <v>1.4356435643564356</v>
      </c>
      <c r="K132">
        <f t="shared" si="11"/>
        <v>0.1570466284523323</v>
      </c>
    </row>
    <row r="133" spans="1:11" x14ac:dyDescent="0.2">
      <c r="A133" t="s">
        <v>1000</v>
      </c>
      <c r="B133" s="10" t="s">
        <v>2</v>
      </c>
      <c r="C133" t="s">
        <v>1</v>
      </c>
      <c r="D133">
        <v>42</v>
      </c>
      <c r="E133">
        <v>4</v>
      </c>
      <c r="F133" s="11">
        <f t="shared" si="8"/>
        <v>84000000</v>
      </c>
      <c r="G133">
        <f>(6.6+13)/2</f>
        <v>9.8000000000000007</v>
      </c>
      <c r="H133">
        <v>5</v>
      </c>
      <c r="I133" s="11">
        <f t="shared" si="9"/>
        <v>196000000.00000003</v>
      </c>
      <c r="J133" s="11">
        <f t="shared" si="10"/>
        <v>2.3333333333333335</v>
      </c>
      <c r="K133">
        <f t="shared" si="11"/>
        <v>0.36797678529459443</v>
      </c>
    </row>
    <row r="134" spans="1:11" x14ac:dyDescent="0.2">
      <c r="A134" t="s">
        <v>1000</v>
      </c>
      <c r="B134" s="5" t="s">
        <v>944</v>
      </c>
      <c r="C134" t="s">
        <v>949</v>
      </c>
      <c r="D134">
        <v>28</v>
      </c>
      <c r="E134">
        <v>5</v>
      </c>
      <c r="F134" s="11">
        <f t="shared" si="8"/>
        <v>560000000</v>
      </c>
      <c r="G134">
        <v>18</v>
      </c>
      <c r="H134">
        <v>3</v>
      </c>
      <c r="I134" s="11">
        <f t="shared" si="9"/>
        <v>3600000</v>
      </c>
      <c r="J134" s="11">
        <f t="shared" si="10"/>
        <v>6.4285714285714285E-3</v>
      </c>
      <c r="K134">
        <f t="shared" si="11"/>
        <v>-2.191885526238913</v>
      </c>
    </row>
    <row r="135" spans="1:11" x14ac:dyDescent="0.2">
      <c r="A135" t="s">
        <v>1000</v>
      </c>
      <c r="B135" s="5" t="s">
        <v>944</v>
      </c>
      <c r="C135" t="s">
        <v>949</v>
      </c>
      <c r="D135">
        <v>19</v>
      </c>
      <c r="E135">
        <v>5</v>
      </c>
      <c r="F135" s="11">
        <f t="shared" si="8"/>
        <v>380000000</v>
      </c>
      <c r="G135">
        <v>10</v>
      </c>
      <c r="H135">
        <v>3</v>
      </c>
      <c r="I135" s="11">
        <f t="shared" si="9"/>
        <v>2000000</v>
      </c>
      <c r="J135" s="11">
        <f t="shared" si="10"/>
        <v>5.263157894736842E-3</v>
      </c>
      <c r="K135">
        <f t="shared" si="11"/>
        <v>-2.2787536009528289</v>
      </c>
    </row>
    <row r="136" spans="1:11" x14ac:dyDescent="0.2">
      <c r="A136" t="s">
        <v>1000</v>
      </c>
      <c r="B136" s="5" t="s">
        <v>944</v>
      </c>
      <c r="C136" t="s">
        <v>949</v>
      </c>
      <c r="D136">
        <v>10</v>
      </c>
      <c r="E136">
        <v>5</v>
      </c>
      <c r="F136" s="11">
        <f t="shared" si="8"/>
        <v>200000000</v>
      </c>
      <c r="G136">
        <v>13</v>
      </c>
      <c r="H136">
        <v>3</v>
      </c>
      <c r="I136" s="11">
        <f t="shared" si="9"/>
        <v>2600000</v>
      </c>
      <c r="J136" s="11">
        <f t="shared" si="10"/>
        <v>1.2999999999999999E-2</v>
      </c>
      <c r="K136">
        <f t="shared" si="11"/>
        <v>-1.8860566476931633</v>
      </c>
    </row>
    <row r="137" spans="1:11" x14ac:dyDescent="0.2">
      <c r="A137" t="s">
        <v>1000</v>
      </c>
      <c r="B137" s="5" t="s">
        <v>26</v>
      </c>
      <c r="C137" t="s">
        <v>949</v>
      </c>
      <c r="D137">
        <v>30</v>
      </c>
      <c r="E137">
        <v>5</v>
      </c>
      <c r="F137" s="11">
        <f t="shared" si="8"/>
        <v>600000000</v>
      </c>
      <c r="G137">
        <v>16</v>
      </c>
      <c r="H137">
        <v>3</v>
      </c>
      <c r="I137" s="11">
        <f t="shared" si="9"/>
        <v>3200000</v>
      </c>
      <c r="J137" s="11">
        <f t="shared" si="10"/>
        <v>5.3333333333333332E-3</v>
      </c>
      <c r="K137">
        <f t="shared" si="11"/>
        <v>-2.2730012720637376</v>
      </c>
    </row>
    <row r="138" spans="1:11" x14ac:dyDescent="0.2">
      <c r="A138" t="s">
        <v>1000</v>
      </c>
      <c r="B138" s="10" t="s">
        <v>26</v>
      </c>
      <c r="C138" t="s">
        <v>949</v>
      </c>
      <c r="D138">
        <v>26</v>
      </c>
      <c r="E138">
        <v>5</v>
      </c>
      <c r="F138" s="11">
        <f t="shared" si="8"/>
        <v>520000000</v>
      </c>
      <c r="G138">
        <v>8</v>
      </c>
      <c r="H138">
        <v>3</v>
      </c>
      <c r="I138" s="11">
        <f t="shared" si="9"/>
        <v>1600000</v>
      </c>
      <c r="J138" s="11">
        <f t="shared" si="10"/>
        <v>3.0769230769230769E-3</v>
      </c>
      <c r="K138">
        <f t="shared" si="11"/>
        <v>-2.5118833609788744</v>
      </c>
    </row>
    <row r="139" spans="1:11" x14ac:dyDescent="0.2">
      <c r="A139" t="s">
        <v>1000</v>
      </c>
      <c r="B139" s="10" t="s">
        <v>26</v>
      </c>
      <c r="C139" t="s">
        <v>949</v>
      </c>
      <c r="D139">
        <v>28</v>
      </c>
      <c r="E139">
        <v>5</v>
      </c>
      <c r="F139" s="11">
        <f t="shared" si="8"/>
        <v>560000000</v>
      </c>
      <c r="G139">
        <v>8</v>
      </c>
      <c r="H139">
        <v>3</v>
      </c>
      <c r="I139" s="11">
        <f t="shared" si="9"/>
        <v>1600000</v>
      </c>
      <c r="J139" s="11">
        <f t="shared" si="10"/>
        <v>2.8571428571428571E-3</v>
      </c>
      <c r="K139">
        <f t="shared" si="11"/>
        <v>-2.5440680443502757</v>
      </c>
    </row>
    <row r="140" spans="1:11" x14ac:dyDescent="0.2">
      <c r="A140" t="s">
        <v>1000</v>
      </c>
      <c r="B140" s="10" t="s">
        <v>947</v>
      </c>
      <c r="C140" t="s">
        <v>949</v>
      </c>
      <c r="D140">
        <f>(49+90)/2</f>
        <v>69.5</v>
      </c>
      <c r="E140">
        <v>5</v>
      </c>
      <c r="F140" s="11">
        <f t="shared" si="8"/>
        <v>1390000000</v>
      </c>
      <c r="G140">
        <v>24</v>
      </c>
      <c r="H140">
        <v>3</v>
      </c>
      <c r="I140" s="11">
        <f t="shared" si="9"/>
        <v>4800000</v>
      </c>
      <c r="J140" s="11">
        <f t="shared" si="10"/>
        <v>3.4532374100719426E-3</v>
      </c>
      <c r="K140">
        <f t="shared" si="11"/>
        <v>-2.4617735628785078</v>
      </c>
    </row>
    <row r="141" spans="1:11" x14ac:dyDescent="0.2">
      <c r="A141" t="s">
        <v>1000</v>
      </c>
      <c r="B141" s="10" t="s">
        <v>947</v>
      </c>
      <c r="C141" t="s">
        <v>949</v>
      </c>
      <c r="D141">
        <v>33</v>
      </c>
      <c r="E141">
        <v>5</v>
      </c>
      <c r="F141" s="11">
        <f t="shared" si="8"/>
        <v>660000000</v>
      </c>
      <c r="G141">
        <v>12</v>
      </c>
      <c r="H141">
        <v>3</v>
      </c>
      <c r="I141" s="11">
        <f t="shared" si="9"/>
        <v>2400000</v>
      </c>
      <c r="J141" s="11">
        <f t="shared" si="10"/>
        <v>3.6363636363636364E-3</v>
      </c>
      <c r="K141">
        <f t="shared" si="11"/>
        <v>-2.4393326938302629</v>
      </c>
    </row>
    <row r="142" spans="1:11" x14ac:dyDescent="0.2">
      <c r="A142" t="s">
        <v>1000</v>
      </c>
      <c r="B142" s="10" t="s">
        <v>947</v>
      </c>
      <c r="C142" t="s">
        <v>949</v>
      </c>
      <c r="D142">
        <v>44</v>
      </c>
      <c r="E142">
        <v>5</v>
      </c>
      <c r="F142" s="11">
        <f t="shared" si="8"/>
        <v>880000000</v>
      </c>
      <c r="G142">
        <v>13</v>
      </c>
      <c r="H142">
        <v>3</v>
      </c>
      <c r="I142" s="11">
        <f t="shared" si="9"/>
        <v>2600000</v>
      </c>
      <c r="J142" s="11">
        <f t="shared" si="10"/>
        <v>2.9545454545454545E-3</v>
      </c>
      <c r="K142">
        <f t="shared" si="11"/>
        <v>-2.5295093241793505</v>
      </c>
    </row>
    <row r="143" spans="1:11" x14ac:dyDescent="0.2">
      <c r="A143" t="s">
        <v>1000</v>
      </c>
      <c r="B143" s="10" t="s">
        <v>2</v>
      </c>
      <c r="C143" t="s">
        <v>949</v>
      </c>
      <c r="D143">
        <v>27</v>
      </c>
      <c r="E143">
        <v>5</v>
      </c>
      <c r="F143" s="11">
        <f t="shared" si="8"/>
        <v>540000000</v>
      </c>
      <c r="G143">
        <v>11</v>
      </c>
      <c r="H143">
        <v>4</v>
      </c>
      <c r="I143" s="11">
        <f t="shared" si="9"/>
        <v>22000000</v>
      </c>
      <c r="J143" s="11">
        <f t="shared" si="10"/>
        <v>4.0740740740740744E-2</v>
      </c>
      <c r="K143">
        <f t="shared" si="11"/>
        <v>-1.3899710790007622</v>
      </c>
    </row>
    <row r="144" spans="1:11" x14ac:dyDescent="0.2">
      <c r="A144" t="s">
        <v>1000</v>
      </c>
      <c r="B144" s="10" t="s">
        <v>2</v>
      </c>
      <c r="C144" t="s">
        <v>949</v>
      </c>
      <c r="D144">
        <v>35</v>
      </c>
      <c r="E144">
        <v>5</v>
      </c>
      <c r="F144" s="11">
        <f t="shared" si="8"/>
        <v>700000000</v>
      </c>
      <c r="G144">
        <v>7</v>
      </c>
      <c r="H144">
        <v>4</v>
      </c>
      <c r="I144" s="11">
        <f t="shared" si="9"/>
        <v>14000000</v>
      </c>
      <c r="J144" s="11">
        <f t="shared" si="10"/>
        <v>0.02</v>
      </c>
      <c r="K144">
        <f t="shared" si="11"/>
        <v>-1.6989700043360187</v>
      </c>
    </row>
    <row r="145" spans="1:11" x14ac:dyDescent="0.2">
      <c r="A145" t="s">
        <v>1000</v>
      </c>
      <c r="B145" s="10" t="s">
        <v>2</v>
      </c>
      <c r="C145" t="s">
        <v>949</v>
      </c>
      <c r="D145">
        <v>30</v>
      </c>
      <c r="E145">
        <v>5</v>
      </c>
      <c r="F145" s="11">
        <f t="shared" si="8"/>
        <v>600000000</v>
      </c>
      <c r="G145">
        <v>11</v>
      </c>
      <c r="H145">
        <v>4</v>
      </c>
      <c r="I145" s="11">
        <f t="shared" si="9"/>
        <v>22000000</v>
      </c>
      <c r="J145" s="11">
        <f t="shared" si="10"/>
        <v>3.6666666666666667E-2</v>
      </c>
      <c r="K145">
        <f t="shared" si="11"/>
        <v>-1.4357285695614375</v>
      </c>
    </row>
    <row r="146" spans="1:11" x14ac:dyDescent="0.2">
      <c r="A146" t="s">
        <v>999</v>
      </c>
      <c r="B146" s="10" t="s">
        <v>944</v>
      </c>
      <c r="C146" t="s">
        <v>949</v>
      </c>
      <c r="D146">
        <v>20</v>
      </c>
      <c r="E146">
        <v>4</v>
      </c>
      <c r="F146" s="11">
        <f t="shared" ref="F146:F181" si="12">D146/5*1000*10^E146</f>
        <v>40000000</v>
      </c>
      <c r="G146">
        <v>24</v>
      </c>
      <c r="H146">
        <v>5</v>
      </c>
      <c r="I146" s="11">
        <f t="shared" ref="I146:I181" si="13">G146/5*1000*10^H146</f>
        <v>480000000</v>
      </c>
      <c r="J146" s="11">
        <f t="shared" ref="J146:J181" si="14">I146/F146</f>
        <v>12</v>
      </c>
      <c r="K146">
        <f t="shared" ref="K146:K181" si="15">LOG10(J146)</f>
        <v>1.0791812460476249</v>
      </c>
    </row>
    <row r="147" spans="1:11" x14ac:dyDescent="0.2">
      <c r="A147" t="s">
        <v>999</v>
      </c>
      <c r="B147" s="10" t="s">
        <v>944</v>
      </c>
      <c r="C147" t="s">
        <v>949</v>
      </c>
      <c r="D147">
        <v>14</v>
      </c>
      <c r="E147">
        <v>4</v>
      </c>
      <c r="F147" s="11">
        <f t="shared" si="12"/>
        <v>28000000</v>
      </c>
      <c r="G147">
        <v>17</v>
      </c>
      <c r="H147">
        <v>5</v>
      </c>
      <c r="I147" s="11">
        <f t="shared" si="13"/>
        <v>340000000</v>
      </c>
      <c r="J147" s="11">
        <f t="shared" si="14"/>
        <v>12.142857142857142</v>
      </c>
      <c r="K147">
        <f t="shared" si="15"/>
        <v>1.0843208857000359</v>
      </c>
    </row>
    <row r="148" spans="1:11" x14ac:dyDescent="0.2">
      <c r="A148" t="s">
        <v>999</v>
      </c>
      <c r="B148" s="10" t="s">
        <v>944</v>
      </c>
      <c r="C148" t="s">
        <v>949</v>
      </c>
      <c r="D148">
        <v>14</v>
      </c>
      <c r="E148">
        <v>4</v>
      </c>
      <c r="F148" s="11">
        <f t="shared" si="12"/>
        <v>28000000</v>
      </c>
      <c r="G148">
        <v>21</v>
      </c>
      <c r="H148">
        <v>5</v>
      </c>
      <c r="I148" s="11">
        <f t="shared" si="13"/>
        <v>420000000</v>
      </c>
      <c r="J148" s="11">
        <f t="shared" si="14"/>
        <v>15</v>
      </c>
      <c r="K148">
        <f t="shared" si="15"/>
        <v>1.1760912590556813</v>
      </c>
    </row>
    <row r="149" spans="1:11" x14ac:dyDescent="0.2">
      <c r="A149" t="s">
        <v>999</v>
      </c>
      <c r="B149" s="10" t="s">
        <v>26</v>
      </c>
      <c r="C149" t="s">
        <v>949</v>
      </c>
      <c r="D149">
        <v>16</v>
      </c>
      <c r="E149">
        <v>4</v>
      </c>
      <c r="F149" s="11">
        <f t="shared" si="12"/>
        <v>32000000</v>
      </c>
      <c r="G149">
        <v>27</v>
      </c>
      <c r="H149">
        <v>5</v>
      </c>
      <c r="I149" s="11">
        <f t="shared" si="13"/>
        <v>540000000</v>
      </c>
      <c r="J149" s="11">
        <f t="shared" si="14"/>
        <v>16.875</v>
      </c>
      <c r="K149">
        <f t="shared" si="15"/>
        <v>1.2272437815030626</v>
      </c>
    </row>
    <row r="150" spans="1:11" x14ac:dyDescent="0.2">
      <c r="A150" t="s">
        <v>999</v>
      </c>
      <c r="B150" s="10" t="s">
        <v>26</v>
      </c>
      <c r="C150" t="s">
        <v>949</v>
      </c>
      <c r="D150">
        <v>9</v>
      </c>
      <c r="E150">
        <v>4</v>
      </c>
      <c r="F150" s="11">
        <f t="shared" si="12"/>
        <v>18000000</v>
      </c>
      <c r="G150">
        <v>21</v>
      </c>
      <c r="H150">
        <v>5</v>
      </c>
      <c r="I150" s="11">
        <f t="shared" si="13"/>
        <v>420000000</v>
      </c>
      <c r="J150" s="11">
        <f t="shared" si="14"/>
        <v>23.333333333333332</v>
      </c>
      <c r="K150">
        <f t="shared" si="15"/>
        <v>1.3679767852945943</v>
      </c>
    </row>
    <row r="151" spans="1:11" x14ac:dyDescent="0.2">
      <c r="A151" t="s">
        <v>999</v>
      </c>
      <c r="B151" s="10" t="s">
        <v>26</v>
      </c>
      <c r="C151" t="s">
        <v>949</v>
      </c>
      <c r="D151">
        <v>20</v>
      </c>
      <c r="E151">
        <v>4</v>
      </c>
      <c r="F151" s="11">
        <f t="shared" si="12"/>
        <v>40000000</v>
      </c>
      <c r="G151">
        <v>32</v>
      </c>
      <c r="H151">
        <v>5</v>
      </c>
      <c r="I151" s="11">
        <f t="shared" si="13"/>
        <v>640000000</v>
      </c>
      <c r="J151" s="11">
        <f t="shared" si="14"/>
        <v>16</v>
      </c>
      <c r="K151">
        <f t="shared" si="15"/>
        <v>1.2041199826559248</v>
      </c>
    </row>
    <row r="152" spans="1:11" x14ac:dyDescent="0.2">
      <c r="A152" t="s">
        <v>999</v>
      </c>
      <c r="B152" s="10" t="s">
        <v>947</v>
      </c>
      <c r="C152" t="s">
        <v>949</v>
      </c>
      <c r="D152">
        <v>10</v>
      </c>
      <c r="E152">
        <v>4</v>
      </c>
      <c r="F152" s="11">
        <f t="shared" si="12"/>
        <v>20000000</v>
      </c>
      <c r="G152">
        <v>24</v>
      </c>
      <c r="H152">
        <v>5</v>
      </c>
      <c r="I152" s="11">
        <f t="shared" si="13"/>
        <v>480000000</v>
      </c>
      <c r="J152" s="11">
        <f t="shared" si="14"/>
        <v>24</v>
      </c>
      <c r="K152">
        <f t="shared" si="15"/>
        <v>1.3802112417116059</v>
      </c>
    </row>
    <row r="153" spans="1:11" x14ac:dyDescent="0.2">
      <c r="A153" t="s">
        <v>999</v>
      </c>
      <c r="B153" s="10" t="s">
        <v>947</v>
      </c>
      <c r="C153" t="s">
        <v>949</v>
      </c>
      <c r="D153">
        <v>4</v>
      </c>
      <c r="E153">
        <v>4</v>
      </c>
      <c r="F153" s="11">
        <f t="shared" si="12"/>
        <v>8000000</v>
      </c>
      <c r="G153">
        <v>27</v>
      </c>
      <c r="H153">
        <v>5</v>
      </c>
      <c r="I153" s="11">
        <f t="shared" si="13"/>
        <v>540000000</v>
      </c>
      <c r="J153" s="11">
        <f t="shared" si="14"/>
        <v>67.5</v>
      </c>
      <c r="K153">
        <f t="shared" si="15"/>
        <v>1.8293037728310249</v>
      </c>
    </row>
    <row r="154" spans="1:11" x14ac:dyDescent="0.2">
      <c r="A154" t="s">
        <v>999</v>
      </c>
      <c r="B154" s="10" t="s">
        <v>947</v>
      </c>
      <c r="C154" t="s">
        <v>949</v>
      </c>
      <c r="D154">
        <v>10</v>
      </c>
      <c r="E154">
        <v>4</v>
      </c>
      <c r="F154" s="11">
        <f t="shared" si="12"/>
        <v>20000000</v>
      </c>
      <c r="G154">
        <v>23</v>
      </c>
      <c r="H154">
        <v>5</v>
      </c>
      <c r="I154" s="11">
        <f t="shared" si="13"/>
        <v>460000000</v>
      </c>
      <c r="J154" s="11">
        <f t="shared" si="14"/>
        <v>23</v>
      </c>
      <c r="K154">
        <f t="shared" si="15"/>
        <v>1.3617278360175928</v>
      </c>
    </row>
    <row r="155" spans="1:11" x14ac:dyDescent="0.2">
      <c r="A155" t="s">
        <v>999</v>
      </c>
      <c r="B155" s="10" t="s">
        <v>2</v>
      </c>
      <c r="C155" t="s">
        <v>949</v>
      </c>
      <c r="D155">
        <v>4</v>
      </c>
      <c r="E155">
        <v>4</v>
      </c>
      <c r="F155" s="11">
        <f t="shared" si="12"/>
        <v>8000000</v>
      </c>
      <c r="G155">
        <v>28</v>
      </c>
      <c r="H155">
        <v>5</v>
      </c>
      <c r="I155" s="11">
        <f t="shared" si="13"/>
        <v>560000000</v>
      </c>
      <c r="J155" s="11">
        <f t="shared" si="14"/>
        <v>70</v>
      </c>
      <c r="K155">
        <f t="shared" si="15"/>
        <v>1.8450980400142569</v>
      </c>
    </row>
    <row r="156" spans="1:11" x14ac:dyDescent="0.2">
      <c r="A156" t="s">
        <v>999</v>
      </c>
      <c r="B156" s="10" t="s">
        <v>2</v>
      </c>
      <c r="C156" t="s">
        <v>949</v>
      </c>
      <c r="D156">
        <v>9</v>
      </c>
      <c r="E156">
        <v>4</v>
      </c>
      <c r="F156" s="11">
        <f t="shared" si="12"/>
        <v>18000000</v>
      </c>
      <c r="G156">
        <v>27</v>
      </c>
      <c r="H156">
        <v>5</v>
      </c>
      <c r="I156" s="11">
        <f t="shared" si="13"/>
        <v>540000000</v>
      </c>
      <c r="J156" s="11">
        <f t="shared" si="14"/>
        <v>30</v>
      </c>
      <c r="K156">
        <f t="shared" si="15"/>
        <v>1.4771212547196624</v>
      </c>
    </row>
    <row r="157" spans="1:11" x14ac:dyDescent="0.2">
      <c r="A157" t="s">
        <v>999</v>
      </c>
      <c r="B157" s="10" t="s">
        <v>2</v>
      </c>
      <c r="C157" t="s">
        <v>949</v>
      </c>
      <c r="D157">
        <v>10</v>
      </c>
      <c r="E157">
        <v>4</v>
      </c>
      <c r="F157" s="11">
        <f t="shared" si="12"/>
        <v>20000000</v>
      </c>
      <c r="G157">
        <v>90</v>
      </c>
      <c r="H157">
        <v>5</v>
      </c>
      <c r="I157" s="11">
        <f t="shared" si="13"/>
        <v>1800000000</v>
      </c>
      <c r="J157" s="11">
        <f t="shared" si="14"/>
        <v>90</v>
      </c>
      <c r="K157">
        <f t="shared" si="15"/>
        <v>1.954242509439325</v>
      </c>
    </row>
    <row r="158" spans="1:11" x14ac:dyDescent="0.2">
      <c r="A158" t="s">
        <v>967</v>
      </c>
      <c r="B158" t="s">
        <v>944</v>
      </c>
      <c r="C158" t="s">
        <v>949</v>
      </c>
      <c r="D158">
        <v>13</v>
      </c>
      <c r="E158">
        <v>5</v>
      </c>
      <c r="F158" s="11">
        <f t="shared" si="12"/>
        <v>260000000</v>
      </c>
      <c r="G158">
        <v>26</v>
      </c>
      <c r="H158">
        <v>5</v>
      </c>
      <c r="I158" s="11">
        <f t="shared" si="13"/>
        <v>520000000</v>
      </c>
      <c r="J158" s="11">
        <f t="shared" si="14"/>
        <v>2</v>
      </c>
      <c r="K158">
        <f t="shared" si="15"/>
        <v>0.3010299956639812</v>
      </c>
    </row>
    <row r="159" spans="1:11" x14ac:dyDescent="0.2">
      <c r="A159" t="s">
        <v>967</v>
      </c>
      <c r="B159" t="s">
        <v>944</v>
      </c>
      <c r="C159" t="s">
        <v>949</v>
      </c>
      <c r="D159">
        <v>24</v>
      </c>
      <c r="E159">
        <v>4</v>
      </c>
      <c r="F159" s="11">
        <f t="shared" si="12"/>
        <v>48000000</v>
      </c>
      <c r="G159">
        <v>34</v>
      </c>
      <c r="H159">
        <v>4</v>
      </c>
      <c r="I159" s="11">
        <f t="shared" si="13"/>
        <v>68000000</v>
      </c>
      <c r="J159" s="11">
        <f t="shared" si="14"/>
        <v>1.4166666666666667</v>
      </c>
      <c r="K159">
        <f t="shared" si="15"/>
        <v>0.15126767533064914</v>
      </c>
    </row>
    <row r="160" spans="1:11" x14ac:dyDescent="0.2">
      <c r="A160" t="s">
        <v>967</v>
      </c>
      <c r="B160" t="s">
        <v>944</v>
      </c>
      <c r="C160" t="s">
        <v>949</v>
      </c>
      <c r="D160">
        <v>25</v>
      </c>
      <c r="E160">
        <v>4</v>
      </c>
      <c r="F160" s="11">
        <f t="shared" si="12"/>
        <v>50000000</v>
      </c>
      <c r="G160">
        <v>32</v>
      </c>
      <c r="H160">
        <v>4</v>
      </c>
      <c r="I160" s="11">
        <f t="shared" si="13"/>
        <v>64000000</v>
      </c>
      <c r="J160" s="11">
        <f t="shared" si="14"/>
        <v>1.28</v>
      </c>
      <c r="K160">
        <f t="shared" si="15"/>
        <v>0.10720996964786837</v>
      </c>
    </row>
    <row r="161" spans="1:11" x14ac:dyDescent="0.2">
      <c r="A161" t="s">
        <v>967</v>
      </c>
      <c r="B161" t="s">
        <v>26</v>
      </c>
      <c r="C161" t="s">
        <v>949</v>
      </c>
      <c r="D161">
        <v>27</v>
      </c>
      <c r="E161">
        <v>4</v>
      </c>
      <c r="F161" s="11">
        <f t="shared" si="12"/>
        <v>54000000</v>
      </c>
      <c r="G161">
        <v>39</v>
      </c>
      <c r="H161">
        <v>4</v>
      </c>
      <c r="I161" s="11">
        <f t="shared" si="13"/>
        <v>78000000</v>
      </c>
      <c r="J161" s="11">
        <f t="shared" si="14"/>
        <v>1.4444444444444444</v>
      </c>
      <c r="K161">
        <f t="shared" si="15"/>
        <v>0.15970084286751188</v>
      </c>
    </row>
    <row r="162" spans="1:11" x14ac:dyDescent="0.2">
      <c r="A162" t="s">
        <v>967</v>
      </c>
      <c r="B162" t="s">
        <v>26</v>
      </c>
      <c r="C162" t="s">
        <v>949</v>
      </c>
      <c r="D162">
        <v>31</v>
      </c>
      <c r="E162">
        <v>4</v>
      </c>
      <c r="F162" s="11">
        <f t="shared" si="12"/>
        <v>62000000</v>
      </c>
      <c r="G162">
        <v>45</v>
      </c>
      <c r="H162">
        <v>4</v>
      </c>
      <c r="I162" s="11">
        <f t="shared" si="13"/>
        <v>90000000</v>
      </c>
      <c r="J162" s="11">
        <f t="shared" si="14"/>
        <v>1.4516129032258065</v>
      </c>
      <c r="K162">
        <f t="shared" si="15"/>
        <v>0.16185081994107101</v>
      </c>
    </row>
    <row r="163" spans="1:11" x14ac:dyDescent="0.2">
      <c r="A163" t="s">
        <v>967</v>
      </c>
      <c r="B163" t="s">
        <v>26</v>
      </c>
      <c r="C163" t="s">
        <v>949</v>
      </c>
      <c r="D163">
        <v>22</v>
      </c>
      <c r="E163">
        <v>4</v>
      </c>
      <c r="F163" s="11">
        <f t="shared" si="12"/>
        <v>44000000</v>
      </c>
      <c r="G163">
        <v>35</v>
      </c>
      <c r="H163">
        <v>4</v>
      </c>
      <c r="I163" s="11">
        <f t="shared" si="13"/>
        <v>70000000</v>
      </c>
      <c r="J163" s="11">
        <f t="shared" si="14"/>
        <v>1.5909090909090908</v>
      </c>
      <c r="K163">
        <f t="shared" si="15"/>
        <v>0.20164536352806939</v>
      </c>
    </row>
    <row r="164" spans="1:11" x14ac:dyDescent="0.2">
      <c r="A164" t="s">
        <v>967</v>
      </c>
      <c r="B164" t="s">
        <v>947</v>
      </c>
      <c r="C164" t="s">
        <v>949</v>
      </c>
      <c r="D164">
        <v>25</v>
      </c>
      <c r="E164">
        <v>4</v>
      </c>
      <c r="F164" s="11">
        <f t="shared" si="12"/>
        <v>50000000</v>
      </c>
      <c r="G164">
        <v>31</v>
      </c>
      <c r="H164">
        <v>4</v>
      </c>
      <c r="I164" s="11">
        <f t="shared" si="13"/>
        <v>62000000</v>
      </c>
      <c r="J164" s="11">
        <f t="shared" si="14"/>
        <v>1.24</v>
      </c>
      <c r="K164">
        <f t="shared" si="15"/>
        <v>9.3421685162235063E-2</v>
      </c>
    </row>
    <row r="165" spans="1:11" x14ac:dyDescent="0.2">
      <c r="A165" t="s">
        <v>967</v>
      </c>
      <c r="B165" t="s">
        <v>947</v>
      </c>
      <c r="C165" t="s">
        <v>949</v>
      </c>
      <c r="D165">
        <v>25</v>
      </c>
      <c r="E165">
        <v>4</v>
      </c>
      <c r="F165" s="11">
        <f t="shared" si="12"/>
        <v>50000000</v>
      </c>
      <c r="G165">
        <v>37</v>
      </c>
      <c r="H165">
        <v>4</v>
      </c>
      <c r="I165" s="11">
        <f t="shared" si="13"/>
        <v>74000000</v>
      </c>
      <c r="J165" s="11">
        <f t="shared" si="14"/>
        <v>1.48</v>
      </c>
      <c r="K165">
        <f t="shared" si="15"/>
        <v>0.17026171539495738</v>
      </c>
    </row>
    <row r="166" spans="1:11" x14ac:dyDescent="0.2">
      <c r="A166" t="s">
        <v>967</v>
      </c>
      <c r="B166" t="s">
        <v>947</v>
      </c>
      <c r="C166" t="s">
        <v>949</v>
      </c>
      <c r="D166">
        <v>19</v>
      </c>
      <c r="E166">
        <v>4</v>
      </c>
      <c r="F166" s="11">
        <f t="shared" si="12"/>
        <v>38000000</v>
      </c>
      <c r="G166">
        <v>30</v>
      </c>
      <c r="H166">
        <v>4</v>
      </c>
      <c r="I166" s="11">
        <f t="shared" si="13"/>
        <v>60000000</v>
      </c>
      <c r="J166" s="11">
        <f t="shared" si="14"/>
        <v>1.5789473684210527</v>
      </c>
      <c r="K166">
        <f t="shared" si="15"/>
        <v>0.19836765376683349</v>
      </c>
    </row>
    <row r="167" spans="1:11" x14ac:dyDescent="0.2">
      <c r="A167" t="s">
        <v>967</v>
      </c>
      <c r="B167" t="s">
        <v>2</v>
      </c>
      <c r="C167" t="s">
        <v>949</v>
      </c>
      <c r="D167">
        <v>9</v>
      </c>
      <c r="E167">
        <v>4</v>
      </c>
      <c r="F167" s="11">
        <f t="shared" si="12"/>
        <v>18000000</v>
      </c>
      <c r="G167">
        <v>14</v>
      </c>
      <c r="H167">
        <v>5</v>
      </c>
      <c r="I167" s="11">
        <f t="shared" si="13"/>
        <v>280000000</v>
      </c>
      <c r="J167" s="11">
        <f t="shared" si="14"/>
        <v>15.555555555555555</v>
      </c>
      <c r="K167">
        <f t="shared" si="15"/>
        <v>1.1918855262389132</v>
      </c>
    </row>
    <row r="168" spans="1:11" x14ac:dyDescent="0.2">
      <c r="A168" t="s">
        <v>967</v>
      </c>
      <c r="B168" t="s">
        <v>2</v>
      </c>
      <c r="C168" t="s">
        <v>949</v>
      </c>
      <c r="D168">
        <v>15</v>
      </c>
      <c r="E168">
        <v>4</v>
      </c>
      <c r="F168" s="11">
        <f t="shared" si="12"/>
        <v>30000000</v>
      </c>
      <c r="G168">
        <v>10</v>
      </c>
      <c r="H168">
        <v>5</v>
      </c>
      <c r="I168" s="11">
        <f t="shared" si="13"/>
        <v>200000000</v>
      </c>
      <c r="J168" s="11">
        <f t="shared" si="14"/>
        <v>6.666666666666667</v>
      </c>
      <c r="K168">
        <f t="shared" si="15"/>
        <v>0.82390874094431876</v>
      </c>
    </row>
    <row r="169" spans="1:11" x14ac:dyDescent="0.2">
      <c r="A169" t="s">
        <v>967</v>
      </c>
      <c r="B169" t="s">
        <v>2</v>
      </c>
      <c r="C169" t="s">
        <v>949</v>
      </c>
      <c r="D169">
        <v>25</v>
      </c>
      <c r="E169">
        <v>4</v>
      </c>
      <c r="F169" s="11">
        <f t="shared" si="12"/>
        <v>50000000</v>
      </c>
      <c r="G169">
        <v>15</v>
      </c>
      <c r="H169">
        <v>5</v>
      </c>
      <c r="I169" s="11">
        <f t="shared" si="13"/>
        <v>300000000</v>
      </c>
      <c r="J169" s="11">
        <f t="shared" si="14"/>
        <v>6</v>
      </c>
      <c r="K169">
        <f t="shared" si="15"/>
        <v>0.77815125038364363</v>
      </c>
    </row>
    <row r="170" spans="1:11" x14ac:dyDescent="0.2">
      <c r="A170" t="s">
        <v>968</v>
      </c>
      <c r="B170" t="s">
        <v>944</v>
      </c>
      <c r="C170" t="s">
        <v>949</v>
      </c>
      <c r="D170">
        <v>7</v>
      </c>
      <c r="E170">
        <v>4</v>
      </c>
      <c r="F170" s="11">
        <f t="shared" si="12"/>
        <v>14000000</v>
      </c>
      <c r="G170">
        <v>2</v>
      </c>
      <c r="H170">
        <v>1</v>
      </c>
      <c r="I170" s="11">
        <f t="shared" si="13"/>
        <v>4000</v>
      </c>
      <c r="J170" s="11">
        <f t="shared" si="14"/>
        <v>2.8571428571428574E-4</v>
      </c>
      <c r="K170">
        <f t="shared" si="15"/>
        <v>-3.5440680443502757</v>
      </c>
    </row>
    <row r="171" spans="1:11" x14ac:dyDescent="0.2">
      <c r="A171" t="s">
        <v>968</v>
      </c>
      <c r="B171" t="s">
        <v>944</v>
      </c>
      <c r="C171" t="s">
        <v>949</v>
      </c>
      <c r="D171">
        <v>15</v>
      </c>
      <c r="E171">
        <v>4</v>
      </c>
      <c r="F171" s="11">
        <f t="shared" si="12"/>
        <v>30000000</v>
      </c>
      <c r="G171">
        <v>2</v>
      </c>
      <c r="H171">
        <v>1</v>
      </c>
      <c r="I171" s="11">
        <f t="shared" si="13"/>
        <v>4000</v>
      </c>
      <c r="J171" s="11">
        <f t="shared" si="14"/>
        <v>1.3333333333333334E-4</v>
      </c>
      <c r="K171">
        <f t="shared" si="15"/>
        <v>-3.8750612633917001</v>
      </c>
    </row>
    <row r="172" spans="1:11" x14ac:dyDescent="0.2">
      <c r="A172" t="s">
        <v>968</v>
      </c>
      <c r="B172" t="s">
        <v>944</v>
      </c>
      <c r="C172" t="s">
        <v>949</v>
      </c>
      <c r="D172">
        <v>19</v>
      </c>
      <c r="E172">
        <v>4</v>
      </c>
      <c r="F172" s="11">
        <f t="shared" si="12"/>
        <v>38000000</v>
      </c>
      <c r="G172">
        <v>2</v>
      </c>
      <c r="H172">
        <v>1</v>
      </c>
      <c r="I172" s="11">
        <f t="shared" si="13"/>
        <v>4000</v>
      </c>
      <c r="J172" s="11">
        <f t="shared" si="14"/>
        <v>1.0526315789473685E-4</v>
      </c>
      <c r="K172">
        <f t="shared" si="15"/>
        <v>-3.9777236052888476</v>
      </c>
    </row>
    <row r="173" spans="1:11" x14ac:dyDescent="0.2">
      <c r="A173" t="s">
        <v>968</v>
      </c>
      <c r="B173" t="s">
        <v>26</v>
      </c>
      <c r="C173" t="s">
        <v>949</v>
      </c>
      <c r="D173">
        <v>25</v>
      </c>
      <c r="E173">
        <v>4</v>
      </c>
      <c r="F173" s="11">
        <f t="shared" si="12"/>
        <v>50000000</v>
      </c>
      <c r="G173">
        <v>4</v>
      </c>
      <c r="H173">
        <v>1</v>
      </c>
      <c r="I173" s="11">
        <f t="shared" si="13"/>
        <v>8000</v>
      </c>
      <c r="J173" s="11">
        <f t="shared" si="14"/>
        <v>1.6000000000000001E-4</v>
      </c>
      <c r="K173">
        <f t="shared" si="15"/>
        <v>-3.795880017344075</v>
      </c>
    </row>
    <row r="174" spans="1:11" x14ac:dyDescent="0.2">
      <c r="A174" t="s">
        <v>968</v>
      </c>
      <c r="B174" t="s">
        <v>26</v>
      </c>
      <c r="C174" t="s">
        <v>949</v>
      </c>
      <c r="D174">
        <v>25</v>
      </c>
      <c r="E174">
        <v>4</v>
      </c>
      <c r="F174" s="11">
        <f t="shared" si="12"/>
        <v>50000000</v>
      </c>
      <c r="G174">
        <v>1</v>
      </c>
      <c r="H174">
        <v>1</v>
      </c>
      <c r="I174" s="11">
        <f t="shared" si="13"/>
        <v>2000</v>
      </c>
      <c r="J174" s="11">
        <f t="shared" si="14"/>
        <v>4.0000000000000003E-5</v>
      </c>
      <c r="K174">
        <f t="shared" si="15"/>
        <v>-4.3979400086720375</v>
      </c>
    </row>
    <row r="175" spans="1:11" x14ac:dyDescent="0.2">
      <c r="A175" t="s">
        <v>968</v>
      </c>
      <c r="B175" t="s">
        <v>26</v>
      </c>
      <c r="C175" t="s">
        <v>949</v>
      </c>
      <c r="D175">
        <v>33</v>
      </c>
      <c r="E175">
        <v>4</v>
      </c>
      <c r="F175" s="11">
        <f t="shared" si="12"/>
        <v>66000000</v>
      </c>
      <c r="G175">
        <v>8</v>
      </c>
      <c r="H175">
        <v>1</v>
      </c>
      <c r="I175" s="11">
        <f t="shared" si="13"/>
        <v>16000</v>
      </c>
      <c r="J175" s="11">
        <f t="shared" si="14"/>
        <v>2.4242424242424242E-4</v>
      </c>
      <c r="K175">
        <f t="shared" si="15"/>
        <v>-3.6154239528859438</v>
      </c>
    </row>
    <row r="176" spans="1:11" x14ac:dyDescent="0.2">
      <c r="A176" t="s">
        <v>968</v>
      </c>
      <c r="B176" t="s">
        <v>947</v>
      </c>
      <c r="C176" t="s">
        <v>949</v>
      </c>
      <c r="D176">
        <v>11</v>
      </c>
      <c r="E176">
        <v>4</v>
      </c>
      <c r="F176" s="11">
        <f t="shared" si="12"/>
        <v>22000000</v>
      </c>
      <c r="G176">
        <v>7</v>
      </c>
      <c r="H176">
        <v>1</v>
      </c>
      <c r="I176" s="11">
        <f t="shared" si="13"/>
        <v>14000</v>
      </c>
      <c r="J176" s="11">
        <f t="shared" si="14"/>
        <v>6.3636363636363641E-4</v>
      </c>
      <c r="K176">
        <f t="shared" si="15"/>
        <v>-3.196294645143968</v>
      </c>
    </row>
    <row r="177" spans="1:11" x14ac:dyDescent="0.2">
      <c r="A177" t="s">
        <v>968</v>
      </c>
      <c r="B177" t="s">
        <v>947</v>
      </c>
      <c r="C177" t="s">
        <v>949</v>
      </c>
      <c r="D177">
        <v>16</v>
      </c>
      <c r="E177">
        <v>4</v>
      </c>
      <c r="F177" s="11">
        <f t="shared" si="12"/>
        <v>32000000</v>
      </c>
      <c r="G177">
        <v>8</v>
      </c>
      <c r="H177">
        <v>1</v>
      </c>
      <c r="I177" s="11">
        <f t="shared" si="13"/>
        <v>16000</v>
      </c>
      <c r="J177" s="11">
        <f t="shared" si="14"/>
        <v>5.0000000000000001E-4</v>
      </c>
      <c r="K177">
        <f t="shared" si="15"/>
        <v>-3.3010299956639813</v>
      </c>
    </row>
    <row r="178" spans="1:11" x14ac:dyDescent="0.2">
      <c r="A178" t="s">
        <v>968</v>
      </c>
      <c r="B178" t="s">
        <v>947</v>
      </c>
      <c r="C178" t="s">
        <v>949</v>
      </c>
      <c r="D178">
        <v>19</v>
      </c>
      <c r="E178">
        <v>4</v>
      </c>
      <c r="F178" s="11">
        <f t="shared" si="12"/>
        <v>38000000</v>
      </c>
      <c r="G178">
        <v>9</v>
      </c>
      <c r="H178">
        <v>1</v>
      </c>
      <c r="I178" s="11">
        <f t="shared" si="13"/>
        <v>18000</v>
      </c>
      <c r="J178" s="11">
        <f t="shared" si="14"/>
        <v>4.7368421052631577E-4</v>
      </c>
      <c r="K178">
        <f t="shared" si="15"/>
        <v>-3.3245110915135041</v>
      </c>
    </row>
    <row r="179" spans="1:11" x14ac:dyDescent="0.2">
      <c r="A179" t="s">
        <v>968</v>
      </c>
      <c r="B179" t="s">
        <v>2</v>
      </c>
      <c r="C179" t="s">
        <v>949</v>
      </c>
      <c r="D179">
        <v>5</v>
      </c>
      <c r="E179">
        <v>4</v>
      </c>
      <c r="F179" s="11">
        <f t="shared" si="12"/>
        <v>10000000</v>
      </c>
      <c r="G179">
        <v>30</v>
      </c>
      <c r="H179">
        <v>1</v>
      </c>
      <c r="I179" s="11">
        <f t="shared" si="13"/>
        <v>60000</v>
      </c>
      <c r="J179" s="11">
        <f t="shared" si="14"/>
        <v>6.0000000000000001E-3</v>
      </c>
      <c r="K179">
        <f t="shared" si="15"/>
        <v>-2.2218487496163561</v>
      </c>
    </row>
    <row r="180" spans="1:11" x14ac:dyDescent="0.2">
      <c r="A180" t="s">
        <v>968</v>
      </c>
      <c r="B180" t="s">
        <v>2</v>
      </c>
      <c r="C180" t="s">
        <v>949</v>
      </c>
      <c r="D180">
        <v>4</v>
      </c>
      <c r="E180">
        <v>4</v>
      </c>
      <c r="F180" s="11">
        <f t="shared" si="12"/>
        <v>8000000</v>
      </c>
      <c r="G180">
        <v>44</v>
      </c>
      <c r="H180">
        <v>1</v>
      </c>
      <c r="I180" s="11">
        <f t="shared" si="13"/>
        <v>88000</v>
      </c>
      <c r="J180" s="11">
        <f t="shared" si="14"/>
        <v>1.0999999999999999E-2</v>
      </c>
      <c r="K180">
        <f t="shared" si="15"/>
        <v>-1.9586073148417751</v>
      </c>
    </row>
    <row r="181" spans="1:11" x14ac:dyDescent="0.2">
      <c r="A181" t="s">
        <v>968</v>
      </c>
      <c r="B181" t="s">
        <v>2</v>
      </c>
      <c r="C181" t="s">
        <v>949</v>
      </c>
      <c r="D181">
        <v>9</v>
      </c>
      <c r="E181">
        <v>4</v>
      </c>
      <c r="F181" s="11">
        <f t="shared" si="12"/>
        <v>18000000</v>
      </c>
      <c r="G181">
        <v>15</v>
      </c>
      <c r="H181">
        <v>1</v>
      </c>
      <c r="I181" s="11">
        <f t="shared" si="13"/>
        <v>30000</v>
      </c>
      <c r="J181" s="11">
        <f t="shared" si="14"/>
        <v>1.6666666666666668E-3</v>
      </c>
      <c r="K181">
        <f t="shared" si="15"/>
        <v>-2.7781512503836434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2A09-0559-2145-A95B-17DFB94536E9}">
  <dimension ref="A1:E37"/>
  <sheetViews>
    <sheetView workbookViewId="0">
      <selection activeCell="A37" sqref="A37"/>
    </sheetView>
  </sheetViews>
  <sheetFormatPr baseColWidth="10" defaultRowHeight="16" x14ac:dyDescent="0.2"/>
  <cols>
    <col min="1" max="1" width="13.5" bestFit="1" customWidth="1"/>
    <col min="4" max="4" width="17" bestFit="1" customWidth="1"/>
  </cols>
  <sheetData>
    <row r="1" spans="1:5" x14ac:dyDescent="0.2">
      <c r="A1" t="s">
        <v>29</v>
      </c>
      <c r="B1" t="s">
        <v>6</v>
      </c>
      <c r="C1" t="s">
        <v>1001</v>
      </c>
      <c r="D1" t="s">
        <v>1002</v>
      </c>
    </row>
    <row r="2" spans="1:5" x14ac:dyDescent="0.2">
      <c r="A2" t="s">
        <v>25</v>
      </c>
      <c r="B2">
        <v>1</v>
      </c>
      <c r="C2" t="s">
        <v>1003</v>
      </c>
      <c r="D2" s="4">
        <v>0.10969470000000001</v>
      </c>
    </row>
    <row r="3" spans="1:5" x14ac:dyDescent="0.2">
      <c r="A3" t="s">
        <v>25</v>
      </c>
      <c r="B3">
        <v>2</v>
      </c>
      <c r="C3" t="s">
        <v>1003</v>
      </c>
      <c r="D3" s="4">
        <v>4.0063E-3</v>
      </c>
      <c r="E3" s="1"/>
    </row>
    <row r="4" spans="1:5" x14ac:dyDescent="0.2">
      <c r="A4" t="s">
        <v>25</v>
      </c>
      <c r="B4">
        <v>3</v>
      </c>
      <c r="C4" t="s">
        <v>1003</v>
      </c>
      <c r="D4" s="4">
        <v>2.1459599999999999E-2</v>
      </c>
    </row>
    <row r="5" spans="1:5" x14ac:dyDescent="0.2">
      <c r="A5" t="s">
        <v>25</v>
      </c>
      <c r="B5">
        <v>4</v>
      </c>
      <c r="C5" t="s">
        <v>1003</v>
      </c>
      <c r="D5" s="4">
        <v>0.1888196</v>
      </c>
    </row>
    <row r="6" spans="1:5" x14ac:dyDescent="0.2">
      <c r="A6" t="s">
        <v>25</v>
      </c>
      <c r="B6">
        <v>5</v>
      </c>
      <c r="C6" t="s">
        <v>1003</v>
      </c>
      <c r="D6" s="4">
        <v>0.1508032</v>
      </c>
    </row>
    <row r="7" spans="1:5" x14ac:dyDescent="0.2">
      <c r="A7" t="s">
        <v>25</v>
      </c>
      <c r="B7">
        <v>6</v>
      </c>
      <c r="C7" t="s">
        <v>1003</v>
      </c>
      <c r="D7" s="4">
        <v>0.13895250000000001</v>
      </c>
    </row>
    <row r="8" spans="1:5" x14ac:dyDescent="0.2">
      <c r="A8" t="s">
        <v>26</v>
      </c>
      <c r="B8">
        <v>1</v>
      </c>
      <c r="C8" t="s">
        <v>1003</v>
      </c>
      <c r="D8" s="4">
        <v>0.24547099999999999</v>
      </c>
    </row>
    <row r="9" spans="1:5" x14ac:dyDescent="0.2">
      <c r="A9" t="s">
        <v>26</v>
      </c>
      <c r="B9">
        <v>2</v>
      </c>
      <c r="C9" t="s">
        <v>1003</v>
      </c>
      <c r="D9" s="4">
        <v>0.27532889999999999</v>
      </c>
    </row>
    <row r="10" spans="1:5" x14ac:dyDescent="0.2">
      <c r="A10" t="s">
        <v>26</v>
      </c>
      <c r="B10">
        <v>3</v>
      </c>
      <c r="C10" t="s">
        <v>1003</v>
      </c>
      <c r="D10" s="4">
        <v>0.1177607</v>
      </c>
    </row>
    <row r="11" spans="1:5" x14ac:dyDescent="0.2">
      <c r="A11" t="s">
        <v>26</v>
      </c>
      <c r="B11">
        <v>4</v>
      </c>
      <c r="C11" t="s">
        <v>1003</v>
      </c>
      <c r="D11" s="4">
        <v>0.47341359999999999</v>
      </c>
    </row>
    <row r="12" spans="1:5" x14ac:dyDescent="0.2">
      <c r="A12" t="s">
        <v>26</v>
      </c>
      <c r="B12">
        <v>5</v>
      </c>
      <c r="C12" t="s">
        <v>1003</v>
      </c>
      <c r="D12" s="4">
        <v>0.35838799999999998</v>
      </c>
    </row>
    <row r="13" spans="1:5" x14ac:dyDescent="0.2">
      <c r="A13" t="s">
        <v>26</v>
      </c>
      <c r="B13">
        <v>6</v>
      </c>
      <c r="C13" t="s">
        <v>1003</v>
      </c>
      <c r="D13" s="4">
        <v>0.3038998</v>
      </c>
    </row>
    <row r="14" spans="1:5" x14ac:dyDescent="0.2">
      <c r="A14" t="s">
        <v>947</v>
      </c>
      <c r="B14">
        <v>1</v>
      </c>
      <c r="C14" t="s">
        <v>1003</v>
      </c>
      <c r="D14" s="4">
        <v>0.47388849999999999</v>
      </c>
    </row>
    <row r="15" spans="1:5" x14ac:dyDescent="0.2">
      <c r="A15" t="s">
        <v>947</v>
      </c>
      <c r="B15">
        <v>2</v>
      </c>
      <c r="C15" t="s">
        <v>1003</v>
      </c>
      <c r="D15" s="4">
        <v>0.3446323</v>
      </c>
    </row>
    <row r="16" spans="1:5" x14ac:dyDescent="0.2">
      <c r="A16" t="s">
        <v>947</v>
      </c>
      <c r="B16">
        <v>3</v>
      </c>
      <c r="C16" t="s">
        <v>1003</v>
      </c>
      <c r="D16" s="4">
        <v>0.26375019999999999</v>
      </c>
    </row>
    <row r="17" spans="1:4" x14ac:dyDescent="0.2">
      <c r="A17" t="s">
        <v>947</v>
      </c>
      <c r="B17">
        <v>4</v>
      </c>
      <c r="C17" t="s">
        <v>1003</v>
      </c>
      <c r="D17" s="4">
        <v>0.51136669999999995</v>
      </c>
    </row>
    <row r="18" spans="1:4" x14ac:dyDescent="0.2">
      <c r="A18" t="s">
        <v>947</v>
      </c>
      <c r="B18">
        <v>5</v>
      </c>
      <c r="C18" t="s">
        <v>1003</v>
      </c>
      <c r="D18" s="4">
        <v>0.3315052</v>
      </c>
    </row>
    <row r="19" spans="1:4" x14ac:dyDescent="0.2">
      <c r="A19" t="s">
        <v>947</v>
      </c>
      <c r="B19">
        <v>6</v>
      </c>
      <c r="C19" t="s">
        <v>1003</v>
      </c>
      <c r="D19" s="4">
        <v>0.25349650000000001</v>
      </c>
    </row>
    <row r="20" spans="1:4" x14ac:dyDescent="0.2">
      <c r="A20" t="s">
        <v>2</v>
      </c>
      <c r="B20">
        <v>1</v>
      </c>
      <c r="C20" t="s">
        <v>1003</v>
      </c>
      <c r="D20" s="4">
        <v>0.4421544</v>
      </c>
    </row>
    <row r="21" spans="1:4" x14ac:dyDescent="0.2">
      <c r="A21" t="s">
        <v>2</v>
      </c>
      <c r="B21">
        <v>2</v>
      </c>
      <c r="C21" t="s">
        <v>1003</v>
      </c>
      <c r="D21" s="4">
        <v>0.33224609999999999</v>
      </c>
    </row>
    <row r="22" spans="1:4" x14ac:dyDescent="0.2">
      <c r="A22" t="s">
        <v>2</v>
      </c>
      <c r="B22">
        <v>3</v>
      </c>
      <c r="C22" t="s">
        <v>1003</v>
      </c>
      <c r="D22" s="4">
        <v>0.42027120000000001</v>
      </c>
    </row>
    <row r="23" spans="1:4" x14ac:dyDescent="0.2">
      <c r="A23" t="s">
        <v>2</v>
      </c>
      <c r="B23">
        <v>4</v>
      </c>
      <c r="C23" t="s">
        <v>1003</v>
      </c>
      <c r="D23" s="4">
        <v>0.61190800000000001</v>
      </c>
    </row>
    <row r="24" spans="1:4" x14ac:dyDescent="0.2">
      <c r="A24" t="s">
        <v>2</v>
      </c>
      <c r="B24">
        <v>5</v>
      </c>
      <c r="C24" t="s">
        <v>1003</v>
      </c>
      <c r="D24" s="4">
        <v>0.36610569999999998</v>
      </c>
    </row>
    <row r="25" spans="1:4" x14ac:dyDescent="0.2">
      <c r="A25" t="s">
        <v>2</v>
      </c>
      <c r="B25">
        <v>6</v>
      </c>
      <c r="C25" t="s">
        <v>1003</v>
      </c>
      <c r="D25" s="4">
        <v>0.30971559999999998</v>
      </c>
    </row>
    <row r="26" spans="1:4" x14ac:dyDescent="0.2">
      <c r="A26" t="s">
        <v>25</v>
      </c>
      <c r="B26">
        <v>1</v>
      </c>
      <c r="C26" t="s">
        <v>1004</v>
      </c>
      <c r="D26" s="4">
        <v>1.45172991518033</v>
      </c>
    </row>
    <row r="27" spans="1:4" x14ac:dyDescent="0.2">
      <c r="A27" t="s">
        <v>25</v>
      </c>
      <c r="B27">
        <v>2</v>
      </c>
      <c r="C27" t="s">
        <v>1004</v>
      </c>
      <c r="D27" s="4">
        <v>1.5066811849922299</v>
      </c>
    </row>
    <row r="28" spans="1:4" x14ac:dyDescent="0.2">
      <c r="A28" t="s">
        <v>25</v>
      </c>
      <c r="B28">
        <v>3</v>
      </c>
      <c r="C28" t="s">
        <v>1004</v>
      </c>
      <c r="D28" s="4">
        <v>2.3317273664975802</v>
      </c>
    </row>
    <row r="29" spans="1:4" x14ac:dyDescent="0.2">
      <c r="A29" t="s">
        <v>26</v>
      </c>
      <c r="B29">
        <v>1</v>
      </c>
      <c r="C29" t="s">
        <v>1004</v>
      </c>
      <c r="D29" s="4">
        <v>1.0180196879966501</v>
      </c>
    </row>
    <row r="30" spans="1:4" x14ac:dyDescent="0.2">
      <c r="A30" t="s">
        <v>26</v>
      </c>
      <c r="B30">
        <v>2</v>
      </c>
      <c r="C30" t="s">
        <v>1004</v>
      </c>
      <c r="D30" s="4">
        <v>3.4067493365210901</v>
      </c>
    </row>
    <row r="31" spans="1:4" x14ac:dyDescent="0.2">
      <c r="A31" t="s">
        <v>26</v>
      </c>
      <c r="B31">
        <v>3</v>
      </c>
      <c r="C31" t="s">
        <v>1004</v>
      </c>
      <c r="D31" s="4">
        <v>2.76960586134979</v>
      </c>
    </row>
    <row r="32" spans="1:4" x14ac:dyDescent="0.2">
      <c r="A32" t="s">
        <v>947</v>
      </c>
      <c r="B32">
        <v>1</v>
      </c>
      <c r="C32" t="s">
        <v>1004</v>
      </c>
      <c r="D32" s="4">
        <v>1.5903932218591901</v>
      </c>
    </row>
    <row r="33" spans="1:4" x14ac:dyDescent="0.2">
      <c r="A33" t="s">
        <v>947</v>
      </c>
      <c r="B33">
        <v>2</v>
      </c>
      <c r="C33" t="s">
        <v>1004</v>
      </c>
      <c r="D33" s="4">
        <v>1.39399363112339</v>
      </c>
    </row>
    <row r="34" spans="1:4" x14ac:dyDescent="0.2">
      <c r="A34" t="s">
        <v>947</v>
      </c>
      <c r="B34">
        <v>3</v>
      </c>
      <c r="C34" t="s">
        <v>1004</v>
      </c>
      <c r="D34" s="4">
        <v>1.94887231496192</v>
      </c>
    </row>
    <row r="35" spans="1:4" x14ac:dyDescent="0.2">
      <c r="A35" t="s">
        <v>2</v>
      </c>
      <c r="B35">
        <v>1</v>
      </c>
      <c r="C35" t="s">
        <v>1004</v>
      </c>
      <c r="D35" s="4">
        <v>3.3510531182377901</v>
      </c>
    </row>
    <row r="36" spans="1:4" x14ac:dyDescent="0.2">
      <c r="A36" t="s">
        <v>2</v>
      </c>
      <c r="B36">
        <v>2</v>
      </c>
      <c r="C36" t="s">
        <v>1004</v>
      </c>
      <c r="D36" s="4">
        <v>4.3994920720834898</v>
      </c>
    </row>
    <row r="37" spans="1:4" x14ac:dyDescent="0.2">
      <c r="A37" t="s">
        <v>2</v>
      </c>
      <c r="B37">
        <v>3</v>
      </c>
      <c r="C37" t="s">
        <v>1004</v>
      </c>
      <c r="D37" s="4">
        <v>3.63869583200397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A559-24FE-004C-93C7-E17DADAC9156}">
  <dimension ref="A1:D172"/>
  <sheetViews>
    <sheetView workbookViewId="0"/>
  </sheetViews>
  <sheetFormatPr baseColWidth="10" defaultRowHeight="16" x14ac:dyDescent="0.2"/>
  <cols>
    <col min="1" max="2" width="17.6640625" bestFit="1" customWidth="1"/>
    <col min="3" max="3" width="11.5" bestFit="1" customWidth="1"/>
  </cols>
  <sheetData>
    <row r="1" spans="1:4" x14ac:dyDescent="0.2">
      <c r="A1" t="s">
        <v>19</v>
      </c>
      <c r="B1" t="s">
        <v>1005</v>
      </c>
      <c r="C1" t="s">
        <v>6</v>
      </c>
      <c r="D1" t="s">
        <v>1012</v>
      </c>
    </row>
    <row r="2" spans="1:4" x14ac:dyDescent="0.2">
      <c r="A2" t="s">
        <v>961</v>
      </c>
      <c r="B2" t="s">
        <v>1006</v>
      </c>
      <c r="C2">
        <v>1</v>
      </c>
      <c r="D2" s="8">
        <v>0.69700041147311431</v>
      </c>
    </row>
    <row r="3" spans="1:4" x14ac:dyDescent="0.2">
      <c r="A3" t="s">
        <v>961</v>
      </c>
      <c r="B3" t="s">
        <v>1006</v>
      </c>
      <c r="C3">
        <v>2</v>
      </c>
      <c r="D3" s="8">
        <v>0.90308998699194354</v>
      </c>
    </row>
    <row r="4" spans="1:4" x14ac:dyDescent="0.2">
      <c r="A4" t="s">
        <v>961</v>
      </c>
      <c r="B4" t="s">
        <v>1006</v>
      </c>
      <c r="C4">
        <v>3</v>
      </c>
      <c r="D4" s="8">
        <v>0.86169730183371851</v>
      </c>
    </row>
    <row r="5" spans="1:4" x14ac:dyDescent="0.2">
      <c r="A5" t="s">
        <v>965</v>
      </c>
      <c r="B5" t="s">
        <v>1006</v>
      </c>
      <c r="C5">
        <v>1</v>
      </c>
      <c r="D5" s="8">
        <v>0.45512696101349454</v>
      </c>
    </row>
    <row r="6" spans="1:4" x14ac:dyDescent="0.2">
      <c r="A6" t="s">
        <v>965</v>
      </c>
      <c r="B6" t="s">
        <v>1006</v>
      </c>
      <c r="C6">
        <v>2</v>
      </c>
      <c r="D6" s="8">
        <v>0.63145089595545523</v>
      </c>
    </row>
    <row r="7" spans="1:4" x14ac:dyDescent="0.2">
      <c r="A7" t="s">
        <v>965</v>
      </c>
      <c r="B7" t="s">
        <v>1006</v>
      </c>
      <c r="C7">
        <v>3</v>
      </c>
      <c r="D7" s="8">
        <v>0.21010100677925983</v>
      </c>
    </row>
    <row r="8" spans="1:4" x14ac:dyDescent="0.2">
      <c r="A8" t="s">
        <v>962</v>
      </c>
      <c r="B8" t="s">
        <v>1006</v>
      </c>
      <c r="C8">
        <v>1</v>
      </c>
      <c r="D8" s="8">
        <v>0.3374409755921669</v>
      </c>
    </row>
    <row r="9" spans="1:4" x14ac:dyDescent="0.2">
      <c r="A9" t="s">
        <v>962</v>
      </c>
      <c r="B9" t="s">
        <v>1006</v>
      </c>
      <c r="C9">
        <v>2</v>
      </c>
      <c r="D9" s="8">
        <v>0.21429561172591055</v>
      </c>
    </row>
    <row r="10" spans="1:4" x14ac:dyDescent="0.2">
      <c r="A10" t="s">
        <v>962</v>
      </c>
      <c r="B10" t="s">
        <v>1006</v>
      </c>
      <c r="C10">
        <v>3</v>
      </c>
      <c r="D10" s="8">
        <v>0.41606044361203209</v>
      </c>
    </row>
    <row r="11" spans="1:4" x14ac:dyDescent="0.2">
      <c r="A11" t="s">
        <v>961</v>
      </c>
      <c r="B11" t="s">
        <v>1007</v>
      </c>
      <c r="C11">
        <v>1</v>
      </c>
      <c r="D11" s="8">
        <v>-0.19748940375691171</v>
      </c>
    </row>
    <row r="12" spans="1:4" x14ac:dyDescent="0.2">
      <c r="A12" t="s">
        <v>961</v>
      </c>
      <c r="B12" t="s">
        <v>1007</v>
      </c>
      <c r="C12">
        <v>2</v>
      </c>
      <c r="D12" s="8">
        <v>0.37796100620119533</v>
      </c>
    </row>
    <row r="13" spans="1:4" x14ac:dyDescent="0.2">
      <c r="A13" t="s">
        <v>961</v>
      </c>
      <c r="B13" t="s">
        <v>1007</v>
      </c>
      <c r="C13">
        <v>3</v>
      </c>
      <c r="D13" s="8">
        <v>-0.17609125905568127</v>
      </c>
    </row>
    <row r="14" spans="1:4" x14ac:dyDescent="0.2">
      <c r="A14" t="s">
        <v>965</v>
      </c>
      <c r="B14" t="s">
        <v>1007</v>
      </c>
      <c r="C14">
        <v>1</v>
      </c>
      <c r="D14" s="8">
        <v>0.39890403677465436</v>
      </c>
    </row>
    <row r="15" spans="1:4" x14ac:dyDescent="0.2">
      <c r="A15" t="s">
        <v>965</v>
      </c>
      <c r="B15" t="s">
        <v>1007</v>
      </c>
      <c r="C15">
        <v>2</v>
      </c>
      <c r="D15" s="8">
        <v>0.34490705057637444</v>
      </c>
    </row>
    <row r="16" spans="1:4" x14ac:dyDescent="0.2">
      <c r="A16" t="s">
        <v>965</v>
      </c>
      <c r="B16" t="s">
        <v>1007</v>
      </c>
      <c r="C16">
        <v>3</v>
      </c>
      <c r="D16" s="8">
        <v>0.12881808959015431</v>
      </c>
    </row>
    <row r="17" spans="1:4" x14ac:dyDescent="0.2">
      <c r="A17" t="s">
        <v>962</v>
      </c>
      <c r="B17" t="s">
        <v>1007</v>
      </c>
      <c r="C17">
        <v>1</v>
      </c>
      <c r="D17" s="8">
        <v>0.10790539730951963</v>
      </c>
    </row>
    <row r="18" spans="1:4" x14ac:dyDescent="0.2">
      <c r="A18" t="s">
        <v>962</v>
      </c>
      <c r="B18" t="s">
        <v>1007</v>
      </c>
      <c r="C18">
        <v>2</v>
      </c>
      <c r="D18" s="8">
        <v>-3.6429265626674895E-2</v>
      </c>
    </row>
    <row r="19" spans="1:4" x14ac:dyDescent="0.2">
      <c r="A19" t="s">
        <v>962</v>
      </c>
      <c r="B19" t="s">
        <v>1007</v>
      </c>
      <c r="C19">
        <v>3</v>
      </c>
      <c r="D19" s="8">
        <v>0.38737248506501337</v>
      </c>
    </row>
    <row r="20" spans="1:4" x14ac:dyDescent="0.2">
      <c r="A20" t="s">
        <v>961</v>
      </c>
      <c r="B20" t="s">
        <v>26</v>
      </c>
      <c r="C20">
        <v>1</v>
      </c>
      <c r="D20" s="8">
        <v>0.30190824567390295</v>
      </c>
    </row>
    <row r="21" spans="1:4" x14ac:dyDescent="0.2">
      <c r="A21" t="s">
        <v>961</v>
      </c>
      <c r="B21" t="s">
        <v>26</v>
      </c>
      <c r="C21">
        <v>2</v>
      </c>
      <c r="D21" s="8">
        <v>0.56701724242124418</v>
      </c>
    </row>
    <row r="22" spans="1:4" x14ac:dyDescent="0.2">
      <c r="A22" t="s">
        <v>961</v>
      </c>
      <c r="B22" t="s">
        <v>26</v>
      </c>
      <c r="C22">
        <v>3</v>
      </c>
      <c r="D22" s="8">
        <v>0.21387981994508098</v>
      </c>
    </row>
    <row r="23" spans="1:4" x14ac:dyDescent="0.2">
      <c r="A23" t="s">
        <v>965</v>
      </c>
      <c r="B23" t="s">
        <v>26</v>
      </c>
      <c r="C23">
        <v>1</v>
      </c>
      <c r="D23" s="8">
        <v>0.13636819838908182</v>
      </c>
    </row>
    <row r="24" spans="1:4" x14ac:dyDescent="0.2">
      <c r="A24" t="s">
        <v>965</v>
      </c>
      <c r="B24" t="s">
        <v>26</v>
      </c>
      <c r="C24">
        <v>2</v>
      </c>
      <c r="D24" s="8">
        <v>0.38477856261406673</v>
      </c>
    </row>
    <row r="25" spans="1:4" x14ac:dyDescent="0.2">
      <c r="A25" t="s">
        <v>965</v>
      </c>
      <c r="B25" t="s">
        <v>26</v>
      </c>
      <c r="C25">
        <v>3</v>
      </c>
      <c r="D25" s="8">
        <v>0.40701859415086045</v>
      </c>
    </row>
    <row r="26" spans="1:4" x14ac:dyDescent="0.2">
      <c r="A26" t="s">
        <v>962</v>
      </c>
      <c r="B26" t="s">
        <v>26</v>
      </c>
      <c r="C26">
        <v>1</v>
      </c>
      <c r="D26" s="8">
        <v>-0.2881001115853184</v>
      </c>
    </row>
    <row r="27" spans="1:4" x14ac:dyDescent="0.2">
      <c r="A27" t="s">
        <v>962</v>
      </c>
      <c r="B27" t="s">
        <v>26</v>
      </c>
      <c r="C27">
        <v>2</v>
      </c>
      <c r="D27" s="8">
        <v>-7.6098069092285683E-2</v>
      </c>
    </row>
    <row r="28" spans="1:4" x14ac:dyDescent="0.2">
      <c r="A28" t="s">
        <v>962</v>
      </c>
      <c r="B28" t="s">
        <v>26</v>
      </c>
      <c r="C28">
        <v>3</v>
      </c>
      <c r="D28" s="8">
        <v>0.36409630724519787</v>
      </c>
    </row>
    <row r="29" spans="1:4" x14ac:dyDescent="0.2">
      <c r="A29" t="s">
        <v>961</v>
      </c>
      <c r="B29" t="s">
        <v>947</v>
      </c>
      <c r="C29">
        <v>1</v>
      </c>
      <c r="D29" s="8">
        <v>6.6305788990130756E-3</v>
      </c>
    </row>
    <row r="30" spans="1:4" x14ac:dyDescent="0.2">
      <c r="A30" t="s">
        <v>961</v>
      </c>
      <c r="B30" t="s">
        <v>947</v>
      </c>
      <c r="C30">
        <v>2</v>
      </c>
      <c r="D30" s="8">
        <v>-0.11711339909634337</v>
      </c>
    </row>
    <row r="31" spans="1:4" x14ac:dyDescent="0.2">
      <c r="A31" t="s">
        <v>961</v>
      </c>
      <c r="B31" t="s">
        <v>947</v>
      </c>
      <c r="C31">
        <v>3</v>
      </c>
      <c r="D31" s="8">
        <v>-0.22184874961635639</v>
      </c>
    </row>
    <row r="32" spans="1:4" x14ac:dyDescent="0.2">
      <c r="A32" t="s">
        <v>965</v>
      </c>
      <c r="B32" t="s">
        <v>947</v>
      </c>
      <c r="C32">
        <v>1</v>
      </c>
      <c r="D32" s="8">
        <v>5.7186952341456904E-2</v>
      </c>
    </row>
    <row r="33" spans="1:4" x14ac:dyDescent="0.2">
      <c r="A33" t="s">
        <v>965</v>
      </c>
      <c r="B33" t="s">
        <v>947</v>
      </c>
      <c r="C33">
        <v>2</v>
      </c>
      <c r="D33" s="8">
        <v>0.14174051392777226</v>
      </c>
    </row>
    <row r="34" spans="1:4" x14ac:dyDescent="0.2">
      <c r="A34" t="s">
        <v>965</v>
      </c>
      <c r="B34" t="s">
        <v>947</v>
      </c>
      <c r="C34">
        <v>3</v>
      </c>
      <c r="D34" s="8">
        <v>6.5766343843065261E-2</v>
      </c>
    </row>
    <row r="35" spans="1:4" x14ac:dyDescent="0.2">
      <c r="A35" t="s">
        <v>962</v>
      </c>
      <c r="B35" t="s">
        <v>947</v>
      </c>
      <c r="C35">
        <v>1</v>
      </c>
      <c r="D35" s="8">
        <v>2.8724151261894763E-2</v>
      </c>
    </row>
    <row r="36" spans="1:4" x14ac:dyDescent="0.2">
      <c r="A36" t="s">
        <v>962</v>
      </c>
      <c r="B36" t="s">
        <v>947</v>
      </c>
      <c r="C36">
        <v>2</v>
      </c>
      <c r="D36" s="8">
        <v>-5.7445007836083146E-2</v>
      </c>
    </row>
    <row r="37" spans="1:4" x14ac:dyDescent="0.2">
      <c r="A37" t="s">
        <v>962</v>
      </c>
      <c r="B37" t="s">
        <v>947</v>
      </c>
      <c r="C37">
        <v>3</v>
      </c>
      <c r="D37" s="8">
        <v>-7.1542541319762232E-2</v>
      </c>
    </row>
    <row r="38" spans="1:4" x14ac:dyDescent="0.2">
      <c r="A38" t="s">
        <v>961</v>
      </c>
      <c r="B38" t="s">
        <v>1008</v>
      </c>
      <c r="C38">
        <v>1</v>
      </c>
      <c r="D38" s="8">
        <v>0.5295093241793507</v>
      </c>
    </row>
    <row r="39" spans="1:4" x14ac:dyDescent="0.2">
      <c r="A39" t="s">
        <v>961</v>
      </c>
      <c r="B39" t="s">
        <v>1008</v>
      </c>
      <c r="C39">
        <v>2</v>
      </c>
      <c r="D39" s="8">
        <v>1.146128035678238</v>
      </c>
    </row>
    <row r="40" spans="1:4" x14ac:dyDescent="0.2">
      <c r="A40" t="s">
        <v>961</v>
      </c>
      <c r="B40" t="s">
        <v>1008</v>
      </c>
      <c r="C40">
        <v>3</v>
      </c>
      <c r="D40" s="8">
        <v>0.65321251377534373</v>
      </c>
    </row>
    <row r="41" spans="1:4" x14ac:dyDescent="0.2">
      <c r="A41" t="s">
        <v>965</v>
      </c>
      <c r="B41" t="s">
        <v>1008</v>
      </c>
      <c r="C41">
        <v>1</v>
      </c>
      <c r="D41" s="8">
        <v>0.37471723660617084</v>
      </c>
    </row>
    <row r="42" spans="1:4" x14ac:dyDescent="0.2">
      <c r="A42" t="s">
        <v>965</v>
      </c>
      <c r="B42" t="s">
        <v>1008</v>
      </c>
      <c r="C42">
        <v>2</v>
      </c>
      <c r="D42" s="8">
        <v>0.12854286087712524</v>
      </c>
    </row>
    <row r="43" spans="1:4" x14ac:dyDescent="0.2">
      <c r="A43" t="s">
        <v>965</v>
      </c>
      <c r="B43" t="s">
        <v>1008</v>
      </c>
      <c r="C43">
        <v>3</v>
      </c>
      <c r="D43" s="8">
        <v>0.12301545340731369</v>
      </c>
    </row>
    <row r="44" spans="1:4" x14ac:dyDescent="0.2">
      <c r="A44" t="s">
        <v>962</v>
      </c>
      <c r="B44" t="s">
        <v>1008</v>
      </c>
      <c r="C44">
        <v>1</v>
      </c>
      <c r="D44" s="8">
        <v>0.57279219561217043</v>
      </c>
    </row>
    <row r="45" spans="1:4" x14ac:dyDescent="0.2">
      <c r="A45" t="s">
        <v>962</v>
      </c>
      <c r="B45" t="s">
        <v>1008</v>
      </c>
      <c r="C45">
        <v>2</v>
      </c>
      <c r="D45" s="8">
        <v>0.13831950555349709</v>
      </c>
    </row>
    <row r="46" spans="1:4" x14ac:dyDescent="0.2">
      <c r="A46" t="s">
        <v>962</v>
      </c>
      <c r="B46" t="s">
        <v>1008</v>
      </c>
      <c r="C46">
        <v>3</v>
      </c>
      <c r="D46" s="8">
        <v>0.65709250960072796</v>
      </c>
    </row>
    <row r="47" spans="1:4" x14ac:dyDescent="0.2">
      <c r="A47" t="s">
        <v>961</v>
      </c>
      <c r="B47" t="s">
        <v>27</v>
      </c>
      <c r="C47">
        <v>1</v>
      </c>
      <c r="D47" s="8">
        <v>1.0243593458594447</v>
      </c>
    </row>
    <row r="48" spans="1:4" x14ac:dyDescent="0.2">
      <c r="A48" t="s">
        <v>961</v>
      </c>
      <c r="B48" t="s">
        <v>27</v>
      </c>
      <c r="C48">
        <v>2</v>
      </c>
      <c r="D48" s="8">
        <v>0.9242792860618817</v>
      </c>
    </row>
    <row r="49" spans="1:4" x14ac:dyDescent="0.2">
      <c r="A49" t="s">
        <v>961</v>
      </c>
      <c r="B49" t="s">
        <v>27</v>
      </c>
      <c r="C49">
        <v>3</v>
      </c>
      <c r="D49" s="8">
        <v>1.2688453122925798</v>
      </c>
    </row>
    <row r="50" spans="1:4" x14ac:dyDescent="0.2">
      <c r="A50" t="s">
        <v>965</v>
      </c>
      <c r="B50" t="s">
        <v>27</v>
      </c>
      <c r="C50">
        <v>1</v>
      </c>
      <c r="D50" s="8">
        <v>0.40383211692567744</v>
      </c>
    </row>
    <row r="51" spans="1:4" x14ac:dyDescent="0.2">
      <c r="A51" t="s">
        <v>965</v>
      </c>
      <c r="B51" t="s">
        <v>27</v>
      </c>
      <c r="C51">
        <v>2</v>
      </c>
      <c r="D51" s="8">
        <v>0.23671602715862902</v>
      </c>
    </row>
    <row r="52" spans="1:4" x14ac:dyDescent="0.2">
      <c r="A52" t="s">
        <v>965</v>
      </c>
      <c r="B52" t="s">
        <v>27</v>
      </c>
      <c r="C52">
        <v>3</v>
      </c>
      <c r="D52" s="8">
        <v>0.28300750719800583</v>
      </c>
    </row>
    <row r="53" spans="1:4" x14ac:dyDescent="0.2">
      <c r="A53" t="s">
        <v>962</v>
      </c>
      <c r="B53" t="s">
        <v>27</v>
      </c>
      <c r="C53">
        <v>1</v>
      </c>
      <c r="D53" s="8">
        <v>2.0006954276616513</v>
      </c>
    </row>
    <row r="54" spans="1:4" x14ac:dyDescent="0.2">
      <c r="A54" t="s">
        <v>962</v>
      </c>
      <c r="B54" t="s">
        <v>27</v>
      </c>
      <c r="C54">
        <v>2</v>
      </c>
      <c r="D54" s="8">
        <v>1.9324006265021905</v>
      </c>
    </row>
    <row r="55" spans="1:4" x14ac:dyDescent="0.2">
      <c r="A55" t="s">
        <v>962</v>
      </c>
      <c r="B55" t="s">
        <v>27</v>
      </c>
      <c r="C55">
        <v>3</v>
      </c>
      <c r="D55" s="8">
        <v>2.3136106414033524</v>
      </c>
    </row>
    <row r="56" spans="1:4" x14ac:dyDescent="0.2">
      <c r="A56" t="s">
        <v>961</v>
      </c>
      <c r="B56" t="s">
        <v>1009</v>
      </c>
      <c r="C56">
        <v>1</v>
      </c>
      <c r="D56" s="8">
        <v>-0.66237620205956249</v>
      </c>
    </row>
    <row r="57" spans="1:4" x14ac:dyDescent="0.2">
      <c r="A57" t="s">
        <v>961</v>
      </c>
      <c r="B57" t="s">
        <v>1009</v>
      </c>
      <c r="C57">
        <v>2</v>
      </c>
      <c r="D57" s="8">
        <v>-0.85387196432176193</v>
      </c>
    </row>
    <row r="58" spans="1:4" x14ac:dyDescent="0.2">
      <c r="A58" t="s">
        <v>961</v>
      </c>
      <c r="B58" t="s">
        <v>1009</v>
      </c>
      <c r="C58">
        <v>3</v>
      </c>
      <c r="D58" s="8">
        <v>-0.81635560305387289</v>
      </c>
    </row>
    <row r="59" spans="1:4" x14ac:dyDescent="0.2">
      <c r="A59" t="s">
        <v>965</v>
      </c>
      <c r="B59" t="s">
        <v>1009</v>
      </c>
      <c r="C59">
        <v>1</v>
      </c>
      <c r="D59" s="8">
        <v>-2.8243242983169409E-2</v>
      </c>
    </row>
    <row r="60" spans="1:4" x14ac:dyDescent="0.2">
      <c r="A60" t="s">
        <v>965</v>
      </c>
      <c r="B60" t="s">
        <v>1009</v>
      </c>
      <c r="C60">
        <v>2</v>
      </c>
      <c r="D60" s="8">
        <v>0.43440456509997544</v>
      </c>
    </row>
    <row r="61" spans="1:4" x14ac:dyDescent="0.2">
      <c r="A61" t="s">
        <v>965</v>
      </c>
      <c r="B61" t="s">
        <v>1009</v>
      </c>
      <c r="C61">
        <v>3</v>
      </c>
      <c r="D61" s="8">
        <v>0.12795647161416174</v>
      </c>
    </row>
    <row r="62" spans="1:4" x14ac:dyDescent="0.2">
      <c r="A62" t="s">
        <v>962</v>
      </c>
      <c r="B62" t="s">
        <v>1009</v>
      </c>
      <c r="C62">
        <v>1</v>
      </c>
      <c r="D62" s="8">
        <v>1.9509644923490641</v>
      </c>
    </row>
    <row r="63" spans="1:4" x14ac:dyDescent="0.2">
      <c r="A63" t="s">
        <v>962</v>
      </c>
      <c r="B63" t="s">
        <v>1009</v>
      </c>
      <c r="C63">
        <v>2</v>
      </c>
      <c r="D63" s="8">
        <v>1.9132656160619292</v>
      </c>
    </row>
    <row r="64" spans="1:4" x14ac:dyDescent="0.2">
      <c r="A64" t="s">
        <v>962</v>
      </c>
      <c r="B64" t="s">
        <v>1009</v>
      </c>
      <c r="C64">
        <v>3</v>
      </c>
      <c r="D64" s="8">
        <v>2.2008422728946888</v>
      </c>
    </row>
    <row r="65" spans="1:4" x14ac:dyDescent="0.2">
      <c r="A65" t="s">
        <v>961</v>
      </c>
      <c r="B65" t="s">
        <v>1010</v>
      </c>
      <c r="C65">
        <v>1</v>
      </c>
      <c r="D65" s="8">
        <v>0.86945738587370158</v>
      </c>
    </row>
    <row r="66" spans="1:4" x14ac:dyDescent="0.2">
      <c r="A66" t="s">
        <v>961</v>
      </c>
      <c r="B66" t="s">
        <v>1010</v>
      </c>
      <c r="C66">
        <v>2</v>
      </c>
      <c r="D66" s="8">
        <v>0.76591679396663204</v>
      </c>
    </row>
    <row r="67" spans="1:4" x14ac:dyDescent="0.2">
      <c r="A67" t="s">
        <v>961</v>
      </c>
      <c r="B67" t="s">
        <v>1010</v>
      </c>
      <c r="C67">
        <v>3</v>
      </c>
      <c r="D67" s="8">
        <v>0.65321251377534373</v>
      </c>
    </row>
    <row r="68" spans="1:4" x14ac:dyDescent="0.2">
      <c r="A68" t="s">
        <v>965</v>
      </c>
      <c r="B68" t="s">
        <v>1010</v>
      </c>
      <c r="C68">
        <v>1</v>
      </c>
      <c r="D68" s="8">
        <v>0.42919770240247967</v>
      </c>
    </row>
    <row r="69" spans="1:4" x14ac:dyDescent="0.2">
      <c r="A69" t="s">
        <v>965</v>
      </c>
      <c r="B69" t="s">
        <v>1010</v>
      </c>
      <c r="C69">
        <v>2</v>
      </c>
      <c r="D69" s="8">
        <v>0.16633142176652496</v>
      </c>
    </row>
    <row r="70" spans="1:4" x14ac:dyDescent="0.2">
      <c r="A70" t="s">
        <v>965</v>
      </c>
      <c r="B70" t="s">
        <v>1010</v>
      </c>
      <c r="C70">
        <v>3</v>
      </c>
      <c r="D70" s="8">
        <v>0.19910562247779665</v>
      </c>
    </row>
    <row r="71" spans="1:4" x14ac:dyDescent="0.2">
      <c r="A71" t="s">
        <v>962</v>
      </c>
      <c r="B71" t="s">
        <v>1010</v>
      </c>
      <c r="C71">
        <v>1</v>
      </c>
      <c r="D71" s="8">
        <v>0.144750454717024</v>
      </c>
    </row>
    <row r="72" spans="1:4" x14ac:dyDescent="0.2">
      <c r="A72" t="s">
        <v>962</v>
      </c>
      <c r="B72" t="s">
        <v>1010</v>
      </c>
      <c r="C72">
        <v>2</v>
      </c>
      <c r="D72" s="8">
        <v>-0.48856943649363255</v>
      </c>
    </row>
    <row r="73" spans="1:4" x14ac:dyDescent="0.2">
      <c r="A73" t="s">
        <v>962</v>
      </c>
      <c r="B73" t="s">
        <v>1010</v>
      </c>
      <c r="C73">
        <v>3</v>
      </c>
      <c r="D73" s="8">
        <v>-2.9158228741213422E-2</v>
      </c>
    </row>
    <row r="74" spans="1:4" x14ac:dyDescent="0.2">
      <c r="A74" t="s">
        <v>961</v>
      </c>
      <c r="B74" t="s">
        <v>1011</v>
      </c>
      <c r="C74">
        <v>1</v>
      </c>
      <c r="D74" s="8">
        <v>0.87629681040400698</v>
      </c>
    </row>
    <row r="75" spans="1:4" x14ac:dyDescent="0.2">
      <c r="A75" t="s">
        <v>961</v>
      </c>
      <c r="B75" t="s">
        <v>1011</v>
      </c>
      <c r="C75">
        <v>2</v>
      </c>
      <c r="D75" s="8">
        <v>1.0492180226701817</v>
      </c>
    </row>
    <row r="76" spans="1:4" x14ac:dyDescent="0.2">
      <c r="A76" t="s">
        <v>961</v>
      </c>
      <c r="B76" t="s">
        <v>1011</v>
      </c>
      <c r="C76">
        <v>3</v>
      </c>
      <c r="D76" s="8">
        <v>1.1760912590556813</v>
      </c>
    </row>
    <row r="77" spans="1:4" x14ac:dyDescent="0.2">
      <c r="A77" t="s">
        <v>965</v>
      </c>
      <c r="B77" t="s">
        <v>1011</v>
      </c>
      <c r="C77">
        <v>1</v>
      </c>
      <c r="D77" s="8">
        <v>0.30385928568284543</v>
      </c>
    </row>
    <row r="78" spans="1:4" x14ac:dyDescent="0.2">
      <c r="A78" t="s">
        <v>965</v>
      </c>
      <c r="B78" t="s">
        <v>1011</v>
      </c>
      <c r="C78">
        <v>2</v>
      </c>
      <c r="D78" s="8">
        <v>0.68580855827804799</v>
      </c>
    </row>
    <row r="79" spans="1:4" x14ac:dyDescent="0.2">
      <c r="A79" t="s">
        <v>965</v>
      </c>
      <c r="B79" t="s">
        <v>1011</v>
      </c>
      <c r="C79">
        <v>3</v>
      </c>
      <c r="D79" s="8">
        <v>5.7776469681327269E-2</v>
      </c>
    </row>
    <row r="80" spans="1:4" x14ac:dyDescent="0.2">
      <c r="A80" t="s">
        <v>962</v>
      </c>
      <c r="B80" t="s">
        <v>1011</v>
      </c>
      <c r="C80">
        <v>1</v>
      </c>
      <c r="D80" s="8">
        <v>-0.60719410732703505</v>
      </c>
    </row>
    <row r="81" spans="1:4" x14ac:dyDescent="0.2">
      <c r="A81" t="s">
        <v>962</v>
      </c>
      <c r="B81" t="s">
        <v>1011</v>
      </c>
      <c r="C81">
        <v>2</v>
      </c>
      <c r="D81" s="8">
        <v>-0.55525546689581551</v>
      </c>
    </row>
    <row r="82" spans="1:4" x14ac:dyDescent="0.2">
      <c r="A82" t="s">
        <v>962</v>
      </c>
      <c r="B82" t="s">
        <v>1011</v>
      </c>
      <c r="C82">
        <v>3</v>
      </c>
      <c r="D82" s="8">
        <v>-0.59619432164932851</v>
      </c>
    </row>
    <row r="83" spans="1:4" x14ac:dyDescent="0.2">
      <c r="A83" t="s">
        <v>961</v>
      </c>
      <c r="B83" t="s">
        <v>3</v>
      </c>
      <c r="C83">
        <v>1</v>
      </c>
      <c r="D83" s="8">
        <v>1.8896607719619885</v>
      </c>
    </row>
    <row r="84" spans="1:4" x14ac:dyDescent="0.2">
      <c r="A84" t="s">
        <v>961</v>
      </c>
      <c r="B84" t="s">
        <v>3</v>
      </c>
      <c r="C84">
        <v>2</v>
      </c>
      <c r="D84" s="8">
        <v>2.0747721271425696</v>
      </c>
    </row>
    <row r="85" spans="1:4" x14ac:dyDescent="0.2">
      <c r="A85" t="s">
        <v>961</v>
      </c>
      <c r="B85" t="s">
        <v>3</v>
      </c>
      <c r="C85">
        <v>3</v>
      </c>
      <c r="D85" s="8">
        <v>1.7191733904243058</v>
      </c>
    </row>
    <row r="86" spans="1:4" x14ac:dyDescent="0.2">
      <c r="A86" t="s">
        <v>965</v>
      </c>
      <c r="B86" t="s">
        <v>3</v>
      </c>
      <c r="C86">
        <v>1</v>
      </c>
      <c r="D86" s="8">
        <v>0.23976033892505849</v>
      </c>
    </row>
    <row r="87" spans="1:4" x14ac:dyDescent="0.2">
      <c r="A87" t="s">
        <v>965</v>
      </c>
      <c r="B87" t="s">
        <v>3</v>
      </c>
      <c r="C87">
        <v>2</v>
      </c>
      <c r="D87" s="8">
        <v>0.56662215055883924</v>
      </c>
    </row>
    <row r="88" spans="1:4" x14ac:dyDescent="0.2">
      <c r="A88" t="s">
        <v>965</v>
      </c>
      <c r="B88" t="s">
        <v>3</v>
      </c>
      <c r="C88">
        <v>3</v>
      </c>
      <c r="D88" s="8">
        <v>0.13091976073163503</v>
      </c>
    </row>
    <row r="89" spans="1:4" x14ac:dyDescent="0.2">
      <c r="A89" t="s">
        <v>962</v>
      </c>
      <c r="B89" t="s">
        <v>3</v>
      </c>
      <c r="C89">
        <v>1</v>
      </c>
      <c r="D89" s="8">
        <v>0.66642449885899091</v>
      </c>
    </row>
    <row r="90" spans="1:4" x14ac:dyDescent="0.2">
      <c r="A90" t="s">
        <v>962</v>
      </c>
      <c r="B90" t="s">
        <v>3</v>
      </c>
      <c r="C90">
        <v>2</v>
      </c>
      <c r="D90" s="8">
        <v>0.43614436134226686</v>
      </c>
    </row>
    <row r="91" spans="1:4" x14ac:dyDescent="0.2">
      <c r="A91" t="s">
        <v>962</v>
      </c>
      <c r="B91" t="s">
        <v>3</v>
      </c>
      <c r="C91">
        <v>3</v>
      </c>
      <c r="D91" s="8">
        <v>0.57075355796648297</v>
      </c>
    </row>
    <row r="92" spans="1:4" x14ac:dyDescent="0.2">
      <c r="A92" t="s">
        <v>961</v>
      </c>
      <c r="B92" t="s">
        <v>54</v>
      </c>
      <c r="C92">
        <v>1</v>
      </c>
      <c r="D92" s="8">
        <v>-0.2581872441105233</v>
      </c>
    </row>
    <row r="93" spans="1:4" x14ac:dyDescent="0.2">
      <c r="A93" t="s">
        <v>961</v>
      </c>
      <c r="B93" t="s">
        <v>54</v>
      </c>
      <c r="C93">
        <v>2</v>
      </c>
      <c r="D93" s="8">
        <v>0.44715803134221926</v>
      </c>
    </row>
    <row r="94" spans="1:4" x14ac:dyDescent="0.2">
      <c r="A94" t="s">
        <v>961</v>
      </c>
      <c r="B94" t="s">
        <v>54</v>
      </c>
      <c r="C94">
        <v>3</v>
      </c>
      <c r="D94" s="8">
        <v>0.38154959248386816</v>
      </c>
    </row>
    <row r="95" spans="1:4" x14ac:dyDescent="0.2">
      <c r="A95" t="s">
        <v>965</v>
      </c>
      <c r="B95" t="s">
        <v>54</v>
      </c>
      <c r="C95">
        <v>1</v>
      </c>
      <c r="D95" s="8">
        <v>0.32603226463403684</v>
      </c>
    </row>
    <row r="96" spans="1:4" x14ac:dyDescent="0.2">
      <c r="A96" t="s">
        <v>965</v>
      </c>
      <c r="B96" t="s">
        <v>54</v>
      </c>
      <c r="C96">
        <v>2</v>
      </c>
      <c r="D96" s="8">
        <v>0.41863682987503414</v>
      </c>
    </row>
    <row r="97" spans="1:4" x14ac:dyDescent="0.2">
      <c r="A97" t="s">
        <v>965</v>
      </c>
      <c r="B97" t="s">
        <v>54</v>
      </c>
      <c r="C97">
        <v>3</v>
      </c>
      <c r="D97" s="8">
        <v>0.29849025461370843</v>
      </c>
    </row>
    <row r="98" spans="1:4" x14ac:dyDescent="0.2">
      <c r="A98" t="s">
        <v>962</v>
      </c>
      <c r="B98" t="s">
        <v>54</v>
      </c>
      <c r="C98">
        <v>1</v>
      </c>
      <c r="D98" s="8">
        <v>4.3447408082601127E-2</v>
      </c>
    </row>
    <row r="99" spans="1:4" x14ac:dyDescent="0.2">
      <c r="A99" t="s">
        <v>962</v>
      </c>
      <c r="B99" t="s">
        <v>54</v>
      </c>
      <c r="C99">
        <v>2</v>
      </c>
      <c r="D99" s="8">
        <v>-0.27942490481321369</v>
      </c>
    </row>
    <row r="100" spans="1:4" x14ac:dyDescent="0.2">
      <c r="A100" t="s">
        <v>962</v>
      </c>
      <c r="B100" t="s">
        <v>54</v>
      </c>
      <c r="C100">
        <v>3</v>
      </c>
      <c r="D100" s="8">
        <v>-0.29284808325816652</v>
      </c>
    </row>
    <row r="101" spans="1:4" x14ac:dyDescent="0.2">
      <c r="A101" t="s">
        <v>961</v>
      </c>
      <c r="B101" t="s">
        <v>58</v>
      </c>
      <c r="C101">
        <v>1</v>
      </c>
      <c r="D101" s="8">
        <v>0.36678202668165094</v>
      </c>
    </row>
    <row r="102" spans="1:4" x14ac:dyDescent="0.2">
      <c r="A102" t="s">
        <v>961</v>
      </c>
      <c r="B102" t="s">
        <v>58</v>
      </c>
      <c r="C102">
        <v>2</v>
      </c>
      <c r="D102" s="8">
        <v>0.18089014193745001</v>
      </c>
    </row>
    <row r="103" spans="1:4" x14ac:dyDescent="0.2">
      <c r="A103" t="s">
        <v>961</v>
      </c>
      <c r="B103" t="s">
        <v>58</v>
      </c>
      <c r="C103">
        <v>3</v>
      </c>
      <c r="D103" s="8">
        <v>0.3010299956639812</v>
      </c>
    </row>
    <row r="104" spans="1:4" x14ac:dyDescent="0.2">
      <c r="A104" t="s">
        <v>965</v>
      </c>
      <c r="B104" t="s">
        <v>58</v>
      </c>
      <c r="C104">
        <v>1</v>
      </c>
      <c r="D104" s="8">
        <v>0.15409696534951334</v>
      </c>
    </row>
    <row r="105" spans="1:4" x14ac:dyDescent="0.2">
      <c r="A105" t="s">
        <v>965</v>
      </c>
      <c r="B105" t="s">
        <v>58</v>
      </c>
      <c r="C105">
        <v>2</v>
      </c>
      <c r="D105" s="8">
        <v>0.43593108506144801</v>
      </c>
    </row>
    <row r="106" spans="1:4" x14ac:dyDescent="0.2">
      <c r="A106" t="s">
        <v>965</v>
      </c>
      <c r="B106" t="s">
        <v>58</v>
      </c>
      <c r="C106">
        <v>3</v>
      </c>
      <c r="D106" s="8">
        <v>0.13840778212418492</v>
      </c>
    </row>
    <row r="107" spans="1:4" x14ac:dyDescent="0.2">
      <c r="A107" t="s">
        <v>962</v>
      </c>
      <c r="B107" t="s">
        <v>58</v>
      </c>
      <c r="C107">
        <v>1</v>
      </c>
      <c r="D107" s="8">
        <v>0.59299558170045741</v>
      </c>
    </row>
    <row r="108" spans="1:4" x14ac:dyDescent="0.2">
      <c r="A108" t="s">
        <v>962</v>
      </c>
      <c r="B108" t="s">
        <v>58</v>
      </c>
      <c r="C108">
        <v>2</v>
      </c>
      <c r="D108" s="8">
        <v>0.29861649742594637</v>
      </c>
    </row>
    <row r="109" spans="1:4" x14ac:dyDescent="0.2">
      <c r="A109" t="s">
        <v>962</v>
      </c>
      <c r="B109" t="s">
        <v>58</v>
      </c>
      <c r="C109">
        <v>3</v>
      </c>
      <c r="D109" s="8">
        <v>-4.0740101291028549E-2</v>
      </c>
    </row>
    <row r="110" spans="1:4" x14ac:dyDescent="0.2">
      <c r="A110" t="s">
        <v>961</v>
      </c>
      <c r="B110" t="s">
        <v>85</v>
      </c>
      <c r="C110">
        <v>1</v>
      </c>
      <c r="D110" s="8">
        <v>0.12374397799535646</v>
      </c>
    </row>
    <row r="111" spans="1:4" x14ac:dyDescent="0.2">
      <c r="A111" t="s">
        <v>961</v>
      </c>
      <c r="B111" t="s">
        <v>85</v>
      </c>
      <c r="C111">
        <v>2</v>
      </c>
      <c r="D111" s="8">
        <v>0.78819318867778432</v>
      </c>
    </row>
    <row r="112" spans="1:4" x14ac:dyDescent="0.2">
      <c r="A112" t="s">
        <v>961</v>
      </c>
      <c r="B112" t="s">
        <v>85</v>
      </c>
      <c r="C112">
        <v>3</v>
      </c>
      <c r="D112" s="8">
        <v>0.28082660957569422</v>
      </c>
    </row>
    <row r="113" spans="1:4" x14ac:dyDescent="0.2">
      <c r="A113" t="s">
        <v>965</v>
      </c>
      <c r="B113" t="s">
        <v>85</v>
      </c>
      <c r="C113">
        <v>1</v>
      </c>
      <c r="D113" s="8">
        <v>0.4259687322722811</v>
      </c>
    </row>
    <row r="114" spans="1:4" x14ac:dyDescent="0.2">
      <c r="A114" t="s">
        <v>965</v>
      </c>
      <c r="B114" t="s">
        <v>85</v>
      </c>
      <c r="C114">
        <v>2</v>
      </c>
      <c r="D114" s="8">
        <v>0.3251928726298226</v>
      </c>
    </row>
    <row r="115" spans="1:4" x14ac:dyDescent="0.2">
      <c r="A115" t="s">
        <v>965</v>
      </c>
      <c r="B115" t="s">
        <v>85</v>
      </c>
      <c r="C115">
        <v>3</v>
      </c>
      <c r="D115" s="8">
        <v>0.14795310003041529</v>
      </c>
    </row>
    <row r="116" spans="1:4" x14ac:dyDescent="0.2">
      <c r="A116" t="s">
        <v>962</v>
      </c>
      <c r="B116" t="s">
        <v>85</v>
      </c>
      <c r="C116">
        <v>1</v>
      </c>
      <c r="D116" s="8">
        <v>1.1983813003121662</v>
      </c>
    </row>
    <row r="117" spans="1:4" x14ac:dyDescent="0.2">
      <c r="A117" t="s">
        <v>962</v>
      </c>
      <c r="B117" t="s">
        <v>85</v>
      </c>
      <c r="C117">
        <v>2</v>
      </c>
      <c r="D117" s="8">
        <v>1.0632809480434913</v>
      </c>
    </row>
    <row r="118" spans="1:4" x14ac:dyDescent="0.2">
      <c r="A118" t="s">
        <v>962</v>
      </c>
      <c r="B118" t="s">
        <v>85</v>
      </c>
      <c r="C118">
        <v>3</v>
      </c>
      <c r="D118" s="8">
        <v>1.5681134618002746</v>
      </c>
    </row>
    <row r="119" spans="1:4" x14ac:dyDescent="0.2">
      <c r="A119" t="s">
        <v>961</v>
      </c>
      <c r="B119" t="s">
        <v>4</v>
      </c>
      <c r="C119">
        <v>1</v>
      </c>
      <c r="D119" s="8">
        <v>0.75135807379570696</v>
      </c>
    </row>
    <row r="120" spans="1:4" x14ac:dyDescent="0.2">
      <c r="A120" t="s">
        <v>961</v>
      </c>
      <c r="B120" t="s">
        <v>4</v>
      </c>
      <c r="C120">
        <v>2</v>
      </c>
      <c r="D120" s="8">
        <v>1.0543576623225928</v>
      </c>
    </row>
    <row r="121" spans="1:4" x14ac:dyDescent="0.2">
      <c r="A121" t="s">
        <v>961</v>
      </c>
      <c r="B121" t="s">
        <v>4</v>
      </c>
      <c r="C121">
        <v>3</v>
      </c>
      <c r="D121" s="8">
        <v>0.80370535485603178</v>
      </c>
    </row>
    <row r="122" spans="1:4" x14ac:dyDescent="0.2">
      <c r="A122" t="s">
        <v>965</v>
      </c>
      <c r="B122" t="s">
        <v>4</v>
      </c>
      <c r="C122">
        <v>1</v>
      </c>
      <c r="D122" s="8">
        <v>0.17430035143780032</v>
      </c>
    </row>
    <row r="123" spans="1:4" x14ac:dyDescent="0.2">
      <c r="A123" t="s">
        <v>965</v>
      </c>
      <c r="B123" t="s">
        <v>4</v>
      </c>
      <c r="C123">
        <v>2</v>
      </c>
      <c r="D123" s="8">
        <v>0.11593325032148677</v>
      </c>
    </row>
    <row r="124" spans="1:4" x14ac:dyDescent="0.2">
      <c r="A124" t="s">
        <v>965</v>
      </c>
      <c r="B124" t="s">
        <v>4</v>
      </c>
      <c r="C124">
        <v>3</v>
      </c>
      <c r="D124" s="8">
        <v>0.19494966270663891</v>
      </c>
    </row>
    <row r="125" spans="1:4" x14ac:dyDescent="0.2">
      <c r="A125" t="s">
        <v>962</v>
      </c>
      <c r="B125" t="s">
        <v>4</v>
      </c>
      <c r="C125">
        <v>1</v>
      </c>
      <c r="D125" s="8">
        <v>1.6137508032910768</v>
      </c>
    </row>
    <row r="126" spans="1:4" x14ac:dyDescent="0.2">
      <c r="A126" t="s">
        <v>962</v>
      </c>
      <c r="B126" t="s">
        <v>4</v>
      </c>
      <c r="C126">
        <v>2</v>
      </c>
      <c r="D126" s="8">
        <v>1.3308011807973477</v>
      </c>
    </row>
    <row r="127" spans="1:4" x14ac:dyDescent="0.2">
      <c r="A127" t="s">
        <v>962</v>
      </c>
      <c r="B127" t="s">
        <v>4</v>
      </c>
      <c r="C127">
        <v>3</v>
      </c>
      <c r="D127" s="8">
        <v>1.7464458326285504</v>
      </c>
    </row>
    <row r="128" spans="1:4" x14ac:dyDescent="0.2">
      <c r="A128" t="s">
        <v>961</v>
      </c>
      <c r="B128" t="s">
        <v>90</v>
      </c>
      <c r="C128">
        <v>1</v>
      </c>
      <c r="D128" s="8">
        <v>0.38170770461154652</v>
      </c>
    </row>
    <row r="129" spans="1:4" x14ac:dyDescent="0.2">
      <c r="A129" t="s">
        <v>961</v>
      </c>
      <c r="B129" t="s">
        <v>90</v>
      </c>
      <c r="C129">
        <v>2</v>
      </c>
      <c r="D129" s="8">
        <v>0.24303804868629444</v>
      </c>
    </row>
    <row r="130" spans="1:4" x14ac:dyDescent="0.2">
      <c r="A130" t="s">
        <v>961</v>
      </c>
      <c r="B130" t="s">
        <v>90</v>
      </c>
      <c r="C130">
        <v>3</v>
      </c>
      <c r="D130" s="8">
        <v>0.18326984368280461</v>
      </c>
    </row>
    <row r="131" spans="1:4" x14ac:dyDescent="0.2">
      <c r="A131" t="s">
        <v>965</v>
      </c>
      <c r="B131" t="s">
        <v>90</v>
      </c>
      <c r="C131">
        <v>1</v>
      </c>
      <c r="D131" s="8">
        <v>0.312459457444763</v>
      </c>
    </row>
    <row r="132" spans="1:4" x14ac:dyDescent="0.2">
      <c r="A132" t="s">
        <v>965</v>
      </c>
      <c r="B132" t="s">
        <v>90</v>
      </c>
      <c r="C132">
        <v>2</v>
      </c>
      <c r="D132" s="8">
        <v>-0.1021025293947519</v>
      </c>
    </row>
    <row r="133" spans="1:4" x14ac:dyDescent="0.2">
      <c r="A133" t="s">
        <v>965</v>
      </c>
      <c r="B133" t="s">
        <v>90</v>
      </c>
      <c r="C133">
        <v>3</v>
      </c>
      <c r="D133" s="8">
        <v>0.2728918366387153</v>
      </c>
    </row>
    <row r="134" spans="1:4" x14ac:dyDescent="0.2">
      <c r="A134" t="s">
        <v>962</v>
      </c>
      <c r="B134" t="s">
        <v>90</v>
      </c>
      <c r="C134">
        <v>1</v>
      </c>
      <c r="D134" s="8">
        <v>0.94041431001575593</v>
      </c>
    </row>
    <row r="135" spans="1:4" x14ac:dyDescent="0.2">
      <c r="A135" t="s">
        <v>962</v>
      </c>
      <c r="B135" t="s">
        <v>90</v>
      </c>
      <c r="C135">
        <v>2</v>
      </c>
      <c r="D135" s="8">
        <v>0.94747971659303099</v>
      </c>
    </row>
    <row r="136" spans="1:4" x14ac:dyDescent="0.2">
      <c r="A136" t="s">
        <v>962</v>
      </c>
      <c r="B136" t="s">
        <v>90</v>
      </c>
      <c r="C136">
        <v>3</v>
      </c>
      <c r="D136" s="8">
        <v>1.4533009987733216</v>
      </c>
    </row>
    <row r="137" spans="1:4" x14ac:dyDescent="0.2">
      <c r="A137" t="s">
        <v>961</v>
      </c>
      <c r="B137" t="s">
        <v>21</v>
      </c>
      <c r="C137">
        <v>1</v>
      </c>
      <c r="D137" s="8">
        <v>0.97320682341206344</v>
      </c>
    </row>
    <row r="138" spans="1:4" x14ac:dyDescent="0.2">
      <c r="A138" t="s">
        <v>961</v>
      </c>
      <c r="B138" t="s">
        <v>21</v>
      </c>
      <c r="C138">
        <v>2</v>
      </c>
      <c r="D138" s="8">
        <v>0.82736927305382524</v>
      </c>
    </row>
    <row r="139" spans="1:4" x14ac:dyDescent="0.2">
      <c r="A139" t="s">
        <v>961</v>
      </c>
      <c r="B139" t="s">
        <v>21</v>
      </c>
      <c r="C139">
        <v>3</v>
      </c>
      <c r="D139" s="8">
        <v>0.34678748622465627</v>
      </c>
    </row>
    <row r="140" spans="1:4" x14ac:dyDescent="0.2">
      <c r="A140" t="s">
        <v>965</v>
      </c>
      <c r="B140" t="s">
        <v>21</v>
      </c>
      <c r="C140">
        <v>1</v>
      </c>
      <c r="D140" s="8">
        <v>0.21903777228252791</v>
      </c>
    </row>
    <row r="141" spans="1:4" x14ac:dyDescent="0.2">
      <c r="A141" t="s">
        <v>965</v>
      </c>
      <c r="B141" t="s">
        <v>21</v>
      </c>
      <c r="C141">
        <v>2</v>
      </c>
      <c r="D141" s="8">
        <v>-2.1355924673242443E-2</v>
      </c>
    </row>
    <row r="142" spans="1:4" x14ac:dyDescent="0.2">
      <c r="A142" t="s">
        <v>965</v>
      </c>
      <c r="B142" t="s">
        <v>21</v>
      </c>
      <c r="C142">
        <v>3</v>
      </c>
      <c r="D142" s="8">
        <v>0.26968669676350387</v>
      </c>
    </row>
    <row r="143" spans="1:4" x14ac:dyDescent="0.2">
      <c r="A143" t="s">
        <v>962</v>
      </c>
      <c r="B143" t="s">
        <v>21</v>
      </c>
      <c r="C143">
        <v>1</v>
      </c>
      <c r="D143" s="8">
        <v>1.3565473235138126</v>
      </c>
    </row>
    <row r="144" spans="1:4" x14ac:dyDescent="0.2">
      <c r="A144" t="s">
        <v>962</v>
      </c>
      <c r="B144" t="s">
        <v>21</v>
      </c>
      <c r="C144">
        <v>2</v>
      </c>
      <c r="D144" s="8">
        <v>1.0827864853229698</v>
      </c>
    </row>
    <row r="145" spans="1:4" x14ac:dyDescent="0.2">
      <c r="A145" t="s">
        <v>962</v>
      </c>
      <c r="B145" t="s">
        <v>21</v>
      </c>
      <c r="C145">
        <v>3</v>
      </c>
      <c r="D145" s="8">
        <v>1.5293608728082579</v>
      </c>
    </row>
    <row r="146" spans="1:4" x14ac:dyDescent="0.2">
      <c r="A146" t="s">
        <v>961</v>
      </c>
      <c r="B146" t="s">
        <v>10</v>
      </c>
      <c r="C146">
        <v>1</v>
      </c>
      <c r="D146" s="8">
        <v>0.65124292091243918</v>
      </c>
    </row>
    <row r="147" spans="1:4" x14ac:dyDescent="0.2">
      <c r="A147" t="s">
        <v>961</v>
      </c>
      <c r="B147" t="s">
        <v>10</v>
      </c>
      <c r="C147">
        <v>2</v>
      </c>
      <c r="D147" s="8">
        <v>0.81513481663681364</v>
      </c>
    </row>
    <row r="148" spans="1:4" x14ac:dyDescent="0.2">
      <c r="A148" t="s">
        <v>961</v>
      </c>
      <c r="B148" t="s">
        <v>10</v>
      </c>
      <c r="C148">
        <v>3</v>
      </c>
      <c r="D148" s="8">
        <v>0.84509804001425681</v>
      </c>
    </row>
    <row r="149" spans="1:4" x14ac:dyDescent="0.2">
      <c r="A149" t="s">
        <v>965</v>
      </c>
      <c r="B149" t="s">
        <v>10</v>
      </c>
      <c r="C149">
        <v>1</v>
      </c>
      <c r="D149" s="8">
        <v>7.5680945202052541E-2</v>
      </c>
    </row>
    <row r="150" spans="1:4" x14ac:dyDescent="0.2">
      <c r="A150" t="s">
        <v>965</v>
      </c>
      <c r="B150" t="s">
        <v>10</v>
      </c>
      <c r="C150">
        <v>2</v>
      </c>
      <c r="D150" s="8">
        <v>0.16093638987981879</v>
      </c>
    </row>
    <row r="151" spans="1:4" x14ac:dyDescent="0.2">
      <c r="A151" t="s">
        <v>965</v>
      </c>
      <c r="B151" t="s">
        <v>10</v>
      </c>
      <c r="C151">
        <v>3</v>
      </c>
      <c r="D151" s="8">
        <v>0.17510534607403017</v>
      </c>
    </row>
    <row r="152" spans="1:4" x14ac:dyDescent="0.2">
      <c r="A152" t="s">
        <v>962</v>
      </c>
      <c r="B152" t="s">
        <v>10</v>
      </c>
      <c r="C152">
        <v>1</v>
      </c>
      <c r="D152" s="8">
        <v>1.6345904288462283</v>
      </c>
    </row>
    <row r="153" spans="1:4" x14ac:dyDescent="0.2">
      <c r="A153" t="s">
        <v>962</v>
      </c>
      <c r="B153" t="s">
        <v>10</v>
      </c>
      <c r="C153">
        <v>2</v>
      </c>
      <c r="D153" s="8">
        <v>1.0800965139984064</v>
      </c>
    </row>
    <row r="154" spans="1:4" x14ac:dyDescent="0.2">
      <c r="A154" t="s">
        <v>962</v>
      </c>
      <c r="B154" t="s">
        <v>10</v>
      </c>
      <c r="C154">
        <v>3</v>
      </c>
      <c r="D154" s="8">
        <v>1.3542230597598992</v>
      </c>
    </row>
    <row r="155" spans="1:4" x14ac:dyDescent="0.2">
      <c r="A155" t="s">
        <v>961</v>
      </c>
      <c r="B155" t="s">
        <v>11</v>
      </c>
      <c r="C155">
        <v>1</v>
      </c>
      <c r="D155" s="8">
        <v>0.41081953684805222</v>
      </c>
    </row>
    <row r="156" spans="1:4" x14ac:dyDescent="0.2">
      <c r="A156" t="s">
        <v>961</v>
      </c>
      <c r="B156" t="s">
        <v>11</v>
      </c>
      <c r="C156">
        <v>2</v>
      </c>
      <c r="D156" s="8">
        <v>0.35024801833416286</v>
      </c>
    </row>
    <row r="157" spans="1:4" x14ac:dyDescent="0.2">
      <c r="A157" t="s">
        <v>961</v>
      </c>
      <c r="B157" t="s">
        <v>11</v>
      </c>
      <c r="C157">
        <v>3</v>
      </c>
      <c r="D157" s="8">
        <v>0.5392691614685069</v>
      </c>
    </row>
    <row r="158" spans="1:4" x14ac:dyDescent="0.2">
      <c r="A158" t="s">
        <v>965</v>
      </c>
      <c r="B158" t="s">
        <v>11</v>
      </c>
      <c r="C158">
        <v>1</v>
      </c>
      <c r="D158" s="8">
        <v>-0.50576643616919259</v>
      </c>
    </row>
    <row r="159" spans="1:4" x14ac:dyDescent="0.2">
      <c r="A159" t="s">
        <v>965</v>
      </c>
      <c r="B159" t="s">
        <v>11</v>
      </c>
      <c r="C159">
        <v>2</v>
      </c>
      <c r="D159" s="8">
        <v>0.10937122078445065</v>
      </c>
    </row>
    <row r="160" spans="1:4" x14ac:dyDescent="0.2">
      <c r="A160" t="s">
        <v>965</v>
      </c>
      <c r="B160" t="s">
        <v>11</v>
      </c>
      <c r="C160">
        <v>3</v>
      </c>
      <c r="D160" s="8">
        <v>-0.432917592227609</v>
      </c>
    </row>
    <row r="161" spans="1:4" x14ac:dyDescent="0.2">
      <c r="A161" t="s">
        <v>962</v>
      </c>
      <c r="B161" t="s">
        <v>11</v>
      </c>
      <c r="C161">
        <v>1</v>
      </c>
      <c r="D161" s="8">
        <v>0.48480280324197972</v>
      </c>
    </row>
    <row r="162" spans="1:4" x14ac:dyDescent="0.2">
      <c r="A162" t="s">
        <v>962</v>
      </c>
      <c r="B162" t="s">
        <v>11</v>
      </c>
      <c r="C162">
        <v>2</v>
      </c>
      <c r="D162" s="8">
        <v>0.40584382184541701</v>
      </c>
    </row>
    <row r="163" spans="1:4" x14ac:dyDescent="0.2">
      <c r="A163" t="s">
        <v>962</v>
      </c>
      <c r="B163" t="s">
        <v>11</v>
      </c>
      <c r="C163">
        <v>3</v>
      </c>
      <c r="D163" s="8">
        <v>0.72326169028249654</v>
      </c>
    </row>
    <row r="164" spans="1:4" x14ac:dyDescent="0.2">
      <c r="A164" t="s">
        <v>961</v>
      </c>
      <c r="B164" t="s">
        <v>84</v>
      </c>
      <c r="C164">
        <v>1</v>
      </c>
      <c r="D164" s="8">
        <v>0.33762379794043745</v>
      </c>
    </row>
    <row r="165" spans="1:4" x14ac:dyDescent="0.2">
      <c r="A165" t="s">
        <v>961</v>
      </c>
      <c r="B165" t="s">
        <v>84</v>
      </c>
      <c r="C165">
        <v>2</v>
      </c>
      <c r="D165" s="8">
        <v>0.33411851803362708</v>
      </c>
    </row>
    <row r="166" spans="1:4" x14ac:dyDescent="0.2">
      <c r="A166" t="s">
        <v>961</v>
      </c>
      <c r="B166" t="s">
        <v>84</v>
      </c>
      <c r="C166">
        <v>3</v>
      </c>
      <c r="D166" s="8">
        <v>0.52287874528033751</v>
      </c>
    </row>
    <row r="167" spans="1:4" x14ac:dyDescent="0.2">
      <c r="A167" t="s">
        <v>965</v>
      </c>
      <c r="B167" t="s">
        <v>84</v>
      </c>
      <c r="C167">
        <v>1</v>
      </c>
      <c r="D167" s="8">
        <v>0.3881801713828813</v>
      </c>
    </row>
    <row r="168" spans="1:4" x14ac:dyDescent="0.2">
      <c r="A168" t="s">
        <v>965</v>
      </c>
      <c r="B168" t="s">
        <v>84</v>
      </c>
      <c r="C168">
        <v>2</v>
      </c>
      <c r="D168" s="8">
        <v>-0.14349521455297701</v>
      </c>
    </row>
    <row r="169" spans="1:4" x14ac:dyDescent="0.2">
      <c r="A169" t="s">
        <v>965</v>
      </c>
      <c r="B169" t="s">
        <v>84</v>
      </c>
      <c r="C169">
        <v>3</v>
      </c>
      <c r="D169" s="8">
        <v>0.1670460419394377</v>
      </c>
    </row>
    <row r="170" spans="1:4" x14ac:dyDescent="0.2">
      <c r="A170" t="s">
        <v>962</v>
      </c>
      <c r="B170" t="s">
        <v>84</v>
      </c>
      <c r="C170">
        <v>1</v>
      </c>
      <c r="D170" s="8">
        <v>0.6057818736198014</v>
      </c>
    </row>
    <row r="171" spans="1:4" x14ac:dyDescent="0.2">
      <c r="A171" t="s">
        <v>962</v>
      </c>
      <c r="B171" t="s">
        <v>84</v>
      </c>
      <c r="C171">
        <v>2</v>
      </c>
      <c r="D171" s="8">
        <v>-4.9592575933503968E-2</v>
      </c>
    </row>
    <row r="172" spans="1:4" x14ac:dyDescent="0.2">
      <c r="A172" t="s">
        <v>962</v>
      </c>
      <c r="B172" t="s">
        <v>84</v>
      </c>
      <c r="C172">
        <v>3</v>
      </c>
      <c r="D172" s="8">
        <v>1.4307465039876921E-2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A14F-1738-4F40-B7B4-4230C5CCCEB9}">
  <dimension ref="A1:I91"/>
  <sheetViews>
    <sheetView zoomScale="69" zoomScaleNormal="82" workbookViewId="0">
      <selection activeCell="R51" sqref="R51"/>
    </sheetView>
  </sheetViews>
  <sheetFormatPr baseColWidth="10" defaultRowHeight="16" x14ac:dyDescent="0.2"/>
  <cols>
    <col min="1" max="1" width="11.5" bestFit="1" customWidth="1"/>
    <col min="2" max="2" width="12.5" bestFit="1" customWidth="1"/>
    <col min="3" max="3" width="17.83203125" bestFit="1" customWidth="1"/>
    <col min="4" max="4" width="16.33203125" bestFit="1" customWidth="1"/>
    <col min="5" max="5" width="8.83203125" bestFit="1" customWidth="1"/>
    <col min="8" max="8" width="14.83203125" bestFit="1" customWidth="1"/>
  </cols>
  <sheetData>
    <row r="1" spans="1:9" s="3" customFormat="1" x14ac:dyDescent="0.2">
      <c r="A1" s="3" t="s">
        <v>0</v>
      </c>
      <c r="B1" s="3" t="s">
        <v>16</v>
      </c>
      <c r="C1" s="3" t="s">
        <v>19</v>
      </c>
      <c r="D1" s="3" t="s">
        <v>5</v>
      </c>
      <c r="E1" s="3" t="s">
        <v>6</v>
      </c>
      <c r="F1" s="3" t="s">
        <v>13</v>
      </c>
      <c r="G1" s="3" t="s">
        <v>14</v>
      </c>
      <c r="H1" s="3" t="s">
        <v>15</v>
      </c>
      <c r="I1" s="3" t="s">
        <v>7</v>
      </c>
    </row>
    <row r="2" spans="1:9" x14ac:dyDescent="0.2">
      <c r="A2" t="s">
        <v>1</v>
      </c>
      <c r="B2" t="s">
        <v>17</v>
      </c>
      <c r="C2" t="s">
        <v>23</v>
      </c>
      <c r="D2" t="s">
        <v>2</v>
      </c>
      <c r="E2">
        <v>1</v>
      </c>
      <c r="F2">
        <v>0.48212376348945674</v>
      </c>
      <c r="G2">
        <v>0.84904499543471623</v>
      </c>
      <c r="H2">
        <v>0.42789363316386009</v>
      </c>
      <c r="I2">
        <v>-4.5313549890340303E-2</v>
      </c>
    </row>
    <row r="3" spans="1:9" x14ac:dyDescent="0.2">
      <c r="A3" t="s">
        <v>1</v>
      </c>
      <c r="B3" t="s">
        <v>17</v>
      </c>
      <c r="C3" t="s">
        <v>23</v>
      </c>
      <c r="D3" t="s">
        <v>2</v>
      </c>
      <c r="E3">
        <v>2</v>
      </c>
      <c r="F3">
        <v>0.52652689917616324</v>
      </c>
      <c r="G3">
        <v>0.90405959255913793</v>
      </c>
      <c r="H3">
        <v>0.48284461030780457</v>
      </c>
      <c r="I3">
        <v>-1.4354513668793176E-2</v>
      </c>
    </row>
    <row r="4" spans="1:9" x14ac:dyDescent="0.2">
      <c r="A4" t="s">
        <v>1</v>
      </c>
      <c r="B4" t="s">
        <v>17</v>
      </c>
      <c r="C4" t="s">
        <v>23</v>
      </c>
      <c r="D4" t="s">
        <v>2</v>
      </c>
      <c r="E4">
        <v>3</v>
      </c>
      <c r="F4">
        <v>0.54972048690666464</v>
      </c>
      <c r="G4">
        <v>0.87599571035211687</v>
      </c>
      <c r="H4">
        <v>0.42991811288416482</v>
      </c>
      <c r="I4">
        <v>0.10722536922245626</v>
      </c>
    </row>
    <row r="5" spans="1:9" x14ac:dyDescent="0.2">
      <c r="A5" t="s">
        <v>1</v>
      </c>
      <c r="B5" t="s">
        <v>17</v>
      </c>
      <c r="C5" t="s">
        <v>22</v>
      </c>
      <c r="D5" t="s">
        <v>2</v>
      </c>
      <c r="E5">
        <v>1</v>
      </c>
      <c r="F5">
        <v>0.4169899737388108</v>
      </c>
      <c r="G5">
        <v>0.43553032588834156</v>
      </c>
      <c r="H5">
        <v>0.16611223439814629</v>
      </c>
      <c r="I5">
        <v>8.534438035151734E-2</v>
      </c>
    </row>
    <row r="6" spans="1:9" x14ac:dyDescent="0.2">
      <c r="A6" t="s">
        <v>1</v>
      </c>
      <c r="B6" t="s">
        <v>17</v>
      </c>
      <c r="C6" t="s">
        <v>22</v>
      </c>
      <c r="D6" t="s">
        <v>2</v>
      </c>
      <c r="E6">
        <v>2</v>
      </c>
      <c r="F6">
        <v>0.4095282391270223</v>
      </c>
      <c r="G6">
        <v>0.42752698550555951</v>
      </c>
      <c r="H6">
        <v>0.17391985426288784</v>
      </c>
      <c r="I6">
        <v>6.6511891772736056E-3</v>
      </c>
    </row>
    <row r="7" spans="1:9" x14ac:dyDescent="0.2">
      <c r="A7" t="s">
        <v>1</v>
      </c>
      <c r="B7" t="s">
        <v>17</v>
      </c>
      <c r="C7" t="s">
        <v>22</v>
      </c>
      <c r="D7" t="s">
        <v>2</v>
      </c>
      <c r="E7">
        <v>3</v>
      </c>
      <c r="F7">
        <v>0.87156455774524366</v>
      </c>
      <c r="G7">
        <v>0.71920197905270977</v>
      </c>
      <c r="H7">
        <v>0.660879334619217</v>
      </c>
      <c r="I7">
        <v>-5.4318280799265199E-2</v>
      </c>
    </row>
    <row r="8" spans="1:9" x14ac:dyDescent="0.2">
      <c r="A8" t="s">
        <v>20</v>
      </c>
      <c r="B8" t="s">
        <v>18</v>
      </c>
      <c r="C8" t="s">
        <v>8</v>
      </c>
      <c r="D8" t="s">
        <v>3</v>
      </c>
      <c r="E8">
        <v>1</v>
      </c>
      <c r="F8">
        <v>0.9931269170233491</v>
      </c>
      <c r="G8">
        <v>1.0686330256013767</v>
      </c>
      <c r="H8">
        <v>1.0031464170025881</v>
      </c>
      <c r="I8">
        <v>5.4784180139809881E-2</v>
      </c>
    </row>
    <row r="9" spans="1:9" x14ac:dyDescent="0.2">
      <c r="A9" t="s">
        <v>20</v>
      </c>
      <c r="B9" t="s">
        <v>18</v>
      </c>
      <c r="C9" t="s">
        <v>8</v>
      </c>
      <c r="D9" t="s">
        <v>3</v>
      </c>
      <c r="E9">
        <v>2</v>
      </c>
      <c r="F9">
        <v>0.98593577906518504</v>
      </c>
      <c r="G9">
        <v>1.034907679953976</v>
      </c>
      <c r="H9">
        <v>1.0548963792533881</v>
      </c>
      <c r="I9">
        <v>-3.3854838626029962E-2</v>
      </c>
    </row>
    <row r="10" spans="1:9" x14ac:dyDescent="0.2">
      <c r="A10" t="s">
        <v>20</v>
      </c>
      <c r="B10" t="s">
        <v>18</v>
      </c>
      <c r="C10" t="s">
        <v>8</v>
      </c>
      <c r="D10" t="s">
        <v>3</v>
      </c>
      <c r="E10">
        <v>3</v>
      </c>
      <c r="F10">
        <v>0.94396007585994379</v>
      </c>
      <c r="G10">
        <v>0.9825140883170792</v>
      </c>
      <c r="H10">
        <v>0.95317625190418642</v>
      </c>
      <c r="I10">
        <v>-2.7734180378620653E-2</v>
      </c>
    </row>
    <row r="11" spans="1:9" x14ac:dyDescent="0.2">
      <c r="A11" t="s">
        <v>20</v>
      </c>
      <c r="B11" t="s">
        <v>18</v>
      </c>
      <c r="C11" t="s">
        <v>8</v>
      </c>
      <c r="D11" t="s">
        <v>4</v>
      </c>
      <c r="E11">
        <v>1</v>
      </c>
      <c r="F11">
        <v>0.91645574198868873</v>
      </c>
      <c r="G11">
        <v>1.0362327969550411</v>
      </c>
      <c r="H11">
        <v>0.58602476263644387</v>
      </c>
      <c r="I11">
        <v>0.38291194851307792</v>
      </c>
    </row>
    <row r="12" spans="1:9" x14ac:dyDescent="0.2">
      <c r="A12" t="s">
        <v>20</v>
      </c>
      <c r="B12" t="s">
        <v>18</v>
      </c>
      <c r="C12" t="s">
        <v>8</v>
      </c>
      <c r="D12" t="s">
        <v>4</v>
      </c>
      <c r="E12">
        <v>2</v>
      </c>
      <c r="F12">
        <v>0.90543933569462975</v>
      </c>
      <c r="G12">
        <v>1.0120977826027786</v>
      </c>
      <c r="H12">
        <v>0.57727153139898324</v>
      </c>
      <c r="I12">
        <v>0.37006127204491307</v>
      </c>
    </row>
    <row r="13" spans="1:9" x14ac:dyDescent="0.2">
      <c r="A13" t="s">
        <v>20</v>
      </c>
      <c r="B13" t="s">
        <v>18</v>
      </c>
      <c r="C13" t="s">
        <v>8</v>
      </c>
      <c r="D13" t="s">
        <v>4</v>
      </c>
      <c r="E13">
        <v>3</v>
      </c>
      <c r="F13">
        <v>0.81940686665635765</v>
      </c>
      <c r="G13">
        <v>0.96726514085243454</v>
      </c>
      <c r="H13">
        <v>0.28950329904855537</v>
      </c>
      <c r="I13">
        <v>0.63473472937622044</v>
      </c>
    </row>
    <row r="14" spans="1:9" x14ac:dyDescent="0.2">
      <c r="A14" t="s">
        <v>20</v>
      </c>
      <c r="B14" t="s">
        <v>18</v>
      </c>
      <c r="C14" t="s">
        <v>8</v>
      </c>
      <c r="D14" t="s">
        <v>2</v>
      </c>
      <c r="E14">
        <v>1</v>
      </c>
      <c r="F14">
        <v>0.63888804389444953</v>
      </c>
      <c r="G14">
        <v>0.56280001388788892</v>
      </c>
      <c r="H14">
        <v>0.3373323305696877</v>
      </c>
      <c r="I14">
        <v>6.1835259844672509E-2</v>
      </c>
    </row>
    <row r="15" spans="1:9" x14ac:dyDescent="0.2">
      <c r="A15" t="s">
        <v>20</v>
      </c>
      <c r="B15" t="s">
        <v>18</v>
      </c>
      <c r="C15" t="s">
        <v>8</v>
      </c>
      <c r="D15" t="s">
        <v>2</v>
      </c>
      <c r="E15">
        <v>2</v>
      </c>
      <c r="F15">
        <v>0.56666280351811826</v>
      </c>
      <c r="G15">
        <v>0.64273429262361337</v>
      </c>
      <c r="H15">
        <v>0.34190538551599331</v>
      </c>
      <c r="I15">
        <v>6.1250402699384247E-2</v>
      </c>
    </row>
    <row r="16" spans="1:9" x14ac:dyDescent="0.2">
      <c r="A16" t="s">
        <v>20</v>
      </c>
      <c r="B16" t="s">
        <v>18</v>
      </c>
      <c r="C16" t="s">
        <v>8</v>
      </c>
      <c r="D16" t="s">
        <v>2</v>
      </c>
      <c r="E16">
        <v>3</v>
      </c>
      <c r="F16">
        <v>0.5321685476044079</v>
      </c>
      <c r="G16">
        <v>0.65295737090957751</v>
      </c>
      <c r="H16">
        <v>0.3401927324910391</v>
      </c>
      <c r="I16">
        <v>2.0981272034386107E-2</v>
      </c>
    </row>
    <row r="17" spans="1:9" x14ac:dyDescent="0.2">
      <c r="A17" t="s">
        <v>20</v>
      </c>
      <c r="B17" t="s">
        <v>18</v>
      </c>
      <c r="C17" t="s">
        <v>9</v>
      </c>
      <c r="D17" t="s">
        <v>3</v>
      </c>
      <c r="E17">
        <v>1</v>
      </c>
      <c r="F17">
        <v>0.95753046640533823</v>
      </c>
      <c r="G17">
        <v>1.0435574644845693</v>
      </c>
      <c r="H17">
        <v>0.94370014791255818</v>
      </c>
      <c r="I17">
        <v>5.5580266288040768E-2</v>
      </c>
    </row>
    <row r="18" spans="1:9" x14ac:dyDescent="0.2">
      <c r="A18" t="s">
        <v>20</v>
      </c>
      <c r="B18" t="s">
        <v>18</v>
      </c>
      <c r="C18" t="s">
        <v>9</v>
      </c>
      <c r="D18" t="s">
        <v>3</v>
      </c>
      <c r="E18">
        <v>2</v>
      </c>
      <c r="F18">
        <v>1.0261704281450905</v>
      </c>
      <c r="G18">
        <v>1.0347170035078566</v>
      </c>
      <c r="H18">
        <v>0.98441430451799605</v>
      </c>
      <c r="I18">
        <v>7.2878110930071072E-2</v>
      </c>
    </row>
    <row r="19" spans="1:9" x14ac:dyDescent="0.2">
      <c r="A19" t="s">
        <v>20</v>
      </c>
      <c r="B19" t="s">
        <v>18</v>
      </c>
      <c r="C19" t="s">
        <v>9</v>
      </c>
      <c r="D19" t="s">
        <v>3</v>
      </c>
      <c r="E19">
        <v>3</v>
      </c>
      <c r="F19">
        <v>0.92308578169396727</v>
      </c>
      <c r="G19">
        <v>0.98756262485299307</v>
      </c>
      <c r="H19">
        <v>0.96286527436592961</v>
      </c>
      <c r="I19">
        <v>-5.6230775221503118E-2</v>
      </c>
    </row>
    <row r="20" spans="1:9" x14ac:dyDescent="0.2">
      <c r="A20" t="s">
        <v>20</v>
      </c>
      <c r="B20" t="s">
        <v>18</v>
      </c>
      <c r="C20" t="s">
        <v>9</v>
      </c>
      <c r="D20" t="s">
        <v>2</v>
      </c>
      <c r="E20">
        <v>1</v>
      </c>
      <c r="F20">
        <v>0.68171706342639204</v>
      </c>
      <c r="G20">
        <v>0.70400324679316395</v>
      </c>
      <c r="H20">
        <v>0.36681934019841522</v>
      </c>
      <c r="I20">
        <v>0.23568321218955995</v>
      </c>
    </row>
    <row r="21" spans="1:9" x14ac:dyDescent="0.2">
      <c r="A21" t="s">
        <v>20</v>
      </c>
      <c r="B21" t="s">
        <v>18</v>
      </c>
      <c r="C21" t="s">
        <v>9</v>
      </c>
      <c r="D21" t="s">
        <v>2</v>
      </c>
      <c r="E21">
        <v>2</v>
      </c>
      <c r="F21">
        <v>0.58387603644229713</v>
      </c>
      <c r="G21">
        <v>0.7246946411281856</v>
      </c>
      <c r="H21">
        <v>0.40274232746770439</v>
      </c>
      <c r="I21">
        <v>4.8187126454316359E-2</v>
      </c>
    </row>
    <row r="22" spans="1:9" x14ac:dyDescent="0.2">
      <c r="A22" t="s">
        <v>20</v>
      </c>
      <c r="B22" t="s">
        <v>18</v>
      </c>
      <c r="C22" t="s">
        <v>9</v>
      </c>
      <c r="D22" t="s">
        <v>2</v>
      </c>
      <c r="E22">
        <v>3</v>
      </c>
      <c r="F22">
        <v>0.494673895190888</v>
      </c>
      <c r="G22">
        <v>0.69682594349636728</v>
      </c>
      <c r="H22">
        <v>0.36107314237141019</v>
      </c>
      <c r="I22">
        <v>-4.7494814223066645E-2</v>
      </c>
    </row>
    <row r="23" spans="1:9" x14ac:dyDescent="0.2">
      <c r="A23" t="s">
        <v>20</v>
      </c>
      <c r="B23" t="s">
        <v>18</v>
      </c>
      <c r="C23" t="s">
        <v>9</v>
      </c>
      <c r="D23" t="s">
        <v>10</v>
      </c>
      <c r="E23">
        <v>1</v>
      </c>
      <c r="F23">
        <v>0.9705102003090168</v>
      </c>
      <c r="G23">
        <v>1.0435574644845693</v>
      </c>
      <c r="H23">
        <v>1.0382079224725669</v>
      </c>
      <c r="I23">
        <v>-2.510385192818718E-2</v>
      </c>
    </row>
    <row r="24" spans="1:9" x14ac:dyDescent="0.2">
      <c r="A24" t="s">
        <v>20</v>
      </c>
      <c r="B24" t="s">
        <v>18</v>
      </c>
      <c r="C24" t="s">
        <v>9</v>
      </c>
      <c r="D24" t="s">
        <v>10</v>
      </c>
      <c r="E24">
        <v>2</v>
      </c>
      <c r="F24">
        <v>1.0177000373224327</v>
      </c>
      <c r="G24">
        <v>1.0347170035078566</v>
      </c>
      <c r="H24">
        <v>1.0517996764730726</v>
      </c>
      <c r="I24">
        <v>1.169819303906666E-3</v>
      </c>
    </row>
    <row r="25" spans="1:9" x14ac:dyDescent="0.2">
      <c r="A25" t="s">
        <v>20</v>
      </c>
      <c r="B25" t="s">
        <v>18</v>
      </c>
      <c r="C25" t="s">
        <v>9</v>
      </c>
      <c r="D25" t="s">
        <v>10</v>
      </c>
      <c r="E25">
        <v>3</v>
      </c>
      <c r="F25">
        <v>0.94632119168864026</v>
      </c>
      <c r="G25">
        <v>0.98756262485299307</v>
      </c>
      <c r="H25">
        <v>0.98503889486580165</v>
      </c>
      <c r="I25">
        <v>-5.4023195177764348E-2</v>
      </c>
    </row>
    <row r="26" spans="1:9" x14ac:dyDescent="0.2">
      <c r="A26" t="s">
        <v>20</v>
      </c>
      <c r="B26" t="s">
        <v>18</v>
      </c>
      <c r="C26" t="s">
        <v>9</v>
      </c>
      <c r="D26" t="s">
        <v>11</v>
      </c>
      <c r="E26">
        <v>1</v>
      </c>
      <c r="F26">
        <v>0.99910382684494192</v>
      </c>
      <c r="G26">
        <v>0.62779333376256596</v>
      </c>
      <c r="H26">
        <v>0.62805419101277693</v>
      </c>
      <c r="I26">
        <v>-1.3128642358681919E-3</v>
      </c>
    </row>
    <row r="27" spans="1:9" x14ac:dyDescent="0.2">
      <c r="A27" t="s">
        <v>20</v>
      </c>
      <c r="B27" t="s">
        <v>18</v>
      </c>
      <c r="C27" t="s">
        <v>9</v>
      </c>
      <c r="D27" t="s">
        <v>11</v>
      </c>
      <c r="E27">
        <v>2</v>
      </c>
      <c r="F27">
        <v>1.0155047587381467</v>
      </c>
      <c r="G27">
        <v>0.63827106424525049</v>
      </c>
      <c r="H27">
        <v>0.65916309019314179</v>
      </c>
      <c r="I27">
        <v>-1.6964427292982157E-2</v>
      </c>
    </row>
    <row r="28" spans="1:9" x14ac:dyDescent="0.2">
      <c r="A28" t="s">
        <v>20</v>
      </c>
      <c r="B28" t="s">
        <v>18</v>
      </c>
      <c r="C28" t="s">
        <v>9</v>
      </c>
      <c r="D28" t="s">
        <v>11</v>
      </c>
      <c r="E28">
        <v>3</v>
      </c>
      <c r="F28">
        <v>0.97103529531623178</v>
      </c>
      <c r="G28">
        <v>0.60210982812786862</v>
      </c>
      <c r="H28">
        <v>0.59741817439059786</v>
      </c>
      <c r="I28">
        <v>-2.1804234724083462E-2</v>
      </c>
    </row>
    <row r="29" spans="1:9" x14ac:dyDescent="0.2">
      <c r="A29" t="s">
        <v>20</v>
      </c>
      <c r="B29" t="s">
        <v>18</v>
      </c>
      <c r="C29" t="s">
        <v>12</v>
      </c>
      <c r="D29" t="s">
        <v>3</v>
      </c>
      <c r="E29">
        <v>1</v>
      </c>
      <c r="F29">
        <v>0.80806442402344192</v>
      </c>
      <c r="G29">
        <v>1.1547221240841672</v>
      </c>
      <c r="H29">
        <v>0.76717065196989476</v>
      </c>
      <c r="I29">
        <v>0.17781697326992865</v>
      </c>
    </row>
    <row r="30" spans="1:9" x14ac:dyDescent="0.2">
      <c r="A30" t="s">
        <v>20</v>
      </c>
      <c r="B30" t="s">
        <v>18</v>
      </c>
      <c r="C30" t="s">
        <v>12</v>
      </c>
      <c r="D30" t="s">
        <v>3</v>
      </c>
      <c r="E30">
        <v>2</v>
      </c>
      <c r="F30">
        <v>0.20714431547994855</v>
      </c>
      <c r="G30">
        <v>0.94614406097728121</v>
      </c>
      <c r="H30">
        <v>0.78001264913059609</v>
      </c>
      <c r="I30">
        <v>-1</v>
      </c>
    </row>
    <row r="31" spans="1:9" x14ac:dyDescent="0.2">
      <c r="A31" t="s">
        <v>20</v>
      </c>
      <c r="B31" t="s">
        <v>18</v>
      </c>
      <c r="C31" t="s">
        <v>12</v>
      </c>
      <c r="D31" t="s">
        <v>3</v>
      </c>
      <c r="E31">
        <v>3</v>
      </c>
      <c r="F31">
        <v>0.81887580802914894</v>
      </c>
      <c r="G31">
        <v>1.4102668131901364</v>
      </c>
      <c r="H31">
        <v>0.12280053931798302</v>
      </c>
      <c r="I31">
        <v>0.89366384636079599</v>
      </c>
    </row>
    <row r="32" spans="1:9" x14ac:dyDescent="0.2">
      <c r="A32" t="s">
        <v>20</v>
      </c>
      <c r="B32" t="s">
        <v>18</v>
      </c>
      <c r="C32" t="s">
        <v>12</v>
      </c>
      <c r="D32" t="s">
        <v>2</v>
      </c>
      <c r="E32">
        <v>1</v>
      </c>
      <c r="F32">
        <v>0.47293493830238104</v>
      </c>
      <c r="G32">
        <v>0.22478385207676574</v>
      </c>
      <c r="H32">
        <v>0.15566804718720895</v>
      </c>
      <c r="I32">
        <v>-0.46430980043302256</v>
      </c>
    </row>
    <row r="33" spans="1:9" x14ac:dyDescent="0.2">
      <c r="A33" t="s">
        <v>20</v>
      </c>
      <c r="B33" t="s">
        <v>18</v>
      </c>
      <c r="C33" t="s">
        <v>12</v>
      </c>
      <c r="D33" t="s">
        <v>2</v>
      </c>
      <c r="E33">
        <v>2</v>
      </c>
      <c r="F33">
        <v>0.49847558171846029</v>
      </c>
      <c r="G33">
        <v>0.22328367947390443</v>
      </c>
      <c r="H33">
        <v>0.16806716100215505</v>
      </c>
      <c r="I33">
        <v>-0.51001755018299544</v>
      </c>
    </row>
    <row r="34" spans="1:9" x14ac:dyDescent="0.2">
      <c r="A34" t="s">
        <v>20</v>
      </c>
      <c r="B34" t="s">
        <v>18</v>
      </c>
      <c r="C34" t="s">
        <v>12</v>
      </c>
      <c r="D34" t="s">
        <v>2</v>
      </c>
      <c r="E34">
        <v>3</v>
      </c>
      <c r="F34">
        <v>0.55810085809702026</v>
      </c>
      <c r="G34">
        <v>0.21516374042809569</v>
      </c>
      <c r="H34">
        <v>0.19173690496277104</v>
      </c>
      <c r="I34">
        <v>-0.59670224865055277</v>
      </c>
    </row>
    <row r="35" spans="1:9" x14ac:dyDescent="0.2">
      <c r="A35" t="s">
        <v>20</v>
      </c>
      <c r="B35" t="s">
        <v>18</v>
      </c>
      <c r="C35" t="s">
        <v>12</v>
      </c>
      <c r="D35" t="s">
        <v>4</v>
      </c>
      <c r="E35">
        <v>1</v>
      </c>
      <c r="F35">
        <v>0.47293493830238104</v>
      </c>
      <c r="G35">
        <v>0.82533650662849589</v>
      </c>
      <c r="H35">
        <v>0.19227051652798241</v>
      </c>
      <c r="I35">
        <v>0.50741607078156514</v>
      </c>
    </row>
    <row r="36" spans="1:9" x14ac:dyDescent="0.2">
      <c r="A36" t="s">
        <v>20</v>
      </c>
      <c r="B36" t="s">
        <v>18</v>
      </c>
      <c r="C36" t="s">
        <v>12</v>
      </c>
      <c r="D36" t="s">
        <v>4</v>
      </c>
      <c r="E36">
        <v>2</v>
      </c>
      <c r="F36">
        <v>0.49847558171846029</v>
      </c>
      <c r="G36">
        <v>0.89659573206797494</v>
      </c>
      <c r="H36">
        <v>0.16950053029930562</v>
      </c>
      <c r="I36">
        <v>0.62074570728607747</v>
      </c>
    </row>
    <row r="37" spans="1:9" x14ac:dyDescent="0.2">
      <c r="A37" t="s">
        <v>20</v>
      </c>
      <c r="B37" t="s">
        <v>18</v>
      </c>
      <c r="C37" t="s">
        <v>12</v>
      </c>
      <c r="D37" t="s">
        <v>4</v>
      </c>
      <c r="E37">
        <v>3</v>
      </c>
      <c r="F37">
        <v>0.55810085809702026</v>
      </c>
      <c r="G37">
        <v>0.41506987572516263</v>
      </c>
      <c r="H37">
        <v>0.25981232884235889</v>
      </c>
      <c r="I37">
        <v>-0.12156862177043325</v>
      </c>
    </row>
    <row r="38" spans="1:9" x14ac:dyDescent="0.2">
      <c r="A38" t="s">
        <v>20</v>
      </c>
      <c r="B38" t="s">
        <v>18</v>
      </c>
      <c r="C38" t="s">
        <v>12</v>
      </c>
      <c r="D38" t="s">
        <v>11</v>
      </c>
      <c r="E38">
        <v>1</v>
      </c>
      <c r="F38">
        <v>0.82533650662849589</v>
      </c>
      <c r="G38">
        <v>0.64141920009590581</v>
      </c>
      <c r="H38">
        <v>0.92527162809175534</v>
      </c>
      <c r="I38">
        <v>-0.74781810676759786</v>
      </c>
    </row>
    <row r="39" spans="1:9" x14ac:dyDescent="0.2">
      <c r="A39" t="s">
        <v>20</v>
      </c>
      <c r="B39" t="s">
        <v>18</v>
      </c>
      <c r="C39" t="s">
        <v>12</v>
      </c>
      <c r="D39" t="s">
        <v>11</v>
      </c>
      <c r="E39">
        <v>2</v>
      </c>
      <c r="F39">
        <v>0.89659573206797494</v>
      </c>
      <c r="G39">
        <v>0.57978836324496485</v>
      </c>
      <c r="H39">
        <v>0.83620118808731025</v>
      </c>
      <c r="I39">
        <v>-0.60858723686763272</v>
      </c>
    </row>
    <row r="40" spans="1:9" x14ac:dyDescent="0.2">
      <c r="A40" t="s">
        <v>20</v>
      </c>
      <c r="B40" t="s">
        <v>18</v>
      </c>
      <c r="C40" t="s">
        <v>12</v>
      </c>
      <c r="D40" t="s">
        <v>11</v>
      </c>
      <c r="E40">
        <v>3</v>
      </c>
      <c r="F40">
        <v>0.41506987572516263</v>
      </c>
      <c r="G40">
        <v>0.63587571819269528</v>
      </c>
      <c r="H40">
        <v>0.67895809756744141</v>
      </c>
      <c r="I40">
        <v>-1</v>
      </c>
    </row>
    <row r="41" spans="1:9" x14ac:dyDescent="0.2">
      <c r="A41" t="s">
        <v>20</v>
      </c>
      <c r="B41" t="s">
        <v>18</v>
      </c>
      <c r="C41" t="s">
        <v>12</v>
      </c>
      <c r="D41" t="s">
        <v>21</v>
      </c>
      <c r="E41">
        <v>1</v>
      </c>
      <c r="F41">
        <v>0.22478385207676574</v>
      </c>
      <c r="G41">
        <v>0.93955562662946013</v>
      </c>
      <c r="H41">
        <v>0.23863133955220076</v>
      </c>
      <c r="I41">
        <v>-0.12989964470169951</v>
      </c>
    </row>
    <row r="42" spans="1:9" x14ac:dyDescent="0.2">
      <c r="A42" t="s">
        <v>20</v>
      </c>
      <c r="B42" t="s">
        <v>18</v>
      </c>
      <c r="C42" t="s">
        <v>12</v>
      </c>
      <c r="D42" t="s">
        <v>21</v>
      </c>
      <c r="E42">
        <v>2</v>
      </c>
      <c r="F42">
        <v>0.22328367947390443</v>
      </c>
      <c r="G42">
        <v>0.86003214829129759</v>
      </c>
      <c r="H42">
        <v>0.28011343369877928</v>
      </c>
      <c r="I42">
        <v>-0.45868753369411824</v>
      </c>
    </row>
    <row r="43" spans="1:9" x14ac:dyDescent="0.2">
      <c r="A43" t="s">
        <v>20</v>
      </c>
      <c r="B43" t="s">
        <v>18</v>
      </c>
      <c r="C43" t="s">
        <v>12</v>
      </c>
      <c r="D43" t="s">
        <v>21</v>
      </c>
      <c r="E43">
        <v>3</v>
      </c>
      <c r="F43">
        <v>0.21516374042809569</v>
      </c>
      <c r="G43">
        <v>1.0489580617079359</v>
      </c>
      <c r="H43">
        <v>0.28906374450041766</v>
      </c>
      <c r="I43">
        <v>-0.28075604284052919</v>
      </c>
    </row>
    <row r="44" spans="1:9" x14ac:dyDescent="0.2">
      <c r="A44" t="s">
        <v>1</v>
      </c>
      <c r="B44" t="s">
        <v>17</v>
      </c>
      <c r="C44" t="s">
        <v>9</v>
      </c>
      <c r="D44" t="s">
        <v>3</v>
      </c>
      <c r="E44">
        <v>1</v>
      </c>
      <c r="F44">
        <v>1.1737867746601904</v>
      </c>
      <c r="G44">
        <v>1.1906512570929719</v>
      </c>
      <c r="H44">
        <v>0</v>
      </c>
      <c r="I44">
        <v>1</v>
      </c>
    </row>
    <row r="45" spans="1:9" x14ac:dyDescent="0.2">
      <c r="A45" t="s">
        <v>1</v>
      </c>
      <c r="B45" t="s">
        <v>17</v>
      </c>
      <c r="C45" t="s">
        <v>9</v>
      </c>
      <c r="D45" t="s">
        <v>3</v>
      </c>
      <c r="E45">
        <v>2</v>
      </c>
      <c r="F45">
        <v>1.1528937304543772</v>
      </c>
      <c r="G45">
        <v>1.2342403598115843</v>
      </c>
      <c r="H45">
        <v>0</v>
      </c>
      <c r="I45">
        <v>1</v>
      </c>
    </row>
    <row r="46" spans="1:9" x14ac:dyDescent="0.2">
      <c r="A46" t="s">
        <v>1</v>
      </c>
      <c r="B46" t="s">
        <v>17</v>
      </c>
      <c r="C46" t="s">
        <v>9</v>
      </c>
      <c r="D46" t="s">
        <v>3</v>
      </c>
      <c r="E46">
        <v>3</v>
      </c>
      <c r="F46">
        <v>1.2742939421005093</v>
      </c>
      <c r="G46">
        <v>1.3194011204429104</v>
      </c>
      <c r="H46">
        <v>0</v>
      </c>
      <c r="I46">
        <v>1</v>
      </c>
    </row>
    <row r="47" spans="1:9" x14ac:dyDescent="0.2">
      <c r="A47" t="s">
        <v>1</v>
      </c>
      <c r="B47" t="s">
        <v>17</v>
      </c>
      <c r="C47" t="s">
        <v>9</v>
      </c>
      <c r="D47" t="s">
        <v>10</v>
      </c>
      <c r="E47">
        <v>1</v>
      </c>
      <c r="F47">
        <v>0.87785105607737268</v>
      </c>
      <c r="G47">
        <v>1.1906512570929719</v>
      </c>
      <c r="H47">
        <v>1.1579811550269095</v>
      </c>
      <c r="I47">
        <v>-0.1078885678589014</v>
      </c>
    </row>
    <row r="48" spans="1:9" x14ac:dyDescent="0.2">
      <c r="A48" t="s">
        <v>1</v>
      </c>
      <c r="B48" t="s">
        <v>17</v>
      </c>
      <c r="C48" t="s">
        <v>9</v>
      </c>
      <c r="D48" t="s">
        <v>10</v>
      </c>
      <c r="E48">
        <v>2</v>
      </c>
      <c r="F48">
        <v>0.86880846270511436</v>
      </c>
      <c r="G48">
        <v>1.2342403598115843</v>
      </c>
      <c r="H48">
        <v>1.1552483334965991</v>
      </c>
      <c r="I48">
        <v>-7.7336972391930589E-2</v>
      </c>
    </row>
    <row r="49" spans="1:9" x14ac:dyDescent="0.2">
      <c r="A49" t="s">
        <v>1</v>
      </c>
      <c r="B49" t="s">
        <v>17</v>
      </c>
      <c r="C49" t="s">
        <v>9</v>
      </c>
      <c r="D49" t="s">
        <v>10</v>
      </c>
      <c r="E49">
        <v>3</v>
      </c>
      <c r="F49">
        <v>0.90620937650574851</v>
      </c>
      <c r="G49">
        <v>1.3194011204429104</v>
      </c>
      <c r="H49">
        <v>1.255174805387969</v>
      </c>
      <c r="I49">
        <v>-4.9781253825631214E-2</v>
      </c>
    </row>
    <row r="50" spans="1:9" x14ac:dyDescent="0.2">
      <c r="A50" t="s">
        <v>1</v>
      </c>
      <c r="B50" t="s">
        <v>17</v>
      </c>
      <c r="C50" t="s">
        <v>9</v>
      </c>
      <c r="D50" t="s">
        <v>11</v>
      </c>
      <c r="E50">
        <v>1</v>
      </c>
      <c r="F50">
        <v>1.1560444007945454</v>
      </c>
      <c r="G50">
        <v>0.90325901803417019</v>
      </c>
      <c r="H50">
        <v>1.0751021095680333</v>
      </c>
      <c r="I50">
        <v>-2.9586627568749548E-2</v>
      </c>
    </row>
    <row r="51" spans="1:9" x14ac:dyDescent="0.2">
      <c r="A51" t="s">
        <v>1</v>
      </c>
      <c r="B51" t="s">
        <v>17</v>
      </c>
      <c r="C51" t="s">
        <v>9</v>
      </c>
      <c r="D51" t="s">
        <v>11</v>
      </c>
      <c r="E51">
        <v>2</v>
      </c>
      <c r="F51">
        <v>1.1021394443844859</v>
      </c>
      <c r="G51">
        <v>0.90020282358263826</v>
      </c>
      <c r="H51">
        <v>1.2162165246612304</v>
      </c>
      <c r="I51">
        <v>-0.22584055001041925</v>
      </c>
    </row>
    <row r="52" spans="1:9" x14ac:dyDescent="0.2">
      <c r="A52" t="s">
        <v>1</v>
      </c>
      <c r="B52" t="s">
        <v>17</v>
      </c>
      <c r="C52" t="s">
        <v>9</v>
      </c>
      <c r="D52" t="s">
        <v>11</v>
      </c>
      <c r="E52">
        <v>3</v>
      </c>
      <c r="F52">
        <v>1.2420193780153133</v>
      </c>
      <c r="G52">
        <v>0.9913296795710197</v>
      </c>
      <c r="H52">
        <v>1.3008996360827094</v>
      </c>
      <c r="I52">
        <v>-5.6567655665942282E-2</v>
      </c>
    </row>
    <row r="53" spans="1:9" x14ac:dyDescent="0.2">
      <c r="A53" t="s">
        <v>1</v>
      </c>
      <c r="B53" t="s">
        <v>17</v>
      </c>
      <c r="C53" t="s">
        <v>9</v>
      </c>
      <c r="D53" t="s">
        <v>2</v>
      </c>
      <c r="E53">
        <v>1</v>
      </c>
      <c r="F53">
        <v>0.93122323931053763</v>
      </c>
      <c r="G53">
        <v>0.71279727033548279</v>
      </c>
      <c r="H53">
        <v>0.45663922594774048</v>
      </c>
      <c r="I53">
        <v>0.31205553340043535</v>
      </c>
    </row>
    <row r="54" spans="1:9" x14ac:dyDescent="0.2">
      <c r="A54" t="s">
        <v>1</v>
      </c>
      <c r="B54" t="s">
        <v>17</v>
      </c>
      <c r="C54" t="s">
        <v>9</v>
      </c>
      <c r="D54" t="s">
        <v>2</v>
      </c>
      <c r="E54">
        <v>2</v>
      </c>
      <c r="F54">
        <v>0.93600454491740959</v>
      </c>
      <c r="G54">
        <v>0.74891398119081765</v>
      </c>
      <c r="H54">
        <v>0.44596070662741133</v>
      </c>
      <c r="I54">
        <v>0.36381020401962044</v>
      </c>
    </row>
    <row r="55" spans="1:9" x14ac:dyDescent="0.2">
      <c r="A55" t="s">
        <v>1</v>
      </c>
      <c r="B55" t="s">
        <v>17</v>
      </c>
      <c r="C55" t="s">
        <v>9</v>
      </c>
      <c r="D55" t="s">
        <v>2</v>
      </c>
      <c r="E55">
        <v>3</v>
      </c>
      <c r="F55">
        <v>0.83840478301486654</v>
      </c>
      <c r="G55">
        <v>1.0353783230395921</v>
      </c>
      <c r="H55">
        <v>0.48965066639984334</v>
      </c>
      <c r="I55">
        <v>0.43592930905268401</v>
      </c>
    </row>
    <row r="56" spans="1:9" x14ac:dyDescent="0.2">
      <c r="A56" t="s">
        <v>1</v>
      </c>
      <c r="B56" t="s">
        <v>17</v>
      </c>
      <c r="C56" t="s">
        <v>8</v>
      </c>
      <c r="D56" t="s">
        <v>3</v>
      </c>
      <c r="E56">
        <v>1</v>
      </c>
      <c r="F56">
        <v>1.0222138034955655</v>
      </c>
      <c r="G56">
        <v>1.2223861845727393</v>
      </c>
      <c r="H56">
        <v>0.90613846945817456</v>
      </c>
      <c r="I56">
        <v>0.27482237709471524</v>
      </c>
    </row>
    <row r="57" spans="1:9" x14ac:dyDescent="0.2">
      <c r="A57" t="s">
        <v>1</v>
      </c>
      <c r="B57" t="s">
        <v>17</v>
      </c>
      <c r="C57" t="s">
        <v>8</v>
      </c>
      <c r="D57" t="s">
        <v>3</v>
      </c>
      <c r="E57">
        <v>2</v>
      </c>
      <c r="F57">
        <v>0.9713678245089038</v>
      </c>
      <c r="G57">
        <v>1.2211705073813302</v>
      </c>
      <c r="H57">
        <v>0.89221080744931092</v>
      </c>
      <c r="I57">
        <v>0.24784480631567965</v>
      </c>
    </row>
    <row r="58" spans="1:9" x14ac:dyDescent="0.2">
      <c r="A58" t="s">
        <v>1</v>
      </c>
      <c r="B58" t="s">
        <v>17</v>
      </c>
      <c r="C58" t="s">
        <v>8</v>
      </c>
      <c r="D58" t="s">
        <v>3</v>
      </c>
      <c r="E58">
        <v>3</v>
      </c>
      <c r="F58">
        <v>0.99201188464081791</v>
      </c>
      <c r="G58">
        <v>1.2432055260052439</v>
      </c>
      <c r="H58">
        <v>0.92405181177871498</v>
      </c>
      <c r="I58">
        <v>0.25073315449443501</v>
      </c>
    </row>
    <row r="59" spans="1:9" x14ac:dyDescent="0.2">
      <c r="A59" t="s">
        <v>1</v>
      </c>
      <c r="B59" t="s">
        <v>17</v>
      </c>
      <c r="C59" t="s">
        <v>8</v>
      </c>
      <c r="D59" t="s">
        <v>4</v>
      </c>
      <c r="E59">
        <v>1</v>
      </c>
      <c r="F59">
        <v>0.62333138189081849</v>
      </c>
      <c r="G59">
        <v>0.9062936347844186</v>
      </c>
      <c r="H59">
        <v>0.60136039492389581</v>
      </c>
      <c r="I59">
        <v>-6.45030263363746E-2</v>
      </c>
    </row>
    <row r="60" spans="1:9" x14ac:dyDescent="0.2">
      <c r="A60" t="s">
        <v>1</v>
      </c>
      <c r="B60" t="s">
        <v>17</v>
      </c>
      <c r="C60" t="s">
        <v>8</v>
      </c>
      <c r="D60" t="s">
        <v>4</v>
      </c>
      <c r="E60">
        <v>2</v>
      </c>
      <c r="F60">
        <v>0.58854026051919095</v>
      </c>
      <c r="G60">
        <v>0.88058763376359805</v>
      </c>
      <c r="H60">
        <v>0.5876863463074179</v>
      </c>
      <c r="I60">
        <v>-0.13395766618026914</v>
      </c>
    </row>
    <row r="61" spans="1:9" x14ac:dyDescent="0.2">
      <c r="A61" t="s">
        <v>1</v>
      </c>
      <c r="B61" t="s">
        <v>17</v>
      </c>
      <c r="C61" t="s">
        <v>8</v>
      </c>
      <c r="D61" t="s">
        <v>4</v>
      </c>
      <c r="E61">
        <v>3</v>
      </c>
      <c r="F61">
        <v>0.60997788360035621</v>
      </c>
      <c r="G61">
        <v>0.91365512849044139</v>
      </c>
      <c r="H61">
        <v>0.59841566364118193</v>
      </c>
      <c r="I61">
        <v>-7.3758383457232943E-2</v>
      </c>
    </row>
    <row r="62" spans="1:9" x14ac:dyDescent="0.2">
      <c r="A62" t="s">
        <v>1</v>
      </c>
      <c r="B62" t="s">
        <v>17</v>
      </c>
      <c r="C62" t="s">
        <v>8</v>
      </c>
      <c r="D62" t="s">
        <v>21</v>
      </c>
      <c r="E62">
        <v>1</v>
      </c>
      <c r="F62">
        <v>0.78786025175331942</v>
      </c>
      <c r="G62">
        <v>0.91124250354353897</v>
      </c>
      <c r="H62">
        <v>0.77686893599953644</v>
      </c>
      <c r="I62">
        <v>-8.209302331739779E-2</v>
      </c>
    </row>
    <row r="63" spans="1:9" x14ac:dyDescent="0.2">
      <c r="A63" t="s">
        <v>1</v>
      </c>
      <c r="B63" t="s">
        <v>17</v>
      </c>
      <c r="C63" t="s">
        <v>8</v>
      </c>
      <c r="D63" t="s">
        <v>21</v>
      </c>
      <c r="E63">
        <v>2</v>
      </c>
      <c r="F63">
        <v>0.75133307695359974</v>
      </c>
      <c r="G63">
        <v>0.88273128282647595</v>
      </c>
      <c r="H63">
        <v>0.74950582326274795</v>
      </c>
      <c r="I63">
        <v>-0.13009247990295339</v>
      </c>
    </row>
    <row r="64" spans="1:9" x14ac:dyDescent="0.2">
      <c r="A64" t="s">
        <v>1</v>
      </c>
      <c r="B64" t="s">
        <v>17</v>
      </c>
      <c r="C64" t="s">
        <v>8</v>
      </c>
      <c r="D64" t="s">
        <v>21</v>
      </c>
      <c r="E64">
        <v>3</v>
      </c>
      <c r="F64">
        <v>0.7815955641813277</v>
      </c>
      <c r="G64">
        <v>0.92016454514388346</v>
      </c>
      <c r="H64">
        <v>0.78258354362882898</v>
      </c>
      <c r="I64">
        <v>-8.81358772814895E-2</v>
      </c>
    </row>
    <row r="65" spans="1:9" x14ac:dyDescent="0.2">
      <c r="A65" t="s">
        <v>1</v>
      </c>
      <c r="B65" t="s">
        <v>17</v>
      </c>
      <c r="C65" t="s">
        <v>8</v>
      </c>
      <c r="D65" t="s">
        <v>10</v>
      </c>
      <c r="E65">
        <v>1</v>
      </c>
      <c r="F65">
        <v>0.91124250354353897</v>
      </c>
      <c r="G65">
        <v>1.2223861845727393</v>
      </c>
      <c r="H65">
        <v>1.2387438588122024</v>
      </c>
      <c r="I65">
        <v>-0.11208789376432955</v>
      </c>
    </row>
    <row r="66" spans="1:9" x14ac:dyDescent="0.2">
      <c r="A66" t="s">
        <v>1</v>
      </c>
      <c r="B66" t="s">
        <v>17</v>
      </c>
      <c r="C66" t="s">
        <v>8</v>
      </c>
      <c r="D66" t="s">
        <v>10</v>
      </c>
      <c r="E66">
        <v>2</v>
      </c>
      <c r="F66">
        <v>0.88273128282647595</v>
      </c>
      <c r="G66">
        <v>1.2211705073813302</v>
      </c>
      <c r="H66">
        <v>1.2090716771721226</v>
      </c>
      <c r="I66">
        <v>-0.12162381798527187</v>
      </c>
    </row>
    <row r="67" spans="1:9" x14ac:dyDescent="0.2">
      <c r="A67" t="s">
        <v>1</v>
      </c>
      <c r="B67" t="s">
        <v>17</v>
      </c>
      <c r="C67" t="s">
        <v>8</v>
      </c>
      <c r="D67" t="s">
        <v>10</v>
      </c>
      <c r="E67">
        <v>3</v>
      </c>
      <c r="F67">
        <v>0.92016454514388346</v>
      </c>
      <c r="G67">
        <v>1.2432055260052439</v>
      </c>
      <c r="H67">
        <v>1.2617379805660036</v>
      </c>
      <c r="I67">
        <v>-0.10296250506404543</v>
      </c>
    </row>
    <row r="68" spans="1:9" x14ac:dyDescent="0.2">
      <c r="A68" t="s">
        <v>1</v>
      </c>
      <c r="B68" t="s">
        <v>17</v>
      </c>
      <c r="C68" t="s">
        <v>8</v>
      </c>
      <c r="D68" t="s">
        <v>11</v>
      </c>
      <c r="E68">
        <v>1</v>
      </c>
      <c r="F68">
        <v>0.9062936347844186</v>
      </c>
      <c r="G68">
        <v>0.90944352088088187</v>
      </c>
      <c r="H68">
        <v>0.9389817259690677</v>
      </c>
      <c r="I68">
        <v>-0.13923279175468053</v>
      </c>
    </row>
    <row r="69" spans="1:9" x14ac:dyDescent="0.2">
      <c r="A69" t="s">
        <v>1</v>
      </c>
      <c r="B69" t="s">
        <v>17</v>
      </c>
      <c r="C69" t="s">
        <v>8</v>
      </c>
      <c r="D69" t="s">
        <v>11</v>
      </c>
      <c r="E69">
        <v>2</v>
      </c>
      <c r="F69">
        <v>0.88058763376359805</v>
      </c>
      <c r="G69">
        <v>0.88508946096614616</v>
      </c>
      <c r="H69">
        <v>0.90364716723417482</v>
      </c>
      <c r="I69">
        <v>-0.15941560045591829</v>
      </c>
    </row>
    <row r="70" spans="1:9" x14ac:dyDescent="0.2">
      <c r="A70" t="s">
        <v>1</v>
      </c>
      <c r="B70" t="s">
        <v>17</v>
      </c>
      <c r="C70" t="s">
        <v>8</v>
      </c>
      <c r="D70" t="s">
        <v>11</v>
      </c>
      <c r="E70">
        <v>3</v>
      </c>
      <c r="F70">
        <v>0.91365512849044139</v>
      </c>
      <c r="G70">
        <v>0.91831360709853371</v>
      </c>
      <c r="H70">
        <v>0.92288437501871246</v>
      </c>
      <c r="I70">
        <v>-9.9952617045521899E-2</v>
      </c>
    </row>
    <row r="71" spans="1:9" x14ac:dyDescent="0.2">
      <c r="A71" t="s">
        <v>1</v>
      </c>
      <c r="B71" t="s">
        <v>17</v>
      </c>
      <c r="C71" t="s">
        <v>8</v>
      </c>
      <c r="D71" t="s">
        <v>2</v>
      </c>
      <c r="E71">
        <v>1</v>
      </c>
      <c r="F71">
        <v>0.90590445305525236</v>
      </c>
      <c r="G71">
        <v>0.70701304394096132</v>
      </c>
      <c r="H71">
        <v>0.18382512611166971</v>
      </c>
      <c r="I71">
        <v>0.71299130646032427</v>
      </c>
    </row>
    <row r="72" spans="1:9" x14ac:dyDescent="0.2">
      <c r="A72" t="s">
        <v>1</v>
      </c>
      <c r="B72" t="s">
        <v>17</v>
      </c>
      <c r="C72" t="s">
        <v>8</v>
      </c>
      <c r="D72" t="s">
        <v>2</v>
      </c>
      <c r="E72">
        <v>2</v>
      </c>
      <c r="F72">
        <v>0.87216703463008172</v>
      </c>
      <c r="G72">
        <v>0.70692414546665305</v>
      </c>
      <c r="H72">
        <v>0.26559384520883583</v>
      </c>
      <c r="I72">
        <v>0.56922992733091804</v>
      </c>
    </row>
    <row r="73" spans="1:9" x14ac:dyDescent="0.2">
      <c r="A73" t="s">
        <v>1</v>
      </c>
      <c r="B73" t="s">
        <v>17</v>
      </c>
      <c r="C73" t="s">
        <v>8</v>
      </c>
      <c r="D73" t="s">
        <v>2</v>
      </c>
      <c r="E73">
        <v>3</v>
      </c>
      <c r="F73">
        <v>0.87076424356985072</v>
      </c>
      <c r="G73">
        <v>0.68389848760269545</v>
      </c>
      <c r="H73">
        <v>0.2924278685283635</v>
      </c>
      <c r="I73">
        <v>0.50894908090197544</v>
      </c>
    </row>
    <row r="74" spans="1:9" x14ac:dyDescent="0.2">
      <c r="A74" t="s">
        <v>1</v>
      </c>
      <c r="B74" t="s">
        <v>17</v>
      </c>
      <c r="C74" t="s">
        <v>12</v>
      </c>
      <c r="D74" t="s">
        <v>11</v>
      </c>
      <c r="E74">
        <v>1</v>
      </c>
      <c r="F74">
        <v>0.86995741564702833</v>
      </c>
      <c r="G74">
        <v>0.50098789592349391</v>
      </c>
      <c r="H74">
        <v>0.66471040577987661</v>
      </c>
      <c r="I74">
        <v>-0.52513135515913589</v>
      </c>
    </row>
    <row r="75" spans="1:9" x14ac:dyDescent="0.2">
      <c r="A75" t="s">
        <v>1</v>
      </c>
      <c r="B75" t="s">
        <v>17</v>
      </c>
      <c r="C75" t="s">
        <v>12</v>
      </c>
      <c r="D75" t="s">
        <v>11</v>
      </c>
      <c r="E75">
        <v>2</v>
      </c>
      <c r="F75">
        <v>0.88743570588064635</v>
      </c>
      <c r="G75">
        <v>0.5131067774422694</v>
      </c>
      <c r="H75">
        <v>0.65965605346022638</v>
      </c>
      <c r="I75">
        <v>-0.44868146133465769</v>
      </c>
    </row>
    <row r="76" spans="1:9" x14ac:dyDescent="0.2">
      <c r="A76" t="s">
        <v>1</v>
      </c>
      <c r="B76" t="s">
        <v>17</v>
      </c>
      <c r="C76" t="s">
        <v>12</v>
      </c>
      <c r="D76" t="s">
        <v>11</v>
      </c>
      <c r="E76">
        <v>3</v>
      </c>
      <c r="F76">
        <v>0.88287588103301007</v>
      </c>
      <c r="G76">
        <v>0.52476268028111839</v>
      </c>
      <c r="H76">
        <v>0.66448333625419764</v>
      </c>
      <c r="I76">
        <v>-0.43423890859681807</v>
      </c>
    </row>
    <row r="77" spans="1:9" x14ac:dyDescent="0.2">
      <c r="A77" t="s">
        <v>1</v>
      </c>
      <c r="B77" t="s">
        <v>17</v>
      </c>
      <c r="C77" t="s">
        <v>12</v>
      </c>
      <c r="D77" t="s">
        <v>3</v>
      </c>
      <c r="E77">
        <v>1</v>
      </c>
      <c r="F77">
        <v>1.0733473675799761</v>
      </c>
      <c r="G77">
        <v>0.90723991251756719</v>
      </c>
      <c r="H77">
        <v>1.1553949316987129</v>
      </c>
      <c r="I77">
        <v>-0.18650074316494811</v>
      </c>
    </row>
    <row r="78" spans="1:9" x14ac:dyDescent="0.2">
      <c r="A78" t="s">
        <v>1</v>
      </c>
      <c r="B78" t="s">
        <v>17</v>
      </c>
      <c r="C78" t="s">
        <v>12</v>
      </c>
      <c r="D78" t="s">
        <v>3</v>
      </c>
      <c r="E78">
        <v>2</v>
      </c>
      <c r="F78">
        <v>0.91415416974680119</v>
      </c>
      <c r="G78">
        <v>0.9227265070979378</v>
      </c>
      <c r="H78">
        <v>0.95254671763634868</v>
      </c>
      <c r="I78">
        <v>-0.12925973597020274</v>
      </c>
    </row>
    <row r="79" spans="1:9" x14ac:dyDescent="0.2">
      <c r="A79" t="s">
        <v>1</v>
      </c>
      <c r="B79" t="s">
        <v>17</v>
      </c>
      <c r="C79" t="s">
        <v>12</v>
      </c>
      <c r="D79" t="s">
        <v>3</v>
      </c>
      <c r="E79">
        <v>3</v>
      </c>
      <c r="F79">
        <v>0.90768820027547481</v>
      </c>
      <c r="G79">
        <v>0.9184230314236651</v>
      </c>
      <c r="H79">
        <v>0.97781747281198672</v>
      </c>
      <c r="I79">
        <v>-0.17294686187393599</v>
      </c>
    </row>
    <row r="80" spans="1:9" x14ac:dyDescent="0.2">
      <c r="A80" t="s">
        <v>1</v>
      </c>
      <c r="B80" t="s">
        <v>17</v>
      </c>
      <c r="C80" t="s">
        <v>12</v>
      </c>
      <c r="D80" t="s">
        <v>4</v>
      </c>
      <c r="E80">
        <v>1</v>
      </c>
      <c r="F80">
        <v>0.16939010648913977</v>
      </c>
      <c r="G80">
        <v>0.86995741564702833</v>
      </c>
      <c r="H80">
        <v>0.31393745826309483</v>
      </c>
      <c r="I80">
        <v>-1</v>
      </c>
    </row>
    <row r="81" spans="1:9" x14ac:dyDescent="0.2">
      <c r="A81" t="s">
        <v>1</v>
      </c>
      <c r="B81" t="s">
        <v>17</v>
      </c>
      <c r="C81" t="s">
        <v>12</v>
      </c>
      <c r="D81" t="s">
        <v>4</v>
      </c>
      <c r="E81">
        <v>2</v>
      </c>
      <c r="F81">
        <v>0.16298595999734847</v>
      </c>
      <c r="G81">
        <v>0.88743570588064635</v>
      </c>
      <c r="H81">
        <v>0.32392117766621759</v>
      </c>
      <c r="I81">
        <v>-1</v>
      </c>
    </row>
    <row r="82" spans="1:9" x14ac:dyDescent="0.2">
      <c r="A82" t="s">
        <v>1</v>
      </c>
      <c r="B82" t="s">
        <v>17</v>
      </c>
      <c r="C82" t="s">
        <v>12</v>
      </c>
      <c r="D82" t="s">
        <v>4</v>
      </c>
      <c r="E82">
        <v>3</v>
      </c>
      <c r="F82">
        <v>0.1679042206245967</v>
      </c>
      <c r="G82">
        <v>0.88287588103301007</v>
      </c>
      <c r="H82">
        <v>0.3175664863118311</v>
      </c>
      <c r="I82">
        <v>-1</v>
      </c>
    </row>
    <row r="83" spans="1:9" x14ac:dyDescent="0.2">
      <c r="A83" t="s">
        <v>1</v>
      </c>
      <c r="B83" t="s">
        <v>17</v>
      </c>
      <c r="C83" t="s">
        <v>12</v>
      </c>
      <c r="D83" t="s">
        <v>10</v>
      </c>
      <c r="E83">
        <v>1</v>
      </c>
      <c r="F83">
        <v>0.95010850855736284</v>
      </c>
      <c r="G83">
        <v>0.90723991251756719</v>
      </c>
      <c r="H83">
        <v>0.9901443391495599</v>
      </c>
      <c r="I83">
        <v>-0.14869082829157676</v>
      </c>
    </row>
    <row r="84" spans="1:9" x14ac:dyDescent="0.2">
      <c r="A84" t="s">
        <v>1</v>
      </c>
      <c r="B84" t="s">
        <v>17</v>
      </c>
      <c r="C84" t="s">
        <v>12</v>
      </c>
      <c r="D84" t="s">
        <v>10</v>
      </c>
      <c r="E84">
        <v>2</v>
      </c>
      <c r="F84">
        <v>0.94188126000790329</v>
      </c>
      <c r="G84">
        <v>0.9227265070979378</v>
      </c>
      <c r="H84">
        <v>0.96763321551794146</v>
      </c>
      <c r="I84">
        <v>-0.11337538354232782</v>
      </c>
    </row>
    <row r="85" spans="1:9" x14ac:dyDescent="0.2">
      <c r="A85" t="s">
        <v>1</v>
      </c>
      <c r="B85" t="s">
        <v>17</v>
      </c>
      <c r="C85" t="s">
        <v>12</v>
      </c>
      <c r="D85" t="s">
        <v>10</v>
      </c>
      <c r="E85">
        <v>3</v>
      </c>
      <c r="F85">
        <v>0.9382197161798238</v>
      </c>
      <c r="G85">
        <v>0.94304800068609784</v>
      </c>
      <c r="H85">
        <v>0.96259812172921899</v>
      </c>
      <c r="I85">
        <v>-0.12092918498602487</v>
      </c>
    </row>
    <row r="86" spans="1:9" x14ac:dyDescent="0.2">
      <c r="A86" t="s">
        <v>1</v>
      </c>
      <c r="B86" t="s">
        <v>17</v>
      </c>
      <c r="C86" t="s">
        <v>12</v>
      </c>
      <c r="D86" t="s">
        <v>21</v>
      </c>
      <c r="E86">
        <v>1</v>
      </c>
      <c r="F86">
        <v>0.85637223864785761</v>
      </c>
      <c r="G86">
        <v>0.93377704560184005</v>
      </c>
      <c r="H86">
        <v>0.87698616327361723</v>
      </c>
      <c r="I86">
        <v>-9.6697787659406051E-2</v>
      </c>
    </row>
    <row r="87" spans="1:9" x14ac:dyDescent="0.2">
      <c r="A87" t="s">
        <v>1</v>
      </c>
      <c r="B87" t="s">
        <v>17</v>
      </c>
      <c r="C87" t="s">
        <v>12</v>
      </c>
      <c r="D87" t="s">
        <v>21</v>
      </c>
      <c r="E87">
        <v>2</v>
      </c>
      <c r="F87">
        <v>0.8272774954437595</v>
      </c>
      <c r="G87">
        <v>0.94950853833111326</v>
      </c>
      <c r="H87">
        <v>0.85726899089239794</v>
      </c>
      <c r="I87">
        <v>-9.135748152879751E-2</v>
      </c>
    </row>
    <row r="88" spans="1:9" x14ac:dyDescent="0.2">
      <c r="A88" t="s">
        <v>1</v>
      </c>
      <c r="B88" t="s">
        <v>17</v>
      </c>
      <c r="C88" t="s">
        <v>12</v>
      </c>
      <c r="D88" t="s">
        <v>21</v>
      </c>
      <c r="E88">
        <v>3</v>
      </c>
      <c r="F88">
        <v>0.82423979851528262</v>
      </c>
      <c r="G88">
        <v>0.92396776385814294</v>
      </c>
      <c r="H88">
        <v>0.85216420455502606</v>
      </c>
      <c r="I88">
        <v>-0.11895568583835354</v>
      </c>
    </row>
    <row r="89" spans="1:9" x14ac:dyDescent="0.2">
      <c r="A89" t="s">
        <v>1</v>
      </c>
      <c r="B89" t="s">
        <v>17</v>
      </c>
      <c r="C89" t="s">
        <v>12</v>
      </c>
      <c r="D89" t="s">
        <v>2</v>
      </c>
      <c r="E89">
        <v>1</v>
      </c>
      <c r="F89">
        <v>0.64515366716835121</v>
      </c>
      <c r="G89">
        <v>0.86330650974731427</v>
      </c>
      <c r="H89">
        <v>0.48382933829001995</v>
      </c>
      <c r="I89">
        <v>0.13131161743688982</v>
      </c>
    </row>
    <row r="90" spans="1:9" x14ac:dyDescent="0.2">
      <c r="A90" t="s">
        <v>1</v>
      </c>
      <c r="B90" t="s">
        <v>17</v>
      </c>
      <c r="C90" t="s">
        <v>12</v>
      </c>
      <c r="D90" t="s">
        <v>2</v>
      </c>
      <c r="E90">
        <v>2</v>
      </c>
      <c r="F90">
        <v>0.61509298115441369</v>
      </c>
      <c r="G90">
        <v>0.84452564130089502</v>
      </c>
      <c r="H90">
        <v>0.52962651924386173</v>
      </c>
      <c r="I90">
        <v>-1.9567800721699453E-2</v>
      </c>
    </row>
    <row r="91" spans="1:9" x14ac:dyDescent="0.2">
      <c r="A91" t="s">
        <v>1</v>
      </c>
      <c r="B91" t="s">
        <v>17</v>
      </c>
      <c r="C91" t="s">
        <v>12</v>
      </c>
      <c r="D91" t="s">
        <v>2</v>
      </c>
      <c r="E91">
        <v>3</v>
      </c>
      <c r="F91">
        <v>0.5707830157982049</v>
      </c>
      <c r="G91">
        <v>0.77845714480550676</v>
      </c>
      <c r="H91">
        <v>0.48112925427191261</v>
      </c>
      <c r="I91">
        <v>-8.2819363577466276E-2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5B5A-2F01-FC48-A371-D615378B9F20}">
  <dimension ref="A1:I21"/>
  <sheetViews>
    <sheetView zoomScale="162" workbookViewId="0">
      <selection activeCell="A18" sqref="A18"/>
    </sheetView>
  </sheetViews>
  <sheetFormatPr baseColWidth="10" defaultRowHeight="16" x14ac:dyDescent="0.2"/>
  <cols>
    <col min="1" max="1" width="12.83203125" bestFit="1" customWidth="1"/>
    <col min="2" max="2" width="21.5" bestFit="1" customWidth="1"/>
    <col min="4" max="4" width="21.5" bestFit="1" customWidth="1"/>
    <col min="5" max="5" width="22" bestFit="1" customWidth="1"/>
    <col min="7" max="7" width="13.1640625" bestFit="1" customWidth="1"/>
  </cols>
  <sheetData>
    <row r="1" spans="1:7" x14ac:dyDescent="0.2">
      <c r="A1" s="3" t="s">
        <v>1014</v>
      </c>
      <c r="B1" s="3" t="s">
        <v>1013</v>
      </c>
      <c r="C1" s="3" t="s">
        <v>37</v>
      </c>
      <c r="D1" s="6" t="s">
        <v>1020</v>
      </c>
      <c r="E1" s="6" t="s">
        <v>1019</v>
      </c>
      <c r="F1" s="6" t="s">
        <v>1015</v>
      </c>
      <c r="G1" s="6"/>
    </row>
    <row r="2" spans="1:7" x14ac:dyDescent="0.2">
      <c r="A2" s="4">
        <v>0</v>
      </c>
      <c r="B2" t="s">
        <v>1016</v>
      </c>
      <c r="C2" t="s">
        <v>17</v>
      </c>
      <c r="D2" s="14">
        <v>0.41779999999999984</v>
      </c>
      <c r="E2" s="15">
        <v>2404</v>
      </c>
      <c r="F2" s="12">
        <v>5800000000</v>
      </c>
      <c r="G2" s="13"/>
    </row>
    <row r="3" spans="1:7" x14ac:dyDescent="0.2">
      <c r="A3" s="4">
        <v>1</v>
      </c>
      <c r="B3" t="s">
        <v>1016</v>
      </c>
      <c r="C3" t="s">
        <v>17</v>
      </c>
      <c r="D3" s="14">
        <v>0.10930000000000048</v>
      </c>
      <c r="E3" s="15">
        <v>624.9999999999992</v>
      </c>
      <c r="F3" s="12">
        <v>520000000</v>
      </c>
      <c r="G3" s="13"/>
    </row>
    <row r="4" spans="1:7" x14ac:dyDescent="0.2">
      <c r="A4" s="4">
        <v>2</v>
      </c>
      <c r="B4" t="s">
        <v>1016</v>
      </c>
      <c r="C4" t="s">
        <v>17</v>
      </c>
      <c r="D4" s="14">
        <v>2.2100000000000002E-2</v>
      </c>
      <c r="E4" s="15">
        <v>88.999999999999986</v>
      </c>
      <c r="F4" s="12">
        <v>38000000</v>
      </c>
      <c r="G4" s="13"/>
    </row>
    <row r="5" spans="1:7" x14ac:dyDescent="0.2">
      <c r="A5" s="4">
        <v>3</v>
      </c>
      <c r="B5" t="s">
        <v>1016</v>
      </c>
      <c r="C5" t="s">
        <v>17</v>
      </c>
      <c r="D5" s="14">
        <v>7.4020373433187165E-3</v>
      </c>
      <c r="E5" s="15">
        <v>14.999247002367666</v>
      </c>
      <c r="F5" s="12">
        <v>5900000</v>
      </c>
      <c r="G5" s="13"/>
    </row>
    <row r="6" spans="1:7" x14ac:dyDescent="0.2">
      <c r="A6" s="4">
        <v>0</v>
      </c>
      <c r="B6" t="s">
        <v>1017</v>
      </c>
      <c r="C6" t="s">
        <v>18</v>
      </c>
      <c r="D6" s="14">
        <v>0.47560000000000013</v>
      </c>
      <c r="E6" s="15">
        <v>4940.0000000000118</v>
      </c>
      <c r="F6" s="12">
        <v>5600000000</v>
      </c>
      <c r="G6" s="13"/>
    </row>
    <row r="7" spans="1:7" x14ac:dyDescent="0.2">
      <c r="A7" s="4">
        <v>1</v>
      </c>
      <c r="B7" t="s">
        <v>1017</v>
      </c>
      <c r="C7" t="s">
        <v>18</v>
      </c>
      <c r="D7" s="14">
        <v>7.010000000000019E-2</v>
      </c>
      <c r="E7" s="15">
        <v>698.99999999999989</v>
      </c>
      <c r="F7" s="12">
        <v>320000000</v>
      </c>
      <c r="G7" s="13"/>
    </row>
    <row r="8" spans="1:7" x14ac:dyDescent="0.2">
      <c r="A8" s="4">
        <v>2</v>
      </c>
      <c r="B8" t="s">
        <v>1017</v>
      </c>
      <c r="C8" t="s">
        <v>18</v>
      </c>
      <c r="D8" s="14">
        <v>1.4799999999999969E-2</v>
      </c>
      <c r="E8" s="15">
        <v>99.999999999999872</v>
      </c>
      <c r="F8" s="12">
        <v>28000000</v>
      </c>
      <c r="G8" s="13"/>
    </row>
    <row r="9" spans="1:7" x14ac:dyDescent="0.2">
      <c r="A9" s="4">
        <v>3</v>
      </c>
      <c r="B9" t="s">
        <v>1017</v>
      </c>
      <c r="C9" t="s">
        <v>18</v>
      </c>
      <c r="D9" s="14">
        <v>4.2000000000000171E-3</v>
      </c>
      <c r="E9" s="15">
        <v>24.00000000000011</v>
      </c>
      <c r="F9" s="12">
        <v>4400000</v>
      </c>
      <c r="G9" s="13"/>
    </row>
    <row r="10" spans="1:7" x14ac:dyDescent="0.2">
      <c r="A10" s="4">
        <v>0</v>
      </c>
      <c r="B10" t="s">
        <v>1018</v>
      </c>
      <c r="C10" t="s">
        <v>17</v>
      </c>
      <c r="D10" t="s">
        <v>25</v>
      </c>
      <c r="E10" s="4">
        <v>1636.9999999999927</v>
      </c>
      <c r="F10" s="12">
        <v>6200000000</v>
      </c>
      <c r="G10" s="4"/>
    </row>
    <row r="11" spans="1:7" x14ac:dyDescent="0.2">
      <c r="A11" s="4">
        <v>1</v>
      </c>
      <c r="B11" t="s">
        <v>1018</v>
      </c>
      <c r="C11" t="s">
        <v>17</v>
      </c>
      <c r="D11" t="s">
        <v>25</v>
      </c>
      <c r="E11" s="4">
        <v>443.00000000000199</v>
      </c>
      <c r="F11" s="12">
        <v>510000000</v>
      </c>
      <c r="G11" s="1"/>
    </row>
    <row r="12" spans="1:7" x14ac:dyDescent="0.2">
      <c r="A12" s="4">
        <v>2</v>
      </c>
      <c r="B12" t="s">
        <v>1018</v>
      </c>
      <c r="C12" t="s">
        <v>17</v>
      </c>
      <c r="D12" t="s">
        <v>25</v>
      </c>
      <c r="E12" s="4">
        <v>54.999999999999964</v>
      </c>
      <c r="F12" s="12">
        <v>43000000</v>
      </c>
    </row>
    <row r="13" spans="1:7" x14ac:dyDescent="0.2">
      <c r="A13" s="4">
        <v>3</v>
      </c>
      <c r="B13" t="s">
        <v>1018</v>
      </c>
      <c r="C13" t="s">
        <v>17</v>
      </c>
      <c r="D13" t="s">
        <v>25</v>
      </c>
      <c r="E13" s="4">
        <v>6.999999999999976</v>
      </c>
      <c r="F13" s="12">
        <v>5100000</v>
      </c>
    </row>
    <row r="14" spans="1:7" x14ac:dyDescent="0.2">
      <c r="A14" s="4">
        <v>0</v>
      </c>
      <c r="B14" t="s">
        <v>1018</v>
      </c>
      <c r="C14" t="s">
        <v>18</v>
      </c>
      <c r="D14" t="s">
        <v>25</v>
      </c>
      <c r="E14">
        <v>3158.0000000000055</v>
      </c>
      <c r="F14" s="12">
        <v>5100000000</v>
      </c>
    </row>
    <row r="15" spans="1:7" x14ac:dyDescent="0.2">
      <c r="A15" s="4">
        <v>1</v>
      </c>
      <c r="B15" t="s">
        <v>1018</v>
      </c>
      <c r="C15" t="s">
        <v>18</v>
      </c>
      <c r="D15" t="s">
        <v>25</v>
      </c>
      <c r="E15">
        <v>843.00000000000375</v>
      </c>
      <c r="F15" s="12">
        <v>470000000</v>
      </c>
    </row>
    <row r="16" spans="1:7" x14ac:dyDescent="0.2">
      <c r="A16" s="4">
        <v>2</v>
      </c>
      <c r="B16" t="s">
        <v>1018</v>
      </c>
      <c r="C16" t="s">
        <v>18</v>
      </c>
      <c r="D16" t="s">
        <v>25</v>
      </c>
      <c r="E16">
        <v>107.00000000000043</v>
      </c>
      <c r="F16" s="12">
        <v>65000000</v>
      </c>
    </row>
    <row r="17" spans="1:9" x14ac:dyDescent="0.2">
      <c r="A17" s="4">
        <v>3</v>
      </c>
      <c r="B17" t="s">
        <v>1018</v>
      </c>
      <c r="C17" t="s">
        <v>18</v>
      </c>
      <c r="D17" t="s">
        <v>25</v>
      </c>
      <c r="E17" s="4">
        <v>18.999999999999989</v>
      </c>
      <c r="F17" s="12">
        <v>6200000</v>
      </c>
      <c r="G17" s="1"/>
      <c r="H17" s="1"/>
      <c r="I17" s="1"/>
    </row>
    <row r="18" spans="1:9" x14ac:dyDescent="0.2">
      <c r="B18" s="4"/>
      <c r="C18" s="4"/>
      <c r="E18" s="12"/>
      <c r="F18" s="12"/>
      <c r="G18" s="4"/>
      <c r="I18" s="12"/>
    </row>
    <row r="19" spans="1:9" x14ac:dyDescent="0.2">
      <c r="B19" s="4"/>
      <c r="C19" s="4"/>
      <c r="E19" s="12"/>
      <c r="F19" s="12"/>
      <c r="G19" s="4"/>
      <c r="I19" s="12"/>
    </row>
    <row r="20" spans="1:9" x14ac:dyDescent="0.2">
      <c r="B20" s="4"/>
      <c r="C20" s="4"/>
      <c r="E20" s="12"/>
      <c r="F20" s="12"/>
      <c r="G20" s="4"/>
      <c r="I20" s="12"/>
    </row>
    <row r="21" spans="1:9" x14ac:dyDescent="0.2">
      <c r="B21" s="4"/>
      <c r="C21" s="4"/>
      <c r="E21" s="12"/>
      <c r="F21" s="12"/>
      <c r="G21" s="4"/>
      <c r="I21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C9E8-9D58-7E42-A4AE-74D4C1CA5B85}">
  <dimension ref="A1:S235"/>
  <sheetViews>
    <sheetView zoomScaleNormal="100" workbookViewId="0">
      <selection activeCell="M18" sqref="M18"/>
    </sheetView>
  </sheetViews>
  <sheetFormatPr baseColWidth="10" defaultRowHeight="16" x14ac:dyDescent="0.2"/>
  <cols>
    <col min="1" max="1" width="13.6640625" bestFit="1" customWidth="1"/>
    <col min="2" max="7" width="16.5" bestFit="1" customWidth="1"/>
    <col min="8" max="13" width="14" bestFit="1" customWidth="1"/>
    <col min="14" max="19" width="15.1640625" bestFit="1" customWidth="1"/>
  </cols>
  <sheetData>
    <row r="1" spans="1:19" x14ac:dyDescent="0.2">
      <c r="A1" s="16" t="s">
        <v>1028</v>
      </c>
      <c r="B1" s="16" t="s">
        <v>1021</v>
      </c>
      <c r="C1" s="16" t="s">
        <v>1022</v>
      </c>
      <c r="D1" s="16" t="s">
        <v>1023</v>
      </c>
      <c r="E1" s="16" t="s">
        <v>1024</v>
      </c>
      <c r="F1" s="16" t="s">
        <v>1025</v>
      </c>
      <c r="G1" s="16" t="s">
        <v>1026</v>
      </c>
      <c r="H1" s="16" t="s">
        <v>1027</v>
      </c>
      <c r="I1" s="16" t="s">
        <v>1029</v>
      </c>
      <c r="J1" s="16" t="s">
        <v>1030</v>
      </c>
      <c r="K1" s="16" t="s">
        <v>1031</v>
      </c>
      <c r="L1" s="16" t="s">
        <v>1032</v>
      </c>
      <c r="M1" s="16" t="s">
        <v>1033</v>
      </c>
      <c r="N1" s="16" t="s">
        <v>1034</v>
      </c>
      <c r="O1" s="16" t="s">
        <v>1035</v>
      </c>
      <c r="P1" s="16" t="s">
        <v>1036</v>
      </c>
      <c r="Q1" s="16" t="s">
        <v>1037</v>
      </c>
      <c r="R1" s="16" t="s">
        <v>1038</v>
      </c>
      <c r="S1" s="16" t="s">
        <v>1039</v>
      </c>
    </row>
    <row r="2" spans="1:19" x14ac:dyDescent="0.2">
      <c r="A2" s="17">
        <v>0</v>
      </c>
      <c r="B2" s="17">
        <v>5.1647860000000003</v>
      </c>
      <c r="C2" s="17">
        <v>5.4116460000000002</v>
      </c>
      <c r="D2" s="17">
        <v>5.3890719999999996</v>
      </c>
      <c r="E2" s="17">
        <v>5.4680600000000004</v>
      </c>
      <c r="F2" s="17">
        <v>5.3936279999999996</v>
      </c>
      <c r="G2" s="17">
        <v>5.4071720000000001</v>
      </c>
      <c r="H2" s="17">
        <v>5.2781149999999997</v>
      </c>
      <c r="I2" s="17">
        <v>5.4380790000000001</v>
      </c>
      <c r="J2" s="17">
        <v>5.4249499999999999</v>
      </c>
      <c r="K2" s="17">
        <v>5.4889380000000001</v>
      </c>
      <c r="L2" s="17">
        <v>5.4553209999999996</v>
      </c>
      <c r="M2" s="17">
        <v>5.4595859999999998</v>
      </c>
      <c r="N2" s="18">
        <v>5.27811466</v>
      </c>
      <c r="O2" s="18">
        <v>5.44241771</v>
      </c>
      <c r="P2" s="18">
        <v>5.3706380300000003</v>
      </c>
      <c r="Q2" s="18">
        <v>5.4116460499999999</v>
      </c>
      <c r="R2" s="18">
        <v>5.1704840000000001</v>
      </c>
      <c r="S2" s="18">
        <v>5.2040066899999999</v>
      </c>
    </row>
    <row r="3" spans="1:19" x14ac:dyDescent="0.2">
      <c r="A3" s="17">
        <v>0.33</v>
      </c>
      <c r="B3" s="17">
        <v>5.1357980000000003</v>
      </c>
      <c r="C3" s="17">
        <v>5.3752779999999998</v>
      </c>
      <c r="D3" s="17">
        <v>5.3798969999999997</v>
      </c>
      <c r="E3" s="17">
        <v>5.4722710000000001</v>
      </c>
      <c r="F3" s="17">
        <v>5.3798969999999997</v>
      </c>
      <c r="G3" s="17">
        <v>5.4116460000000002</v>
      </c>
      <c r="H3" s="17">
        <v>5.2781149999999997</v>
      </c>
      <c r="I3" s="17">
        <v>5.4116460000000002</v>
      </c>
      <c r="J3" s="17">
        <v>5.4071720000000001</v>
      </c>
      <c r="K3" s="17">
        <v>5.476464</v>
      </c>
      <c r="L3" s="17">
        <v>5.4293459999999998</v>
      </c>
      <c r="M3" s="17">
        <v>5.4249499999999999</v>
      </c>
      <c r="N3" s="18">
        <v>5.27811466</v>
      </c>
      <c r="O3" s="18">
        <v>5.1474944799999998</v>
      </c>
      <c r="P3" s="18">
        <v>5.43807931</v>
      </c>
      <c r="Q3" s="18">
        <v>5.24174702</v>
      </c>
      <c r="R3" s="18">
        <v>5.4806389199999996</v>
      </c>
      <c r="S3" s="18">
        <v>5.25749537</v>
      </c>
    </row>
    <row r="4" spans="1:19" x14ac:dyDescent="0.2">
      <c r="A4" s="17">
        <v>0.67</v>
      </c>
      <c r="B4" s="17">
        <v>5.147494</v>
      </c>
      <c r="C4" s="17">
        <v>5.3612919999999997</v>
      </c>
      <c r="D4" s="17">
        <v>5.3752779999999998</v>
      </c>
      <c r="E4" s="17">
        <v>5.4595859999999998</v>
      </c>
      <c r="F4" s="17">
        <v>5.3844950000000003</v>
      </c>
      <c r="G4" s="17">
        <v>5.4071720000000001</v>
      </c>
      <c r="H4" s="17">
        <v>5.2522729999999997</v>
      </c>
      <c r="I4" s="17">
        <v>5.4116460000000002</v>
      </c>
      <c r="J4" s="17">
        <v>5.3936279999999996</v>
      </c>
      <c r="K4" s="17">
        <v>5.476464</v>
      </c>
      <c r="L4" s="17">
        <v>5.4293459999999998</v>
      </c>
      <c r="M4" s="17">
        <v>5.442418</v>
      </c>
      <c r="N4" s="18">
        <v>5.2522734299999998</v>
      </c>
      <c r="O4" s="18">
        <v>5.1532915900000003</v>
      </c>
      <c r="P4" s="18">
        <v>5.3471075299999997</v>
      </c>
      <c r="Q4" s="18">
        <v>5.1929568499999998</v>
      </c>
      <c r="R4" s="18">
        <v>5.3659760199999997</v>
      </c>
      <c r="S4" s="18">
        <v>5.25749537</v>
      </c>
    </row>
    <row r="5" spans="1:19" x14ac:dyDescent="0.2">
      <c r="A5" s="17">
        <v>1</v>
      </c>
      <c r="B5" s="17">
        <v>5.1357980000000003</v>
      </c>
      <c r="C5" s="17">
        <v>5.3659759999999999</v>
      </c>
      <c r="D5" s="17">
        <v>5.3471080000000004</v>
      </c>
      <c r="E5" s="17">
        <v>5.4467369999999997</v>
      </c>
      <c r="F5" s="17">
        <v>5.3890719999999996</v>
      </c>
      <c r="G5" s="17">
        <v>5.3890719999999996</v>
      </c>
      <c r="H5" s="17">
        <v>5.2522729999999997</v>
      </c>
      <c r="I5" s="17">
        <v>5.3844950000000003</v>
      </c>
      <c r="J5" s="17">
        <v>5.3844950000000003</v>
      </c>
      <c r="K5" s="17">
        <v>5.4722710000000001</v>
      </c>
      <c r="L5" s="17">
        <v>5.4205350000000001</v>
      </c>
      <c r="M5" s="17">
        <v>5.4249499999999999</v>
      </c>
      <c r="N5" s="18">
        <v>5.2522734299999998</v>
      </c>
      <c r="O5" s="18">
        <v>5.1474944799999998</v>
      </c>
      <c r="P5" s="18">
        <v>5.2832037300000003</v>
      </c>
      <c r="Q5" s="18">
        <v>5.1984970300000004</v>
      </c>
      <c r="R5" s="18">
        <v>5.3844950599999999</v>
      </c>
      <c r="S5" s="18">
        <v>5.2522734299999998</v>
      </c>
    </row>
    <row r="6" spans="1:19" x14ac:dyDescent="0.2">
      <c r="A6" s="17">
        <v>1.33</v>
      </c>
      <c r="B6" s="17">
        <v>5.1357980000000003</v>
      </c>
      <c r="C6" s="17">
        <v>5.351858</v>
      </c>
      <c r="D6" s="17">
        <v>5.351858</v>
      </c>
      <c r="E6" s="17">
        <v>5.4380790000000001</v>
      </c>
      <c r="F6" s="17">
        <v>5.3936279999999996</v>
      </c>
      <c r="G6" s="17">
        <v>5.4071720000000001</v>
      </c>
      <c r="H6" s="17">
        <v>5.2470239999999997</v>
      </c>
      <c r="I6" s="17">
        <v>5.3936279999999996</v>
      </c>
      <c r="J6" s="17">
        <v>5.3890719999999996</v>
      </c>
      <c r="K6" s="17">
        <v>5.442418</v>
      </c>
      <c r="L6" s="17">
        <v>5.4293459999999998</v>
      </c>
      <c r="M6" s="17">
        <v>5.4249499999999999</v>
      </c>
      <c r="N6" s="18">
        <v>5.2470240700000002</v>
      </c>
      <c r="O6" s="18">
        <v>5.1590553000000003</v>
      </c>
      <c r="P6" s="18">
        <v>5.2729995599999997</v>
      </c>
      <c r="Q6" s="18">
        <v>5.2257466700000004</v>
      </c>
      <c r="R6" s="18">
        <v>5.2257466700000004</v>
      </c>
      <c r="S6" s="18">
        <v>5.1929568499999998</v>
      </c>
    </row>
    <row r="7" spans="1:19" x14ac:dyDescent="0.2">
      <c r="A7" s="17">
        <v>1.67</v>
      </c>
      <c r="B7" s="17">
        <v>5.1357980000000003</v>
      </c>
      <c r="C7" s="17">
        <v>5.3565860000000001</v>
      </c>
      <c r="D7" s="17">
        <v>5.332719</v>
      </c>
      <c r="E7" s="17">
        <v>5.4161000000000001</v>
      </c>
      <c r="F7" s="17">
        <v>5.3752779999999998</v>
      </c>
      <c r="G7" s="17">
        <v>5.4026769999999997</v>
      </c>
      <c r="H7" s="17">
        <v>5.2574949999999996</v>
      </c>
      <c r="I7" s="17">
        <v>5.4026769999999997</v>
      </c>
      <c r="J7" s="17">
        <v>5.3798969999999997</v>
      </c>
      <c r="K7" s="17">
        <v>5.4553209999999996</v>
      </c>
      <c r="L7" s="17">
        <v>5.4293459999999998</v>
      </c>
      <c r="M7" s="17">
        <v>5.4205350000000001</v>
      </c>
      <c r="N7" s="18">
        <v>5.25749537</v>
      </c>
      <c r="O7" s="18">
        <v>5.1590553000000003</v>
      </c>
      <c r="P7" s="18">
        <v>5.2626901899999998</v>
      </c>
      <c r="Q7" s="18">
        <v>5.1761497299999997</v>
      </c>
      <c r="R7" s="18">
        <v>5.2626901899999998</v>
      </c>
      <c r="S7" s="18">
        <v>5.2311086199999997</v>
      </c>
    </row>
    <row r="8" spans="1:19" x14ac:dyDescent="0.2">
      <c r="A8" s="17">
        <v>2</v>
      </c>
      <c r="B8" s="17">
        <v>5.1416639999999996</v>
      </c>
      <c r="C8" s="17">
        <v>5.3565860000000001</v>
      </c>
      <c r="D8" s="17">
        <v>5.3612919999999997</v>
      </c>
      <c r="E8" s="17">
        <v>5.4249499999999999</v>
      </c>
      <c r="F8" s="17">
        <v>5.3844950000000003</v>
      </c>
      <c r="G8" s="17">
        <v>5.3844950000000003</v>
      </c>
      <c r="H8" s="17">
        <v>5.2781149999999997</v>
      </c>
      <c r="I8" s="17">
        <v>5.3936279999999996</v>
      </c>
      <c r="J8" s="17">
        <v>5.3844950000000003</v>
      </c>
      <c r="K8" s="17">
        <v>5.4553209999999996</v>
      </c>
      <c r="L8" s="17">
        <v>5.4205350000000001</v>
      </c>
      <c r="M8" s="17">
        <v>5.4205350000000001</v>
      </c>
      <c r="N8" s="18">
        <v>5.27811466</v>
      </c>
      <c r="O8" s="18">
        <v>5.1704840000000001</v>
      </c>
      <c r="P8" s="18">
        <v>5.2729995599999997</v>
      </c>
      <c r="Q8" s="18">
        <v>5.2470240700000002</v>
      </c>
      <c r="R8" s="18">
        <v>5.1817835499999996</v>
      </c>
      <c r="S8" s="18">
        <v>5.1984970300000004</v>
      </c>
    </row>
    <row r="9" spans="1:19" x14ac:dyDescent="0.2">
      <c r="A9" s="17">
        <v>2.33</v>
      </c>
      <c r="B9" s="17">
        <v>5.129899</v>
      </c>
      <c r="C9" s="17">
        <v>5.3612919999999997</v>
      </c>
      <c r="D9" s="17">
        <v>5.3612919999999997</v>
      </c>
      <c r="E9" s="17">
        <v>5.4249499999999999</v>
      </c>
      <c r="F9" s="17">
        <v>5.3706379999999996</v>
      </c>
      <c r="G9" s="17">
        <v>5.4026769999999997</v>
      </c>
      <c r="H9" s="17">
        <v>5.2417470000000002</v>
      </c>
      <c r="I9" s="17">
        <v>5.4026769999999997</v>
      </c>
      <c r="J9" s="17">
        <v>5.3936279999999996</v>
      </c>
      <c r="K9" s="17">
        <v>5.4553209999999996</v>
      </c>
      <c r="L9" s="17">
        <v>5.4205350000000001</v>
      </c>
      <c r="M9" s="17">
        <v>5.4205350000000001</v>
      </c>
      <c r="N9" s="18">
        <v>5.24174702</v>
      </c>
      <c r="O9" s="18">
        <v>5.1647859699999996</v>
      </c>
      <c r="P9" s="18">
        <v>5.0814043599999996</v>
      </c>
      <c r="Q9" s="18">
        <v>5.1929568499999998</v>
      </c>
      <c r="R9" s="18">
        <v>5.2149357600000004</v>
      </c>
      <c r="S9" s="18">
        <v>5.1817835499999996</v>
      </c>
    </row>
    <row r="10" spans="1:19" x14ac:dyDescent="0.2">
      <c r="A10" s="17">
        <v>2.67</v>
      </c>
      <c r="B10" s="17">
        <v>5.129899</v>
      </c>
      <c r="C10" s="17">
        <v>5.3659759999999999</v>
      </c>
      <c r="D10" s="17">
        <v>5.3471080000000004</v>
      </c>
      <c r="E10" s="17">
        <v>5.4071720000000001</v>
      </c>
      <c r="F10" s="17">
        <v>5.3936279999999996</v>
      </c>
      <c r="G10" s="17">
        <v>5.3981630000000003</v>
      </c>
      <c r="H10" s="17">
        <v>5.2626900000000001</v>
      </c>
      <c r="I10" s="17">
        <v>5.4293459999999998</v>
      </c>
      <c r="J10" s="17">
        <v>5.3890719999999996</v>
      </c>
      <c r="K10" s="17">
        <v>5.4722710000000001</v>
      </c>
      <c r="L10" s="17">
        <v>5.4337220000000004</v>
      </c>
      <c r="M10" s="17">
        <v>5.4249499999999999</v>
      </c>
      <c r="N10" s="18">
        <v>5.2626901899999998</v>
      </c>
      <c r="O10" s="18">
        <v>5.1817835499999996</v>
      </c>
      <c r="P10" s="18">
        <v>5.0937501999999997</v>
      </c>
      <c r="Q10" s="18">
        <v>5.1929568499999998</v>
      </c>
      <c r="R10" s="18">
        <v>5.1929568499999998</v>
      </c>
      <c r="S10" s="18">
        <v>5.1817835499999996</v>
      </c>
    </row>
    <row r="11" spans="1:19" x14ac:dyDescent="0.2">
      <c r="A11" s="17">
        <v>3</v>
      </c>
      <c r="B11" s="17">
        <v>5.1416639999999996</v>
      </c>
      <c r="C11" s="17">
        <v>5.3659759999999999</v>
      </c>
      <c r="D11" s="17">
        <v>5.3423340000000001</v>
      </c>
      <c r="E11" s="17">
        <v>5.4293459999999998</v>
      </c>
      <c r="F11" s="17">
        <v>5.3706379999999996</v>
      </c>
      <c r="G11" s="17">
        <v>5.3890719999999996</v>
      </c>
      <c r="H11" s="17">
        <v>5.2574949999999996</v>
      </c>
      <c r="I11" s="17">
        <v>5.4026769999999997</v>
      </c>
      <c r="J11" s="17">
        <v>5.3981630000000003</v>
      </c>
      <c r="K11" s="17">
        <v>5.4722710000000001</v>
      </c>
      <c r="L11" s="17">
        <v>5.4293459999999998</v>
      </c>
      <c r="M11" s="17">
        <v>5.4337220000000004</v>
      </c>
      <c r="N11" s="18">
        <v>5.25749537</v>
      </c>
      <c r="O11" s="18">
        <v>5.1647859699999996</v>
      </c>
      <c r="P11" s="18">
        <v>5.0814043599999996</v>
      </c>
      <c r="Q11" s="18">
        <v>5.24174702</v>
      </c>
      <c r="R11" s="18">
        <v>5.2040066899999999</v>
      </c>
      <c r="S11" s="18">
        <v>5.1984970300000004</v>
      </c>
    </row>
    <row r="12" spans="1:19" x14ac:dyDescent="0.2">
      <c r="A12" s="17">
        <v>3.33</v>
      </c>
      <c r="B12" s="17">
        <v>5.1416639999999996</v>
      </c>
      <c r="C12" s="17">
        <v>5.3612919999999997</v>
      </c>
      <c r="D12" s="17">
        <v>5.3278759999999998</v>
      </c>
      <c r="E12" s="17">
        <v>5.4249499999999999</v>
      </c>
      <c r="F12" s="17">
        <v>5.3844950000000003</v>
      </c>
      <c r="G12" s="17">
        <v>5.3844950000000003</v>
      </c>
      <c r="H12" s="17">
        <v>5.2729999999999997</v>
      </c>
      <c r="I12" s="17">
        <v>5.4026769999999997</v>
      </c>
      <c r="J12" s="17">
        <v>5.3844950000000003</v>
      </c>
      <c r="K12" s="17">
        <v>5.4889380000000001</v>
      </c>
      <c r="L12" s="17">
        <v>5.4380790000000001</v>
      </c>
      <c r="M12" s="17">
        <v>5.4249499999999999</v>
      </c>
      <c r="N12" s="18">
        <v>5.2729995599999997</v>
      </c>
      <c r="O12" s="18">
        <v>5.1647859699999996</v>
      </c>
      <c r="P12" s="18">
        <v>5.0751738199999998</v>
      </c>
      <c r="Q12" s="18">
        <v>5.2257466700000004</v>
      </c>
      <c r="R12" s="18">
        <v>5.4249500199999998</v>
      </c>
      <c r="S12" s="18">
        <v>5.1817835499999996</v>
      </c>
    </row>
    <row r="13" spans="1:19" x14ac:dyDescent="0.2">
      <c r="A13" s="17">
        <v>3.67</v>
      </c>
      <c r="B13" s="17">
        <v>5.1416639999999996</v>
      </c>
      <c r="C13" s="17">
        <v>5.351858</v>
      </c>
      <c r="D13" s="17">
        <v>5.3565860000000001</v>
      </c>
      <c r="E13" s="17">
        <v>5.442418</v>
      </c>
      <c r="F13" s="17">
        <v>5.3844950000000003</v>
      </c>
      <c r="G13" s="17">
        <v>5.3936279999999996</v>
      </c>
      <c r="H13" s="17">
        <v>5.2417470000000002</v>
      </c>
      <c r="I13" s="17">
        <v>5.3981630000000003</v>
      </c>
      <c r="J13" s="17">
        <v>5.3844950000000003</v>
      </c>
      <c r="K13" s="17">
        <v>5.4595859999999998</v>
      </c>
      <c r="L13" s="17">
        <v>5.4380790000000001</v>
      </c>
      <c r="M13" s="17">
        <v>5.4026769999999997</v>
      </c>
      <c r="N13" s="18">
        <v>5.24174702</v>
      </c>
      <c r="O13" s="18">
        <v>5.1590553000000003</v>
      </c>
      <c r="P13" s="18">
        <v>5.0875963400000002</v>
      </c>
      <c r="Q13" s="18">
        <v>5.24174702</v>
      </c>
      <c r="R13" s="18">
        <v>5.2729995599999997</v>
      </c>
      <c r="S13" s="18">
        <v>5.24174702</v>
      </c>
    </row>
    <row r="14" spans="1:19" x14ac:dyDescent="0.2">
      <c r="A14" s="17">
        <v>4</v>
      </c>
      <c r="B14" s="17">
        <v>5.1532920000000004</v>
      </c>
      <c r="C14" s="17">
        <v>5.3278759999999998</v>
      </c>
      <c r="D14" s="17">
        <v>5.3565860000000001</v>
      </c>
      <c r="E14" s="17">
        <v>5.4249499999999999</v>
      </c>
      <c r="F14" s="17">
        <v>5.3752779999999998</v>
      </c>
      <c r="G14" s="17">
        <v>5.3981630000000003</v>
      </c>
      <c r="H14" s="17">
        <v>5.2983169999999999</v>
      </c>
      <c r="I14" s="17">
        <v>5.4205350000000001</v>
      </c>
      <c r="J14" s="17">
        <v>5.3981630000000003</v>
      </c>
      <c r="K14" s="17">
        <v>5.463832</v>
      </c>
      <c r="L14" s="17">
        <v>5.4337220000000004</v>
      </c>
      <c r="M14" s="17">
        <v>5.4380790000000001</v>
      </c>
      <c r="N14" s="18">
        <v>5.2983173700000004</v>
      </c>
      <c r="O14" s="18">
        <v>5.1704840000000001</v>
      </c>
      <c r="P14" s="18">
        <v>5.2729995599999997</v>
      </c>
      <c r="Q14" s="18">
        <v>5.1873858100000003</v>
      </c>
      <c r="R14" s="18">
        <v>5.2203558299999999</v>
      </c>
      <c r="S14" s="18">
        <v>5.20948615</v>
      </c>
    </row>
    <row r="15" spans="1:19" x14ac:dyDescent="0.2">
      <c r="A15" s="17">
        <v>4.33</v>
      </c>
      <c r="B15" s="17">
        <v>5.1416639999999996</v>
      </c>
      <c r="C15" s="17">
        <v>5.351858</v>
      </c>
      <c r="D15" s="17">
        <v>5.3659759999999999</v>
      </c>
      <c r="E15" s="17">
        <v>5.4205350000000001</v>
      </c>
      <c r="F15" s="17">
        <v>5.3890719999999996</v>
      </c>
      <c r="G15" s="17">
        <v>5.3936279999999996</v>
      </c>
      <c r="H15" s="17">
        <v>5.2678580000000004</v>
      </c>
      <c r="I15" s="17">
        <v>5.4116460000000002</v>
      </c>
      <c r="J15" s="17">
        <v>5.4071720000000001</v>
      </c>
      <c r="K15" s="17">
        <v>5.4680600000000004</v>
      </c>
      <c r="L15" s="17">
        <v>5.4249499999999999</v>
      </c>
      <c r="M15" s="17">
        <v>5.4380790000000001</v>
      </c>
      <c r="N15" s="18">
        <v>5.2678581600000003</v>
      </c>
      <c r="O15" s="18">
        <v>5.1590553000000003</v>
      </c>
      <c r="P15" s="18">
        <v>5.2832037300000003</v>
      </c>
      <c r="Q15" s="18">
        <v>5.1984970300000004</v>
      </c>
      <c r="R15" s="18">
        <v>5.2040066899999999</v>
      </c>
      <c r="S15" s="18">
        <v>5.2364419599999996</v>
      </c>
    </row>
    <row r="16" spans="1:19" x14ac:dyDescent="0.2">
      <c r="A16" s="17">
        <v>4.67</v>
      </c>
      <c r="B16" s="17">
        <v>5.1532920000000004</v>
      </c>
      <c r="C16" s="17">
        <v>5.3471080000000004</v>
      </c>
      <c r="D16" s="17">
        <v>5.351858</v>
      </c>
      <c r="E16" s="17">
        <v>5.4467369999999997</v>
      </c>
      <c r="F16" s="17">
        <v>5.3981630000000003</v>
      </c>
      <c r="G16" s="17">
        <v>5.4161000000000001</v>
      </c>
      <c r="H16" s="17">
        <v>5.2882670000000003</v>
      </c>
      <c r="I16" s="17">
        <v>5.4205350000000001</v>
      </c>
      <c r="J16" s="17">
        <v>5.3981630000000003</v>
      </c>
      <c r="K16" s="17">
        <v>5.4595859999999998</v>
      </c>
      <c r="L16" s="17">
        <v>5.4510379999999996</v>
      </c>
      <c r="M16" s="17">
        <v>5.4293459999999998</v>
      </c>
      <c r="N16" s="18">
        <v>5.2882670300000001</v>
      </c>
      <c r="O16" s="18">
        <v>5.1704840000000001</v>
      </c>
      <c r="P16" s="18">
        <v>5.0937501999999997</v>
      </c>
      <c r="Q16" s="18">
        <v>5.1357984400000003</v>
      </c>
      <c r="R16" s="18">
        <v>5.4293456300000003</v>
      </c>
      <c r="S16" s="18">
        <v>5.1984970300000004</v>
      </c>
    </row>
    <row r="17" spans="1:19" x14ac:dyDescent="0.2">
      <c r="A17" s="17">
        <v>5</v>
      </c>
      <c r="B17" s="17">
        <v>5.123964</v>
      </c>
      <c r="C17" s="17">
        <v>5.3612919999999997</v>
      </c>
      <c r="D17" s="17">
        <v>5.3612919999999997</v>
      </c>
      <c r="E17" s="17">
        <v>5.4380790000000001</v>
      </c>
      <c r="F17" s="17">
        <v>5.3981630000000003</v>
      </c>
      <c r="G17" s="17">
        <v>5.3844950000000003</v>
      </c>
      <c r="H17" s="17">
        <v>5.2574949999999996</v>
      </c>
      <c r="I17" s="17">
        <v>5.4071720000000001</v>
      </c>
      <c r="J17" s="17">
        <v>5.3981630000000003</v>
      </c>
      <c r="K17" s="17">
        <v>5.4553209999999996</v>
      </c>
      <c r="L17" s="17">
        <v>5.4249499999999999</v>
      </c>
      <c r="M17" s="17">
        <v>5.4337220000000004</v>
      </c>
      <c r="N17" s="18">
        <v>5.25749537</v>
      </c>
      <c r="O17" s="18">
        <v>5.1590553000000003</v>
      </c>
      <c r="P17" s="18">
        <v>5.1474944799999998</v>
      </c>
      <c r="Q17" s="18">
        <v>5.2522734299999998</v>
      </c>
      <c r="R17" s="18">
        <v>5.0998664299999996</v>
      </c>
      <c r="S17" s="18">
        <v>5.1984970300000004</v>
      </c>
    </row>
    <row r="18" spans="1:19" x14ac:dyDescent="0.2">
      <c r="A18" s="17">
        <v>5.33</v>
      </c>
      <c r="B18" s="17">
        <v>5.147494</v>
      </c>
      <c r="C18" s="17">
        <v>5.351858</v>
      </c>
      <c r="D18" s="17">
        <v>5.3471080000000004</v>
      </c>
      <c r="E18" s="17">
        <v>5.4205350000000001</v>
      </c>
      <c r="F18" s="17">
        <v>5.3936279999999996</v>
      </c>
      <c r="G18" s="17">
        <v>5.4116460000000002</v>
      </c>
      <c r="H18" s="17">
        <v>5.2678580000000004</v>
      </c>
      <c r="I18" s="17">
        <v>5.4116460000000002</v>
      </c>
      <c r="J18" s="17">
        <v>5.3844950000000003</v>
      </c>
      <c r="K18" s="17">
        <v>5.463832</v>
      </c>
      <c r="L18" s="17">
        <v>5.4380790000000001</v>
      </c>
      <c r="M18" s="17">
        <v>5.4467369999999997</v>
      </c>
      <c r="N18" s="18">
        <v>5.2678581600000003</v>
      </c>
      <c r="O18" s="18">
        <v>5.1873858100000003</v>
      </c>
      <c r="P18" s="18">
        <v>5.0998664299999996</v>
      </c>
      <c r="Q18" s="18">
        <v>5.2040066899999999</v>
      </c>
      <c r="R18" s="18">
        <v>5.2311086199999997</v>
      </c>
      <c r="S18" s="18">
        <v>5.1984970300000004</v>
      </c>
    </row>
    <row r="19" spans="1:19" x14ac:dyDescent="0.2">
      <c r="A19" s="17">
        <v>5.67</v>
      </c>
      <c r="B19" s="17">
        <v>5.1357980000000003</v>
      </c>
      <c r="C19" s="17">
        <v>5.3798969999999997</v>
      </c>
      <c r="D19" s="17">
        <v>5.3565860000000001</v>
      </c>
      <c r="E19" s="17">
        <v>5.4510379999999996</v>
      </c>
      <c r="F19" s="17">
        <v>5.4026769999999997</v>
      </c>
      <c r="G19" s="17">
        <v>5.4026769999999997</v>
      </c>
      <c r="H19" s="17">
        <v>5.2781149999999997</v>
      </c>
      <c r="I19" s="17">
        <v>5.3981630000000003</v>
      </c>
      <c r="J19" s="17">
        <v>5.3890719999999996</v>
      </c>
      <c r="K19" s="17">
        <v>5.4722710000000001</v>
      </c>
      <c r="L19" s="17">
        <v>5.4293459999999998</v>
      </c>
      <c r="M19" s="17">
        <v>5.4293459999999998</v>
      </c>
      <c r="N19" s="18">
        <v>5.27811466</v>
      </c>
      <c r="O19" s="18">
        <v>5.1761497299999997</v>
      </c>
      <c r="P19" s="18">
        <v>5.0814043599999996</v>
      </c>
      <c r="Q19" s="18">
        <v>5.2678581600000003</v>
      </c>
      <c r="R19" s="18">
        <v>5.2364419599999996</v>
      </c>
      <c r="S19" s="18">
        <v>5.2311086199999997</v>
      </c>
    </row>
    <row r="20" spans="1:19" x14ac:dyDescent="0.2">
      <c r="A20" s="17">
        <v>6</v>
      </c>
      <c r="B20" s="17">
        <v>5.1357980000000003</v>
      </c>
      <c r="C20" s="17">
        <v>5.3659759999999999</v>
      </c>
      <c r="D20" s="17">
        <v>5.3471080000000004</v>
      </c>
      <c r="E20" s="17">
        <v>5.4337220000000004</v>
      </c>
      <c r="F20" s="17">
        <v>5.4205350000000001</v>
      </c>
      <c r="G20" s="17">
        <v>5.3936279999999996</v>
      </c>
      <c r="H20" s="17">
        <v>5.2678580000000004</v>
      </c>
      <c r="I20" s="17">
        <v>5.4205350000000001</v>
      </c>
      <c r="J20" s="17">
        <v>5.3890719999999996</v>
      </c>
      <c r="K20" s="17">
        <v>5.4595859999999998</v>
      </c>
      <c r="L20" s="17">
        <v>5.4337220000000004</v>
      </c>
      <c r="M20" s="17">
        <v>5.4205350000000001</v>
      </c>
      <c r="N20" s="18">
        <v>5.2678581600000003</v>
      </c>
      <c r="O20" s="18">
        <v>5.1817835499999996</v>
      </c>
      <c r="P20" s="18">
        <v>5.10594547</v>
      </c>
      <c r="Q20" s="18">
        <v>5.1474944799999998</v>
      </c>
      <c r="R20" s="18">
        <v>5.43807931</v>
      </c>
      <c r="S20" s="18">
        <v>5.1817835499999996</v>
      </c>
    </row>
    <row r="21" spans="1:19" x14ac:dyDescent="0.2">
      <c r="A21" s="17">
        <v>6.33</v>
      </c>
      <c r="B21" s="17">
        <v>5.123964</v>
      </c>
      <c r="C21" s="17">
        <v>5.3565860000000001</v>
      </c>
      <c r="D21" s="17">
        <v>5.351858</v>
      </c>
      <c r="E21" s="17">
        <v>5.4293459999999998</v>
      </c>
      <c r="F21" s="17">
        <v>5.4205350000000001</v>
      </c>
      <c r="G21" s="17">
        <v>5.3981630000000003</v>
      </c>
      <c r="H21" s="17">
        <v>5.2933050000000001</v>
      </c>
      <c r="I21" s="17">
        <v>5.4205350000000001</v>
      </c>
      <c r="J21" s="17">
        <v>5.3844950000000003</v>
      </c>
      <c r="K21" s="17">
        <v>5.476464</v>
      </c>
      <c r="L21" s="17">
        <v>5.4337220000000004</v>
      </c>
      <c r="M21" s="17">
        <v>5.4026769999999997</v>
      </c>
      <c r="N21" s="18">
        <v>5.2933048200000004</v>
      </c>
      <c r="O21" s="18">
        <v>5.1929568499999998</v>
      </c>
      <c r="P21" s="18">
        <v>5.1239639800000001</v>
      </c>
      <c r="Q21" s="18">
        <v>5.2470240700000002</v>
      </c>
      <c r="R21" s="18">
        <v>5.24174702</v>
      </c>
      <c r="S21" s="18">
        <v>5.1984970300000004</v>
      </c>
    </row>
    <row r="22" spans="1:19" x14ac:dyDescent="0.2">
      <c r="A22" s="17">
        <v>6.67</v>
      </c>
      <c r="B22" s="17">
        <v>5.147494</v>
      </c>
      <c r="C22" s="17">
        <v>5.3706379999999996</v>
      </c>
      <c r="D22" s="17">
        <v>5.3612919999999997</v>
      </c>
      <c r="E22" s="17">
        <v>5.4249499999999999</v>
      </c>
      <c r="F22" s="17">
        <v>5.4337220000000004</v>
      </c>
      <c r="G22" s="17">
        <v>5.4071720000000001</v>
      </c>
      <c r="H22" s="17">
        <v>5.2781149999999997</v>
      </c>
      <c r="I22" s="17">
        <v>5.4249499999999999</v>
      </c>
      <c r="J22" s="17">
        <v>5.3981630000000003</v>
      </c>
      <c r="K22" s="17">
        <v>5.4510379999999996</v>
      </c>
      <c r="L22" s="17">
        <v>5.442418</v>
      </c>
      <c r="M22" s="17">
        <v>5.4293459999999998</v>
      </c>
      <c r="N22" s="18">
        <v>5.27811466</v>
      </c>
      <c r="O22" s="18">
        <v>5.2040066899999999</v>
      </c>
      <c r="P22" s="18">
        <v>5.1179938099999998</v>
      </c>
      <c r="Q22" s="18">
        <v>5.24174702</v>
      </c>
      <c r="R22" s="18">
        <v>5.24174702</v>
      </c>
      <c r="S22" s="18">
        <v>5.2040066899999999</v>
      </c>
    </row>
    <row r="23" spans="1:19" x14ac:dyDescent="0.2">
      <c r="A23" s="17">
        <v>7</v>
      </c>
      <c r="B23" s="17">
        <v>5.147494</v>
      </c>
      <c r="C23" s="17">
        <v>5.3612919999999997</v>
      </c>
      <c r="D23" s="17">
        <v>5.3612919999999997</v>
      </c>
      <c r="E23" s="17">
        <v>5.4293459999999998</v>
      </c>
      <c r="F23" s="17">
        <v>5.4380790000000001</v>
      </c>
      <c r="G23" s="17">
        <v>5.4071720000000001</v>
      </c>
      <c r="H23" s="17">
        <v>5.2678580000000004</v>
      </c>
      <c r="I23" s="17">
        <v>5.4293459999999998</v>
      </c>
      <c r="J23" s="17">
        <v>5.3936279999999996</v>
      </c>
      <c r="K23" s="17">
        <v>5.4680600000000004</v>
      </c>
      <c r="L23" s="17">
        <v>5.4467369999999997</v>
      </c>
      <c r="M23" s="17">
        <v>5.4293459999999998</v>
      </c>
      <c r="N23" s="18">
        <v>5.2678581600000003</v>
      </c>
      <c r="O23" s="18">
        <v>5.2149357600000004</v>
      </c>
      <c r="P23" s="18">
        <v>5.1239639800000001</v>
      </c>
      <c r="Q23" s="18">
        <v>5.2311086199999997</v>
      </c>
      <c r="R23" s="18">
        <v>5.2203558299999999</v>
      </c>
      <c r="S23" s="18">
        <v>5.2626901899999998</v>
      </c>
    </row>
    <row r="24" spans="1:19" x14ac:dyDescent="0.2">
      <c r="A24" s="17">
        <v>7.33</v>
      </c>
      <c r="B24" s="17">
        <v>5.1357980000000003</v>
      </c>
      <c r="C24" s="17">
        <v>5.3471080000000004</v>
      </c>
      <c r="D24" s="17">
        <v>5.3752779999999998</v>
      </c>
      <c r="E24" s="17">
        <v>5.4510379999999996</v>
      </c>
      <c r="F24" s="17">
        <v>5.4380790000000001</v>
      </c>
      <c r="G24" s="17">
        <v>5.4071720000000001</v>
      </c>
      <c r="H24" s="17">
        <v>5.2882670000000003</v>
      </c>
      <c r="I24" s="17">
        <v>5.4249499999999999</v>
      </c>
      <c r="J24" s="17">
        <v>5.3844950000000003</v>
      </c>
      <c r="K24" s="17">
        <v>5.4722710000000001</v>
      </c>
      <c r="L24" s="17">
        <v>5.4467369999999997</v>
      </c>
      <c r="M24" s="17">
        <v>5.4249499999999999</v>
      </c>
      <c r="N24" s="18">
        <v>5.2882670300000001</v>
      </c>
      <c r="O24" s="18">
        <v>5.20948615</v>
      </c>
      <c r="P24" s="18">
        <v>5.1119877899999997</v>
      </c>
      <c r="Q24" s="18">
        <v>5.2678581600000003</v>
      </c>
      <c r="R24" s="18">
        <v>5.2311086199999997</v>
      </c>
      <c r="S24" s="18">
        <v>5.1873858100000003</v>
      </c>
    </row>
    <row r="25" spans="1:19" x14ac:dyDescent="0.2">
      <c r="A25" s="17">
        <v>7.67</v>
      </c>
      <c r="B25" s="17">
        <v>5.147494</v>
      </c>
      <c r="C25" s="17">
        <v>5.3612919999999997</v>
      </c>
      <c r="D25" s="17">
        <v>5.3659759999999999</v>
      </c>
      <c r="E25" s="17">
        <v>5.4337220000000004</v>
      </c>
      <c r="F25" s="17">
        <v>5.4553209999999996</v>
      </c>
      <c r="G25" s="17">
        <v>5.4205350000000001</v>
      </c>
      <c r="H25" s="17">
        <v>5.2882670000000003</v>
      </c>
      <c r="I25" s="17">
        <v>5.4293459999999998</v>
      </c>
      <c r="J25" s="17">
        <v>5.3936279999999996</v>
      </c>
      <c r="K25" s="17">
        <v>5.463832</v>
      </c>
      <c r="L25" s="17">
        <v>5.4467369999999997</v>
      </c>
      <c r="M25" s="17">
        <v>5.4205350000000001</v>
      </c>
      <c r="N25" s="18">
        <v>5.2882670300000001</v>
      </c>
      <c r="O25" s="18">
        <v>5.2522734299999998</v>
      </c>
      <c r="P25" s="18">
        <v>5.1474944799999998</v>
      </c>
      <c r="Q25" s="18">
        <v>5.2678581600000003</v>
      </c>
      <c r="R25" s="18">
        <v>5.2311086199999997</v>
      </c>
      <c r="S25" s="18">
        <v>5.20948615</v>
      </c>
    </row>
    <row r="26" spans="1:19" x14ac:dyDescent="0.2">
      <c r="A26" s="17">
        <v>8</v>
      </c>
      <c r="B26" s="17">
        <v>5.1532920000000004</v>
      </c>
      <c r="C26" s="17">
        <v>5.3706379999999996</v>
      </c>
      <c r="D26" s="17">
        <v>5.3706379999999996</v>
      </c>
      <c r="E26" s="17">
        <v>5.4722710000000001</v>
      </c>
      <c r="F26" s="17">
        <v>5.4722710000000001</v>
      </c>
      <c r="G26" s="17">
        <v>5.4161000000000001</v>
      </c>
      <c r="H26" s="17">
        <v>5.2832039999999996</v>
      </c>
      <c r="I26" s="17">
        <v>5.442418</v>
      </c>
      <c r="J26" s="17">
        <v>5.4116460000000002</v>
      </c>
      <c r="K26" s="17">
        <v>5.480639</v>
      </c>
      <c r="L26" s="17">
        <v>5.4467369999999997</v>
      </c>
      <c r="M26" s="17">
        <v>5.4337220000000004</v>
      </c>
      <c r="N26" s="18">
        <v>5.2832037300000003</v>
      </c>
      <c r="O26" s="18">
        <v>5.3033049099999996</v>
      </c>
      <c r="P26" s="18">
        <v>5.1704840000000001</v>
      </c>
      <c r="Q26" s="18">
        <v>5.1873858100000003</v>
      </c>
      <c r="R26" s="18">
        <v>5.2882670300000001</v>
      </c>
      <c r="S26" s="18">
        <v>5.1817835499999996</v>
      </c>
    </row>
    <row r="27" spans="1:19" x14ac:dyDescent="0.2">
      <c r="A27" s="17">
        <v>8.33</v>
      </c>
      <c r="B27" s="17">
        <v>5.1416639999999996</v>
      </c>
      <c r="C27" s="17">
        <v>5.3752779999999998</v>
      </c>
      <c r="D27" s="17">
        <v>5.3844950000000003</v>
      </c>
      <c r="E27" s="17">
        <v>5.4722710000000001</v>
      </c>
      <c r="F27" s="17">
        <v>5.4889380000000001</v>
      </c>
      <c r="G27" s="17">
        <v>5.4071720000000001</v>
      </c>
      <c r="H27" s="17">
        <v>5.2781149999999997</v>
      </c>
      <c r="I27" s="17">
        <v>5.4510379999999996</v>
      </c>
      <c r="J27" s="17">
        <v>5.4116460000000002</v>
      </c>
      <c r="K27" s="17">
        <v>5.480639</v>
      </c>
      <c r="L27" s="17">
        <v>5.442418</v>
      </c>
      <c r="M27" s="17">
        <v>5.4337220000000004</v>
      </c>
      <c r="N27" s="18">
        <v>5.27811466</v>
      </c>
      <c r="O27" s="18">
        <v>5.2933048200000004</v>
      </c>
      <c r="P27" s="18">
        <v>5.1984970300000004</v>
      </c>
      <c r="Q27" s="18">
        <v>5.3132059800000002</v>
      </c>
      <c r="R27" s="18">
        <v>5.2832037300000003</v>
      </c>
      <c r="S27" s="18">
        <v>5.2203558299999999</v>
      </c>
    </row>
    <row r="28" spans="1:19" x14ac:dyDescent="0.2">
      <c r="A28" s="17">
        <v>8.67</v>
      </c>
      <c r="B28" s="17">
        <v>5.1357980000000003</v>
      </c>
      <c r="C28" s="17">
        <v>5.3706379999999996</v>
      </c>
      <c r="D28" s="17">
        <v>5.3706379999999996</v>
      </c>
      <c r="E28" s="17">
        <v>5.541264</v>
      </c>
      <c r="F28" s="17">
        <v>5.5053320000000001</v>
      </c>
      <c r="G28" s="17">
        <v>5.3890719999999996</v>
      </c>
      <c r="H28" s="17">
        <v>5.2882670000000003</v>
      </c>
      <c r="I28" s="17">
        <v>5.4467369999999997</v>
      </c>
      <c r="J28" s="17">
        <v>5.4116460000000002</v>
      </c>
      <c r="K28" s="17">
        <v>5.5093880000000004</v>
      </c>
      <c r="L28" s="17">
        <v>5.442418</v>
      </c>
      <c r="M28" s="17">
        <v>5.4337220000000004</v>
      </c>
      <c r="N28" s="18">
        <v>5.2882670300000001</v>
      </c>
      <c r="O28" s="18">
        <v>5.3132059800000002</v>
      </c>
      <c r="P28" s="18">
        <v>5.2203558299999999</v>
      </c>
      <c r="Q28" s="18">
        <v>5.5053315400000002</v>
      </c>
      <c r="R28" s="18">
        <v>5.43807931</v>
      </c>
      <c r="S28" s="18">
        <v>5.1873858100000003</v>
      </c>
    </row>
    <row r="29" spans="1:19" x14ac:dyDescent="0.2">
      <c r="A29" s="17">
        <v>9</v>
      </c>
      <c r="B29" s="17">
        <v>5.147494</v>
      </c>
      <c r="C29" s="17">
        <v>5.3844950000000003</v>
      </c>
      <c r="D29" s="17">
        <v>5.3844950000000003</v>
      </c>
      <c r="E29" s="17">
        <v>5.6594819999999997</v>
      </c>
      <c r="F29" s="17">
        <v>5.5294290000000004</v>
      </c>
      <c r="G29" s="17">
        <v>5.3890719999999996</v>
      </c>
      <c r="H29" s="17">
        <v>5.2933050000000001</v>
      </c>
      <c r="I29" s="17">
        <v>5.4380790000000001</v>
      </c>
      <c r="J29" s="17">
        <v>5.4249499999999999</v>
      </c>
      <c r="K29" s="17">
        <v>5.5333889999999997</v>
      </c>
      <c r="L29" s="17">
        <v>5.4380790000000001</v>
      </c>
      <c r="M29" s="17">
        <v>5.4293459999999998</v>
      </c>
      <c r="N29" s="18">
        <v>5.2933048200000004</v>
      </c>
      <c r="O29" s="18">
        <v>5.3565862700000002</v>
      </c>
      <c r="P29" s="18">
        <v>5.2729995599999997</v>
      </c>
      <c r="Q29" s="18">
        <v>5.5053315400000002</v>
      </c>
      <c r="R29" s="18">
        <v>5.3082677</v>
      </c>
      <c r="S29" s="18">
        <v>5.2522734299999998</v>
      </c>
    </row>
    <row r="30" spans="1:19" x14ac:dyDescent="0.2">
      <c r="A30" s="17">
        <v>9.33</v>
      </c>
      <c r="B30" s="17">
        <v>5.1416639999999996</v>
      </c>
      <c r="C30" s="17">
        <v>5.3565860000000001</v>
      </c>
      <c r="D30" s="17">
        <v>5.3981630000000003</v>
      </c>
      <c r="E30" s="17">
        <v>5.5984220000000002</v>
      </c>
      <c r="F30" s="17">
        <v>5.5490760000000003</v>
      </c>
      <c r="G30" s="17">
        <v>5.4071720000000001</v>
      </c>
      <c r="H30" s="17">
        <v>5.2933050000000001</v>
      </c>
      <c r="I30" s="17">
        <v>5.442418</v>
      </c>
      <c r="J30" s="17">
        <v>5.4116460000000002</v>
      </c>
      <c r="K30" s="17">
        <v>5.5093880000000004</v>
      </c>
      <c r="L30" s="17">
        <v>5.4510379999999996</v>
      </c>
      <c r="M30" s="17">
        <v>5.4249499999999999</v>
      </c>
      <c r="N30" s="18">
        <v>5.2933048200000004</v>
      </c>
      <c r="O30" s="18">
        <v>5.4026773800000001</v>
      </c>
      <c r="P30" s="18">
        <v>5.4806389199999996</v>
      </c>
      <c r="Q30" s="18">
        <v>5.5294290899999998</v>
      </c>
      <c r="R30" s="18">
        <v>5.2470240700000002</v>
      </c>
      <c r="S30" s="18">
        <v>5.1984970300000004</v>
      </c>
    </row>
    <row r="31" spans="1:19" x14ac:dyDescent="0.2">
      <c r="A31" s="17">
        <v>9.67</v>
      </c>
      <c r="B31" s="17">
        <v>5.1416639999999996</v>
      </c>
      <c r="C31" s="17">
        <v>5.3981630000000003</v>
      </c>
      <c r="D31" s="17">
        <v>5.3981630000000003</v>
      </c>
      <c r="E31" s="17">
        <v>5.6594819999999997</v>
      </c>
      <c r="F31" s="17">
        <v>5.5721540000000003</v>
      </c>
      <c r="G31" s="17">
        <v>5.4161000000000001</v>
      </c>
      <c r="H31" s="17">
        <v>5.3033049999999999</v>
      </c>
      <c r="I31" s="17">
        <v>5.442418</v>
      </c>
      <c r="J31" s="17">
        <v>5.4249499999999999</v>
      </c>
      <c r="K31" s="17">
        <v>5.5093880000000004</v>
      </c>
      <c r="L31" s="17">
        <v>5.4293459999999998</v>
      </c>
      <c r="M31" s="17">
        <v>5.4337220000000004</v>
      </c>
      <c r="N31" s="18">
        <v>5.3033049099999996</v>
      </c>
      <c r="O31" s="18">
        <v>5.4116460499999999</v>
      </c>
      <c r="P31" s="18">
        <v>5.49306144</v>
      </c>
      <c r="Q31" s="18">
        <v>5.5373342699999997</v>
      </c>
      <c r="R31" s="18">
        <v>5.44241771</v>
      </c>
      <c r="S31" s="18">
        <v>5.2470240700000002</v>
      </c>
    </row>
    <row r="32" spans="1:19" x14ac:dyDescent="0.2">
      <c r="A32" s="17">
        <v>10</v>
      </c>
      <c r="B32" s="17">
        <v>5.147494</v>
      </c>
      <c r="C32" s="17">
        <v>5.3844950000000003</v>
      </c>
      <c r="D32" s="17">
        <v>5.4116460000000002</v>
      </c>
      <c r="E32" s="17">
        <v>5.758902</v>
      </c>
      <c r="F32" s="17">
        <v>5.5872489999999999</v>
      </c>
      <c r="G32" s="17">
        <v>5.4071720000000001</v>
      </c>
      <c r="H32" s="17">
        <v>5.2933050000000001</v>
      </c>
      <c r="I32" s="17">
        <v>5.463832</v>
      </c>
      <c r="J32" s="17">
        <v>5.4293459999999998</v>
      </c>
      <c r="K32" s="17">
        <v>5.5093880000000004</v>
      </c>
      <c r="L32" s="17">
        <v>5.4510379999999996</v>
      </c>
      <c r="M32" s="17">
        <v>5.4161000000000001</v>
      </c>
      <c r="N32" s="18">
        <v>5.2933048200000004</v>
      </c>
      <c r="O32" s="18">
        <v>5.4467373700000001</v>
      </c>
      <c r="P32" s="18">
        <v>5.5333894900000002</v>
      </c>
      <c r="Q32" s="18">
        <v>5.6058020700000002</v>
      </c>
      <c r="R32" s="18">
        <v>5.3181199899999996</v>
      </c>
      <c r="S32" s="18">
        <v>5.1984970300000004</v>
      </c>
    </row>
    <row r="33" spans="1:19" x14ac:dyDescent="0.2">
      <c r="A33" s="17">
        <v>10.33</v>
      </c>
      <c r="B33" s="17">
        <v>5.147494</v>
      </c>
      <c r="C33" s="17">
        <v>5.3936279999999996</v>
      </c>
      <c r="D33" s="17">
        <v>5.4205350000000001</v>
      </c>
      <c r="E33" s="17">
        <v>5.7868969999999997</v>
      </c>
      <c r="F33" s="17">
        <v>5.6312119999999997</v>
      </c>
      <c r="G33" s="17">
        <v>5.4071720000000001</v>
      </c>
      <c r="H33" s="17">
        <v>5.3033049999999999</v>
      </c>
      <c r="I33" s="17">
        <v>5.463832</v>
      </c>
      <c r="J33" s="17">
        <v>5.4467369999999997</v>
      </c>
      <c r="K33" s="17">
        <v>5.5214610000000004</v>
      </c>
      <c r="L33" s="17">
        <v>5.4595859999999998</v>
      </c>
      <c r="M33" s="17">
        <v>5.4249499999999999</v>
      </c>
      <c r="N33" s="18">
        <v>5.3033049099999996</v>
      </c>
      <c r="O33" s="18">
        <v>5.5294290899999998</v>
      </c>
      <c r="P33" s="18">
        <v>5.5451774399999998</v>
      </c>
      <c r="Q33" s="18">
        <v>5.5797298299999998</v>
      </c>
      <c r="R33" s="18">
        <v>5.3033049099999996</v>
      </c>
      <c r="S33" s="18">
        <v>5.2522734299999998</v>
      </c>
    </row>
    <row r="34" spans="1:19" x14ac:dyDescent="0.2">
      <c r="A34" s="17">
        <v>10.67</v>
      </c>
      <c r="B34" s="17">
        <v>5.1357980000000003</v>
      </c>
      <c r="C34" s="17">
        <v>5.4161000000000001</v>
      </c>
      <c r="D34" s="17">
        <v>5.4467369999999997</v>
      </c>
      <c r="E34" s="17">
        <v>5.7235849999999999</v>
      </c>
      <c r="F34" s="17">
        <v>5.6594819999999997</v>
      </c>
      <c r="G34" s="17">
        <v>5.4161000000000001</v>
      </c>
      <c r="H34" s="17">
        <v>5.3278759999999998</v>
      </c>
      <c r="I34" s="17">
        <v>5.463832</v>
      </c>
      <c r="J34" s="17">
        <v>5.4293459999999998</v>
      </c>
      <c r="K34" s="17">
        <v>5.5214610000000004</v>
      </c>
      <c r="L34" s="17">
        <v>5.442418</v>
      </c>
      <c r="M34" s="17">
        <v>5.442418</v>
      </c>
      <c r="N34" s="18">
        <v>5.3278761699999997</v>
      </c>
      <c r="O34" s="18">
        <v>5.52146092</v>
      </c>
      <c r="P34" s="18">
        <v>5.4595855100000001</v>
      </c>
      <c r="Q34" s="18">
        <v>5.6204008700000001</v>
      </c>
      <c r="R34" s="18">
        <v>5.2470240700000002</v>
      </c>
      <c r="S34" s="18">
        <v>5.1873858100000003</v>
      </c>
    </row>
    <row r="35" spans="1:19" x14ac:dyDescent="0.2">
      <c r="A35" s="17">
        <v>11</v>
      </c>
      <c r="B35" s="17">
        <v>5.147494</v>
      </c>
      <c r="C35" s="17">
        <v>5.4249499999999999</v>
      </c>
      <c r="D35" s="17">
        <v>5.4510379999999996</v>
      </c>
      <c r="E35" s="17">
        <v>5.7037820000000004</v>
      </c>
      <c r="F35" s="17">
        <v>5.6970929999999997</v>
      </c>
      <c r="G35" s="17">
        <v>5.4161000000000001</v>
      </c>
      <c r="H35" s="17">
        <v>5.3132060000000001</v>
      </c>
      <c r="I35" s="17">
        <v>5.4847970000000004</v>
      </c>
      <c r="J35" s="17">
        <v>5.4553209999999996</v>
      </c>
      <c r="K35" s="17">
        <v>5.541264</v>
      </c>
      <c r="L35" s="17">
        <v>5.4553209999999996</v>
      </c>
      <c r="M35" s="17">
        <v>5.4205350000000001</v>
      </c>
      <c r="N35" s="18">
        <v>5.3132059800000002</v>
      </c>
      <c r="O35" s="18">
        <v>5.5093883400000001</v>
      </c>
      <c r="P35" s="18">
        <v>5.4847969299999999</v>
      </c>
      <c r="Q35" s="18">
        <v>5.6594822200000001</v>
      </c>
      <c r="R35" s="18">
        <v>5.3423342500000004</v>
      </c>
      <c r="S35" s="18">
        <v>5.2257466700000004</v>
      </c>
    </row>
    <row r="36" spans="1:19" x14ac:dyDescent="0.2">
      <c r="A36" s="17">
        <v>11.33</v>
      </c>
      <c r="B36" s="17">
        <v>5.147494</v>
      </c>
      <c r="C36" s="17">
        <v>5.4380790000000001</v>
      </c>
      <c r="D36" s="17">
        <v>5.480639</v>
      </c>
      <c r="E36" s="17">
        <v>5.7462030000000004</v>
      </c>
      <c r="F36" s="17">
        <v>5.7493930000000004</v>
      </c>
      <c r="G36" s="17">
        <v>5.4116460000000002</v>
      </c>
      <c r="H36" s="17">
        <v>5.32301</v>
      </c>
      <c r="I36" s="17">
        <v>5.5093880000000004</v>
      </c>
      <c r="J36" s="17">
        <v>5.4553209999999996</v>
      </c>
      <c r="K36" s="17">
        <v>5.5490760000000003</v>
      </c>
      <c r="L36" s="17">
        <v>5.442418</v>
      </c>
      <c r="M36" s="17">
        <v>5.4249499999999999</v>
      </c>
      <c r="N36" s="18">
        <v>5.3230099800000001</v>
      </c>
      <c r="O36" s="18">
        <v>5.5451774399999998</v>
      </c>
      <c r="P36" s="18">
        <v>5.4971682299999998</v>
      </c>
      <c r="Q36" s="18">
        <v>5.7170277</v>
      </c>
      <c r="R36" s="18">
        <v>5.24174702</v>
      </c>
      <c r="S36" s="18">
        <v>5.1817835499999996</v>
      </c>
    </row>
    <row r="37" spans="1:19" x14ac:dyDescent="0.2">
      <c r="A37" s="17">
        <v>11.67</v>
      </c>
      <c r="B37" s="17">
        <v>5.1357980000000003</v>
      </c>
      <c r="C37" s="17">
        <v>5.4510379999999996</v>
      </c>
      <c r="D37" s="17">
        <v>5.5134290000000004</v>
      </c>
      <c r="E37" s="17">
        <v>5.7807440000000003</v>
      </c>
      <c r="F37" s="17">
        <v>5.7990930000000001</v>
      </c>
      <c r="G37" s="17">
        <v>5.4116460000000002</v>
      </c>
      <c r="H37" s="17">
        <v>5.3278759999999998</v>
      </c>
      <c r="I37" s="17">
        <v>5.5214610000000004</v>
      </c>
      <c r="J37" s="17">
        <v>5.4595859999999998</v>
      </c>
      <c r="K37" s="17">
        <v>5.5490760000000003</v>
      </c>
      <c r="L37" s="17">
        <v>5.4380790000000001</v>
      </c>
      <c r="M37" s="17">
        <v>5.4205350000000001</v>
      </c>
      <c r="N37" s="18">
        <v>5.3278761699999997</v>
      </c>
      <c r="O37" s="18">
        <v>5.5683445000000003</v>
      </c>
      <c r="P37" s="18">
        <v>5.5174529000000003</v>
      </c>
      <c r="Q37" s="18">
        <v>5.7137328099999998</v>
      </c>
      <c r="R37" s="18">
        <v>5.2311086199999997</v>
      </c>
      <c r="S37" s="18">
        <v>5.2522734299999998</v>
      </c>
    </row>
    <row r="38" spans="1:19" x14ac:dyDescent="0.2">
      <c r="A38" s="17">
        <v>12</v>
      </c>
      <c r="B38" s="17">
        <v>5.1416639999999996</v>
      </c>
      <c r="C38" s="17">
        <v>5.4722710000000001</v>
      </c>
      <c r="D38" s="17">
        <v>5.5254529999999997</v>
      </c>
      <c r="E38" s="17">
        <v>5.8230459999999997</v>
      </c>
      <c r="F38" s="17">
        <v>5.8692970000000004</v>
      </c>
      <c r="G38" s="17">
        <v>5.4380790000000001</v>
      </c>
      <c r="H38" s="17">
        <v>5.32301</v>
      </c>
      <c r="I38" s="17">
        <v>5.5174529999999997</v>
      </c>
      <c r="J38" s="17">
        <v>5.476464</v>
      </c>
      <c r="K38" s="17">
        <v>5.5683449999999999</v>
      </c>
      <c r="L38" s="17">
        <v>5.442418</v>
      </c>
      <c r="M38" s="17">
        <v>5.4249499999999999</v>
      </c>
      <c r="N38" s="18">
        <v>5.3230099800000001</v>
      </c>
      <c r="O38" s="18">
        <v>5.5797298299999998</v>
      </c>
      <c r="P38" s="18">
        <v>5.5333894900000002</v>
      </c>
      <c r="Q38" s="18">
        <v>5.7333412800000003</v>
      </c>
      <c r="R38" s="18">
        <v>5.24174702</v>
      </c>
      <c r="S38" s="18">
        <v>5.2149357600000004</v>
      </c>
    </row>
    <row r="39" spans="1:19" x14ac:dyDescent="0.2">
      <c r="A39" s="17">
        <v>12.33</v>
      </c>
      <c r="B39" s="17">
        <v>5.1357980000000003</v>
      </c>
      <c r="C39" s="17">
        <v>5.4889380000000001</v>
      </c>
      <c r="D39" s="17">
        <v>5.5451769999999998</v>
      </c>
      <c r="E39" s="17">
        <v>5.8805329999999998</v>
      </c>
      <c r="F39" s="17">
        <v>5.9375359999999997</v>
      </c>
      <c r="G39" s="17">
        <v>5.4467369999999997</v>
      </c>
      <c r="H39" s="17">
        <v>5.3423340000000001</v>
      </c>
      <c r="I39" s="17">
        <v>5.5451769999999998</v>
      </c>
      <c r="J39" s="17">
        <v>5.4847970000000004</v>
      </c>
      <c r="K39" s="17">
        <v>5.5721540000000003</v>
      </c>
      <c r="L39" s="17">
        <v>5.442418</v>
      </c>
      <c r="M39" s="17">
        <v>5.4293459999999998</v>
      </c>
      <c r="N39" s="18">
        <v>5.3423342500000004</v>
      </c>
      <c r="O39" s="18">
        <v>5.6240175099999998</v>
      </c>
      <c r="P39" s="18">
        <v>5.5721540300000001</v>
      </c>
      <c r="Q39" s="18">
        <v>5.77455155</v>
      </c>
      <c r="R39" s="18">
        <v>5.2882670300000001</v>
      </c>
      <c r="S39" s="18">
        <v>5.1984970300000004</v>
      </c>
    </row>
    <row r="40" spans="1:19" x14ac:dyDescent="0.2">
      <c r="A40" s="17">
        <v>12.67</v>
      </c>
      <c r="B40" s="17">
        <v>5.147494</v>
      </c>
      <c r="C40" s="17">
        <v>5.5053320000000001</v>
      </c>
      <c r="D40" s="17">
        <v>5.5797299999999996</v>
      </c>
      <c r="E40" s="17">
        <v>5.9269259999999999</v>
      </c>
      <c r="F40" s="17">
        <v>6.0210229999999996</v>
      </c>
      <c r="G40" s="17">
        <v>5.4595859999999998</v>
      </c>
      <c r="H40" s="17">
        <v>5.3565860000000001</v>
      </c>
      <c r="I40" s="17">
        <v>5.5606819999999999</v>
      </c>
      <c r="J40" s="17">
        <v>5.501258</v>
      </c>
      <c r="K40" s="17">
        <v>5.5872489999999999</v>
      </c>
      <c r="L40" s="17">
        <v>5.442418</v>
      </c>
      <c r="M40" s="17">
        <v>5.4205350000000001</v>
      </c>
      <c r="N40" s="18">
        <v>5.3565862700000002</v>
      </c>
      <c r="O40" s="18">
        <v>5.6489742400000003</v>
      </c>
      <c r="P40" s="18">
        <v>5.6240175099999998</v>
      </c>
      <c r="Q40" s="18">
        <v>5.8021183799999996</v>
      </c>
      <c r="R40" s="18">
        <v>5.4337220000000004</v>
      </c>
      <c r="S40" s="18">
        <v>5.1873858100000003</v>
      </c>
    </row>
    <row r="41" spans="1:19" x14ac:dyDescent="0.2">
      <c r="A41" s="17">
        <v>13</v>
      </c>
      <c r="B41" s="17">
        <v>5.1590550000000004</v>
      </c>
      <c r="C41" s="17">
        <v>5.5294290000000004</v>
      </c>
      <c r="D41" s="17">
        <v>5.6131279999999997</v>
      </c>
      <c r="E41" s="17">
        <v>6.0038869999999998</v>
      </c>
      <c r="F41" s="17">
        <v>6.09131</v>
      </c>
      <c r="G41" s="17">
        <v>5.4595859999999998</v>
      </c>
      <c r="H41" s="17">
        <v>5.3423340000000001</v>
      </c>
      <c r="I41" s="17">
        <v>5.5947110000000002</v>
      </c>
      <c r="J41" s="17">
        <v>5.5174529999999997</v>
      </c>
      <c r="K41" s="17">
        <v>5.6094720000000002</v>
      </c>
      <c r="L41" s="17">
        <v>5.442418</v>
      </c>
      <c r="M41" s="17">
        <v>5.4293459999999998</v>
      </c>
      <c r="N41" s="18">
        <v>5.3423342500000004</v>
      </c>
      <c r="O41" s="18">
        <v>5.6594822200000001</v>
      </c>
      <c r="P41" s="18">
        <v>5.6240175099999998</v>
      </c>
      <c r="Q41" s="18">
        <v>5.8607862199999996</v>
      </c>
      <c r="R41" s="18">
        <v>5.4595855100000001</v>
      </c>
      <c r="S41" s="18">
        <v>5.2040066899999999</v>
      </c>
    </row>
    <row r="42" spans="1:19" x14ac:dyDescent="0.2">
      <c r="A42" s="17">
        <v>13.33</v>
      </c>
      <c r="B42" s="17">
        <v>5.1590550000000004</v>
      </c>
      <c r="C42" s="17">
        <v>5.5490760000000003</v>
      </c>
      <c r="D42" s="17">
        <v>5.6347899999999997</v>
      </c>
      <c r="E42" s="17">
        <v>6.0684259999999997</v>
      </c>
      <c r="F42" s="17">
        <v>6.1506030000000003</v>
      </c>
      <c r="G42" s="17">
        <v>5.4553209999999996</v>
      </c>
      <c r="H42" s="17">
        <v>5.351858</v>
      </c>
      <c r="I42" s="17">
        <v>5.6131279999999997</v>
      </c>
      <c r="J42" s="17">
        <v>5.5451769999999998</v>
      </c>
      <c r="K42" s="17">
        <v>5.6094720000000002</v>
      </c>
      <c r="L42" s="17">
        <v>5.463832</v>
      </c>
      <c r="M42" s="17">
        <v>5.4293459999999998</v>
      </c>
      <c r="N42" s="18">
        <v>5.3518581300000001</v>
      </c>
      <c r="O42" s="18">
        <v>5.6903594499999999</v>
      </c>
      <c r="P42" s="18">
        <v>5.6559918099999997</v>
      </c>
      <c r="Q42" s="18">
        <v>5.8664680599999999</v>
      </c>
      <c r="R42" s="18">
        <v>5.2626901899999998</v>
      </c>
      <c r="S42" s="18">
        <v>5.2149357600000004</v>
      </c>
    </row>
    <row r="43" spans="1:19" x14ac:dyDescent="0.2">
      <c r="A43" s="17">
        <v>13.67</v>
      </c>
      <c r="B43" s="17">
        <v>5.1357980000000003</v>
      </c>
      <c r="C43" s="17">
        <v>5.5909870000000002</v>
      </c>
      <c r="D43" s="17">
        <v>5.6801729999999999</v>
      </c>
      <c r="E43" s="17">
        <v>6.1590949999999998</v>
      </c>
      <c r="F43" s="17">
        <v>6.2499750000000001</v>
      </c>
      <c r="G43" s="17">
        <v>5.4722710000000001</v>
      </c>
      <c r="H43" s="17">
        <v>5.3890719999999996</v>
      </c>
      <c r="I43" s="17">
        <v>5.6312119999999997</v>
      </c>
      <c r="J43" s="17">
        <v>5.5490760000000003</v>
      </c>
      <c r="K43" s="17">
        <v>5.6454469999999999</v>
      </c>
      <c r="L43" s="17">
        <v>5.4380790000000001</v>
      </c>
      <c r="M43" s="17">
        <v>5.4337220000000004</v>
      </c>
      <c r="N43" s="18">
        <v>5.3890717300000004</v>
      </c>
      <c r="O43" s="18">
        <v>5.7333412800000003</v>
      </c>
      <c r="P43" s="18">
        <v>5.6869753599999999</v>
      </c>
      <c r="Q43" s="18">
        <v>5.87493073</v>
      </c>
      <c r="R43" s="18">
        <v>5.2364419599999996</v>
      </c>
      <c r="S43" s="18">
        <v>5.2040066899999999</v>
      </c>
    </row>
    <row r="44" spans="1:19" x14ac:dyDescent="0.2">
      <c r="A44" s="17">
        <v>14</v>
      </c>
      <c r="B44" s="17">
        <v>5.147494</v>
      </c>
      <c r="C44" s="17">
        <v>5.6312119999999997</v>
      </c>
      <c r="D44" s="17">
        <v>5.7397929999999997</v>
      </c>
      <c r="E44" s="17">
        <v>6.2422230000000001</v>
      </c>
      <c r="F44" s="17">
        <v>6.3716119999999998</v>
      </c>
      <c r="G44" s="17">
        <v>5.4847970000000004</v>
      </c>
      <c r="H44" s="17">
        <v>5.3659759999999999</v>
      </c>
      <c r="I44" s="17">
        <v>5.6698810000000002</v>
      </c>
      <c r="J44" s="17">
        <v>5.5683449999999999</v>
      </c>
      <c r="K44" s="17">
        <v>5.6594819999999997</v>
      </c>
      <c r="L44" s="17">
        <v>5.4553209999999996</v>
      </c>
      <c r="M44" s="17">
        <v>5.4293459999999998</v>
      </c>
      <c r="N44" s="18">
        <v>5.3659760199999997</v>
      </c>
      <c r="O44" s="18">
        <v>5.7557422100000002</v>
      </c>
      <c r="P44" s="18">
        <v>5.7071102600000003</v>
      </c>
      <c r="Q44" s="18">
        <v>5.8944028299999998</v>
      </c>
      <c r="R44" s="18">
        <v>5.2470240700000002</v>
      </c>
      <c r="S44" s="18">
        <v>5.1873858100000003</v>
      </c>
    </row>
    <row r="45" spans="1:19" x14ac:dyDescent="0.2">
      <c r="A45" s="17">
        <v>14.33</v>
      </c>
      <c r="B45" s="17">
        <v>5.1590550000000004</v>
      </c>
      <c r="C45" s="17">
        <v>5.6801729999999999</v>
      </c>
      <c r="D45" s="17">
        <v>5.8051349999999999</v>
      </c>
      <c r="E45" s="17">
        <v>6.3297210000000002</v>
      </c>
      <c r="F45" s="17">
        <v>6.4876839999999998</v>
      </c>
      <c r="G45" s="17">
        <v>5.5053320000000001</v>
      </c>
      <c r="H45" s="17">
        <v>5.3981630000000003</v>
      </c>
      <c r="I45" s="17">
        <v>5.7037820000000004</v>
      </c>
      <c r="J45" s="17">
        <v>5.5984220000000002</v>
      </c>
      <c r="K45" s="17">
        <v>5.6869750000000003</v>
      </c>
      <c r="L45" s="17">
        <v>5.4722710000000001</v>
      </c>
      <c r="M45" s="17">
        <v>5.4293459999999998</v>
      </c>
      <c r="N45" s="18">
        <v>5.3981627000000003</v>
      </c>
      <c r="O45" s="18">
        <v>5.8021183799999996</v>
      </c>
      <c r="P45" s="18">
        <v>5.7365722999999997</v>
      </c>
      <c r="Q45" s="18">
        <v>5.9401712499999997</v>
      </c>
      <c r="R45" s="18">
        <v>5.2470240700000002</v>
      </c>
      <c r="S45" s="18">
        <v>5.1817835499999996</v>
      </c>
    </row>
    <row r="46" spans="1:19" x14ac:dyDescent="0.2">
      <c r="A46" s="17">
        <v>14.67</v>
      </c>
      <c r="B46" s="17">
        <v>5.1704840000000001</v>
      </c>
      <c r="C46" s="17">
        <v>5.7104270000000001</v>
      </c>
      <c r="D46" s="17">
        <v>5.8607860000000001</v>
      </c>
      <c r="E46" s="17">
        <v>6.4329400000000003</v>
      </c>
      <c r="F46" s="17">
        <v>6.6253919999999997</v>
      </c>
      <c r="G46" s="17">
        <v>5.5214610000000004</v>
      </c>
      <c r="H46" s="17">
        <v>5.4161000000000001</v>
      </c>
      <c r="I46" s="17">
        <v>5.7333410000000002</v>
      </c>
      <c r="J46" s="17">
        <v>5.5984220000000002</v>
      </c>
      <c r="K46" s="17">
        <v>5.717028</v>
      </c>
      <c r="L46" s="17">
        <v>5.4595859999999998</v>
      </c>
      <c r="M46" s="17">
        <v>5.4161000000000001</v>
      </c>
      <c r="N46" s="18">
        <v>5.4161004000000004</v>
      </c>
      <c r="O46" s="18">
        <v>5.8406416600000002</v>
      </c>
      <c r="P46" s="18">
        <v>5.7683210000000003</v>
      </c>
      <c r="Q46" s="18">
        <v>5.9584246900000002</v>
      </c>
      <c r="R46" s="18">
        <v>5.3033049099999996</v>
      </c>
      <c r="S46" s="18">
        <v>5.1873858100000003</v>
      </c>
    </row>
    <row r="47" spans="1:19" x14ac:dyDescent="0.2">
      <c r="A47" s="17">
        <v>15</v>
      </c>
      <c r="B47" s="17">
        <v>5.1590550000000004</v>
      </c>
      <c r="C47" s="17">
        <v>5.7620509999999996</v>
      </c>
      <c r="D47" s="17">
        <v>5.9427989999999999</v>
      </c>
      <c r="E47" s="17">
        <v>6.5410300000000001</v>
      </c>
      <c r="F47" s="17">
        <v>6.7511010000000002</v>
      </c>
      <c r="G47" s="17">
        <v>5.5294290000000004</v>
      </c>
      <c r="H47" s="17">
        <v>5.4293459999999998</v>
      </c>
      <c r="I47" s="17">
        <v>5.8051349999999999</v>
      </c>
      <c r="J47" s="17">
        <v>5.6419069999999998</v>
      </c>
      <c r="K47" s="17">
        <v>5.7268480000000004</v>
      </c>
      <c r="L47" s="17">
        <v>5.4680600000000004</v>
      </c>
      <c r="M47" s="17">
        <v>5.4510379999999996</v>
      </c>
      <c r="N47" s="18">
        <v>5.4293456300000003</v>
      </c>
      <c r="O47" s="18">
        <v>5.8464387799999997</v>
      </c>
      <c r="P47" s="18">
        <v>5.8051349700000001</v>
      </c>
      <c r="Q47" s="18">
        <v>5.99645209</v>
      </c>
      <c r="R47" s="18">
        <v>5.25749537</v>
      </c>
      <c r="S47" s="18">
        <v>5.25749537</v>
      </c>
    </row>
    <row r="48" spans="1:19" x14ac:dyDescent="0.2">
      <c r="A48" s="17">
        <v>15.33</v>
      </c>
      <c r="B48" s="17">
        <v>5.1357980000000003</v>
      </c>
      <c r="C48" s="17">
        <v>5.8348110000000002</v>
      </c>
      <c r="D48" s="17">
        <v>6.0063529999999998</v>
      </c>
      <c r="E48" s="17">
        <v>6.6605749999999997</v>
      </c>
      <c r="F48" s="17">
        <v>6.8875529999999996</v>
      </c>
      <c r="G48" s="17">
        <v>5.5606819999999999</v>
      </c>
      <c r="H48" s="17">
        <v>5.4293459999999998</v>
      </c>
      <c r="I48" s="17">
        <v>5.8435439999999996</v>
      </c>
      <c r="J48" s="17">
        <v>5.6594819999999997</v>
      </c>
      <c r="K48" s="17">
        <v>5.7651909999999997</v>
      </c>
      <c r="L48" s="17">
        <v>5.4595859999999998</v>
      </c>
      <c r="M48" s="17">
        <v>5.4337220000000004</v>
      </c>
      <c r="N48" s="18">
        <v>5.4293456300000003</v>
      </c>
      <c r="O48" s="18">
        <v>5.8888779600000003</v>
      </c>
      <c r="P48" s="18">
        <v>5.8260001099999998</v>
      </c>
      <c r="Q48" s="18">
        <v>6.0684255900000004</v>
      </c>
      <c r="R48" s="18">
        <v>5.2149357600000004</v>
      </c>
      <c r="S48" s="18">
        <v>5.2364419599999996</v>
      </c>
    </row>
    <row r="49" spans="1:19" x14ac:dyDescent="0.2">
      <c r="A49" s="17">
        <v>15.67</v>
      </c>
      <c r="B49" s="17">
        <v>5.1647860000000003</v>
      </c>
      <c r="C49" s="17">
        <v>5.8971539999999996</v>
      </c>
      <c r="D49" s="17">
        <v>6.0890449999999996</v>
      </c>
      <c r="E49" s="17">
        <v>6.7889720000000002</v>
      </c>
      <c r="F49" s="17">
        <v>7.0317410000000002</v>
      </c>
      <c r="G49" s="17">
        <v>5.5834960000000002</v>
      </c>
      <c r="H49" s="17">
        <v>5.4380790000000001</v>
      </c>
      <c r="I49" s="17">
        <v>5.8777359999999996</v>
      </c>
      <c r="J49" s="17">
        <v>5.7037820000000004</v>
      </c>
      <c r="K49" s="17">
        <v>5.8111410000000001</v>
      </c>
      <c r="L49" s="17">
        <v>5.4722710000000001</v>
      </c>
      <c r="M49" s="17">
        <v>5.4205350000000001</v>
      </c>
      <c r="N49" s="18">
        <v>5.43807931</v>
      </c>
      <c r="O49" s="18">
        <v>5.9348941999999996</v>
      </c>
      <c r="P49" s="18">
        <v>5.8607862199999996</v>
      </c>
      <c r="Q49" s="18">
        <v>6.0661080900000002</v>
      </c>
      <c r="R49" s="18">
        <v>5.4337220000000004</v>
      </c>
      <c r="S49" s="18">
        <v>5.25749537</v>
      </c>
    </row>
    <row r="50" spans="1:19" x14ac:dyDescent="0.2">
      <c r="A50" s="17">
        <v>16</v>
      </c>
      <c r="B50" s="17">
        <v>5.1761499999999998</v>
      </c>
      <c r="C50" s="17">
        <v>5.9610050000000001</v>
      </c>
      <c r="D50" s="17">
        <v>6.1654179999999998</v>
      </c>
      <c r="E50" s="17">
        <v>6.9206719999999997</v>
      </c>
      <c r="F50" s="17">
        <v>7.1793079999999998</v>
      </c>
      <c r="G50" s="17">
        <v>5.6312119999999997</v>
      </c>
      <c r="H50" s="17">
        <v>5.463832</v>
      </c>
      <c r="I50" s="17">
        <v>5.9558369999999998</v>
      </c>
      <c r="J50" s="17">
        <v>5.7397929999999997</v>
      </c>
      <c r="K50" s="17">
        <v>5.8550719999999998</v>
      </c>
      <c r="L50" s="17">
        <v>5.463832</v>
      </c>
      <c r="M50" s="17">
        <v>5.4205350000000001</v>
      </c>
      <c r="N50" s="18">
        <v>5.4638318100000003</v>
      </c>
      <c r="O50" s="18">
        <v>5.9687075600000004</v>
      </c>
      <c r="P50" s="18">
        <v>5.8861040300000003</v>
      </c>
      <c r="Q50" s="18">
        <v>6.0867747300000001</v>
      </c>
      <c r="R50" s="18">
        <v>5.1761497299999997</v>
      </c>
      <c r="S50" s="18">
        <v>5.1984970300000004</v>
      </c>
    </row>
    <row r="51" spans="1:19" x14ac:dyDescent="0.2">
      <c r="A51" s="17">
        <v>16.329999999999998</v>
      </c>
      <c r="B51" s="17">
        <v>5.1817840000000004</v>
      </c>
      <c r="C51" s="17">
        <v>6.0497329999999998</v>
      </c>
      <c r="D51" s="17">
        <v>6.2633979999999996</v>
      </c>
      <c r="E51" s="17">
        <v>7.063904</v>
      </c>
      <c r="F51" s="17">
        <v>7.3460099999999997</v>
      </c>
      <c r="G51" s="17">
        <v>5.66296</v>
      </c>
      <c r="H51" s="17">
        <v>5.4971680000000003</v>
      </c>
      <c r="I51" s="17">
        <v>6.0258659999999997</v>
      </c>
      <c r="J51" s="17">
        <v>5.7899599999999998</v>
      </c>
      <c r="K51" s="17">
        <v>5.9053620000000002</v>
      </c>
      <c r="L51" s="17">
        <v>5.4722710000000001</v>
      </c>
      <c r="M51" s="17">
        <v>5.442418</v>
      </c>
      <c r="N51" s="18">
        <v>5.4971682299999998</v>
      </c>
      <c r="O51" s="18">
        <v>6.01126717</v>
      </c>
      <c r="P51" s="18">
        <v>5.9322451899999997</v>
      </c>
      <c r="Q51" s="18">
        <v>6.1268691799999999</v>
      </c>
      <c r="R51" s="18">
        <v>5.44241771</v>
      </c>
      <c r="S51" s="18">
        <v>5.2257466700000004</v>
      </c>
    </row>
    <row r="52" spans="1:19" x14ac:dyDescent="0.2">
      <c r="A52" s="17">
        <v>16.670000000000002</v>
      </c>
      <c r="B52" s="17">
        <v>5.1761499999999998</v>
      </c>
      <c r="C52" s="17">
        <v>6.1246830000000001</v>
      </c>
      <c r="D52" s="17">
        <v>6.3750249999999999</v>
      </c>
      <c r="E52" s="17">
        <v>7.2085999999999997</v>
      </c>
      <c r="F52" s="17">
        <v>7.5087869999999999</v>
      </c>
      <c r="G52" s="17">
        <v>5.6869750000000003</v>
      </c>
      <c r="H52" s="17">
        <v>5.501258</v>
      </c>
      <c r="I52" s="17">
        <v>6.0799329999999996</v>
      </c>
      <c r="J52" s="17">
        <v>5.8259999999999996</v>
      </c>
      <c r="K52" s="17">
        <v>5.9558369999999998</v>
      </c>
      <c r="L52" s="17">
        <v>5.463832</v>
      </c>
      <c r="M52" s="17">
        <v>5.4380790000000001</v>
      </c>
      <c r="N52" s="18">
        <v>5.5012582099999996</v>
      </c>
      <c r="O52" s="18">
        <v>6.0822189099999999</v>
      </c>
      <c r="P52" s="18">
        <v>5.9687075600000004</v>
      </c>
      <c r="Q52" s="18">
        <v>6.1633148000000002</v>
      </c>
      <c r="R52" s="18">
        <v>5.4293456300000003</v>
      </c>
      <c r="S52" s="18">
        <v>5.2257466700000004</v>
      </c>
    </row>
    <row r="53" spans="1:19" x14ac:dyDescent="0.2">
      <c r="A53" s="17">
        <v>17</v>
      </c>
      <c r="B53" s="17">
        <v>5.1761499999999998</v>
      </c>
      <c r="C53" s="17">
        <v>6.2265370000000004</v>
      </c>
      <c r="D53" s="17">
        <v>6.4876839999999998</v>
      </c>
      <c r="E53" s="17">
        <v>7.3562799999999999</v>
      </c>
      <c r="F53" s="17">
        <v>7.6824820000000003</v>
      </c>
      <c r="G53" s="17">
        <v>5.7268480000000004</v>
      </c>
      <c r="H53" s="17">
        <v>5.541264</v>
      </c>
      <c r="I53" s="17">
        <v>6.1441860000000004</v>
      </c>
      <c r="J53" s="17">
        <v>5.8692970000000004</v>
      </c>
      <c r="K53" s="17">
        <v>6.0137150000000004</v>
      </c>
      <c r="L53" s="17">
        <v>5.463832</v>
      </c>
      <c r="M53" s="17">
        <v>5.4293459999999998</v>
      </c>
      <c r="N53" s="18">
        <v>5.54126355</v>
      </c>
      <c r="O53" s="18">
        <v>6.1047932300000003</v>
      </c>
      <c r="P53" s="18">
        <v>6.0210233500000001</v>
      </c>
      <c r="Q53" s="18">
        <v>6.2045577600000001</v>
      </c>
      <c r="R53" s="18">
        <v>5.4293456300000003</v>
      </c>
      <c r="S53" s="18">
        <v>5.2149357600000004</v>
      </c>
    </row>
    <row r="54" spans="1:19" x14ac:dyDescent="0.2">
      <c r="A54" s="17">
        <v>17.329999999999998</v>
      </c>
      <c r="B54" s="17">
        <v>5.1984969999999997</v>
      </c>
      <c r="C54" s="17">
        <v>6.3189679999999999</v>
      </c>
      <c r="D54" s="17">
        <v>6.6227359999999997</v>
      </c>
      <c r="E54" s="17">
        <v>7.5032899999999998</v>
      </c>
      <c r="F54" s="17">
        <v>7.8426710000000002</v>
      </c>
      <c r="G54" s="17">
        <v>5.7683210000000003</v>
      </c>
      <c r="H54" s="17">
        <v>5.5373340000000004</v>
      </c>
      <c r="I54" s="17">
        <v>6.2324479999999998</v>
      </c>
      <c r="J54" s="17">
        <v>5.9242559999999997</v>
      </c>
      <c r="K54" s="17">
        <v>6.0684259999999997</v>
      </c>
      <c r="L54" s="17">
        <v>5.476464</v>
      </c>
      <c r="M54" s="17">
        <v>5.4380790000000001</v>
      </c>
      <c r="N54" s="18">
        <v>5.5373342699999997</v>
      </c>
      <c r="O54" s="18">
        <v>6.1569789899999998</v>
      </c>
      <c r="P54" s="18">
        <v>6.04737218</v>
      </c>
      <c r="Q54" s="18">
        <v>6.2633982599999998</v>
      </c>
      <c r="R54" s="18">
        <v>5.1179938099999998</v>
      </c>
      <c r="S54" s="18">
        <v>5.2203558299999999</v>
      </c>
    </row>
    <row r="55" spans="1:19" x14ac:dyDescent="0.2">
      <c r="A55" s="17">
        <v>17.670000000000002</v>
      </c>
      <c r="B55" s="17">
        <v>5.1817840000000004</v>
      </c>
      <c r="C55" s="17">
        <v>6.4393500000000001</v>
      </c>
      <c r="D55" s="17">
        <v>6.744059</v>
      </c>
      <c r="E55" s="17">
        <v>7.6553909999999998</v>
      </c>
      <c r="F55" s="17">
        <v>7.9211729999999996</v>
      </c>
      <c r="G55" s="17">
        <v>5.8348110000000002</v>
      </c>
      <c r="H55" s="17">
        <v>5.5721540000000003</v>
      </c>
      <c r="I55" s="17">
        <v>6.3117349999999997</v>
      </c>
      <c r="J55" s="17">
        <v>5.9763510000000002</v>
      </c>
      <c r="K55" s="17">
        <v>6.1246830000000001</v>
      </c>
      <c r="L55" s="17">
        <v>5.4722710000000001</v>
      </c>
      <c r="M55" s="17">
        <v>5.4380790000000001</v>
      </c>
      <c r="N55" s="18">
        <v>5.5721540300000001</v>
      </c>
      <c r="O55" s="18">
        <v>6.1964441299999997</v>
      </c>
      <c r="P55" s="18">
        <v>6.1246833900000004</v>
      </c>
      <c r="Q55" s="18">
        <v>6.3664704499999996</v>
      </c>
      <c r="R55" s="18">
        <v>5.2983173700000004</v>
      </c>
      <c r="S55" s="18">
        <v>5.2149357600000004</v>
      </c>
    </row>
    <row r="56" spans="1:19" x14ac:dyDescent="0.2">
      <c r="A56" s="17">
        <v>18</v>
      </c>
      <c r="B56" s="17">
        <v>5.1817840000000004</v>
      </c>
      <c r="C56" s="17">
        <v>6.5694809999999997</v>
      </c>
      <c r="D56" s="17">
        <v>6.88551</v>
      </c>
      <c r="E56" s="17">
        <v>7.8026179999999998</v>
      </c>
      <c r="F56" s="17">
        <v>7.948385</v>
      </c>
      <c r="G56" s="17">
        <v>5.8749310000000001</v>
      </c>
      <c r="H56" s="17">
        <v>5.5909870000000002</v>
      </c>
      <c r="I56" s="17">
        <v>6.4150970000000003</v>
      </c>
      <c r="J56" s="17">
        <v>6.0450049999999997</v>
      </c>
      <c r="K56" s="17">
        <v>6.2005090000000003</v>
      </c>
      <c r="L56" s="17">
        <v>5.4722710000000001</v>
      </c>
      <c r="M56" s="17">
        <v>5.4161000000000001</v>
      </c>
      <c r="N56" s="18">
        <v>5.5909869800000003</v>
      </c>
      <c r="O56" s="18">
        <v>6.2653012099999996</v>
      </c>
      <c r="P56" s="18">
        <v>6.1355648900000004</v>
      </c>
      <c r="Q56" s="18">
        <v>6.3902406699999998</v>
      </c>
      <c r="R56" s="18">
        <v>5.3033049099999996</v>
      </c>
      <c r="S56" s="18">
        <v>5.20948615</v>
      </c>
    </row>
    <row r="57" spans="1:19" x14ac:dyDescent="0.2">
      <c r="A57" s="17">
        <v>18.329999999999998</v>
      </c>
      <c r="B57" s="17">
        <v>5.1873860000000001</v>
      </c>
      <c r="C57" s="17">
        <v>6.7093040000000004</v>
      </c>
      <c r="D57" s="17">
        <v>7.033506</v>
      </c>
      <c r="E57" s="17">
        <v>7.857094</v>
      </c>
      <c r="F57" s="17">
        <v>7.9582269999999999</v>
      </c>
      <c r="G57" s="17">
        <v>5.9242559999999997</v>
      </c>
      <c r="H57" s="17">
        <v>5.6347899999999997</v>
      </c>
      <c r="I57" s="17">
        <v>6.5323339999999996</v>
      </c>
      <c r="J57" s="17">
        <v>6.1158919999999997</v>
      </c>
      <c r="K57" s="17">
        <v>6.270988</v>
      </c>
      <c r="L57" s="17">
        <v>5.4595859999999998</v>
      </c>
      <c r="M57" s="17">
        <v>5.4205350000000001</v>
      </c>
      <c r="N57" s="18">
        <v>5.6347896000000004</v>
      </c>
      <c r="O57" s="18">
        <v>6.3062752900000003</v>
      </c>
      <c r="P57" s="18">
        <v>6.1923624899999998</v>
      </c>
      <c r="Q57" s="18">
        <v>6.4281052699999996</v>
      </c>
      <c r="R57" s="18">
        <v>5.49306144</v>
      </c>
      <c r="S57" s="18">
        <v>5.25749537</v>
      </c>
    </row>
    <row r="58" spans="1:19" x14ac:dyDescent="0.2">
      <c r="A58" s="17">
        <v>18.670000000000002</v>
      </c>
      <c r="B58" s="17">
        <v>5.1984969999999997</v>
      </c>
      <c r="C58" s="17">
        <v>6.8606639999999999</v>
      </c>
      <c r="D58" s="17">
        <v>7.1800699999999997</v>
      </c>
      <c r="E58" s="17">
        <v>7.8928260000000003</v>
      </c>
      <c r="F58" s="17">
        <v>7.9515589999999996</v>
      </c>
      <c r="G58" s="17">
        <v>5.9763510000000002</v>
      </c>
      <c r="H58" s="17">
        <v>5.6664269999999997</v>
      </c>
      <c r="I58" s="17">
        <v>6.6437900000000001</v>
      </c>
      <c r="J58" s="17">
        <v>6.190315</v>
      </c>
      <c r="K58" s="17">
        <v>6.350886</v>
      </c>
      <c r="L58" s="17">
        <v>5.476464</v>
      </c>
      <c r="M58" s="17">
        <v>5.4380790000000001</v>
      </c>
      <c r="N58" s="18">
        <v>5.6664266899999998</v>
      </c>
      <c r="O58" s="18">
        <v>6.3885614100000003</v>
      </c>
      <c r="P58" s="18">
        <v>6.2324480199999996</v>
      </c>
      <c r="Q58" s="18">
        <v>6.4754327199999997</v>
      </c>
      <c r="R58" s="18">
        <v>5.2729995599999997</v>
      </c>
      <c r="S58" s="18">
        <v>5.2149357600000004</v>
      </c>
    </row>
    <row r="59" spans="1:19" x14ac:dyDescent="0.2">
      <c r="A59" s="17">
        <v>19</v>
      </c>
      <c r="B59" s="17">
        <v>5.2203559999999998</v>
      </c>
      <c r="C59" s="17">
        <v>7.005789</v>
      </c>
      <c r="D59" s="17">
        <v>7.3460099999999997</v>
      </c>
      <c r="E59" s="17">
        <v>7.9013770000000001</v>
      </c>
      <c r="F59" s="17">
        <v>7.9564769999999996</v>
      </c>
      <c r="G59" s="17">
        <v>6.0473720000000002</v>
      </c>
      <c r="H59" s="17">
        <v>5.6970929999999997</v>
      </c>
      <c r="I59" s="17">
        <v>6.7522700000000002</v>
      </c>
      <c r="J59" s="17">
        <v>6.2690960000000002</v>
      </c>
      <c r="K59" s="17">
        <v>6.4599039999999999</v>
      </c>
      <c r="L59" s="17">
        <v>5.476464</v>
      </c>
      <c r="M59" s="17">
        <v>5.442418</v>
      </c>
      <c r="N59" s="18">
        <v>5.6970934900000003</v>
      </c>
      <c r="O59" s="18">
        <v>6.4393503699999997</v>
      </c>
      <c r="P59" s="18">
        <v>6.2897155700000003</v>
      </c>
      <c r="Q59" s="18">
        <v>6.5294188399999999</v>
      </c>
      <c r="R59" s="18">
        <v>5.2257466700000004</v>
      </c>
      <c r="S59" s="18">
        <v>5.2364419599999996</v>
      </c>
    </row>
    <row r="60" spans="1:19" x14ac:dyDescent="0.2">
      <c r="A60" s="17">
        <v>19.329999999999998</v>
      </c>
      <c r="B60" s="17">
        <v>5.2203559999999998</v>
      </c>
      <c r="C60" s="17">
        <v>7.1693499999999997</v>
      </c>
      <c r="D60" s="17">
        <v>7.5082389999999997</v>
      </c>
      <c r="E60" s="17">
        <v>7.8995240000000004</v>
      </c>
      <c r="F60" s="17">
        <v>7.9561260000000003</v>
      </c>
      <c r="G60" s="17">
        <v>6.1312259999999998</v>
      </c>
      <c r="H60" s="17">
        <v>5.7301000000000002</v>
      </c>
      <c r="I60" s="17">
        <v>6.8617109999999997</v>
      </c>
      <c r="J60" s="17">
        <v>6.3681869999999998</v>
      </c>
      <c r="K60" s="17">
        <v>6.5525080000000004</v>
      </c>
      <c r="L60" s="17">
        <v>5.4722710000000001</v>
      </c>
      <c r="M60" s="17">
        <v>5.442418</v>
      </c>
      <c r="N60" s="18">
        <v>5.7300997799999998</v>
      </c>
      <c r="O60" s="18">
        <v>6.5042881699999997</v>
      </c>
      <c r="P60" s="18">
        <v>6.35088572</v>
      </c>
      <c r="Q60" s="18">
        <v>6.5708829599999996</v>
      </c>
      <c r="R60" s="18">
        <v>5.27811466</v>
      </c>
      <c r="S60" s="18">
        <v>5.1984970300000004</v>
      </c>
    </row>
    <row r="61" spans="1:19" x14ac:dyDescent="0.2">
      <c r="A61" s="17">
        <v>19.670000000000002</v>
      </c>
      <c r="B61" s="17">
        <v>5.2257470000000001</v>
      </c>
      <c r="C61" s="17">
        <v>7.3388879999999999</v>
      </c>
      <c r="D61" s="17">
        <v>7.6861620000000004</v>
      </c>
      <c r="E61" s="17">
        <v>7.8995240000000004</v>
      </c>
      <c r="F61" s="17">
        <v>7.9505020000000002</v>
      </c>
      <c r="G61" s="17">
        <v>6.2146080000000001</v>
      </c>
      <c r="H61" s="17">
        <v>5.7745519999999999</v>
      </c>
      <c r="I61" s="17">
        <v>6.9772809999999996</v>
      </c>
      <c r="J61" s="17">
        <v>6.4754329999999998</v>
      </c>
      <c r="K61" s="17">
        <v>6.6656839999999997</v>
      </c>
      <c r="L61" s="17">
        <v>5.493061</v>
      </c>
      <c r="M61" s="17">
        <v>5.442418</v>
      </c>
      <c r="N61" s="18">
        <v>5.77455155</v>
      </c>
      <c r="O61" s="18">
        <v>6.5736801700000003</v>
      </c>
      <c r="P61" s="18">
        <v>6.4118182700000004</v>
      </c>
      <c r="Q61" s="18">
        <v>6.62804138</v>
      </c>
      <c r="R61" s="18">
        <v>5.3082677</v>
      </c>
      <c r="S61" s="18">
        <v>5.2522734299999998</v>
      </c>
    </row>
    <row r="62" spans="1:19" x14ac:dyDescent="0.2">
      <c r="A62" s="17">
        <v>20</v>
      </c>
      <c r="B62" s="17">
        <v>5.2257470000000001</v>
      </c>
      <c r="C62" s="17">
        <v>7.5175210000000003</v>
      </c>
      <c r="D62" s="17">
        <v>7.8383430000000001</v>
      </c>
      <c r="E62" s="17">
        <v>7.8931990000000001</v>
      </c>
      <c r="F62" s="17">
        <v>7.9473250000000002</v>
      </c>
      <c r="G62" s="17">
        <v>6.3117349999999997</v>
      </c>
      <c r="H62" s="17">
        <v>5.8259999999999996</v>
      </c>
      <c r="I62" s="17">
        <v>7.0867380000000004</v>
      </c>
      <c r="J62" s="17">
        <v>6.5736800000000004</v>
      </c>
      <c r="K62" s="17">
        <v>6.7684930000000003</v>
      </c>
      <c r="L62" s="17">
        <v>5.476464</v>
      </c>
      <c r="M62" s="17">
        <v>5.4337220000000004</v>
      </c>
      <c r="N62" s="18">
        <v>5.8260001099999998</v>
      </c>
      <c r="O62" s="18">
        <v>6.6437897299999999</v>
      </c>
      <c r="P62" s="18">
        <v>6.4707995</v>
      </c>
      <c r="Q62" s="18">
        <v>6.69084228</v>
      </c>
      <c r="R62" s="18">
        <v>5.3278761699999997</v>
      </c>
      <c r="S62" s="18">
        <v>5.20948615</v>
      </c>
    </row>
    <row r="63" spans="1:19" x14ac:dyDescent="0.2">
      <c r="A63" s="17">
        <v>20.329999999999998</v>
      </c>
      <c r="B63" s="17">
        <v>5.2470239999999997</v>
      </c>
      <c r="C63" s="17">
        <v>7.6962130000000002</v>
      </c>
      <c r="D63" s="17">
        <v>7.9153479999999998</v>
      </c>
      <c r="E63" s="17">
        <v>7.8913310000000001</v>
      </c>
      <c r="F63" s="17">
        <v>7.9434279999999999</v>
      </c>
      <c r="G63" s="17">
        <v>6.4329400000000003</v>
      </c>
      <c r="H63" s="17">
        <v>5.8805329999999998</v>
      </c>
      <c r="I63" s="17">
        <v>7.1731920000000002</v>
      </c>
      <c r="J63" s="17">
        <v>6.6871090000000004</v>
      </c>
      <c r="K63" s="17">
        <v>6.88551</v>
      </c>
      <c r="L63" s="17">
        <v>5.5053320000000001</v>
      </c>
      <c r="M63" s="17">
        <v>5.4380790000000001</v>
      </c>
      <c r="N63" s="18">
        <v>5.8805329899999998</v>
      </c>
      <c r="O63" s="18">
        <v>6.7238324399999998</v>
      </c>
      <c r="P63" s="18">
        <v>6.5191472900000003</v>
      </c>
      <c r="Q63" s="18">
        <v>6.7190131500000003</v>
      </c>
      <c r="R63" s="18">
        <v>5.25749537</v>
      </c>
      <c r="S63" s="18">
        <v>5.27811466</v>
      </c>
    </row>
    <row r="64" spans="1:19" x14ac:dyDescent="0.2">
      <c r="A64" s="17">
        <v>20.67</v>
      </c>
      <c r="B64" s="17">
        <v>5.2729999999999997</v>
      </c>
      <c r="C64" s="17">
        <v>7.8789129999999998</v>
      </c>
      <c r="D64" s="17">
        <v>7.9423620000000001</v>
      </c>
      <c r="E64" s="17">
        <v>7.8841999999999999</v>
      </c>
      <c r="F64" s="17">
        <v>7.945201</v>
      </c>
      <c r="G64" s="17">
        <v>6.5323339999999996</v>
      </c>
      <c r="H64" s="17">
        <v>5.9375359999999997</v>
      </c>
      <c r="I64" s="17">
        <v>7.2703129999999998</v>
      </c>
      <c r="J64" s="17">
        <v>6.8046150000000001</v>
      </c>
      <c r="K64" s="17">
        <v>7.0003339999999996</v>
      </c>
      <c r="L64" s="17">
        <v>5.5093880000000004</v>
      </c>
      <c r="M64" s="17">
        <v>5.4293459999999998</v>
      </c>
      <c r="N64" s="18">
        <v>5.9375362100000002</v>
      </c>
      <c r="O64" s="18">
        <v>6.8001700700000001</v>
      </c>
      <c r="P64" s="18">
        <v>6.5903010499999999</v>
      </c>
      <c r="Q64" s="18">
        <v>6.7844570600000003</v>
      </c>
      <c r="R64" s="18">
        <v>5.3181199899999996</v>
      </c>
      <c r="S64" s="18">
        <v>5.2040066899999999</v>
      </c>
    </row>
    <row r="65" spans="1:19" x14ac:dyDescent="0.2">
      <c r="A65" s="17">
        <v>21</v>
      </c>
      <c r="B65" s="17">
        <v>5.2983169999999999</v>
      </c>
      <c r="C65" s="17">
        <v>7.9631119999999997</v>
      </c>
      <c r="D65" s="17">
        <v>7.9473250000000002</v>
      </c>
      <c r="E65" s="17">
        <v>7.8697840000000001</v>
      </c>
      <c r="F65" s="17">
        <v>7.9359450000000002</v>
      </c>
      <c r="G65" s="17">
        <v>6.6554399999999996</v>
      </c>
      <c r="H65" s="17">
        <v>5.9914649999999998</v>
      </c>
      <c r="I65" s="17">
        <v>7.3588310000000003</v>
      </c>
      <c r="J65" s="17">
        <v>6.922644</v>
      </c>
      <c r="K65" s="17">
        <v>7.1098790000000003</v>
      </c>
      <c r="L65" s="17">
        <v>5.493061</v>
      </c>
      <c r="M65" s="17">
        <v>5.4337220000000004</v>
      </c>
      <c r="N65" s="18">
        <v>5.9914645499999999</v>
      </c>
      <c r="O65" s="18">
        <v>6.8834625899999997</v>
      </c>
      <c r="P65" s="18">
        <v>6.6644090199999999</v>
      </c>
      <c r="Q65" s="18">
        <v>6.8384052000000004</v>
      </c>
      <c r="R65" s="18">
        <v>5.2882670300000001</v>
      </c>
      <c r="S65" s="18">
        <v>5.1873858100000003</v>
      </c>
    </row>
    <row r="66" spans="1:19" x14ac:dyDescent="0.2">
      <c r="A66" s="17">
        <v>21.33</v>
      </c>
      <c r="B66" s="17">
        <v>5.3181200000000004</v>
      </c>
      <c r="C66" s="17">
        <v>8.0003489999999999</v>
      </c>
      <c r="D66" s="17">
        <v>7.9582269999999999</v>
      </c>
      <c r="E66" s="17">
        <v>7.8743590000000001</v>
      </c>
      <c r="F66" s="17">
        <v>7.9359450000000002</v>
      </c>
      <c r="G66" s="17">
        <v>6.7878449999999999</v>
      </c>
      <c r="H66" s="17">
        <v>6.0661079999999998</v>
      </c>
      <c r="I66" s="17">
        <v>7.45472</v>
      </c>
      <c r="J66" s="17">
        <v>7.0681719999999997</v>
      </c>
      <c r="K66" s="17">
        <v>7.2211049999999997</v>
      </c>
      <c r="L66" s="17">
        <v>5.4889380000000001</v>
      </c>
      <c r="M66" s="17">
        <v>5.4380790000000001</v>
      </c>
      <c r="N66" s="18">
        <v>6.0661080900000002</v>
      </c>
      <c r="O66" s="18">
        <v>6.9754139300000002</v>
      </c>
      <c r="P66" s="18">
        <v>6.7250336400000004</v>
      </c>
      <c r="Q66" s="18">
        <v>6.8916259000000002</v>
      </c>
      <c r="R66" s="18">
        <v>5.3033049099999996</v>
      </c>
      <c r="S66" s="18">
        <v>5.20948615</v>
      </c>
    </row>
    <row r="67" spans="1:19" x14ac:dyDescent="0.2">
      <c r="A67" s="17">
        <v>21.67</v>
      </c>
      <c r="B67" s="17">
        <v>5.3375380000000003</v>
      </c>
      <c r="C67" s="17">
        <v>8.0116870000000002</v>
      </c>
      <c r="D67" s="17">
        <v>7.9515589999999996</v>
      </c>
      <c r="E67" s="17">
        <v>7.8701660000000002</v>
      </c>
      <c r="F67" s="17">
        <v>7.9309250000000002</v>
      </c>
      <c r="G67" s="17">
        <v>6.9285379999999996</v>
      </c>
      <c r="H67" s="17">
        <v>6.1333979999999997</v>
      </c>
      <c r="I67" s="17">
        <v>7.5490830000000004</v>
      </c>
      <c r="J67" s="17">
        <v>7.2004250000000001</v>
      </c>
      <c r="K67" s="17">
        <v>7.3401870000000002</v>
      </c>
      <c r="L67" s="17">
        <v>5.493061</v>
      </c>
      <c r="M67" s="17">
        <v>5.4071720000000001</v>
      </c>
      <c r="N67" s="18">
        <v>6.1333980400000003</v>
      </c>
      <c r="O67" s="18">
        <v>7.0587581500000001</v>
      </c>
      <c r="P67" s="18">
        <v>6.7990558600000002</v>
      </c>
      <c r="Q67" s="18">
        <v>6.9707300800000001</v>
      </c>
      <c r="R67" s="18">
        <v>5.2882670300000001</v>
      </c>
      <c r="S67" s="18">
        <v>5.20948615</v>
      </c>
    </row>
    <row r="68" spans="1:19" x14ac:dyDescent="0.2">
      <c r="A68" s="17">
        <v>22</v>
      </c>
      <c r="B68" s="17">
        <v>5.3565860000000001</v>
      </c>
      <c r="C68" s="17">
        <v>8.0053669999999997</v>
      </c>
      <c r="D68" s="17">
        <v>7.948385</v>
      </c>
      <c r="E68" s="17">
        <v>7.8574809999999999</v>
      </c>
      <c r="F68" s="17">
        <v>7.9363029999999997</v>
      </c>
      <c r="G68" s="17">
        <v>7.0766540000000004</v>
      </c>
      <c r="H68" s="17">
        <v>6.2225760000000001</v>
      </c>
      <c r="I68" s="17">
        <v>7.6396420000000003</v>
      </c>
      <c r="J68" s="17">
        <v>7.3158839999999996</v>
      </c>
      <c r="K68" s="17">
        <v>7.4436640000000001</v>
      </c>
      <c r="L68" s="17">
        <v>5.5174529999999997</v>
      </c>
      <c r="M68" s="17">
        <v>5.4293459999999998</v>
      </c>
      <c r="N68" s="18">
        <v>6.2225762700000002</v>
      </c>
      <c r="O68" s="18">
        <v>7.1483457399999999</v>
      </c>
      <c r="P68" s="18">
        <v>6.8638033900000002</v>
      </c>
      <c r="Q68" s="18">
        <v>7.02464903</v>
      </c>
      <c r="R68" s="18">
        <v>5.2933048200000004</v>
      </c>
      <c r="S68" s="18">
        <v>5.1984970300000004</v>
      </c>
    </row>
    <row r="69" spans="1:19" x14ac:dyDescent="0.2">
      <c r="A69" s="17">
        <v>22.33</v>
      </c>
      <c r="B69" s="17">
        <v>5.3981630000000003</v>
      </c>
      <c r="C69" s="17">
        <v>7.9963170000000003</v>
      </c>
      <c r="D69" s="17">
        <v>7.9359450000000002</v>
      </c>
      <c r="E69" s="17">
        <v>7.859413</v>
      </c>
      <c r="F69" s="17">
        <v>7.9327209999999999</v>
      </c>
      <c r="G69" s="17">
        <v>7.2167089999999998</v>
      </c>
      <c r="H69" s="17">
        <v>6.2971089999999998</v>
      </c>
      <c r="I69" s="17">
        <v>7.7332460000000003</v>
      </c>
      <c r="J69" s="17">
        <v>7.4229710000000004</v>
      </c>
      <c r="K69" s="17">
        <v>7.5496090000000002</v>
      </c>
      <c r="L69" s="17">
        <v>5.5214610000000004</v>
      </c>
      <c r="M69" s="17">
        <v>5.4293459999999998</v>
      </c>
      <c r="N69" s="18">
        <v>6.2971093199999997</v>
      </c>
      <c r="O69" s="18">
        <v>7.2406496899999997</v>
      </c>
      <c r="P69" s="18">
        <v>6.9763480700000002</v>
      </c>
      <c r="Q69" s="18">
        <v>7.07749805</v>
      </c>
      <c r="R69" s="18">
        <v>5.3565862700000002</v>
      </c>
      <c r="S69" s="18">
        <v>5.2522734299999998</v>
      </c>
    </row>
    <row r="70" spans="1:19" x14ac:dyDescent="0.2">
      <c r="A70" s="17">
        <v>22.67</v>
      </c>
      <c r="B70" s="17">
        <v>5.4205350000000001</v>
      </c>
      <c r="C70" s="17">
        <v>7.9959800000000003</v>
      </c>
      <c r="D70" s="17">
        <v>7.9359450000000002</v>
      </c>
      <c r="E70" s="17">
        <v>7.8597989999999998</v>
      </c>
      <c r="F70" s="17">
        <v>7.9244339999999998</v>
      </c>
      <c r="G70" s="17">
        <v>7.379632</v>
      </c>
      <c r="H70" s="17">
        <v>6.4035739999999999</v>
      </c>
      <c r="I70" s="17">
        <v>7.8200380000000003</v>
      </c>
      <c r="J70" s="17">
        <v>7.5272560000000004</v>
      </c>
      <c r="K70" s="17">
        <v>7.6367520000000004</v>
      </c>
      <c r="L70" s="17">
        <v>5.5294290000000004</v>
      </c>
      <c r="M70" s="17">
        <v>5.4249499999999999</v>
      </c>
      <c r="N70" s="18">
        <v>6.4035742000000004</v>
      </c>
      <c r="O70" s="18">
        <v>7.3138868300000004</v>
      </c>
      <c r="P70" s="18">
        <v>7.0237589500000004</v>
      </c>
      <c r="Q70" s="18">
        <v>7.15148546</v>
      </c>
      <c r="R70" s="18">
        <v>5.3132059800000002</v>
      </c>
      <c r="S70" s="18">
        <v>5.2257466700000004</v>
      </c>
    </row>
    <row r="71" spans="1:19" x14ac:dyDescent="0.2">
      <c r="A71" s="17">
        <v>23</v>
      </c>
      <c r="B71" s="17">
        <v>5.480639</v>
      </c>
      <c r="C71" s="17">
        <v>7.9892209999999997</v>
      </c>
      <c r="D71" s="17">
        <v>7.9312849999999999</v>
      </c>
      <c r="E71" s="17">
        <v>7.8532159999999998</v>
      </c>
      <c r="F71" s="17">
        <v>7.9218979999999997</v>
      </c>
      <c r="G71" s="17">
        <v>7.5443319999999998</v>
      </c>
      <c r="H71" s="17">
        <v>6.5057840000000002</v>
      </c>
      <c r="I71" s="17">
        <v>7.9017480000000004</v>
      </c>
      <c r="J71" s="17">
        <v>7.614312</v>
      </c>
      <c r="K71" s="17">
        <v>7.734559</v>
      </c>
      <c r="L71" s="17">
        <v>5.5451769999999998</v>
      </c>
      <c r="M71" s="17">
        <v>5.4380790000000001</v>
      </c>
      <c r="N71" s="18">
        <v>6.5057840599999999</v>
      </c>
      <c r="O71" s="18">
        <v>7.3883278600000004</v>
      </c>
      <c r="P71" s="18">
        <v>7.1016759699999996</v>
      </c>
      <c r="Q71" s="18">
        <v>7.2218358299999998</v>
      </c>
      <c r="R71" s="18">
        <v>5.3132059800000002</v>
      </c>
      <c r="S71" s="18">
        <v>5.20948615</v>
      </c>
    </row>
    <row r="72" spans="1:19" x14ac:dyDescent="0.2">
      <c r="A72" s="17">
        <v>23.33</v>
      </c>
      <c r="B72" s="17">
        <v>5.5451769999999998</v>
      </c>
      <c r="C72" s="17">
        <v>7.9878640000000001</v>
      </c>
      <c r="D72" s="17">
        <v>7.9258800000000003</v>
      </c>
      <c r="E72" s="17">
        <v>7.8426710000000002</v>
      </c>
      <c r="F72" s="17">
        <v>7.9266030000000001</v>
      </c>
      <c r="G72" s="17">
        <v>7.7137849999999997</v>
      </c>
      <c r="H72" s="17">
        <v>6.6133839999999999</v>
      </c>
      <c r="I72" s="17">
        <v>7.9529670000000001</v>
      </c>
      <c r="J72" s="17">
        <v>7.6998420000000003</v>
      </c>
      <c r="K72" s="17">
        <v>7.8001630000000004</v>
      </c>
      <c r="L72" s="17">
        <v>5.5529599999999997</v>
      </c>
      <c r="M72" s="17">
        <v>5.442418</v>
      </c>
      <c r="N72" s="18">
        <v>6.6133842200000004</v>
      </c>
      <c r="O72" s="18">
        <v>7.42833319</v>
      </c>
      <c r="P72" s="18">
        <v>7.18992217</v>
      </c>
      <c r="Q72" s="18">
        <v>7.2970910099999999</v>
      </c>
      <c r="R72" s="18">
        <v>5.3327187900000004</v>
      </c>
      <c r="S72" s="18">
        <v>5.2257466700000004</v>
      </c>
    </row>
    <row r="73" spans="1:19" x14ac:dyDescent="0.2">
      <c r="A73" s="17">
        <v>23.67</v>
      </c>
      <c r="B73" s="17">
        <v>5.616771</v>
      </c>
      <c r="C73" s="17">
        <v>7.9783109999999997</v>
      </c>
      <c r="D73" s="17">
        <v>7.9222609999999998</v>
      </c>
      <c r="E73" s="17">
        <v>7.8512719999999998</v>
      </c>
      <c r="F73" s="17">
        <v>7.9193559999999996</v>
      </c>
      <c r="G73" s="17">
        <v>7.8469810000000004</v>
      </c>
      <c r="H73" s="17">
        <v>6.7345920000000001</v>
      </c>
      <c r="I73" s="17">
        <v>7.9827579999999996</v>
      </c>
      <c r="J73" s="17">
        <v>7.7902820000000004</v>
      </c>
      <c r="K73" s="17">
        <v>7.8762590000000001</v>
      </c>
      <c r="L73" s="17">
        <v>5.5721540000000003</v>
      </c>
      <c r="M73" s="17">
        <v>5.442418</v>
      </c>
      <c r="N73" s="18">
        <v>6.7345916600000004</v>
      </c>
      <c r="O73" s="18">
        <v>7.4121603299999999</v>
      </c>
      <c r="P73" s="18">
        <v>7.2598196100000001</v>
      </c>
      <c r="Q73" s="18">
        <v>7.3178761999999997</v>
      </c>
      <c r="R73" s="18">
        <v>5.3612921699999996</v>
      </c>
      <c r="S73" s="18">
        <v>5.25749537</v>
      </c>
    </row>
    <row r="74" spans="1:19" x14ac:dyDescent="0.2">
      <c r="A74" s="17">
        <v>24</v>
      </c>
      <c r="B74" s="17">
        <v>5.6903589999999999</v>
      </c>
      <c r="C74" s="17">
        <v>7.9762519999999997</v>
      </c>
      <c r="D74" s="17">
        <v>7.9215359999999997</v>
      </c>
      <c r="E74" s="17">
        <v>7.8434559999999998</v>
      </c>
      <c r="F74" s="17">
        <v>7.9127890000000001</v>
      </c>
      <c r="G74" s="17">
        <v>7.8849530000000003</v>
      </c>
      <c r="H74" s="17">
        <v>6.841615</v>
      </c>
      <c r="I74" s="17">
        <v>8.0053669999999997</v>
      </c>
      <c r="J74" s="17">
        <v>7.8648040000000004</v>
      </c>
      <c r="K74" s="17">
        <v>7.9175360000000001</v>
      </c>
      <c r="L74" s="17">
        <v>5.5909870000000002</v>
      </c>
      <c r="M74" s="17">
        <v>5.4510379999999996</v>
      </c>
      <c r="N74" s="18">
        <v>6.8416154799999997</v>
      </c>
      <c r="O74" s="18">
        <v>7.4109518799999998</v>
      </c>
      <c r="P74" s="18">
        <v>7.3304052100000003</v>
      </c>
      <c r="Q74" s="18">
        <v>7.3858510800000001</v>
      </c>
      <c r="R74" s="18">
        <v>5.3565862700000002</v>
      </c>
      <c r="S74" s="18">
        <v>5.2040066899999999</v>
      </c>
    </row>
    <row r="75" spans="1:19" x14ac:dyDescent="0.2">
      <c r="A75" s="17">
        <v>24.33</v>
      </c>
      <c r="B75" s="17">
        <v>5.758902</v>
      </c>
      <c r="C75" s="17">
        <v>7.9769389999999998</v>
      </c>
      <c r="D75" s="17">
        <v>7.9171719999999999</v>
      </c>
      <c r="E75" s="17">
        <v>7.8403130000000001</v>
      </c>
      <c r="F75" s="17">
        <v>7.9127890000000001</v>
      </c>
      <c r="G75" s="17">
        <v>7.9017480000000004</v>
      </c>
      <c r="H75" s="17">
        <v>6.9735430000000003</v>
      </c>
      <c r="I75" s="17">
        <v>8.0146660000000001</v>
      </c>
      <c r="J75" s="17">
        <v>7.9291260000000001</v>
      </c>
      <c r="K75" s="17">
        <v>7.9359450000000002</v>
      </c>
      <c r="L75" s="17">
        <v>5.6131279999999997</v>
      </c>
      <c r="M75" s="17">
        <v>5.4510379999999996</v>
      </c>
      <c r="N75" s="18">
        <v>6.9735430200000001</v>
      </c>
      <c r="O75" s="18">
        <v>7.4181808199999999</v>
      </c>
      <c r="P75" s="18">
        <v>7.3914152299999998</v>
      </c>
      <c r="Q75" s="18">
        <v>7.3777589099999998</v>
      </c>
      <c r="R75" s="18">
        <v>5.3798973500000002</v>
      </c>
      <c r="S75" s="18">
        <v>5.2522734299999998</v>
      </c>
    </row>
    <row r="76" spans="1:19" x14ac:dyDescent="0.2">
      <c r="A76" s="17">
        <v>24.67</v>
      </c>
      <c r="B76" s="17">
        <v>5.7776519999999998</v>
      </c>
      <c r="C76" s="17">
        <v>7.96624</v>
      </c>
      <c r="D76" s="17">
        <v>7.9131549999999997</v>
      </c>
      <c r="E76" s="17">
        <v>7.8347879999999996</v>
      </c>
      <c r="F76" s="17">
        <v>7.9120569999999999</v>
      </c>
      <c r="G76" s="17">
        <v>7.9135210000000002</v>
      </c>
      <c r="H76" s="17">
        <v>7.1024989999999999</v>
      </c>
      <c r="I76" s="17">
        <v>8.0228970000000004</v>
      </c>
      <c r="J76" s="17">
        <v>7.955425</v>
      </c>
      <c r="K76" s="17">
        <v>7.9437829999999998</v>
      </c>
      <c r="L76" s="17">
        <v>5.6347899999999997</v>
      </c>
      <c r="M76" s="17">
        <v>5.4467369999999997</v>
      </c>
      <c r="N76" s="18">
        <v>7.1024993600000004</v>
      </c>
      <c r="O76" s="18">
        <v>7.4121603299999999</v>
      </c>
      <c r="P76" s="18">
        <v>7.3677085699999996</v>
      </c>
      <c r="Q76" s="18">
        <v>7.3740018599999999</v>
      </c>
      <c r="R76" s="18">
        <v>5.3936275499999997</v>
      </c>
      <c r="S76" s="18">
        <v>5.2203558299999999</v>
      </c>
    </row>
    <row r="77" spans="1:19" x14ac:dyDescent="0.2">
      <c r="A77" s="17">
        <v>25</v>
      </c>
      <c r="B77" s="17">
        <v>5.8550719999999998</v>
      </c>
      <c r="C77" s="17">
        <v>7.960324</v>
      </c>
      <c r="D77" s="17">
        <v>7.9043349999999997</v>
      </c>
      <c r="E77" s="17">
        <v>7.8332040000000003</v>
      </c>
      <c r="F77" s="17">
        <v>7.9043349999999997</v>
      </c>
      <c r="G77" s="17">
        <v>7.9098569999999997</v>
      </c>
      <c r="H77" s="17">
        <v>7.2420819999999999</v>
      </c>
      <c r="I77" s="17">
        <v>8.0313850000000002</v>
      </c>
      <c r="J77" s="17">
        <v>7.9690120000000002</v>
      </c>
      <c r="K77" s="17">
        <v>7.9469709999999996</v>
      </c>
      <c r="L77" s="17">
        <v>5.6276210000000004</v>
      </c>
      <c r="M77" s="17">
        <v>5.4337220000000004</v>
      </c>
      <c r="N77" s="18">
        <v>7.2420823600000004</v>
      </c>
      <c r="O77" s="18">
        <v>7.4079243200000002</v>
      </c>
      <c r="P77" s="18">
        <v>7.3783837099999996</v>
      </c>
      <c r="Q77" s="18">
        <v>7.3765081300000004</v>
      </c>
      <c r="R77" s="18">
        <v>5.4026773800000001</v>
      </c>
      <c r="S77" s="18">
        <v>5.20948615</v>
      </c>
    </row>
    <row r="78" spans="1:19" x14ac:dyDescent="0.2">
      <c r="A78" s="17">
        <v>25.33</v>
      </c>
      <c r="B78" s="17">
        <v>5.9763510000000002</v>
      </c>
      <c r="C78" s="17">
        <v>7.9550739999999998</v>
      </c>
      <c r="D78" s="17">
        <v>7.8976680000000004</v>
      </c>
      <c r="E78" s="17">
        <v>7.8280380000000003</v>
      </c>
      <c r="F78" s="17">
        <v>7.9080190000000004</v>
      </c>
      <c r="G78" s="17">
        <v>7.9054419999999999</v>
      </c>
      <c r="H78" s="17">
        <v>7.3889459999999998</v>
      </c>
      <c r="I78" s="17">
        <v>8.0401249999999997</v>
      </c>
      <c r="J78" s="17">
        <v>7.9759080000000004</v>
      </c>
      <c r="K78" s="17">
        <v>7.9536699999999998</v>
      </c>
      <c r="L78" s="17">
        <v>5.66296</v>
      </c>
      <c r="M78" s="17">
        <v>5.442418</v>
      </c>
      <c r="N78" s="18">
        <v>7.3889461000000001</v>
      </c>
      <c r="O78" s="18">
        <v>7.4024515199999996</v>
      </c>
      <c r="P78" s="18">
        <v>7.3852309199999997</v>
      </c>
      <c r="Q78" s="18">
        <v>7.3708601700000003</v>
      </c>
      <c r="R78" s="18">
        <v>5.4510384500000004</v>
      </c>
      <c r="S78" s="18">
        <v>5.2040066899999999</v>
      </c>
    </row>
    <row r="79" spans="1:19" x14ac:dyDescent="0.2">
      <c r="A79" s="17">
        <v>25.67</v>
      </c>
      <c r="B79" s="17">
        <v>6.0661079999999998</v>
      </c>
      <c r="C79" s="17">
        <v>7.9526149999999998</v>
      </c>
      <c r="D79" s="17">
        <v>7.9208100000000004</v>
      </c>
      <c r="E79" s="17">
        <v>7.8351839999999999</v>
      </c>
      <c r="F79" s="17">
        <v>7.9035960000000003</v>
      </c>
      <c r="G79" s="17">
        <v>7.9002660000000002</v>
      </c>
      <c r="H79" s="17">
        <v>7.5411520000000003</v>
      </c>
      <c r="I79" s="17">
        <v>8.0468700000000002</v>
      </c>
      <c r="J79" s="17">
        <v>8.0420560000000005</v>
      </c>
      <c r="K79" s="17">
        <v>7.9568269999999997</v>
      </c>
      <c r="L79" s="17">
        <v>5.6835800000000001</v>
      </c>
      <c r="M79" s="17">
        <v>5.4249499999999999</v>
      </c>
      <c r="N79" s="18">
        <v>7.5411524600000002</v>
      </c>
      <c r="O79" s="18">
        <v>7.39387829</v>
      </c>
      <c r="P79" s="18">
        <v>7.4073177100000001</v>
      </c>
      <c r="Q79" s="18">
        <v>7.3714893000000004</v>
      </c>
      <c r="R79" s="18">
        <v>5.44241771</v>
      </c>
      <c r="S79" s="18">
        <v>5.2203558299999999</v>
      </c>
    </row>
    <row r="80" spans="1:19" x14ac:dyDescent="0.2">
      <c r="A80" s="17">
        <v>26</v>
      </c>
      <c r="B80" s="17">
        <v>6.1654179999999998</v>
      </c>
      <c r="C80" s="17">
        <v>7.9455549999999997</v>
      </c>
      <c r="D80" s="17">
        <v>7.9054419999999999</v>
      </c>
      <c r="E80" s="17">
        <v>7.8224450000000001</v>
      </c>
      <c r="F80" s="17">
        <v>7.9035960000000003</v>
      </c>
      <c r="G80" s="17">
        <v>7.9002660000000002</v>
      </c>
      <c r="H80" s="17">
        <v>7.6916570000000002</v>
      </c>
      <c r="I80" s="17">
        <v>8.0526149999999994</v>
      </c>
      <c r="J80" s="17">
        <v>8.0487880000000001</v>
      </c>
      <c r="K80" s="17">
        <v>7.9610209999999997</v>
      </c>
      <c r="L80" s="17">
        <v>5.7430029999999999</v>
      </c>
      <c r="M80" s="17">
        <v>5.4467369999999997</v>
      </c>
      <c r="N80" s="18">
        <v>7.6916568200000004</v>
      </c>
      <c r="O80" s="18">
        <v>7.3993980800000001</v>
      </c>
      <c r="P80" s="18">
        <v>7.4061033800000002</v>
      </c>
      <c r="Q80" s="18">
        <v>7.3740018599999999</v>
      </c>
      <c r="R80" s="18">
        <v>5.4680601400000004</v>
      </c>
      <c r="S80" s="18">
        <v>5.2626901899999998</v>
      </c>
    </row>
    <row r="81" spans="1:19" x14ac:dyDescent="0.2">
      <c r="A81" s="17">
        <v>26.33</v>
      </c>
      <c r="B81" s="17">
        <v>6.3099179999999997</v>
      </c>
      <c r="C81" s="17">
        <v>7.9388019999999999</v>
      </c>
      <c r="D81" s="17">
        <v>7.8924519999999996</v>
      </c>
      <c r="E81" s="17">
        <v>7.8312200000000001</v>
      </c>
      <c r="F81" s="17">
        <v>7.9058099999999998</v>
      </c>
      <c r="G81" s="17">
        <v>7.8902080000000003</v>
      </c>
      <c r="H81" s="17">
        <v>7.8280380000000003</v>
      </c>
      <c r="I81" s="17">
        <v>8.0535689999999995</v>
      </c>
      <c r="J81" s="17">
        <v>8.0067009999999996</v>
      </c>
      <c r="K81" s="17">
        <v>7.9589259999999999</v>
      </c>
      <c r="L81" s="17">
        <v>5.7525729999999999</v>
      </c>
      <c r="M81" s="17">
        <v>5.4205350000000001</v>
      </c>
      <c r="N81" s="18">
        <v>7.8280380300000001</v>
      </c>
      <c r="O81" s="18">
        <v>7.39449311</v>
      </c>
      <c r="P81" s="18">
        <v>7.3833681499999999</v>
      </c>
      <c r="Q81" s="18">
        <v>7.3670770599999997</v>
      </c>
      <c r="R81" s="18">
        <v>5.49306144</v>
      </c>
      <c r="S81" s="18">
        <v>5.2257466700000004</v>
      </c>
    </row>
    <row r="82" spans="1:19" x14ac:dyDescent="0.2">
      <c r="A82" s="17">
        <v>26.67</v>
      </c>
      <c r="B82" s="17">
        <v>6.4377519999999997</v>
      </c>
      <c r="C82" s="17">
        <v>7.9412960000000004</v>
      </c>
      <c r="D82" s="17">
        <v>7.8879590000000004</v>
      </c>
      <c r="E82" s="17">
        <v>7.8272409999999999</v>
      </c>
      <c r="F82" s="17">
        <v>7.9002660000000002</v>
      </c>
      <c r="G82" s="17">
        <v>7.8857049999999997</v>
      </c>
      <c r="H82" s="17">
        <v>7.9437829999999998</v>
      </c>
      <c r="I82" s="17">
        <v>8.0576939999999997</v>
      </c>
      <c r="J82" s="17">
        <v>8.0067009999999996</v>
      </c>
      <c r="K82" s="17">
        <v>7.9697040000000001</v>
      </c>
      <c r="L82" s="17">
        <v>5.7776519999999998</v>
      </c>
      <c r="M82" s="17">
        <v>5.4380790000000001</v>
      </c>
      <c r="N82" s="18">
        <v>7.9437826899999999</v>
      </c>
      <c r="O82" s="18">
        <v>7.3877092400000004</v>
      </c>
      <c r="P82" s="18">
        <v>7.3714893000000004</v>
      </c>
      <c r="Q82" s="18">
        <v>7.3639134999999998</v>
      </c>
      <c r="R82" s="18">
        <v>5.5012582099999996</v>
      </c>
      <c r="S82" s="18">
        <v>5.2040066899999999</v>
      </c>
    </row>
    <row r="83" spans="1:19" x14ac:dyDescent="0.2">
      <c r="A83" s="17">
        <v>27</v>
      </c>
      <c r="B83" s="17">
        <v>6.5467849999999999</v>
      </c>
      <c r="C83" s="17">
        <v>7.9388019999999999</v>
      </c>
      <c r="D83" s="17">
        <v>7.8789129999999998</v>
      </c>
      <c r="E83" s="17">
        <v>7.8264430000000003</v>
      </c>
      <c r="F83" s="17">
        <v>7.8980399999999999</v>
      </c>
      <c r="G83" s="17">
        <v>7.8773970000000002</v>
      </c>
      <c r="H83" s="17">
        <v>7.9817330000000002</v>
      </c>
      <c r="I83" s="17">
        <v>8.0561100000000003</v>
      </c>
      <c r="J83" s="17">
        <v>8.0120179999999994</v>
      </c>
      <c r="K83" s="17">
        <v>7.9648510000000003</v>
      </c>
      <c r="L83" s="17">
        <v>5.8259999999999996</v>
      </c>
      <c r="M83" s="17">
        <v>5.4293459999999998</v>
      </c>
      <c r="N83" s="18">
        <v>7.9817332900000002</v>
      </c>
      <c r="O83" s="18">
        <v>7.3920315700000003</v>
      </c>
      <c r="P83" s="18">
        <v>7.3783837099999996</v>
      </c>
      <c r="Q83" s="18">
        <v>7.3714893000000004</v>
      </c>
      <c r="R83" s="18">
        <v>5.5294290899999998</v>
      </c>
      <c r="S83" s="18">
        <v>5.2149357600000004</v>
      </c>
    </row>
    <row r="84" spans="1:19" x14ac:dyDescent="0.2">
      <c r="A84" s="17">
        <v>27.33</v>
      </c>
      <c r="B84" s="17">
        <v>6.6957990000000001</v>
      </c>
      <c r="C84" s="17">
        <v>7.9341549999999996</v>
      </c>
      <c r="D84" s="17">
        <v>7.8735980000000003</v>
      </c>
      <c r="E84" s="17">
        <v>7.824846</v>
      </c>
      <c r="F84" s="17">
        <v>7.8976680000000004</v>
      </c>
      <c r="G84" s="17">
        <v>7.87967</v>
      </c>
      <c r="H84" s="17">
        <v>7.9966540000000004</v>
      </c>
      <c r="I84" s="17">
        <v>8.0567440000000001</v>
      </c>
      <c r="J84" s="17">
        <v>8.0103600000000004</v>
      </c>
      <c r="K84" s="17">
        <v>7.9697040000000001</v>
      </c>
      <c r="L84" s="17">
        <v>5.8579330000000001</v>
      </c>
      <c r="M84" s="17">
        <v>5.4510379999999996</v>
      </c>
      <c r="N84" s="18">
        <v>7.9966538800000002</v>
      </c>
      <c r="O84" s="18">
        <v>7.3932630899999996</v>
      </c>
      <c r="P84" s="18">
        <v>7.3727463699999998</v>
      </c>
      <c r="Q84" s="18">
        <v>7.36833969</v>
      </c>
      <c r="R84" s="18">
        <v>5.55682806</v>
      </c>
      <c r="S84" s="18">
        <v>5.2832037300000003</v>
      </c>
    </row>
    <row r="85" spans="1:19" x14ac:dyDescent="0.2">
      <c r="A85" s="17">
        <v>27.67</v>
      </c>
      <c r="B85" s="17">
        <v>6.8596149999999998</v>
      </c>
      <c r="C85" s="17">
        <v>7.9341549999999996</v>
      </c>
      <c r="D85" s="17">
        <v>7.8701660000000002</v>
      </c>
      <c r="E85" s="17">
        <v>7.8131870000000001</v>
      </c>
      <c r="F85" s="17">
        <v>7.8969250000000004</v>
      </c>
      <c r="G85" s="17">
        <v>7.8751189999999998</v>
      </c>
      <c r="H85" s="17">
        <v>7.9939580000000001</v>
      </c>
      <c r="I85" s="17">
        <v>8.0573770000000007</v>
      </c>
      <c r="J85" s="17">
        <v>8.0073670000000003</v>
      </c>
      <c r="K85" s="17">
        <v>7.96624</v>
      </c>
      <c r="L85" s="17">
        <v>5.9053620000000002</v>
      </c>
      <c r="M85" s="17">
        <v>5.4293459999999998</v>
      </c>
      <c r="N85" s="18">
        <v>7.9939575500000002</v>
      </c>
      <c r="O85" s="18">
        <v>7.3920315700000003</v>
      </c>
      <c r="P85" s="18">
        <v>7.3758821499999998</v>
      </c>
      <c r="Q85" s="18">
        <v>7.3395377000000002</v>
      </c>
      <c r="R85" s="18">
        <v>5.5797298299999998</v>
      </c>
      <c r="S85" s="18">
        <v>5.2040066899999999</v>
      </c>
    </row>
    <row r="86" spans="1:19" x14ac:dyDescent="0.2">
      <c r="A86" s="17">
        <v>28</v>
      </c>
      <c r="B86" s="17">
        <v>7.0112139999999998</v>
      </c>
      <c r="C86" s="17">
        <v>7.929487</v>
      </c>
      <c r="D86" s="17">
        <v>7.8739780000000001</v>
      </c>
      <c r="E86" s="17">
        <v>7.8252449999999998</v>
      </c>
      <c r="F86" s="17">
        <v>7.8950630000000004</v>
      </c>
      <c r="G86" s="17">
        <v>7.8690189999999998</v>
      </c>
      <c r="H86" s="17">
        <v>7.9979990000000001</v>
      </c>
      <c r="I86" s="17">
        <v>8.0548400000000004</v>
      </c>
      <c r="J86" s="17">
        <v>8.0046999999999997</v>
      </c>
      <c r="K86" s="17">
        <v>7.9620670000000002</v>
      </c>
      <c r="L86" s="17">
        <v>5.948035</v>
      </c>
      <c r="M86" s="17">
        <v>5.4553209999999996</v>
      </c>
      <c r="N86" s="18">
        <v>7.9979993199999999</v>
      </c>
      <c r="O86" s="18">
        <v>7.3981740900000004</v>
      </c>
      <c r="P86" s="18">
        <v>7.3740018599999999</v>
      </c>
      <c r="Q86" s="18">
        <v>7.37337431</v>
      </c>
      <c r="R86" s="18">
        <v>5.6204008700000001</v>
      </c>
      <c r="S86" s="18">
        <v>5.2364419599999996</v>
      </c>
    </row>
    <row r="87" spans="1:19" x14ac:dyDescent="0.2">
      <c r="A87" s="17">
        <v>28.33</v>
      </c>
      <c r="B87" s="17">
        <v>7.1708879999999997</v>
      </c>
      <c r="C87" s="17">
        <v>7.9255190000000004</v>
      </c>
      <c r="D87" s="17">
        <v>7.866339</v>
      </c>
      <c r="E87" s="17">
        <v>7.818028</v>
      </c>
      <c r="F87" s="17">
        <v>7.8943180000000002</v>
      </c>
      <c r="G87" s="17">
        <v>7.8628819999999999</v>
      </c>
      <c r="H87" s="17">
        <v>8.0006850000000007</v>
      </c>
      <c r="I87" s="17">
        <v>8.0580110000000005</v>
      </c>
      <c r="J87" s="17">
        <v>8.002694</v>
      </c>
      <c r="K87" s="17">
        <v>7.9693579999999997</v>
      </c>
      <c r="L87" s="17">
        <v>5.9788860000000001</v>
      </c>
      <c r="M87" s="17">
        <v>5.4510379999999996</v>
      </c>
      <c r="N87" s="18">
        <v>8.0006847800000003</v>
      </c>
      <c r="O87" s="18">
        <v>7.3957216099999998</v>
      </c>
      <c r="P87" s="18">
        <v>7.3702306399999999</v>
      </c>
      <c r="Q87" s="18">
        <v>7.3626452699999998</v>
      </c>
      <c r="R87" s="18">
        <v>5.6767538000000002</v>
      </c>
      <c r="S87" s="18">
        <v>5.20948615</v>
      </c>
    </row>
    <row r="88" spans="1:19" x14ac:dyDescent="0.2">
      <c r="A88" s="17">
        <v>28.67</v>
      </c>
      <c r="B88" s="17">
        <v>7.3362860000000003</v>
      </c>
      <c r="C88" s="17">
        <v>7.9298460000000004</v>
      </c>
      <c r="D88" s="17">
        <v>7.8655720000000002</v>
      </c>
      <c r="E88" s="17">
        <v>7.8200380000000003</v>
      </c>
      <c r="F88" s="17">
        <v>7.8913310000000001</v>
      </c>
      <c r="G88" s="17">
        <v>7.86442</v>
      </c>
      <c r="H88" s="17">
        <v>7.9953070000000004</v>
      </c>
      <c r="I88" s="17">
        <v>8.0484690000000008</v>
      </c>
      <c r="J88" s="17">
        <v>8.0060339999999997</v>
      </c>
      <c r="K88" s="17">
        <v>7.96624</v>
      </c>
      <c r="L88" s="17">
        <v>6.0282790000000004</v>
      </c>
      <c r="M88" s="17">
        <v>5.4467369999999997</v>
      </c>
      <c r="N88" s="18">
        <v>7.99530662</v>
      </c>
      <c r="O88" s="18">
        <v>7.3901814300000002</v>
      </c>
      <c r="P88" s="18">
        <v>7.3752557799999998</v>
      </c>
      <c r="Q88" s="18">
        <v>7.3601039699999999</v>
      </c>
      <c r="R88" s="18">
        <v>5.70044357</v>
      </c>
      <c r="S88" s="18">
        <v>5.24174702</v>
      </c>
    </row>
    <row r="89" spans="1:19" x14ac:dyDescent="0.2">
      <c r="A89" s="17">
        <v>29</v>
      </c>
      <c r="B89" s="17">
        <v>7.5071409999999998</v>
      </c>
      <c r="C89" s="17">
        <v>7.9215359999999997</v>
      </c>
      <c r="D89" s="17">
        <v>7.8601850000000004</v>
      </c>
      <c r="E89" s="17">
        <v>7.818028</v>
      </c>
      <c r="F89" s="17">
        <v>7.8894590000000004</v>
      </c>
      <c r="G89" s="17">
        <v>7.8574809999999999</v>
      </c>
      <c r="H89" s="17">
        <v>8.0000140000000002</v>
      </c>
      <c r="I89" s="17">
        <v>8.0538869999999996</v>
      </c>
      <c r="J89" s="17">
        <v>8.002694</v>
      </c>
      <c r="K89" s="17">
        <v>7.9582269999999999</v>
      </c>
      <c r="L89" s="17">
        <v>6.0822190000000003</v>
      </c>
      <c r="M89" s="17">
        <v>5.4510379999999996</v>
      </c>
      <c r="N89" s="18">
        <v>8.0000140900000005</v>
      </c>
      <c r="O89" s="18">
        <v>7.3993980800000001</v>
      </c>
      <c r="P89" s="18">
        <v>7.3765081300000004</v>
      </c>
      <c r="Q89" s="18">
        <v>7.3702306399999999</v>
      </c>
      <c r="R89" s="18">
        <v>5.7430031899999996</v>
      </c>
      <c r="S89" s="18">
        <v>5.24174702</v>
      </c>
    </row>
    <row r="90" spans="1:19" x14ac:dyDescent="0.2">
      <c r="A90" s="17">
        <v>29.33</v>
      </c>
      <c r="B90" s="17">
        <v>7.6722919999999997</v>
      </c>
      <c r="C90" s="17">
        <v>7.9284059999999998</v>
      </c>
      <c r="D90" s="17">
        <v>7.8601850000000004</v>
      </c>
      <c r="E90" s="17">
        <v>7.8139960000000004</v>
      </c>
      <c r="F90" s="17">
        <v>7.8875840000000004</v>
      </c>
      <c r="G90" s="17">
        <v>7.8640359999999996</v>
      </c>
      <c r="H90" s="17">
        <v>8.0006850000000007</v>
      </c>
      <c r="I90" s="17">
        <v>8.0519780000000001</v>
      </c>
      <c r="J90" s="17">
        <v>8.0010200000000005</v>
      </c>
      <c r="K90" s="17">
        <v>7.965198</v>
      </c>
      <c r="L90" s="17">
        <v>6.109248</v>
      </c>
      <c r="M90" s="17">
        <v>5.4595859999999998</v>
      </c>
      <c r="N90" s="18">
        <v>8.0006847800000003</v>
      </c>
      <c r="O90" s="18">
        <v>7.3926475199999997</v>
      </c>
      <c r="P90" s="18">
        <v>7.3752557799999998</v>
      </c>
      <c r="Q90" s="18">
        <v>7.3721180300000002</v>
      </c>
      <c r="R90" s="18">
        <v>5.7776523199999996</v>
      </c>
      <c r="S90" s="18">
        <v>5.3033049099999996</v>
      </c>
    </row>
    <row r="91" spans="1:19" x14ac:dyDescent="0.2">
      <c r="A91" s="17">
        <v>29.67</v>
      </c>
      <c r="B91" s="17">
        <v>7.8387380000000002</v>
      </c>
      <c r="C91" s="17">
        <v>7.9142520000000003</v>
      </c>
      <c r="D91" s="17">
        <v>7.8659549999999996</v>
      </c>
      <c r="E91" s="17">
        <v>7.8188319999999996</v>
      </c>
      <c r="F91" s="17">
        <v>7.8905830000000003</v>
      </c>
      <c r="G91" s="17">
        <v>7.8528279999999997</v>
      </c>
      <c r="H91" s="17">
        <v>8.0020249999999997</v>
      </c>
      <c r="I91" s="17">
        <v>8.0532509999999995</v>
      </c>
      <c r="J91" s="17">
        <v>8.0013550000000002</v>
      </c>
      <c r="K91" s="17">
        <v>7.9655459999999998</v>
      </c>
      <c r="L91" s="17">
        <v>6.1737859999999998</v>
      </c>
      <c r="M91" s="17">
        <v>5.4553209999999996</v>
      </c>
      <c r="N91" s="18">
        <v>8.0020248200000008</v>
      </c>
      <c r="O91" s="18">
        <v>7.3920315700000003</v>
      </c>
      <c r="P91" s="18">
        <v>7.3839894599999996</v>
      </c>
      <c r="Q91" s="18">
        <v>7.3714893000000004</v>
      </c>
      <c r="R91" s="18">
        <v>5.7071102600000003</v>
      </c>
      <c r="S91" s="18">
        <v>5.2522734299999998</v>
      </c>
    </row>
    <row r="92" spans="1:19" x14ac:dyDescent="0.2">
      <c r="A92" s="17">
        <v>30</v>
      </c>
      <c r="B92" s="17">
        <v>7.9384459999999999</v>
      </c>
      <c r="C92" s="17">
        <v>7.9269639999999999</v>
      </c>
      <c r="D92" s="17">
        <v>7.8628819999999999</v>
      </c>
      <c r="E92" s="17">
        <v>7.8139960000000004</v>
      </c>
      <c r="F92" s="17">
        <v>7.8883349999999997</v>
      </c>
      <c r="G92" s="17">
        <v>7.8524390000000004</v>
      </c>
      <c r="H92" s="17">
        <v>7.9936199999999999</v>
      </c>
      <c r="I92" s="17">
        <v>8.0484690000000008</v>
      </c>
      <c r="J92" s="17">
        <v>8.002694</v>
      </c>
      <c r="K92" s="17">
        <v>7.9610209999999997</v>
      </c>
      <c r="L92" s="17">
        <v>6.2344109999999997</v>
      </c>
      <c r="M92" s="17">
        <v>5.4553209999999996</v>
      </c>
      <c r="N92" s="18">
        <v>7.99361999</v>
      </c>
      <c r="O92" s="18">
        <v>7.3932630899999996</v>
      </c>
      <c r="P92" s="18">
        <v>7.3796321499999999</v>
      </c>
      <c r="Q92" s="18">
        <v>7.3395377000000002</v>
      </c>
      <c r="R92" s="18">
        <v>5.8260001099999998</v>
      </c>
      <c r="S92" s="18">
        <v>5.2626901899999998</v>
      </c>
    </row>
    <row r="93" spans="1:19" x14ac:dyDescent="0.2">
      <c r="A93" s="17">
        <v>30.33</v>
      </c>
      <c r="B93" s="17">
        <v>7.9848030000000003</v>
      </c>
      <c r="C93" s="17">
        <v>7.9229859999999999</v>
      </c>
      <c r="D93" s="17">
        <v>7.8551570000000002</v>
      </c>
      <c r="E93" s="17">
        <v>7.8107579999999999</v>
      </c>
      <c r="F93" s="17">
        <v>7.8819369999999997</v>
      </c>
      <c r="G93" s="17">
        <v>7.8520500000000002</v>
      </c>
      <c r="H93" s="17">
        <v>7.9963170000000003</v>
      </c>
      <c r="I93" s="17">
        <v>8.0503839999999993</v>
      </c>
      <c r="J93" s="17">
        <v>8.0013550000000002</v>
      </c>
      <c r="K93" s="17">
        <v>7.9568269999999997</v>
      </c>
      <c r="L93" s="17">
        <v>6.2785209999999996</v>
      </c>
      <c r="M93" s="17">
        <v>5.4722710000000001</v>
      </c>
      <c r="N93" s="18">
        <v>7.9963172299999998</v>
      </c>
      <c r="O93" s="18">
        <v>7.3889461000000001</v>
      </c>
      <c r="P93" s="18">
        <v>7.3740018599999999</v>
      </c>
      <c r="Q93" s="18">
        <v>7.3414838500000004</v>
      </c>
      <c r="R93" s="18">
        <v>5.8721177899999999</v>
      </c>
      <c r="S93" s="18">
        <v>5.2729995599999997</v>
      </c>
    </row>
    <row r="94" spans="1:19" x14ac:dyDescent="0.2">
      <c r="A94" s="17">
        <v>30.67</v>
      </c>
      <c r="B94" s="17">
        <v>7.9898990000000003</v>
      </c>
      <c r="C94" s="17">
        <v>7.9226239999999999</v>
      </c>
      <c r="D94" s="17">
        <v>7.8609559999999998</v>
      </c>
      <c r="E94" s="17">
        <v>7.8058820000000004</v>
      </c>
      <c r="F94" s="17">
        <v>7.8830689999999999</v>
      </c>
      <c r="G94" s="17">
        <v>7.8493240000000002</v>
      </c>
      <c r="H94" s="17">
        <v>7.9932819999999998</v>
      </c>
      <c r="I94" s="17">
        <v>8.0513410000000007</v>
      </c>
      <c r="J94" s="17">
        <v>7.9966540000000004</v>
      </c>
      <c r="K94" s="17">
        <v>7.9536699999999998</v>
      </c>
      <c r="L94" s="17">
        <v>6.326149</v>
      </c>
      <c r="M94" s="17">
        <v>5.476464</v>
      </c>
      <c r="N94" s="18">
        <v>7.9932823300000004</v>
      </c>
      <c r="O94" s="18">
        <v>7.3914152299999998</v>
      </c>
      <c r="P94" s="18">
        <v>7.3765081300000004</v>
      </c>
      <c r="Q94" s="18">
        <v>7.33758774</v>
      </c>
      <c r="R94" s="18">
        <v>5.9242558000000001</v>
      </c>
      <c r="S94" s="18">
        <v>5.2832037300000003</v>
      </c>
    </row>
    <row r="95" spans="1:19" x14ac:dyDescent="0.2">
      <c r="A95" s="17">
        <v>31</v>
      </c>
      <c r="B95" s="17">
        <v>7.9956440000000004</v>
      </c>
      <c r="C95" s="17">
        <v>7.9179009999999996</v>
      </c>
      <c r="D95" s="17">
        <v>7.8547690000000001</v>
      </c>
      <c r="E95" s="17">
        <v>7.8034350000000003</v>
      </c>
      <c r="F95" s="17">
        <v>7.8849530000000003</v>
      </c>
      <c r="G95" s="17">
        <v>7.84659</v>
      </c>
      <c r="H95" s="17">
        <v>7.9922690000000003</v>
      </c>
      <c r="I95" s="17">
        <v>8.0494269999999997</v>
      </c>
      <c r="J95" s="17">
        <v>7.9963170000000003</v>
      </c>
      <c r="K95" s="17">
        <v>7.9480320000000004</v>
      </c>
      <c r="L95" s="17">
        <v>6.3919170000000003</v>
      </c>
      <c r="M95" s="17">
        <v>5.476464</v>
      </c>
      <c r="N95" s="18">
        <v>7.9922686399999998</v>
      </c>
      <c r="O95" s="18">
        <v>7.3914152299999998</v>
      </c>
      <c r="P95" s="18">
        <v>7.3777589099999998</v>
      </c>
      <c r="Q95" s="18">
        <v>7.3362856599999997</v>
      </c>
      <c r="R95" s="18">
        <v>5.9610053399999998</v>
      </c>
      <c r="S95" s="18">
        <v>5.2832037300000003</v>
      </c>
    </row>
    <row r="96" spans="1:19" x14ac:dyDescent="0.2">
      <c r="A96" s="17">
        <v>31.33</v>
      </c>
      <c r="B96" s="17">
        <v>7.9878640000000001</v>
      </c>
      <c r="C96" s="17">
        <v>7.9179009999999996</v>
      </c>
      <c r="D96" s="17">
        <v>7.857094</v>
      </c>
      <c r="E96" s="17">
        <v>7.7977020000000001</v>
      </c>
      <c r="F96" s="17">
        <v>7.8853289999999996</v>
      </c>
      <c r="G96" s="17">
        <v>7.8469810000000004</v>
      </c>
      <c r="H96" s="17">
        <v>7.9892209999999997</v>
      </c>
      <c r="I96" s="17">
        <v>8.045909</v>
      </c>
      <c r="J96" s="17">
        <v>8.00169</v>
      </c>
      <c r="K96" s="17">
        <v>7.9473250000000002</v>
      </c>
      <c r="L96" s="17">
        <v>6.4409470000000004</v>
      </c>
      <c r="M96" s="17">
        <v>5.4847970000000004</v>
      </c>
      <c r="N96" s="18">
        <v>7.9892214099999999</v>
      </c>
      <c r="O96" s="18">
        <v>7.3914152299999998</v>
      </c>
      <c r="P96" s="18">
        <v>7.3796321499999999</v>
      </c>
      <c r="Q96" s="18">
        <v>7.33758774</v>
      </c>
      <c r="R96" s="18">
        <v>6.0258659699999999</v>
      </c>
      <c r="S96" s="18">
        <v>5.3181199899999996</v>
      </c>
    </row>
    <row r="97" spans="1:19" x14ac:dyDescent="0.2">
      <c r="A97" s="17">
        <v>31.67</v>
      </c>
      <c r="B97" s="17">
        <v>7.9878640000000001</v>
      </c>
      <c r="C97" s="17">
        <v>7.9160779999999997</v>
      </c>
      <c r="D97" s="17">
        <v>7.8586410000000004</v>
      </c>
      <c r="E97" s="17">
        <v>7.7964690000000001</v>
      </c>
      <c r="F97" s="17">
        <v>7.8845770000000002</v>
      </c>
      <c r="G97" s="17">
        <v>7.8399190000000001</v>
      </c>
      <c r="H97" s="17">
        <v>7.9888820000000003</v>
      </c>
      <c r="I97" s="17">
        <v>8.0497460000000007</v>
      </c>
      <c r="J97" s="17">
        <v>8.0000140000000002</v>
      </c>
      <c r="K97" s="17">
        <v>7.9505020000000002</v>
      </c>
      <c r="L97" s="17">
        <v>6.5117450000000003</v>
      </c>
      <c r="M97" s="17">
        <v>5.4847970000000004</v>
      </c>
      <c r="N97" s="18">
        <v>7.9888822499999996</v>
      </c>
      <c r="O97" s="18">
        <v>7.3858510800000001</v>
      </c>
      <c r="P97" s="18">
        <v>7.3771337099999998</v>
      </c>
      <c r="Q97" s="18">
        <v>7.3460102100000002</v>
      </c>
      <c r="R97" s="18">
        <v>6.0161571599999997</v>
      </c>
      <c r="S97" s="18">
        <v>5.2933048200000004</v>
      </c>
    </row>
    <row r="98" spans="1:19" x14ac:dyDescent="0.2">
      <c r="A98" s="17">
        <v>32</v>
      </c>
      <c r="B98" s="17">
        <v>7.9800240000000002</v>
      </c>
      <c r="C98" s="17">
        <v>7.9135210000000002</v>
      </c>
      <c r="D98" s="17">
        <v>7.8605710000000002</v>
      </c>
      <c r="E98" s="17">
        <v>7.7948230000000001</v>
      </c>
      <c r="F98" s="17">
        <v>7.8804259999999999</v>
      </c>
      <c r="G98" s="17">
        <v>7.8442410000000002</v>
      </c>
      <c r="H98" s="17">
        <v>7.9956440000000004</v>
      </c>
      <c r="I98" s="17">
        <v>8.0443049999999996</v>
      </c>
      <c r="J98" s="17">
        <v>7.9878640000000001</v>
      </c>
      <c r="K98" s="17">
        <v>7.9377319999999996</v>
      </c>
      <c r="L98" s="17">
        <v>6.5792510000000002</v>
      </c>
      <c r="M98" s="17">
        <v>5.4889380000000001</v>
      </c>
      <c r="N98" s="18">
        <v>7.9956436000000002</v>
      </c>
      <c r="O98" s="18">
        <v>7.3993980800000001</v>
      </c>
      <c r="P98" s="18">
        <v>7.3796321499999999</v>
      </c>
      <c r="Q98" s="18">
        <v>7.33758774</v>
      </c>
      <c r="R98" s="18">
        <v>6.1463292599999999</v>
      </c>
      <c r="S98" s="18">
        <v>5.2983173700000004</v>
      </c>
    </row>
    <row r="99" spans="1:19" x14ac:dyDescent="0.2">
      <c r="A99" s="17">
        <v>32.33</v>
      </c>
      <c r="B99" s="17">
        <v>7.9752210000000003</v>
      </c>
      <c r="C99" s="17">
        <v>7.9153479999999998</v>
      </c>
      <c r="D99" s="17">
        <v>7.8512719999999998</v>
      </c>
      <c r="E99" s="17">
        <v>7.7944110000000002</v>
      </c>
      <c r="F99" s="17">
        <v>7.8815600000000003</v>
      </c>
      <c r="G99" s="17">
        <v>7.8418859999999997</v>
      </c>
      <c r="H99" s="17">
        <v>7.9878640000000001</v>
      </c>
      <c r="I99" s="17">
        <v>8.0449470000000005</v>
      </c>
      <c r="J99" s="17">
        <v>7.9915919999999998</v>
      </c>
      <c r="K99" s="17">
        <v>7.9355869999999999</v>
      </c>
      <c r="L99" s="17">
        <v>6.634633</v>
      </c>
      <c r="M99" s="17">
        <v>5.4847970000000004</v>
      </c>
      <c r="N99" s="18">
        <v>7.9878641000000004</v>
      </c>
      <c r="O99" s="18">
        <v>7.39449311</v>
      </c>
      <c r="P99" s="18">
        <v>7.3783837099999996</v>
      </c>
      <c r="Q99" s="18">
        <v>7.3421317300000002</v>
      </c>
      <c r="R99" s="18">
        <v>6.1800166499999998</v>
      </c>
      <c r="S99" s="18">
        <v>5.3082677</v>
      </c>
    </row>
    <row r="100" spans="1:19" x14ac:dyDescent="0.2">
      <c r="A100" s="17">
        <v>32.67</v>
      </c>
      <c r="B100" s="17">
        <v>7.9728110000000001</v>
      </c>
      <c r="C100" s="17">
        <v>7.9131549999999997</v>
      </c>
      <c r="D100" s="17">
        <v>7.8524390000000004</v>
      </c>
      <c r="E100" s="17">
        <v>7.7902820000000004</v>
      </c>
      <c r="F100" s="17">
        <v>7.8808040000000004</v>
      </c>
      <c r="G100" s="17">
        <v>7.8391320000000002</v>
      </c>
      <c r="H100" s="17">
        <v>7.9834399999999999</v>
      </c>
      <c r="I100" s="17">
        <v>8.0430209999999995</v>
      </c>
      <c r="J100" s="17">
        <v>7.9953070000000004</v>
      </c>
      <c r="K100" s="17">
        <v>7.9380889999999997</v>
      </c>
      <c r="L100" s="17">
        <v>6.6970340000000004</v>
      </c>
      <c r="M100" s="17">
        <v>5.5134290000000004</v>
      </c>
      <c r="N100" s="18">
        <v>7.9834400600000004</v>
      </c>
      <c r="O100" s="18">
        <v>7.40427912</v>
      </c>
      <c r="P100" s="18">
        <v>7.37337431</v>
      </c>
      <c r="Q100" s="18">
        <v>7.3440728499999999</v>
      </c>
      <c r="R100" s="18">
        <v>6.2519038800000004</v>
      </c>
      <c r="S100" s="18">
        <v>5.3082677</v>
      </c>
    </row>
    <row r="101" spans="1:19" x14ac:dyDescent="0.2">
      <c r="A101" s="17">
        <v>33</v>
      </c>
      <c r="B101" s="17">
        <v>7.9648510000000003</v>
      </c>
      <c r="C101" s="17">
        <v>7.9039659999999996</v>
      </c>
      <c r="D101" s="17">
        <v>7.8520500000000002</v>
      </c>
      <c r="E101" s="17">
        <v>7.7977020000000001</v>
      </c>
      <c r="F101" s="17">
        <v>7.8766379999999998</v>
      </c>
      <c r="G101" s="17">
        <v>7.8450240000000004</v>
      </c>
      <c r="H101" s="17">
        <v>7.9837809999999996</v>
      </c>
      <c r="I101" s="17">
        <v>8.0455880000000004</v>
      </c>
      <c r="J101" s="17">
        <v>7.9892209999999997</v>
      </c>
      <c r="K101" s="17">
        <v>7.9352299999999998</v>
      </c>
      <c r="L101" s="17">
        <v>6.7696420000000002</v>
      </c>
      <c r="M101" s="17">
        <v>5.5254529999999997</v>
      </c>
      <c r="N101" s="18">
        <v>7.98378107</v>
      </c>
      <c r="O101" s="18">
        <v>7.3951075499999996</v>
      </c>
      <c r="P101" s="18">
        <v>7.3758821499999998</v>
      </c>
      <c r="Q101" s="18">
        <v>7.3537223300000001</v>
      </c>
      <c r="R101" s="18">
        <v>6.3026189800000001</v>
      </c>
      <c r="S101" s="18">
        <v>5.3230099800000001</v>
      </c>
    </row>
    <row r="102" spans="1:19" x14ac:dyDescent="0.2">
      <c r="A102" s="17">
        <v>33.33</v>
      </c>
      <c r="B102" s="17">
        <v>7.9665869999999996</v>
      </c>
      <c r="C102" s="17">
        <v>7.9120569999999999</v>
      </c>
      <c r="D102" s="17">
        <v>7.8543810000000001</v>
      </c>
      <c r="E102" s="17">
        <v>7.7985230000000003</v>
      </c>
      <c r="F102" s="17">
        <v>7.8800480000000004</v>
      </c>
      <c r="G102" s="17">
        <v>7.8387380000000002</v>
      </c>
      <c r="H102" s="17">
        <v>7.9848030000000003</v>
      </c>
      <c r="I102" s="17">
        <v>8.0446259999999992</v>
      </c>
      <c r="J102" s="17">
        <v>7.9929449999999997</v>
      </c>
      <c r="K102" s="17">
        <v>7.9341549999999996</v>
      </c>
      <c r="L102" s="17">
        <v>6.8287120000000003</v>
      </c>
      <c r="M102" s="17">
        <v>5.5134290000000004</v>
      </c>
      <c r="N102" s="18">
        <v>7.9848033899999997</v>
      </c>
      <c r="O102" s="18">
        <v>7.3907985199999997</v>
      </c>
      <c r="P102" s="18">
        <v>7.3790081299999999</v>
      </c>
      <c r="Q102" s="18">
        <v>7.3511582300000002</v>
      </c>
      <c r="R102" s="18">
        <v>6.3647507599999997</v>
      </c>
      <c r="S102" s="18">
        <v>5.3844950599999999</v>
      </c>
    </row>
    <row r="103" spans="1:19" x14ac:dyDescent="0.2">
      <c r="A103" s="17">
        <v>33.67</v>
      </c>
      <c r="B103" s="17">
        <v>7.960324</v>
      </c>
      <c r="C103" s="17">
        <v>7.9131549999999997</v>
      </c>
      <c r="D103" s="17">
        <v>7.847372</v>
      </c>
      <c r="E103" s="17">
        <v>7.7956469999999998</v>
      </c>
      <c r="F103" s="17">
        <v>7.8766379999999998</v>
      </c>
      <c r="G103" s="17">
        <v>7.832014</v>
      </c>
      <c r="H103" s="17">
        <v>7.9848030000000003</v>
      </c>
      <c r="I103" s="17">
        <v>8.0433420000000009</v>
      </c>
      <c r="J103" s="17">
        <v>7.9932819999999998</v>
      </c>
      <c r="K103" s="17">
        <v>7.9366599999999998</v>
      </c>
      <c r="L103" s="17">
        <v>6.9047510000000001</v>
      </c>
      <c r="M103" s="17">
        <v>5.5451769999999998</v>
      </c>
      <c r="N103" s="18">
        <v>7.9848033899999997</v>
      </c>
      <c r="O103" s="18">
        <v>7.3889461000000001</v>
      </c>
      <c r="P103" s="18">
        <v>7.3765081300000004</v>
      </c>
      <c r="Q103" s="18">
        <v>7.3524411000000001</v>
      </c>
      <c r="R103" s="18">
        <v>6.4264884599999998</v>
      </c>
      <c r="S103" s="18">
        <v>5.3423342500000004</v>
      </c>
    </row>
    <row r="104" spans="1:19" x14ac:dyDescent="0.2">
      <c r="A104" s="17">
        <v>34</v>
      </c>
      <c r="B104" s="17">
        <v>7.9522630000000003</v>
      </c>
      <c r="C104" s="17">
        <v>7.902857</v>
      </c>
      <c r="D104" s="17">
        <v>7.8547690000000001</v>
      </c>
      <c r="E104" s="17">
        <v>7.7919359999999998</v>
      </c>
      <c r="F104" s="17">
        <v>7.8785340000000001</v>
      </c>
      <c r="G104" s="17">
        <v>7.8363699999999996</v>
      </c>
      <c r="H104" s="17">
        <v>7.9854839999999996</v>
      </c>
      <c r="I104" s="17">
        <v>8.0443049999999996</v>
      </c>
      <c r="J104" s="17">
        <v>7.9902379999999997</v>
      </c>
      <c r="K104" s="17">
        <v>7.9337970000000002</v>
      </c>
      <c r="L104" s="17">
        <v>6.9754139999999998</v>
      </c>
      <c r="M104" s="17">
        <v>5.5529599999999997</v>
      </c>
      <c r="N104" s="18">
        <v>7.9854843600000001</v>
      </c>
      <c r="O104" s="18">
        <v>7.3963352899999997</v>
      </c>
      <c r="P104" s="18">
        <v>7.3771337099999998</v>
      </c>
      <c r="Q104" s="18">
        <v>7.3556410999999997</v>
      </c>
      <c r="R104" s="18">
        <v>6.4967749899999996</v>
      </c>
      <c r="S104" s="18">
        <v>5.3706380300000003</v>
      </c>
    </row>
    <row r="105" spans="1:19" x14ac:dyDescent="0.2">
      <c r="A105" s="17">
        <v>34.33</v>
      </c>
      <c r="B105" s="17">
        <v>7.9547230000000004</v>
      </c>
      <c r="C105" s="17">
        <v>7.9072839999999998</v>
      </c>
      <c r="D105" s="17">
        <v>7.8489339999999999</v>
      </c>
      <c r="E105" s="17">
        <v>7.7923489999999997</v>
      </c>
      <c r="F105" s="17">
        <v>7.8789129999999998</v>
      </c>
      <c r="G105" s="17">
        <v>7.8363699999999996</v>
      </c>
      <c r="H105" s="17">
        <v>7.9776249999999997</v>
      </c>
      <c r="I105" s="17">
        <v>8.0343070000000001</v>
      </c>
      <c r="J105" s="17">
        <v>7.9926069999999996</v>
      </c>
      <c r="K105" s="17">
        <v>7.9345129999999999</v>
      </c>
      <c r="L105" s="17">
        <v>7.052721</v>
      </c>
      <c r="M105" s="17">
        <v>5.5797299999999996</v>
      </c>
      <c r="N105" s="18">
        <v>7.9776251</v>
      </c>
      <c r="O105" s="18">
        <v>7.3895639500000003</v>
      </c>
      <c r="P105" s="18">
        <v>7.3689704000000003</v>
      </c>
      <c r="Q105" s="18">
        <v>7.3511582300000002</v>
      </c>
      <c r="R105" s="18">
        <v>6.5610306700000001</v>
      </c>
      <c r="S105" s="18">
        <v>5.3565862700000002</v>
      </c>
    </row>
    <row r="106" spans="1:19" x14ac:dyDescent="0.2">
      <c r="A106" s="17">
        <v>34.67</v>
      </c>
      <c r="B106" s="17">
        <v>7.9494439999999997</v>
      </c>
      <c r="C106" s="17">
        <v>7.8991530000000001</v>
      </c>
      <c r="D106" s="17">
        <v>7.8477629999999996</v>
      </c>
      <c r="E106" s="17">
        <v>7.7869669999999998</v>
      </c>
      <c r="F106" s="17">
        <v>7.8732170000000004</v>
      </c>
      <c r="G106" s="17">
        <v>7.843064</v>
      </c>
      <c r="H106" s="17">
        <v>7.9703949999999999</v>
      </c>
      <c r="I106" s="17">
        <v>8.0339829999999992</v>
      </c>
      <c r="J106" s="17">
        <v>7.9865050000000002</v>
      </c>
      <c r="K106" s="17">
        <v>7.9316440000000004</v>
      </c>
      <c r="L106" s="17">
        <v>7.1316990000000002</v>
      </c>
      <c r="M106" s="17">
        <v>5.5872489999999999</v>
      </c>
      <c r="N106" s="18">
        <v>7.9703949100000004</v>
      </c>
      <c r="O106" s="18">
        <v>7.3846103799999998</v>
      </c>
      <c r="P106" s="18">
        <v>7.3664451499999997</v>
      </c>
      <c r="Q106" s="18">
        <v>7.3479438200000002</v>
      </c>
      <c r="R106" s="18">
        <v>6.62804138</v>
      </c>
      <c r="S106" s="18">
        <v>5.3659760199999997</v>
      </c>
    </row>
    <row r="107" spans="1:19" x14ac:dyDescent="0.2">
      <c r="A107" s="17">
        <v>35</v>
      </c>
      <c r="B107" s="17">
        <v>7.9416510000000002</v>
      </c>
      <c r="C107" s="17">
        <v>7.9017480000000004</v>
      </c>
      <c r="D107" s="17">
        <v>7.8481529999999999</v>
      </c>
      <c r="E107" s="17">
        <v>7.7948230000000001</v>
      </c>
      <c r="F107" s="17">
        <v>7.8732170000000004</v>
      </c>
      <c r="G107" s="17">
        <v>7.8312200000000001</v>
      </c>
      <c r="H107" s="17">
        <v>7.9786539999999997</v>
      </c>
      <c r="I107" s="17">
        <v>8.0356030000000001</v>
      </c>
      <c r="J107" s="17">
        <v>7.9848030000000003</v>
      </c>
      <c r="K107" s="17">
        <v>7.9359450000000002</v>
      </c>
      <c r="L107" s="17">
        <v>7.2078600000000002</v>
      </c>
      <c r="M107" s="17">
        <v>5.6094720000000002</v>
      </c>
      <c r="N107" s="18">
        <v>7.9786537300000004</v>
      </c>
      <c r="O107" s="18">
        <v>7.3951075499999996</v>
      </c>
      <c r="P107" s="18">
        <v>7.3771337099999998</v>
      </c>
      <c r="Q107" s="18">
        <v>7.3581937499999999</v>
      </c>
      <c r="R107" s="18">
        <v>6.6795991900000002</v>
      </c>
      <c r="S107" s="18">
        <v>5.3890717300000004</v>
      </c>
    </row>
    <row r="108" spans="1:19" x14ac:dyDescent="0.2">
      <c r="A108" s="17">
        <v>35.33</v>
      </c>
      <c r="B108" s="17">
        <v>7.9427180000000002</v>
      </c>
      <c r="C108" s="17">
        <v>7.8998949999999999</v>
      </c>
      <c r="D108" s="17">
        <v>7.8485430000000003</v>
      </c>
      <c r="E108" s="17">
        <v>7.7848889999999997</v>
      </c>
      <c r="F108" s="17">
        <v>7.8766379999999998</v>
      </c>
      <c r="G108" s="17">
        <v>7.832014</v>
      </c>
      <c r="H108" s="17">
        <v>7.9721209999999996</v>
      </c>
      <c r="I108" s="17">
        <v>8.0310600000000001</v>
      </c>
      <c r="J108" s="17">
        <v>7.9888820000000003</v>
      </c>
      <c r="K108" s="17">
        <v>7.9276850000000003</v>
      </c>
      <c r="L108" s="17">
        <v>7.2813860000000004</v>
      </c>
      <c r="M108" s="17">
        <v>5.6383549999999998</v>
      </c>
      <c r="N108" s="18">
        <v>7.9721211299999997</v>
      </c>
      <c r="O108" s="18">
        <v>7.3926475199999997</v>
      </c>
      <c r="P108" s="18">
        <v>7.3721180300000002</v>
      </c>
      <c r="Q108" s="18">
        <v>7.3562798799999998</v>
      </c>
      <c r="R108" s="18">
        <v>6.7405193600000004</v>
      </c>
      <c r="S108" s="18">
        <v>5.4116460499999999</v>
      </c>
    </row>
    <row r="109" spans="1:19" x14ac:dyDescent="0.2">
      <c r="A109" s="17">
        <v>35.67</v>
      </c>
      <c r="B109" s="17">
        <v>7.9316440000000004</v>
      </c>
      <c r="C109" s="17">
        <v>7.9054419999999999</v>
      </c>
      <c r="D109" s="17">
        <v>7.8442410000000002</v>
      </c>
      <c r="E109" s="17">
        <v>7.7840569999999998</v>
      </c>
      <c r="F109" s="17">
        <v>7.8720739999999996</v>
      </c>
      <c r="G109" s="17">
        <v>7.8316169999999996</v>
      </c>
      <c r="H109" s="17">
        <v>7.9717760000000002</v>
      </c>
      <c r="I109" s="17">
        <v>8.0356030000000001</v>
      </c>
      <c r="J109" s="17">
        <v>7.9885429999999999</v>
      </c>
      <c r="K109" s="17">
        <v>7.9305659999999998</v>
      </c>
      <c r="L109" s="17">
        <v>7.3721180000000004</v>
      </c>
      <c r="M109" s="17">
        <v>5.6594819999999997</v>
      </c>
      <c r="N109" s="18">
        <v>7.9717761200000004</v>
      </c>
      <c r="O109" s="18">
        <v>7.3932630899999996</v>
      </c>
      <c r="P109" s="18">
        <v>7.3746290200000004</v>
      </c>
      <c r="Q109" s="18">
        <v>7.3607398999999996</v>
      </c>
      <c r="R109" s="18">
        <v>6.8035052599999997</v>
      </c>
      <c r="S109" s="18">
        <v>5.4205350000000001</v>
      </c>
    </row>
    <row r="110" spans="1:19" x14ac:dyDescent="0.2">
      <c r="A110" s="17">
        <v>36</v>
      </c>
      <c r="B110" s="17">
        <v>7.9316440000000004</v>
      </c>
      <c r="C110" s="17">
        <v>7.8954360000000001</v>
      </c>
      <c r="D110" s="17">
        <v>7.844633</v>
      </c>
      <c r="E110" s="17">
        <v>7.787382</v>
      </c>
      <c r="F110" s="17">
        <v>7.8709300000000004</v>
      </c>
      <c r="G110" s="17">
        <v>7.833996</v>
      </c>
      <c r="H110" s="17">
        <v>7.9683200000000003</v>
      </c>
      <c r="I110" s="17">
        <v>8.0304099999999998</v>
      </c>
      <c r="J110" s="17">
        <v>7.9800240000000002</v>
      </c>
      <c r="K110" s="17">
        <v>7.9291260000000001</v>
      </c>
      <c r="L110" s="17">
        <v>7.4633630000000002</v>
      </c>
      <c r="M110" s="17">
        <v>5.6937319999999998</v>
      </c>
      <c r="N110" s="18">
        <v>7.9683194999999998</v>
      </c>
      <c r="O110" s="18">
        <v>7.4024515199999996</v>
      </c>
      <c r="P110" s="18">
        <v>7.3746290200000004</v>
      </c>
      <c r="Q110" s="18">
        <v>7.3696007200000002</v>
      </c>
      <c r="R110" s="18">
        <v>6.8405465300000001</v>
      </c>
      <c r="S110" s="18">
        <v>5.4467373700000001</v>
      </c>
    </row>
    <row r="111" spans="1:19" x14ac:dyDescent="0.2">
      <c r="A111" s="17">
        <v>36.33</v>
      </c>
      <c r="B111" s="17">
        <v>7.9366599999999998</v>
      </c>
      <c r="C111" s="17">
        <v>7.8976680000000004</v>
      </c>
      <c r="D111" s="17">
        <v>7.8399190000000001</v>
      </c>
      <c r="E111" s="17">
        <v>7.7857209999999997</v>
      </c>
      <c r="F111" s="17">
        <v>7.8754989999999996</v>
      </c>
      <c r="G111" s="17">
        <v>7.822845</v>
      </c>
      <c r="H111" s="17">
        <v>7.9769389999999998</v>
      </c>
      <c r="I111" s="17">
        <v>8.0300840000000004</v>
      </c>
      <c r="J111" s="17">
        <v>7.9796810000000002</v>
      </c>
      <c r="K111" s="17">
        <v>7.9255190000000004</v>
      </c>
      <c r="L111" s="17">
        <v>7.5511869999999996</v>
      </c>
      <c r="M111" s="17">
        <v>5.7037820000000004</v>
      </c>
      <c r="N111" s="18">
        <v>7.9769387600000004</v>
      </c>
      <c r="O111" s="18">
        <v>7.3833681499999999</v>
      </c>
      <c r="P111" s="18">
        <v>7.3714893000000004</v>
      </c>
      <c r="Q111" s="18">
        <v>7.3569182399999997</v>
      </c>
      <c r="R111" s="18">
        <v>6.9255952000000001</v>
      </c>
      <c r="S111" s="18">
        <v>5.4680601400000004</v>
      </c>
    </row>
    <row r="112" spans="1:19" x14ac:dyDescent="0.2">
      <c r="A112" s="17">
        <v>36.67</v>
      </c>
      <c r="B112" s="17">
        <v>7.9266030000000001</v>
      </c>
      <c r="C112" s="17">
        <v>7.8998949999999999</v>
      </c>
      <c r="D112" s="17">
        <v>7.8418859999999997</v>
      </c>
      <c r="E112" s="17">
        <v>7.7836410000000003</v>
      </c>
      <c r="F112" s="17">
        <v>7.8655720000000002</v>
      </c>
      <c r="G112" s="17">
        <v>7.832014</v>
      </c>
      <c r="H112" s="17">
        <v>7.9658930000000003</v>
      </c>
      <c r="I112" s="17">
        <v>8.0261700000000005</v>
      </c>
      <c r="J112" s="17">
        <v>7.9830990000000002</v>
      </c>
      <c r="K112" s="17">
        <v>7.9218979999999997</v>
      </c>
      <c r="L112" s="17">
        <v>7.6353039999999996</v>
      </c>
      <c r="M112" s="17">
        <v>5.758902</v>
      </c>
      <c r="N112" s="18">
        <v>7.9658927400000001</v>
      </c>
      <c r="O112" s="18">
        <v>7.3932630899999996</v>
      </c>
      <c r="P112" s="18">
        <v>7.3696007200000002</v>
      </c>
      <c r="Q112" s="18">
        <v>7.3575562000000003</v>
      </c>
      <c r="R112" s="18">
        <v>6.9902565000000001</v>
      </c>
      <c r="S112" s="18">
        <v>5.4722706700000003</v>
      </c>
    </row>
    <row r="113" spans="1:19" x14ac:dyDescent="0.2">
      <c r="A113" s="17">
        <v>37</v>
      </c>
      <c r="B113" s="17">
        <v>7.9211729999999996</v>
      </c>
      <c r="C113" s="17">
        <v>7.8946909999999999</v>
      </c>
      <c r="D113" s="17">
        <v>7.8442410000000002</v>
      </c>
      <c r="E113" s="17">
        <v>7.7823900000000004</v>
      </c>
      <c r="F113" s="17">
        <v>7.8705480000000003</v>
      </c>
      <c r="G113" s="17">
        <v>7.8268420000000001</v>
      </c>
      <c r="H113" s="17">
        <v>7.9672799999999997</v>
      </c>
      <c r="I113" s="17">
        <v>8.0294329999999992</v>
      </c>
      <c r="J113" s="17">
        <v>7.9728110000000001</v>
      </c>
      <c r="K113" s="17">
        <v>7.9204470000000002</v>
      </c>
      <c r="L113" s="17">
        <v>7.7253299999999996</v>
      </c>
      <c r="M113" s="17">
        <v>5.7990930000000001</v>
      </c>
      <c r="N113" s="18">
        <v>7.9672801800000004</v>
      </c>
      <c r="O113" s="18">
        <v>7.3895639500000003</v>
      </c>
      <c r="P113" s="18">
        <v>7.3601039699999999</v>
      </c>
      <c r="Q113" s="18">
        <v>7.3556410999999997</v>
      </c>
      <c r="R113" s="18">
        <v>7.0570369800000003</v>
      </c>
      <c r="S113" s="18">
        <v>5.5053315400000002</v>
      </c>
    </row>
    <row r="114" spans="1:19" x14ac:dyDescent="0.2">
      <c r="A114" s="17">
        <v>37.33</v>
      </c>
      <c r="B114" s="17">
        <v>7.9240719999999998</v>
      </c>
      <c r="C114" s="17">
        <v>7.8998949999999999</v>
      </c>
      <c r="D114" s="17">
        <v>7.8426710000000002</v>
      </c>
      <c r="E114" s="17">
        <v>7.7819729999999998</v>
      </c>
      <c r="F114" s="17">
        <v>7.8701660000000002</v>
      </c>
      <c r="G114" s="17">
        <v>7.8387380000000002</v>
      </c>
      <c r="H114" s="17">
        <v>7.964156</v>
      </c>
      <c r="I114" s="17">
        <v>8.0317100000000003</v>
      </c>
      <c r="J114" s="17">
        <v>7.9779679999999997</v>
      </c>
      <c r="K114" s="17">
        <v>7.9215359999999997</v>
      </c>
      <c r="L114" s="17">
        <v>7.804659</v>
      </c>
      <c r="M114" s="17">
        <v>5.8171109999999997</v>
      </c>
      <c r="N114" s="18">
        <v>7.9641557199999999</v>
      </c>
      <c r="O114" s="18">
        <v>7.3858510800000001</v>
      </c>
      <c r="P114" s="18">
        <v>7.3727463699999998</v>
      </c>
      <c r="Q114" s="18">
        <v>7.3575562000000003</v>
      </c>
      <c r="R114" s="18">
        <v>7.1115121200000004</v>
      </c>
      <c r="S114" s="18">
        <v>5.5254529400000001</v>
      </c>
    </row>
    <row r="115" spans="1:19" x14ac:dyDescent="0.2">
      <c r="A115" s="17">
        <v>37.67</v>
      </c>
      <c r="B115" s="17">
        <v>7.920083</v>
      </c>
      <c r="C115" s="17">
        <v>7.8965529999999999</v>
      </c>
      <c r="D115" s="17">
        <v>7.8422790000000004</v>
      </c>
      <c r="E115" s="17">
        <v>7.7811389999999996</v>
      </c>
      <c r="F115" s="17">
        <v>7.8701660000000002</v>
      </c>
      <c r="G115" s="17">
        <v>7.8324109999999996</v>
      </c>
      <c r="H115" s="17">
        <v>7.9631119999999997</v>
      </c>
      <c r="I115" s="17">
        <v>8.0343070000000001</v>
      </c>
      <c r="J115" s="17">
        <v>7.9793390000000004</v>
      </c>
      <c r="K115" s="17">
        <v>7.9222609999999998</v>
      </c>
      <c r="L115" s="17">
        <v>7.8659549999999996</v>
      </c>
      <c r="M115" s="17">
        <v>5.8522020000000001</v>
      </c>
      <c r="N115" s="18">
        <v>7.9631120600000003</v>
      </c>
      <c r="O115" s="18">
        <v>7.3907985199999997</v>
      </c>
      <c r="P115" s="18">
        <v>7.3708601700000003</v>
      </c>
      <c r="Q115" s="18">
        <v>7.3408355500000004</v>
      </c>
      <c r="R115" s="18">
        <v>7.1569563599999997</v>
      </c>
      <c r="S115" s="18">
        <v>5.55682806</v>
      </c>
    </row>
    <row r="116" spans="1:19" x14ac:dyDescent="0.2">
      <c r="A116" s="17">
        <v>38</v>
      </c>
      <c r="B116" s="17">
        <v>7.9226239999999999</v>
      </c>
      <c r="C116" s="17">
        <v>7.8935719999999998</v>
      </c>
      <c r="D116" s="17">
        <v>7.8367649999999998</v>
      </c>
      <c r="E116" s="17">
        <v>7.7840569999999998</v>
      </c>
      <c r="F116" s="17">
        <v>7.8648040000000004</v>
      </c>
      <c r="G116" s="17">
        <v>7.8256449999999997</v>
      </c>
      <c r="H116" s="17">
        <v>7.960324</v>
      </c>
      <c r="I116" s="17">
        <v>8.0222409999999993</v>
      </c>
      <c r="J116" s="17">
        <v>7.9837809999999996</v>
      </c>
      <c r="K116" s="17">
        <v>7.9160779999999997</v>
      </c>
      <c r="L116" s="17">
        <v>7.9006369999999997</v>
      </c>
      <c r="M116" s="17">
        <v>5.8916440000000003</v>
      </c>
      <c r="N116" s="18">
        <v>7.9603236300000004</v>
      </c>
      <c r="O116" s="18">
        <v>7.3920315700000003</v>
      </c>
      <c r="P116" s="18">
        <v>7.3696007200000002</v>
      </c>
      <c r="Q116" s="18">
        <v>7.3651801299999997</v>
      </c>
      <c r="R116" s="18">
        <v>7.1914293300000001</v>
      </c>
      <c r="S116" s="18">
        <v>5.6240175099999998</v>
      </c>
    </row>
    <row r="117" spans="1:19" x14ac:dyDescent="0.2">
      <c r="A117" s="17">
        <v>38.33</v>
      </c>
      <c r="B117" s="17">
        <v>7.9171719999999999</v>
      </c>
      <c r="C117" s="17">
        <v>7.8954360000000001</v>
      </c>
      <c r="D117" s="17">
        <v>7.8391320000000002</v>
      </c>
      <c r="E117" s="17">
        <v>7.780303</v>
      </c>
      <c r="F117" s="17">
        <v>7.8613419999999996</v>
      </c>
      <c r="G117" s="17">
        <v>7.8268420000000001</v>
      </c>
      <c r="H117" s="17">
        <v>7.960324</v>
      </c>
      <c r="I117" s="17">
        <v>8.0205990000000007</v>
      </c>
      <c r="J117" s="17">
        <v>7.9769389999999998</v>
      </c>
      <c r="K117" s="17">
        <v>7.9135210000000002</v>
      </c>
      <c r="L117" s="17">
        <v>7.9215359999999997</v>
      </c>
      <c r="M117" s="17">
        <v>5.9375359999999997</v>
      </c>
      <c r="N117" s="18">
        <v>7.9603236300000004</v>
      </c>
      <c r="O117" s="18">
        <v>7.3895639500000003</v>
      </c>
      <c r="P117" s="18">
        <v>7.3721180300000002</v>
      </c>
      <c r="Q117" s="18">
        <v>7.3562798799999998</v>
      </c>
      <c r="R117" s="18">
        <v>7.2056351799999998</v>
      </c>
      <c r="S117" s="18">
        <v>5.63835467</v>
      </c>
    </row>
    <row r="118" spans="1:19" x14ac:dyDescent="0.2">
      <c r="A118" s="17">
        <v>38.67</v>
      </c>
      <c r="B118" s="17">
        <v>7.9120569999999999</v>
      </c>
      <c r="C118" s="17">
        <v>7.8924519999999996</v>
      </c>
      <c r="D118" s="17">
        <v>7.8391320000000002</v>
      </c>
      <c r="E118" s="17">
        <v>7.7798850000000002</v>
      </c>
      <c r="F118" s="17">
        <v>7.86442</v>
      </c>
      <c r="G118" s="17">
        <v>7.8280380000000003</v>
      </c>
      <c r="H118" s="17">
        <v>7.9634600000000004</v>
      </c>
      <c r="I118" s="17">
        <v>8.0268239999999995</v>
      </c>
      <c r="J118" s="17">
        <v>7.9724659999999998</v>
      </c>
      <c r="K118" s="17">
        <v>7.9069149999999997</v>
      </c>
      <c r="L118" s="17">
        <v>7.9505020000000002</v>
      </c>
      <c r="M118" s="17">
        <v>5.9839359999999999</v>
      </c>
      <c r="N118" s="18">
        <v>7.96346007</v>
      </c>
      <c r="O118" s="18">
        <v>7.39449311</v>
      </c>
      <c r="P118" s="18">
        <v>7.3613754299999998</v>
      </c>
      <c r="Q118" s="18">
        <v>7.3460102100000002</v>
      </c>
      <c r="R118" s="18">
        <v>7.2152399799999998</v>
      </c>
      <c r="S118" s="18">
        <v>5.6419070700000002</v>
      </c>
    </row>
    <row r="119" spans="1:19" x14ac:dyDescent="0.2">
      <c r="A119" s="17">
        <v>39</v>
      </c>
      <c r="B119" s="17">
        <v>7.9146179999999999</v>
      </c>
      <c r="C119" s="17">
        <v>7.8924519999999996</v>
      </c>
      <c r="D119" s="17">
        <v>7.8375539999999999</v>
      </c>
      <c r="E119" s="17">
        <v>7.7836410000000003</v>
      </c>
      <c r="F119" s="17">
        <v>7.8632669999999996</v>
      </c>
      <c r="G119" s="17">
        <v>7.8304260000000001</v>
      </c>
      <c r="H119" s="17">
        <v>7.9610209999999997</v>
      </c>
      <c r="I119" s="17">
        <v>8.021585</v>
      </c>
      <c r="J119" s="17">
        <v>7.9772819999999998</v>
      </c>
      <c r="K119" s="17">
        <v>7.9116910000000003</v>
      </c>
      <c r="L119" s="17">
        <v>7.9655459999999998</v>
      </c>
      <c r="M119" s="17">
        <v>6.0258659999999997</v>
      </c>
      <c r="N119" s="18">
        <v>7.9610214700000004</v>
      </c>
      <c r="O119" s="18">
        <v>7.3864708500000003</v>
      </c>
      <c r="P119" s="18">
        <v>7.36833969</v>
      </c>
      <c r="Q119" s="18">
        <v>7.3524411000000001</v>
      </c>
      <c r="R119" s="18">
        <v>7.2063772899999998</v>
      </c>
      <c r="S119" s="18">
        <v>5.6698809199999998</v>
      </c>
    </row>
    <row r="120" spans="1:19" x14ac:dyDescent="0.2">
      <c r="A120" s="17">
        <v>39.33</v>
      </c>
      <c r="B120" s="17">
        <v>7.9116910000000003</v>
      </c>
      <c r="C120" s="17">
        <v>7.8928260000000003</v>
      </c>
      <c r="D120" s="17">
        <v>7.8308229999999996</v>
      </c>
      <c r="E120" s="17">
        <v>7.7832239999999997</v>
      </c>
      <c r="F120" s="17">
        <v>7.8621119999999998</v>
      </c>
      <c r="G120" s="17">
        <v>7.8252449999999998</v>
      </c>
      <c r="H120" s="17">
        <v>7.9624160000000002</v>
      </c>
      <c r="I120" s="17">
        <v>8.021585</v>
      </c>
      <c r="J120" s="17">
        <v>7.974189</v>
      </c>
      <c r="K120" s="17">
        <v>7.9105910000000002</v>
      </c>
      <c r="L120" s="17">
        <v>7.9697040000000001</v>
      </c>
      <c r="M120" s="17">
        <v>6.0730449999999996</v>
      </c>
      <c r="N120" s="18">
        <v>7.9624156800000003</v>
      </c>
      <c r="O120" s="18">
        <v>7.3963352899999997</v>
      </c>
      <c r="P120" s="18">
        <v>7.3740018599999999</v>
      </c>
      <c r="Q120" s="18">
        <v>7.3421317300000002</v>
      </c>
      <c r="R120" s="18">
        <v>7.1974353500000001</v>
      </c>
      <c r="S120" s="18">
        <v>5.7333412800000003</v>
      </c>
    </row>
    <row r="121" spans="1:19" x14ac:dyDescent="0.2">
      <c r="A121" s="17">
        <v>39.67</v>
      </c>
      <c r="B121" s="17">
        <v>7.9072839999999998</v>
      </c>
      <c r="C121" s="17">
        <v>7.891705</v>
      </c>
      <c r="D121" s="17">
        <v>7.8308229999999996</v>
      </c>
      <c r="E121" s="17">
        <v>7.7744359999999997</v>
      </c>
      <c r="F121" s="17">
        <v>7.8628819999999999</v>
      </c>
      <c r="G121" s="17">
        <v>7.822845</v>
      </c>
      <c r="H121" s="17">
        <v>7.9515589999999996</v>
      </c>
      <c r="I121" s="17">
        <v>8.0196129999999997</v>
      </c>
      <c r="J121" s="17">
        <v>7.9703949999999999</v>
      </c>
      <c r="K121" s="17">
        <v>7.9105910000000002</v>
      </c>
      <c r="L121" s="17">
        <v>7.9613699999999996</v>
      </c>
      <c r="M121" s="17">
        <v>6.1180969999999997</v>
      </c>
      <c r="N121" s="18">
        <v>7.9515593300000003</v>
      </c>
      <c r="O121" s="18">
        <v>7.3877092400000004</v>
      </c>
      <c r="P121" s="18">
        <v>7.3708601700000003</v>
      </c>
      <c r="Q121" s="18">
        <v>7.3645470099999999</v>
      </c>
      <c r="R121" s="18">
        <v>7.1959372300000002</v>
      </c>
      <c r="S121" s="18">
        <v>5.7397929100000002</v>
      </c>
    </row>
    <row r="122" spans="1:19" x14ac:dyDescent="0.2">
      <c r="A122" s="17">
        <v>40</v>
      </c>
      <c r="B122" s="17">
        <v>7.9054419999999999</v>
      </c>
      <c r="C122" s="17">
        <v>7.8894590000000004</v>
      </c>
      <c r="D122" s="17">
        <v>7.8363699999999996</v>
      </c>
      <c r="E122" s="17">
        <v>7.7786299999999997</v>
      </c>
      <c r="F122" s="17">
        <v>7.8551570000000002</v>
      </c>
      <c r="G122" s="17">
        <v>7.8224450000000001</v>
      </c>
      <c r="H122" s="17">
        <v>7.962764</v>
      </c>
      <c r="I122" s="17">
        <v>8.02027</v>
      </c>
      <c r="J122" s="17">
        <v>7.9721209999999996</v>
      </c>
      <c r="K122" s="17">
        <v>7.9109569999999998</v>
      </c>
      <c r="L122" s="17">
        <v>7.9755649999999996</v>
      </c>
      <c r="M122" s="17">
        <v>6.1696109999999997</v>
      </c>
      <c r="N122" s="18">
        <v>7.9627639300000004</v>
      </c>
      <c r="O122" s="18">
        <v>7.3889461000000001</v>
      </c>
      <c r="P122" s="18">
        <v>7.3651801299999997</v>
      </c>
      <c r="Q122" s="18">
        <v>7.3569182399999997</v>
      </c>
      <c r="R122" s="18">
        <v>7.1921820600000004</v>
      </c>
      <c r="S122" s="18">
        <v>5.8111409900000002</v>
      </c>
    </row>
    <row r="123" spans="1:19" x14ac:dyDescent="0.2">
      <c r="A123" s="17">
        <v>40.33</v>
      </c>
      <c r="B123" s="17">
        <v>7.9087550000000002</v>
      </c>
      <c r="C123" s="17">
        <v>7.8879590000000004</v>
      </c>
      <c r="D123" s="17">
        <v>7.8363699999999996</v>
      </c>
      <c r="E123" s="17">
        <v>7.7710670000000004</v>
      </c>
      <c r="F123" s="17">
        <v>7.8563200000000002</v>
      </c>
      <c r="G123" s="17">
        <v>7.815207</v>
      </c>
      <c r="H123" s="17">
        <v>7.9638080000000002</v>
      </c>
      <c r="I123" s="17">
        <v>8.016648</v>
      </c>
      <c r="J123" s="17">
        <v>7.9738439999999997</v>
      </c>
      <c r="K123" s="17">
        <v>7.9102240000000004</v>
      </c>
      <c r="L123" s="17">
        <v>7.974189</v>
      </c>
      <c r="M123" s="17">
        <v>6.2025360000000003</v>
      </c>
      <c r="N123" s="18">
        <v>7.9638079499999996</v>
      </c>
      <c r="O123" s="18">
        <v>7.3846103799999998</v>
      </c>
      <c r="P123" s="18">
        <v>7.3746290200000004</v>
      </c>
      <c r="Q123" s="18">
        <v>7.3498736999999998</v>
      </c>
      <c r="R123" s="18">
        <v>7.1884127400000004</v>
      </c>
      <c r="S123" s="18">
        <v>5.8230459000000003</v>
      </c>
    </row>
    <row r="124" spans="1:19" x14ac:dyDescent="0.2">
      <c r="A124" s="17">
        <v>40.67</v>
      </c>
      <c r="B124" s="17">
        <v>7.9010069999999999</v>
      </c>
      <c r="C124" s="17">
        <v>7.8841999999999999</v>
      </c>
      <c r="D124" s="17">
        <v>7.832808</v>
      </c>
      <c r="E124" s="17">
        <v>7.7807209999999998</v>
      </c>
      <c r="F124" s="17">
        <v>7.8590270000000002</v>
      </c>
      <c r="G124" s="17">
        <v>7.8192339999999998</v>
      </c>
      <c r="H124" s="17">
        <v>7.9575269999999998</v>
      </c>
      <c r="I124" s="17">
        <v>8.0153269999999992</v>
      </c>
      <c r="J124" s="17">
        <v>7.9665869999999996</v>
      </c>
      <c r="K124" s="17">
        <v>7.9065469999999998</v>
      </c>
      <c r="L124" s="17">
        <v>7.9807079999999999</v>
      </c>
      <c r="M124" s="17">
        <v>6.2519039999999997</v>
      </c>
      <c r="N124" s="18">
        <v>7.9575274</v>
      </c>
      <c r="O124" s="18">
        <v>7.3858510800000001</v>
      </c>
      <c r="P124" s="18">
        <v>7.3658128400000003</v>
      </c>
      <c r="Q124" s="18">
        <v>7.3427791899999999</v>
      </c>
      <c r="R124" s="18">
        <v>7.1708884800000003</v>
      </c>
      <c r="S124" s="18">
        <v>5.8636311799999996</v>
      </c>
    </row>
    <row r="125" spans="1:19" x14ac:dyDescent="0.2">
      <c r="A125" s="17">
        <v>41</v>
      </c>
      <c r="B125" s="17">
        <v>7.9006369999999997</v>
      </c>
      <c r="C125" s="17">
        <v>7.8883349999999997</v>
      </c>
      <c r="D125" s="17">
        <v>7.828436</v>
      </c>
      <c r="E125" s="17">
        <v>7.7782109999999998</v>
      </c>
      <c r="F125" s="17">
        <v>7.8543810000000001</v>
      </c>
      <c r="G125" s="17">
        <v>7.8172230000000003</v>
      </c>
      <c r="H125" s="17">
        <v>7.9575269999999998</v>
      </c>
      <c r="I125" s="17">
        <v>8.0192840000000007</v>
      </c>
      <c r="J125" s="17">
        <v>7.9731550000000002</v>
      </c>
      <c r="K125" s="17">
        <v>7.9017480000000004</v>
      </c>
      <c r="L125" s="17">
        <v>7.9793390000000004</v>
      </c>
      <c r="M125" s="17">
        <v>6.3332800000000002</v>
      </c>
      <c r="N125" s="18">
        <v>7.9575274</v>
      </c>
      <c r="O125" s="18">
        <v>7.3889461000000001</v>
      </c>
      <c r="P125" s="18">
        <v>7.3658128400000003</v>
      </c>
      <c r="Q125" s="18">
        <v>7.3581937499999999</v>
      </c>
      <c r="R125" s="18">
        <v>7.1853870200000003</v>
      </c>
      <c r="S125" s="18">
        <v>5.9080829399999999</v>
      </c>
    </row>
    <row r="126" spans="1:19" x14ac:dyDescent="0.2">
      <c r="A126" s="17">
        <v>41.33</v>
      </c>
      <c r="B126" s="17">
        <v>7.9054419999999999</v>
      </c>
      <c r="C126" s="17">
        <v>7.8830689999999999</v>
      </c>
      <c r="D126" s="17">
        <v>7.8276399999999997</v>
      </c>
      <c r="E126" s="17">
        <v>7.7735940000000001</v>
      </c>
      <c r="F126" s="17">
        <v>7.859413</v>
      </c>
      <c r="G126" s="17">
        <v>7.8272409999999999</v>
      </c>
      <c r="H126" s="17">
        <v>7.9526149999999998</v>
      </c>
      <c r="I126" s="17">
        <v>8.0169779999999999</v>
      </c>
      <c r="J126" s="17">
        <v>7.9755649999999996</v>
      </c>
      <c r="K126" s="17">
        <v>7.9105910000000002</v>
      </c>
      <c r="L126" s="17">
        <v>7.9868449999999998</v>
      </c>
      <c r="M126" s="17">
        <v>6.3784260000000002</v>
      </c>
      <c r="N126" s="18">
        <v>7.95261511</v>
      </c>
      <c r="O126" s="18">
        <v>7.38274645</v>
      </c>
      <c r="P126" s="18">
        <v>7.3620105499999999</v>
      </c>
      <c r="Q126" s="18">
        <v>7.3524411000000001</v>
      </c>
      <c r="R126" s="18">
        <v>7.1906760299999997</v>
      </c>
      <c r="S126" s="18">
        <v>5.9584246900000002</v>
      </c>
    </row>
    <row r="127" spans="1:19" x14ac:dyDescent="0.2">
      <c r="A127" s="17">
        <v>41.67</v>
      </c>
      <c r="B127" s="17">
        <v>7.8991530000000001</v>
      </c>
      <c r="C127" s="17">
        <v>7.8853289999999996</v>
      </c>
      <c r="D127" s="17">
        <v>7.832014</v>
      </c>
      <c r="E127" s="17">
        <v>7.770645</v>
      </c>
      <c r="F127" s="17">
        <v>7.8536049999999999</v>
      </c>
      <c r="G127" s="17">
        <v>7.8200380000000003</v>
      </c>
      <c r="H127" s="17">
        <v>7.9533180000000003</v>
      </c>
      <c r="I127" s="17">
        <v>8.0130119999999998</v>
      </c>
      <c r="J127" s="17">
        <v>7.96624</v>
      </c>
      <c r="K127" s="17">
        <v>7.8995240000000004</v>
      </c>
      <c r="L127" s="17">
        <v>7.9783109999999997</v>
      </c>
      <c r="M127" s="17">
        <v>6.4361499999999996</v>
      </c>
      <c r="N127" s="18">
        <v>7.95331835</v>
      </c>
      <c r="O127" s="18">
        <v>7.3951075499999996</v>
      </c>
      <c r="P127" s="18">
        <v>7.3696007200000002</v>
      </c>
      <c r="Q127" s="18">
        <v>7.3543623299999998</v>
      </c>
      <c r="R127" s="18">
        <v>7.1808312000000001</v>
      </c>
      <c r="S127" s="18">
        <v>6.01126717</v>
      </c>
    </row>
    <row r="128" spans="1:19" x14ac:dyDescent="0.2">
      <c r="A128" s="17">
        <v>42</v>
      </c>
      <c r="B128" s="17">
        <v>7.9002660000000002</v>
      </c>
      <c r="C128" s="17">
        <v>7.8860809999999999</v>
      </c>
      <c r="D128" s="17">
        <v>7.828436</v>
      </c>
      <c r="E128" s="17">
        <v>7.7668410000000003</v>
      </c>
      <c r="F128" s="17">
        <v>7.8551570000000002</v>
      </c>
      <c r="G128" s="17">
        <v>7.8176249999999996</v>
      </c>
      <c r="H128" s="17">
        <v>7.9564769999999996</v>
      </c>
      <c r="I128" s="17">
        <v>8.016648</v>
      </c>
      <c r="J128" s="17">
        <v>7.9672799999999997</v>
      </c>
      <c r="K128" s="17">
        <v>7.902857</v>
      </c>
      <c r="L128" s="17">
        <v>7.9765949999999997</v>
      </c>
      <c r="M128" s="17">
        <v>6.4907240000000002</v>
      </c>
      <c r="N128" s="18">
        <v>7.9564767999999999</v>
      </c>
      <c r="O128" s="18">
        <v>7.3914152299999998</v>
      </c>
      <c r="P128" s="18">
        <v>7.3664451499999997</v>
      </c>
      <c r="Q128" s="18">
        <v>7.3562798799999998</v>
      </c>
      <c r="R128" s="18">
        <v>7.1846291500000001</v>
      </c>
      <c r="S128" s="18">
        <v>6.0520891700000004</v>
      </c>
    </row>
    <row r="129" spans="1:19" x14ac:dyDescent="0.2">
      <c r="A129" s="17">
        <v>42.33</v>
      </c>
      <c r="B129" s="17">
        <v>7.8905830000000003</v>
      </c>
      <c r="C129" s="17">
        <v>7.8898339999999996</v>
      </c>
      <c r="D129" s="17">
        <v>7.824846</v>
      </c>
      <c r="E129" s="17">
        <v>7.7693789999999998</v>
      </c>
      <c r="F129" s="17">
        <v>7.8578679999999999</v>
      </c>
      <c r="G129" s="17">
        <v>7.8168199999999999</v>
      </c>
      <c r="H129" s="17">
        <v>7.9473250000000002</v>
      </c>
      <c r="I129" s="17">
        <v>8.0163180000000001</v>
      </c>
      <c r="J129" s="17">
        <v>7.9658930000000003</v>
      </c>
      <c r="K129" s="17">
        <v>7.9017480000000004</v>
      </c>
      <c r="L129" s="17">
        <v>7.9810499999999998</v>
      </c>
      <c r="M129" s="17">
        <v>6.5638560000000004</v>
      </c>
      <c r="N129" s="18">
        <v>7.94732503</v>
      </c>
      <c r="O129" s="18">
        <v>7.3877092400000004</v>
      </c>
      <c r="P129" s="18">
        <v>7.3670770599999997</v>
      </c>
      <c r="Q129" s="18">
        <v>7.3414838500000004</v>
      </c>
      <c r="R129" s="18">
        <v>7.1831117000000004</v>
      </c>
      <c r="S129" s="18">
        <v>6.12029742</v>
      </c>
    </row>
    <row r="130" spans="1:19" x14ac:dyDescent="0.2">
      <c r="A130" s="17">
        <v>42.67</v>
      </c>
      <c r="B130" s="17">
        <v>7.8924519999999996</v>
      </c>
      <c r="C130" s="17">
        <v>7.8834460000000002</v>
      </c>
      <c r="D130" s="17">
        <v>7.828436</v>
      </c>
      <c r="E130" s="17">
        <v>7.7702229999999997</v>
      </c>
      <c r="F130" s="17">
        <v>7.8547690000000001</v>
      </c>
      <c r="G130" s="17">
        <v>7.8200380000000003</v>
      </c>
      <c r="H130" s="17">
        <v>7.9473250000000002</v>
      </c>
      <c r="I130" s="17">
        <v>8.0096950000000007</v>
      </c>
      <c r="J130" s="17">
        <v>7.965198</v>
      </c>
      <c r="K130" s="17">
        <v>7.8909570000000002</v>
      </c>
      <c r="L130" s="17">
        <v>7.9858250000000002</v>
      </c>
      <c r="M130" s="17">
        <v>6.6187389999999997</v>
      </c>
      <c r="N130" s="18">
        <v>7.94732503</v>
      </c>
      <c r="O130" s="18">
        <v>7.3895639500000003</v>
      </c>
      <c r="P130" s="18">
        <v>7.3696007200000002</v>
      </c>
      <c r="Q130" s="18">
        <v>7.3408355500000004</v>
      </c>
      <c r="R130" s="18">
        <v>7.1754897099999999</v>
      </c>
      <c r="S130" s="18">
        <v>6.1654178499999999</v>
      </c>
    </row>
    <row r="131" spans="1:19" x14ac:dyDescent="0.2">
      <c r="A131" s="17">
        <v>43</v>
      </c>
      <c r="B131" s="17">
        <v>7.8920779999999997</v>
      </c>
      <c r="C131" s="17">
        <v>7.8789129999999998</v>
      </c>
      <c r="D131" s="17">
        <v>7.8256449999999997</v>
      </c>
      <c r="E131" s="17">
        <v>7.773174</v>
      </c>
      <c r="F131" s="17">
        <v>7.8651879999999998</v>
      </c>
      <c r="G131" s="17">
        <v>7.8111629999999996</v>
      </c>
      <c r="H131" s="17">
        <v>7.9476789999999999</v>
      </c>
      <c r="I131" s="17">
        <v>8.0060339999999997</v>
      </c>
      <c r="J131" s="17">
        <v>7.965198</v>
      </c>
      <c r="K131" s="17">
        <v>7.8980399999999999</v>
      </c>
      <c r="L131" s="17">
        <v>7.9841220000000002</v>
      </c>
      <c r="M131" s="17">
        <v>6.6895990000000003</v>
      </c>
      <c r="N131" s="18">
        <v>7.9476785699999999</v>
      </c>
      <c r="O131" s="18">
        <v>7.3914152299999998</v>
      </c>
      <c r="P131" s="18">
        <v>7.3664451499999997</v>
      </c>
      <c r="Q131" s="18">
        <v>7.3588309000000001</v>
      </c>
      <c r="R131" s="18">
        <v>7.1685799000000001</v>
      </c>
      <c r="S131" s="18">
        <v>6.2106000799999999</v>
      </c>
    </row>
    <row r="132" spans="1:19" x14ac:dyDescent="0.2">
      <c r="A132" s="17">
        <v>43.33</v>
      </c>
      <c r="B132" s="17">
        <v>7.8946909999999999</v>
      </c>
      <c r="C132" s="17">
        <v>7.8789129999999998</v>
      </c>
      <c r="D132" s="17">
        <v>7.8272409999999999</v>
      </c>
      <c r="E132" s="17">
        <v>7.7630210000000002</v>
      </c>
      <c r="F132" s="17">
        <v>7.8547690000000001</v>
      </c>
      <c r="G132" s="17">
        <v>7.8144</v>
      </c>
      <c r="H132" s="17">
        <v>7.9462640000000002</v>
      </c>
      <c r="I132" s="17">
        <v>8.0133430000000008</v>
      </c>
      <c r="J132" s="17">
        <v>7.9613699999999996</v>
      </c>
      <c r="K132" s="17">
        <v>7.8943180000000002</v>
      </c>
      <c r="L132" s="17">
        <v>7.9871850000000002</v>
      </c>
      <c r="M132" s="17">
        <v>6.7627300000000004</v>
      </c>
      <c r="N132" s="18">
        <v>7.9462636399999997</v>
      </c>
      <c r="O132" s="18">
        <v>7.3920315700000003</v>
      </c>
      <c r="P132" s="18">
        <v>7.3696007200000002</v>
      </c>
      <c r="Q132" s="18">
        <v>7.3421317300000002</v>
      </c>
      <c r="R132" s="18">
        <v>7.1754897099999999</v>
      </c>
      <c r="S132" s="18">
        <v>6.2728770100000002</v>
      </c>
    </row>
    <row r="133" spans="1:19" x14ac:dyDescent="0.2">
      <c r="A133" s="17">
        <v>43.67</v>
      </c>
      <c r="B133" s="17">
        <v>7.8928260000000003</v>
      </c>
      <c r="C133" s="17">
        <v>7.8789129999999998</v>
      </c>
      <c r="D133" s="17">
        <v>7.8204399999999996</v>
      </c>
      <c r="E133" s="17">
        <v>7.7714889999999999</v>
      </c>
      <c r="F133" s="17">
        <v>7.8624970000000003</v>
      </c>
      <c r="G133" s="17">
        <v>7.8139960000000004</v>
      </c>
      <c r="H133" s="17">
        <v>7.9444920000000003</v>
      </c>
      <c r="I133" s="17">
        <v>8.0046999999999997</v>
      </c>
      <c r="J133" s="17">
        <v>7.9631119999999997</v>
      </c>
      <c r="K133" s="17">
        <v>7.9006369999999997</v>
      </c>
      <c r="L133" s="17">
        <v>7.9796810000000002</v>
      </c>
      <c r="M133" s="17">
        <v>6.8297939999999997</v>
      </c>
      <c r="N133" s="18">
        <v>7.9444921600000002</v>
      </c>
      <c r="O133" s="18">
        <v>7.3883278600000004</v>
      </c>
      <c r="P133" s="18">
        <v>7.3765081300000004</v>
      </c>
      <c r="Q133" s="18">
        <v>7.3651801299999997</v>
      </c>
      <c r="R133" s="18">
        <v>7.1670378799999996</v>
      </c>
      <c r="S133" s="18">
        <v>6.3207682900000002</v>
      </c>
    </row>
    <row r="134" spans="1:19" x14ac:dyDescent="0.2">
      <c r="A134" s="17">
        <v>44</v>
      </c>
      <c r="B134" s="17">
        <v>7.8868330000000002</v>
      </c>
      <c r="C134" s="17">
        <v>7.8830689999999999</v>
      </c>
      <c r="D134" s="17">
        <v>7.8256449999999997</v>
      </c>
      <c r="E134" s="17">
        <v>7.7625960000000003</v>
      </c>
      <c r="F134" s="17">
        <v>7.8578679999999999</v>
      </c>
      <c r="G134" s="17">
        <v>7.8071029999999997</v>
      </c>
      <c r="H134" s="17">
        <v>7.945201</v>
      </c>
      <c r="I134" s="17">
        <v>8.0106920000000006</v>
      </c>
      <c r="J134" s="17">
        <v>7.9634600000000004</v>
      </c>
      <c r="K134" s="17">
        <v>7.9032270000000002</v>
      </c>
      <c r="L134" s="17">
        <v>7.9841220000000002</v>
      </c>
      <c r="M134" s="17">
        <v>6.9057529999999998</v>
      </c>
      <c r="N134" s="18">
        <v>7.9452011300000001</v>
      </c>
      <c r="O134" s="18">
        <v>7.3889461000000001</v>
      </c>
      <c r="P134" s="18">
        <v>7.3632795900000003</v>
      </c>
      <c r="Q134" s="18">
        <v>7.3537223300000001</v>
      </c>
      <c r="R134" s="18">
        <v>7.1800698699999996</v>
      </c>
      <c r="S134" s="18">
        <v>6.3750248200000001</v>
      </c>
    </row>
    <row r="135" spans="1:19" x14ac:dyDescent="0.2">
      <c r="A135" s="17">
        <v>44.33</v>
      </c>
      <c r="B135" s="17">
        <v>7.8853289999999996</v>
      </c>
      <c r="C135" s="17">
        <v>7.8860809999999999</v>
      </c>
      <c r="D135" s="17">
        <v>7.824846</v>
      </c>
      <c r="E135" s="17">
        <v>7.7625960000000003</v>
      </c>
      <c r="F135" s="17">
        <v>7.8590270000000002</v>
      </c>
      <c r="G135" s="17">
        <v>7.8148030000000004</v>
      </c>
      <c r="H135" s="17">
        <v>7.9437829999999998</v>
      </c>
      <c r="I135" s="17">
        <v>8.0080329999999993</v>
      </c>
      <c r="J135" s="17">
        <v>7.960324</v>
      </c>
      <c r="K135" s="17">
        <v>7.8991530000000001</v>
      </c>
      <c r="L135" s="17">
        <v>7.9871850000000002</v>
      </c>
      <c r="M135" s="17">
        <v>6.9902569999999997</v>
      </c>
      <c r="N135" s="18">
        <v>7.9437826899999999</v>
      </c>
      <c r="O135" s="18">
        <v>7.40062058</v>
      </c>
      <c r="P135" s="18">
        <v>7.3727463699999998</v>
      </c>
      <c r="Q135" s="18">
        <v>7.38274645</v>
      </c>
      <c r="R135" s="18">
        <v>7.1762545299999996</v>
      </c>
      <c r="S135" s="18">
        <v>6.43615037</v>
      </c>
    </row>
    <row r="136" spans="1:19" x14ac:dyDescent="0.2">
      <c r="A136" s="17">
        <v>44.67</v>
      </c>
      <c r="B136" s="17">
        <v>7.8841999999999999</v>
      </c>
      <c r="C136" s="17">
        <v>7.8845770000000002</v>
      </c>
      <c r="D136" s="17">
        <v>7.8232460000000001</v>
      </c>
      <c r="E136" s="17">
        <v>7.770645</v>
      </c>
      <c r="F136" s="17">
        <v>7.8559320000000001</v>
      </c>
      <c r="G136" s="17">
        <v>7.8164170000000004</v>
      </c>
      <c r="H136" s="17">
        <v>7.9391590000000001</v>
      </c>
      <c r="I136" s="17">
        <v>8.0126810000000006</v>
      </c>
      <c r="J136" s="17">
        <v>7.9707400000000002</v>
      </c>
      <c r="K136" s="17">
        <v>7.9035960000000003</v>
      </c>
      <c r="L136" s="17">
        <v>7.9854839999999996</v>
      </c>
      <c r="M136" s="17">
        <v>7.0535860000000001</v>
      </c>
      <c r="N136" s="18">
        <v>7.9391588200000003</v>
      </c>
      <c r="O136" s="18">
        <v>7.3987862800000004</v>
      </c>
      <c r="P136" s="18">
        <v>7.3664451499999997</v>
      </c>
      <c r="Q136" s="18">
        <v>7.3963352899999997</v>
      </c>
      <c r="R136" s="18">
        <v>7.15148546</v>
      </c>
      <c r="S136" s="18">
        <v>6.4846352400000002</v>
      </c>
    </row>
    <row r="137" spans="1:19" x14ac:dyDescent="0.2">
      <c r="A137" s="17">
        <v>45</v>
      </c>
      <c r="B137" s="17">
        <v>7.8811819999999999</v>
      </c>
      <c r="C137" s="17">
        <v>7.8826919999999996</v>
      </c>
      <c r="D137" s="17">
        <v>7.8224450000000001</v>
      </c>
      <c r="E137" s="17">
        <v>7.7761149999999999</v>
      </c>
      <c r="F137" s="17">
        <v>7.8567070000000001</v>
      </c>
      <c r="G137" s="17">
        <v>7.8091350000000004</v>
      </c>
      <c r="H137" s="17">
        <v>7.9430730000000001</v>
      </c>
      <c r="I137" s="17">
        <v>8.0169779999999999</v>
      </c>
      <c r="J137" s="17">
        <v>7.9648510000000003</v>
      </c>
      <c r="K137" s="17">
        <v>7.9054419999999999</v>
      </c>
      <c r="L137" s="17">
        <v>7.9878640000000001</v>
      </c>
      <c r="M137" s="17">
        <v>7.1388670000000003</v>
      </c>
      <c r="N137" s="18">
        <v>7.94307272</v>
      </c>
      <c r="O137" s="18">
        <v>7.3907985199999997</v>
      </c>
      <c r="P137" s="18">
        <v>7.3752557799999998</v>
      </c>
      <c r="Q137" s="18">
        <v>7.3550019200000003</v>
      </c>
      <c r="R137" s="18">
        <v>7.1754897099999999</v>
      </c>
      <c r="S137" s="18">
        <v>6.5439118499999998</v>
      </c>
    </row>
    <row r="138" spans="1:19" x14ac:dyDescent="0.2">
      <c r="A138" s="17">
        <v>45.33</v>
      </c>
      <c r="B138" s="17">
        <v>7.8815600000000003</v>
      </c>
      <c r="C138" s="17">
        <v>7.8804259999999999</v>
      </c>
      <c r="D138" s="17">
        <v>7.8176249999999996</v>
      </c>
      <c r="E138" s="17">
        <v>7.7647209999999998</v>
      </c>
      <c r="F138" s="17">
        <v>7.8601850000000004</v>
      </c>
      <c r="G138" s="17">
        <v>7.8119730000000001</v>
      </c>
      <c r="H138" s="17">
        <v>7.9402280000000003</v>
      </c>
      <c r="I138" s="17">
        <v>8.0063680000000002</v>
      </c>
      <c r="J138" s="17">
        <v>7.9638080000000002</v>
      </c>
      <c r="K138" s="17">
        <v>7.8958079999999997</v>
      </c>
      <c r="L138" s="17">
        <v>7.98956</v>
      </c>
      <c r="M138" s="17">
        <v>7.2189100000000002</v>
      </c>
      <c r="N138" s="18">
        <v>7.9402277699999999</v>
      </c>
      <c r="O138" s="18">
        <v>7.3895639500000003</v>
      </c>
      <c r="P138" s="18">
        <v>7.36833969</v>
      </c>
      <c r="Q138" s="18">
        <v>7.3864708500000003</v>
      </c>
      <c r="R138" s="18">
        <v>7.1739583199999997</v>
      </c>
      <c r="S138" s="18">
        <v>6.6160651899999996</v>
      </c>
    </row>
    <row r="139" spans="1:19" x14ac:dyDescent="0.2">
      <c r="A139" s="17">
        <v>45.67</v>
      </c>
      <c r="B139" s="17">
        <v>7.8811819999999999</v>
      </c>
      <c r="C139" s="17">
        <v>7.8789129999999998</v>
      </c>
      <c r="D139" s="17">
        <v>7.8188319999999996</v>
      </c>
      <c r="E139" s="17">
        <v>7.7613190000000003</v>
      </c>
      <c r="F139" s="17">
        <v>7.859413</v>
      </c>
      <c r="G139" s="17">
        <v>7.8071029999999997</v>
      </c>
      <c r="H139" s="17">
        <v>7.9409400000000003</v>
      </c>
      <c r="I139" s="17">
        <v>8.0110229999999998</v>
      </c>
      <c r="J139" s="17">
        <v>7.9606729999999999</v>
      </c>
      <c r="K139" s="17">
        <v>7.8950630000000004</v>
      </c>
      <c r="L139" s="17">
        <v>7.98956</v>
      </c>
      <c r="M139" s="17">
        <v>7.3011480000000004</v>
      </c>
      <c r="N139" s="18">
        <v>7.94093976</v>
      </c>
      <c r="O139" s="18">
        <v>7.3864708500000003</v>
      </c>
      <c r="P139" s="18">
        <v>7.3651801299999997</v>
      </c>
      <c r="Q139" s="18">
        <v>7.3895639500000003</v>
      </c>
      <c r="R139" s="18">
        <v>7.1853870200000003</v>
      </c>
      <c r="S139" s="18">
        <v>6.67456139</v>
      </c>
    </row>
    <row r="140" spans="1:19" x14ac:dyDescent="0.2">
      <c r="A140" s="17">
        <v>46</v>
      </c>
      <c r="B140" s="17">
        <v>7.8785340000000001</v>
      </c>
      <c r="C140" s="17">
        <v>7.8732170000000004</v>
      </c>
      <c r="D140" s="17">
        <v>7.8240460000000001</v>
      </c>
      <c r="E140" s="17">
        <v>7.7710670000000004</v>
      </c>
      <c r="F140" s="17">
        <v>7.8597989999999998</v>
      </c>
      <c r="G140" s="17">
        <v>7.8095410000000003</v>
      </c>
      <c r="H140" s="17">
        <v>7.937017</v>
      </c>
      <c r="I140" s="17">
        <v>8.0140049999999992</v>
      </c>
      <c r="J140" s="17">
        <v>7.959276</v>
      </c>
      <c r="K140" s="17">
        <v>7.8998949999999999</v>
      </c>
      <c r="L140" s="17">
        <v>7.9915919999999998</v>
      </c>
      <c r="M140" s="17">
        <v>7.3802560000000001</v>
      </c>
      <c r="N140" s="18">
        <v>7.9370174899999997</v>
      </c>
      <c r="O140" s="18">
        <v>7.3914152299999998</v>
      </c>
      <c r="P140" s="18">
        <v>7.3771337099999998</v>
      </c>
      <c r="Q140" s="18">
        <v>7.3846103799999998</v>
      </c>
      <c r="R140" s="18">
        <v>7.1770187700000001</v>
      </c>
      <c r="S140" s="18">
        <v>6.7546040999999999</v>
      </c>
    </row>
    <row r="141" spans="1:19" x14ac:dyDescent="0.2">
      <c r="A141" s="17">
        <v>46.33</v>
      </c>
      <c r="B141" s="17">
        <v>7.8815600000000003</v>
      </c>
      <c r="C141" s="17">
        <v>7.8701660000000002</v>
      </c>
      <c r="D141" s="17">
        <v>7.822845</v>
      </c>
      <c r="E141" s="17">
        <v>7.7689560000000002</v>
      </c>
      <c r="F141" s="17">
        <v>7.8659549999999996</v>
      </c>
      <c r="G141" s="17">
        <v>7.8087289999999996</v>
      </c>
      <c r="H141" s="17">
        <v>7.9416510000000002</v>
      </c>
      <c r="I141" s="17">
        <v>8.011355</v>
      </c>
      <c r="J141" s="17">
        <v>7.959276</v>
      </c>
      <c r="K141" s="17">
        <v>7.9061789999999998</v>
      </c>
      <c r="L141" s="17">
        <v>7.9986709999999999</v>
      </c>
      <c r="M141" s="17">
        <v>7.4599149999999996</v>
      </c>
      <c r="N141" s="18">
        <v>7.9416512499999996</v>
      </c>
      <c r="O141" s="18">
        <v>7.4030610899999996</v>
      </c>
      <c r="P141" s="18">
        <v>7.3607398999999996</v>
      </c>
      <c r="Q141" s="18">
        <v>7.3951075499999996</v>
      </c>
      <c r="R141" s="18">
        <v>7.1762545299999996</v>
      </c>
      <c r="S141" s="18">
        <v>6.8112443799999998</v>
      </c>
    </row>
    <row r="142" spans="1:19" x14ac:dyDescent="0.2">
      <c r="A142" s="17">
        <v>46.67</v>
      </c>
      <c r="B142" s="17">
        <v>7.8823150000000002</v>
      </c>
      <c r="C142" s="17">
        <v>7.8781549999999996</v>
      </c>
      <c r="D142" s="17">
        <v>7.8184300000000002</v>
      </c>
      <c r="E142" s="17">
        <v>7.7790489999999997</v>
      </c>
      <c r="F142" s="17">
        <v>7.8648040000000004</v>
      </c>
      <c r="G142" s="17">
        <v>7.8034350000000003</v>
      </c>
      <c r="H142" s="17">
        <v>7.9359450000000002</v>
      </c>
      <c r="I142" s="17">
        <v>8.0100280000000001</v>
      </c>
      <c r="J142" s="17">
        <v>7.959276</v>
      </c>
      <c r="K142" s="17">
        <v>7.8995240000000004</v>
      </c>
      <c r="L142" s="17">
        <v>7.9929449999999997</v>
      </c>
      <c r="M142" s="17">
        <v>7.5475019999999997</v>
      </c>
      <c r="N142" s="18">
        <v>7.9359450999999996</v>
      </c>
      <c r="O142" s="18">
        <v>7.38150189</v>
      </c>
      <c r="P142" s="18">
        <v>7.3632795900000003</v>
      </c>
      <c r="Q142" s="18">
        <v>7.3852309199999997</v>
      </c>
      <c r="R142" s="18">
        <v>7.17930797</v>
      </c>
      <c r="S142" s="18">
        <v>6.8824374700000002</v>
      </c>
    </row>
    <row r="143" spans="1:19" x14ac:dyDescent="0.2">
      <c r="A143" s="17">
        <v>47</v>
      </c>
      <c r="B143" s="17">
        <v>7.8834460000000002</v>
      </c>
      <c r="C143" s="17">
        <v>7.8754989999999996</v>
      </c>
      <c r="D143" s="17">
        <v>7.819636</v>
      </c>
      <c r="E143" s="17">
        <v>7.7727529999999998</v>
      </c>
      <c r="F143" s="17">
        <v>7.8659549999999996</v>
      </c>
      <c r="G143" s="17">
        <v>7.8066959999999996</v>
      </c>
      <c r="H143" s="17">
        <v>7.9384459999999999</v>
      </c>
      <c r="I143" s="17">
        <v>8.0149969999999993</v>
      </c>
      <c r="J143" s="17">
        <v>7.9575269999999998</v>
      </c>
      <c r="K143" s="17">
        <v>7.8931990000000001</v>
      </c>
      <c r="L143" s="17">
        <v>7.9969900000000003</v>
      </c>
      <c r="M143" s="17">
        <v>7.6294899999999997</v>
      </c>
      <c r="N143" s="18">
        <v>7.93844555</v>
      </c>
      <c r="O143" s="18">
        <v>7.39449311</v>
      </c>
      <c r="P143" s="18">
        <v>7.3658128400000003</v>
      </c>
      <c r="Q143" s="18">
        <v>7.3889461000000001</v>
      </c>
      <c r="R143" s="18">
        <v>7.1800698699999996</v>
      </c>
      <c r="S143" s="18">
        <v>6.9421567099999999</v>
      </c>
    </row>
    <row r="144" spans="1:19" x14ac:dyDescent="0.2">
      <c r="A144" s="17">
        <v>47.33</v>
      </c>
      <c r="B144" s="17">
        <v>7.8789129999999998</v>
      </c>
      <c r="C144" s="17">
        <v>7.8754989999999996</v>
      </c>
      <c r="D144" s="17">
        <v>7.818028</v>
      </c>
      <c r="E144" s="17">
        <v>7.7655690000000002</v>
      </c>
      <c r="F144" s="17">
        <v>7.8609559999999998</v>
      </c>
      <c r="G144" s="17">
        <v>7.8099470000000002</v>
      </c>
      <c r="H144" s="17">
        <v>7.9359450000000002</v>
      </c>
      <c r="I144" s="17">
        <v>8.0073670000000003</v>
      </c>
      <c r="J144" s="17">
        <v>7.959975</v>
      </c>
      <c r="K144" s="17">
        <v>7.8961810000000003</v>
      </c>
      <c r="L144" s="17">
        <v>7.9953070000000004</v>
      </c>
      <c r="M144" s="17">
        <v>7.7266539999999999</v>
      </c>
      <c r="N144" s="18">
        <v>7.9359450999999996</v>
      </c>
      <c r="O144" s="18">
        <v>7.3877092400000004</v>
      </c>
      <c r="P144" s="18">
        <v>7.3696007200000002</v>
      </c>
      <c r="Q144" s="18">
        <v>7.3963352899999997</v>
      </c>
      <c r="R144" s="18">
        <v>7.1853870200000003</v>
      </c>
      <c r="S144" s="18">
        <v>7.0103118699999998</v>
      </c>
    </row>
    <row r="145" spans="1:19" x14ac:dyDescent="0.2">
      <c r="A145" s="17">
        <v>47.67</v>
      </c>
      <c r="B145" s="17">
        <v>7.8777759999999999</v>
      </c>
      <c r="C145" s="17">
        <v>7.8739780000000001</v>
      </c>
      <c r="D145" s="17">
        <v>7.816014</v>
      </c>
      <c r="E145" s="17">
        <v>7.7625960000000003</v>
      </c>
      <c r="F145" s="17">
        <v>7.8690189999999998</v>
      </c>
      <c r="G145" s="17">
        <v>7.8127829999999996</v>
      </c>
      <c r="H145" s="17">
        <v>7.9352299999999998</v>
      </c>
      <c r="I145" s="17">
        <v>8.0060339999999997</v>
      </c>
      <c r="J145" s="17">
        <v>7.9561260000000003</v>
      </c>
      <c r="K145" s="17">
        <v>7.8980399999999999</v>
      </c>
      <c r="L145" s="17">
        <v>7.9915919999999998</v>
      </c>
      <c r="M145" s="17">
        <v>7.8095410000000003</v>
      </c>
      <c r="N145" s="18">
        <v>7.9352295399999999</v>
      </c>
      <c r="O145" s="18">
        <v>7.3914152299999998</v>
      </c>
      <c r="P145" s="18">
        <v>7.3664451499999997</v>
      </c>
      <c r="Q145" s="18">
        <v>7.39387829</v>
      </c>
      <c r="R145" s="18">
        <v>7.1861442999999996</v>
      </c>
      <c r="S145" s="18">
        <v>7.0630481600000001</v>
      </c>
    </row>
    <row r="146" spans="1:19" x14ac:dyDescent="0.2">
      <c r="A146" s="17">
        <v>48</v>
      </c>
      <c r="B146" s="17">
        <v>7.8770179999999996</v>
      </c>
      <c r="C146" s="17">
        <v>7.8766379999999998</v>
      </c>
      <c r="D146" s="17">
        <v>7.8168199999999999</v>
      </c>
      <c r="E146" s="17">
        <v>7.7710670000000004</v>
      </c>
      <c r="F146" s="17">
        <v>7.8617270000000001</v>
      </c>
      <c r="G146" s="17">
        <v>7.8083229999999997</v>
      </c>
      <c r="H146" s="17">
        <v>7.9391590000000001</v>
      </c>
      <c r="I146" s="17">
        <v>8.0063680000000002</v>
      </c>
      <c r="J146" s="17">
        <v>7.959975</v>
      </c>
      <c r="K146" s="17">
        <v>7.9006369999999997</v>
      </c>
      <c r="L146" s="17">
        <v>7.9919310000000001</v>
      </c>
      <c r="M146" s="17">
        <v>7.8697840000000001</v>
      </c>
      <c r="N146" s="18">
        <v>7.9391588200000003</v>
      </c>
      <c r="O146" s="18">
        <v>7.3839894599999996</v>
      </c>
      <c r="P146" s="18">
        <v>7.3639134999999998</v>
      </c>
      <c r="Q146" s="18">
        <v>7.3907985199999997</v>
      </c>
      <c r="R146" s="18">
        <v>7.1754897099999999</v>
      </c>
      <c r="S146" s="18">
        <v>7.1090621399999998</v>
      </c>
    </row>
    <row r="147" spans="1:19" x14ac:dyDescent="0.2">
      <c r="A147" s="17">
        <v>48.33</v>
      </c>
      <c r="B147" s="17">
        <v>7.869402</v>
      </c>
      <c r="C147" s="17">
        <v>7.8739780000000001</v>
      </c>
      <c r="D147" s="17">
        <v>7.8135919999999999</v>
      </c>
      <c r="E147" s="17">
        <v>7.7719100000000001</v>
      </c>
      <c r="F147" s="17">
        <v>7.8632669999999996</v>
      </c>
      <c r="G147" s="17">
        <v>7.8009820000000003</v>
      </c>
      <c r="H147" s="17">
        <v>7.9359450000000002</v>
      </c>
      <c r="I147" s="17">
        <v>8.0073670000000003</v>
      </c>
      <c r="J147" s="17">
        <v>7.9550739999999998</v>
      </c>
      <c r="K147" s="17">
        <v>7.8958079999999997</v>
      </c>
      <c r="L147" s="17">
        <v>7.9919310000000001</v>
      </c>
      <c r="M147" s="17">
        <v>7.9043349999999997</v>
      </c>
      <c r="N147" s="18">
        <v>7.9359450999999996</v>
      </c>
      <c r="O147" s="18">
        <v>7.3877092400000004</v>
      </c>
      <c r="P147" s="18">
        <v>7.3645470099999999</v>
      </c>
      <c r="Q147" s="18">
        <v>7.39449311</v>
      </c>
      <c r="R147" s="18">
        <v>7.1739583199999997</v>
      </c>
      <c r="S147" s="18">
        <v>7.1324975500000001</v>
      </c>
    </row>
    <row r="148" spans="1:19" x14ac:dyDescent="0.2">
      <c r="A148" s="17">
        <v>48.67</v>
      </c>
      <c r="B148" s="17">
        <v>7.8758790000000003</v>
      </c>
      <c r="C148" s="17">
        <v>7.8697840000000001</v>
      </c>
      <c r="D148" s="17">
        <v>7.8156109999999996</v>
      </c>
      <c r="E148" s="17">
        <v>7.7698010000000002</v>
      </c>
      <c r="F148" s="17">
        <v>7.8567070000000001</v>
      </c>
      <c r="G148" s="17">
        <v>7.8034350000000003</v>
      </c>
      <c r="H148" s="17">
        <v>7.9348720000000004</v>
      </c>
      <c r="I148" s="17">
        <v>8.0053669999999997</v>
      </c>
      <c r="J148" s="17">
        <v>7.9547230000000004</v>
      </c>
      <c r="K148" s="17">
        <v>7.902857</v>
      </c>
      <c r="L148" s="17">
        <v>7.9837809999999996</v>
      </c>
      <c r="M148" s="17">
        <v>7.9273239999999996</v>
      </c>
      <c r="N148" s="18">
        <v>7.9348715700000003</v>
      </c>
      <c r="O148" s="18">
        <v>7.3963352899999997</v>
      </c>
      <c r="P148" s="18">
        <v>7.3658128400000003</v>
      </c>
      <c r="Q148" s="18">
        <v>7.3607398999999996</v>
      </c>
      <c r="R148" s="18">
        <v>7.1569563599999997</v>
      </c>
      <c r="S148" s="18">
        <v>7.1600692099999996</v>
      </c>
    </row>
    <row r="149" spans="1:19" x14ac:dyDescent="0.2">
      <c r="A149" s="17">
        <v>49</v>
      </c>
      <c r="B149" s="17">
        <v>7.8709300000000004</v>
      </c>
      <c r="C149" s="17">
        <v>7.8720739999999996</v>
      </c>
      <c r="D149" s="17">
        <v>7.8164170000000004</v>
      </c>
      <c r="E149" s="17">
        <v>7.7642959999999999</v>
      </c>
      <c r="F149" s="17">
        <v>7.850104</v>
      </c>
      <c r="G149" s="17">
        <v>7.804659</v>
      </c>
      <c r="H149" s="17">
        <v>7.9298460000000004</v>
      </c>
      <c r="I149" s="17">
        <v>8.0076999999999998</v>
      </c>
      <c r="J149" s="17">
        <v>7.9620670000000002</v>
      </c>
      <c r="K149" s="17">
        <v>7.8998949999999999</v>
      </c>
      <c r="L149" s="17">
        <v>7.9858250000000002</v>
      </c>
      <c r="M149" s="17">
        <v>7.9515589999999996</v>
      </c>
      <c r="N149" s="18">
        <v>7.9298464299999996</v>
      </c>
      <c r="O149" s="18">
        <v>7.3957216099999998</v>
      </c>
      <c r="P149" s="18">
        <v>7.3651801299999997</v>
      </c>
      <c r="Q149" s="18">
        <v>7.3920315700000003</v>
      </c>
      <c r="R149" s="18">
        <v>7.1777824199999998</v>
      </c>
      <c r="S149" s="18">
        <v>7.1348908499999997</v>
      </c>
    </row>
    <row r="150" spans="1:19" x14ac:dyDescent="0.2">
      <c r="A150" s="17">
        <v>49.33</v>
      </c>
      <c r="B150" s="17">
        <v>7.8758790000000003</v>
      </c>
      <c r="C150" s="17">
        <v>7.8739780000000001</v>
      </c>
      <c r="D150" s="17">
        <v>7.8115680000000003</v>
      </c>
      <c r="E150" s="17">
        <v>7.7714889999999999</v>
      </c>
      <c r="F150" s="17">
        <v>7.8520500000000002</v>
      </c>
      <c r="G150" s="17">
        <v>7.8034350000000003</v>
      </c>
      <c r="H150" s="17">
        <v>7.9298460000000004</v>
      </c>
      <c r="I150" s="17">
        <v>8.0143360000000001</v>
      </c>
      <c r="J150" s="17">
        <v>7.9582269999999999</v>
      </c>
      <c r="K150" s="17">
        <v>7.8954360000000001</v>
      </c>
      <c r="L150" s="17">
        <v>7.98956</v>
      </c>
      <c r="M150" s="17">
        <v>7.958577</v>
      </c>
      <c r="N150" s="18">
        <v>7.9298464299999996</v>
      </c>
      <c r="O150" s="18">
        <v>7.40062058</v>
      </c>
      <c r="P150" s="18">
        <v>7.3714893000000004</v>
      </c>
      <c r="Q150" s="18">
        <v>7.3926475199999997</v>
      </c>
      <c r="R150" s="18">
        <v>7.1762545299999996</v>
      </c>
      <c r="S150" s="18">
        <v>7.1380730300000002</v>
      </c>
    </row>
    <row r="151" spans="1:19" x14ac:dyDescent="0.2">
      <c r="A151" s="17">
        <v>49.67</v>
      </c>
      <c r="B151" s="17">
        <v>7.8709300000000004</v>
      </c>
      <c r="C151" s="17">
        <v>7.8762590000000001</v>
      </c>
      <c r="D151" s="17">
        <v>7.8115680000000003</v>
      </c>
      <c r="E151" s="17">
        <v>7.7714889999999999</v>
      </c>
      <c r="F151" s="17">
        <v>7.8493240000000002</v>
      </c>
      <c r="G151" s="17">
        <v>7.8013909999999997</v>
      </c>
      <c r="H151" s="17">
        <v>7.9287660000000004</v>
      </c>
      <c r="I151" s="17">
        <v>8.0120179999999994</v>
      </c>
      <c r="J151" s="17">
        <v>7.959975</v>
      </c>
      <c r="K151" s="17">
        <v>7.8995240000000004</v>
      </c>
      <c r="L151" s="17">
        <v>7.9807079999999999</v>
      </c>
      <c r="M151" s="17">
        <v>7.9606729999999999</v>
      </c>
      <c r="N151" s="18">
        <v>7.9287663200000003</v>
      </c>
      <c r="O151" s="18">
        <v>7.3932630899999996</v>
      </c>
      <c r="P151" s="18">
        <v>7.36833969</v>
      </c>
      <c r="Q151" s="18">
        <v>7.3914152299999998</v>
      </c>
      <c r="R151" s="18">
        <v>7.17319174</v>
      </c>
      <c r="S151" s="18">
        <v>7.1396603399999998</v>
      </c>
    </row>
    <row r="152" spans="1:19" x14ac:dyDescent="0.2">
      <c r="A152" s="17">
        <v>50</v>
      </c>
      <c r="B152" s="17">
        <v>7.8678710000000001</v>
      </c>
      <c r="C152" s="17">
        <v>7.869402</v>
      </c>
      <c r="D152" s="17">
        <v>7.8119730000000001</v>
      </c>
      <c r="E152" s="17">
        <v>7.7681100000000001</v>
      </c>
      <c r="F152" s="17">
        <v>7.8582539999999996</v>
      </c>
      <c r="G152" s="17">
        <v>7.7956469999999998</v>
      </c>
      <c r="H152" s="17">
        <v>7.9280460000000001</v>
      </c>
      <c r="I152" s="17">
        <v>8.0083660000000005</v>
      </c>
      <c r="J152" s="17">
        <v>7.9561260000000003</v>
      </c>
      <c r="K152" s="17">
        <v>7.8991530000000001</v>
      </c>
      <c r="L152" s="17">
        <v>7.9844629999999999</v>
      </c>
      <c r="M152" s="17">
        <v>7.974189</v>
      </c>
      <c r="N152" s="18">
        <v>7.9280455999999999</v>
      </c>
      <c r="O152" s="18">
        <v>7.3858510800000001</v>
      </c>
      <c r="P152" s="18">
        <v>7.37337431</v>
      </c>
      <c r="Q152" s="18">
        <v>7.3981740900000004</v>
      </c>
      <c r="R152" s="18">
        <v>7.1823521100000001</v>
      </c>
      <c r="S152" s="18">
        <v>7.1380730300000002</v>
      </c>
    </row>
    <row r="153" spans="1:19" x14ac:dyDescent="0.2">
      <c r="A153" s="17">
        <v>50.33</v>
      </c>
      <c r="B153" s="17">
        <v>7.8716929999999996</v>
      </c>
      <c r="C153" s="17">
        <v>7.8709300000000004</v>
      </c>
      <c r="D153" s="17">
        <v>7.816014</v>
      </c>
      <c r="E153" s="17">
        <v>7.7642959999999999</v>
      </c>
      <c r="F153" s="17">
        <v>7.8547690000000001</v>
      </c>
      <c r="G153" s="17">
        <v>7.8042509999999998</v>
      </c>
      <c r="H153" s="17">
        <v>7.9284059999999998</v>
      </c>
      <c r="I153" s="17">
        <v>8.0023599999999995</v>
      </c>
      <c r="J153" s="17">
        <v>7.9578769999999999</v>
      </c>
      <c r="K153" s="17">
        <v>7.8984110000000003</v>
      </c>
      <c r="L153" s="17">
        <v>7.9796810000000002</v>
      </c>
      <c r="M153" s="17">
        <v>7.9776249999999997</v>
      </c>
      <c r="N153" s="18">
        <v>7.9284060299999997</v>
      </c>
      <c r="O153" s="18">
        <v>7.3932630899999996</v>
      </c>
      <c r="P153" s="18">
        <v>7.3664451499999997</v>
      </c>
      <c r="Q153" s="18">
        <v>7.3846103799999998</v>
      </c>
      <c r="R153" s="18">
        <v>7.1785454800000004</v>
      </c>
      <c r="S153" s="18">
        <v>7.1300985099999998</v>
      </c>
    </row>
    <row r="154" spans="1:19" x14ac:dyDescent="0.2">
      <c r="A154" s="17">
        <v>50.67</v>
      </c>
      <c r="B154" s="17">
        <v>7.8648040000000004</v>
      </c>
      <c r="C154" s="17">
        <v>7.8678710000000001</v>
      </c>
      <c r="D154" s="17">
        <v>7.8091350000000004</v>
      </c>
      <c r="E154" s="17">
        <v>7.7702229999999997</v>
      </c>
      <c r="F154" s="17">
        <v>7.8508829999999996</v>
      </c>
      <c r="G154" s="17">
        <v>7.8042509999999998</v>
      </c>
      <c r="H154" s="17">
        <v>7.9359450000000002</v>
      </c>
      <c r="I154" s="17">
        <v>8.0043659999999992</v>
      </c>
      <c r="J154" s="17">
        <v>7.9564769999999996</v>
      </c>
      <c r="K154" s="17">
        <v>7.8950630000000004</v>
      </c>
      <c r="L154" s="17">
        <v>7.982075</v>
      </c>
      <c r="M154" s="17">
        <v>7.9765949999999997</v>
      </c>
      <c r="N154" s="18">
        <v>7.9359450999999996</v>
      </c>
      <c r="O154" s="18">
        <v>7.3957216099999998</v>
      </c>
      <c r="P154" s="18">
        <v>7.3670770599999997</v>
      </c>
      <c r="Q154" s="18">
        <v>7.3920315700000003</v>
      </c>
      <c r="R154" s="18">
        <v>7.1747243100000002</v>
      </c>
      <c r="S154" s="18">
        <v>7.1324975500000001</v>
      </c>
    </row>
    <row r="155" spans="1:19" x14ac:dyDescent="0.2">
      <c r="A155" s="17">
        <v>51</v>
      </c>
      <c r="B155" s="17">
        <v>7.8659549999999996</v>
      </c>
      <c r="C155" s="17">
        <v>7.8686369999999997</v>
      </c>
      <c r="D155" s="17">
        <v>7.8127829999999996</v>
      </c>
      <c r="E155" s="17">
        <v>7.7600410000000002</v>
      </c>
      <c r="F155" s="17">
        <v>7.8543810000000001</v>
      </c>
      <c r="G155" s="17">
        <v>7.7972910000000004</v>
      </c>
      <c r="H155" s="17">
        <v>7.9348720000000004</v>
      </c>
      <c r="I155" s="17">
        <v>8.0067009999999996</v>
      </c>
      <c r="J155" s="17">
        <v>7.9522630000000003</v>
      </c>
      <c r="K155" s="17">
        <v>7.8943180000000002</v>
      </c>
      <c r="L155" s="17">
        <v>7.9786539999999997</v>
      </c>
      <c r="M155" s="17">
        <v>7.9827579999999996</v>
      </c>
      <c r="N155" s="18">
        <v>7.9348715700000003</v>
      </c>
      <c r="O155" s="18">
        <v>7.3975615399999999</v>
      </c>
      <c r="P155" s="18">
        <v>7.3758821499999998</v>
      </c>
      <c r="Q155" s="18">
        <v>7.3901814300000002</v>
      </c>
      <c r="R155" s="18">
        <v>7.17319174</v>
      </c>
      <c r="S155" s="18">
        <v>7.1163941399999997</v>
      </c>
    </row>
    <row r="156" spans="1:19" x14ac:dyDescent="0.2">
      <c r="A156" s="17">
        <v>51.33</v>
      </c>
      <c r="B156" s="17">
        <v>7.8621119999999998</v>
      </c>
      <c r="C156" s="17">
        <v>7.8732170000000004</v>
      </c>
      <c r="D156" s="17">
        <v>7.8022090000000004</v>
      </c>
      <c r="E156" s="17">
        <v>7.7676869999999996</v>
      </c>
      <c r="F156" s="17">
        <v>7.8458079999999999</v>
      </c>
      <c r="G156" s="17">
        <v>7.8103530000000001</v>
      </c>
      <c r="H156" s="17">
        <v>7.9262420000000002</v>
      </c>
      <c r="I156" s="17">
        <v>8.0043659999999992</v>
      </c>
      <c r="J156" s="17">
        <v>7.9547230000000004</v>
      </c>
      <c r="K156" s="17">
        <v>7.8954360000000001</v>
      </c>
      <c r="L156" s="17">
        <v>7.9752210000000003</v>
      </c>
      <c r="M156" s="17">
        <v>7.9858250000000002</v>
      </c>
      <c r="N156" s="18">
        <v>7.9262415199999996</v>
      </c>
      <c r="O156" s="18">
        <v>7.3907985199999997</v>
      </c>
      <c r="P156" s="18">
        <v>7.3658128400000003</v>
      </c>
      <c r="Q156" s="18">
        <v>7.3987862800000004</v>
      </c>
      <c r="R156" s="18">
        <v>7.1777824199999998</v>
      </c>
      <c r="S156" s="18">
        <v>7.1180161999999996</v>
      </c>
    </row>
    <row r="157" spans="1:19" x14ac:dyDescent="0.2">
      <c r="A157" s="17">
        <v>51.67</v>
      </c>
      <c r="B157" s="17">
        <v>7.859413</v>
      </c>
      <c r="C157" s="17">
        <v>7.8621119999999998</v>
      </c>
      <c r="D157" s="17">
        <v>7.8115680000000003</v>
      </c>
      <c r="E157" s="17">
        <v>7.7587609999999998</v>
      </c>
      <c r="F157" s="17">
        <v>7.853993</v>
      </c>
      <c r="G157" s="17">
        <v>7.7989329999999999</v>
      </c>
      <c r="H157" s="17">
        <v>7.9229859999999999</v>
      </c>
      <c r="I157" s="17">
        <v>7.998335</v>
      </c>
      <c r="J157" s="17">
        <v>7.9617190000000004</v>
      </c>
      <c r="K157" s="17">
        <v>7.8894590000000004</v>
      </c>
      <c r="L157" s="17">
        <v>7.9810499999999998</v>
      </c>
      <c r="M157" s="17">
        <v>7.9922690000000003</v>
      </c>
      <c r="N157" s="18">
        <v>7.9229859600000001</v>
      </c>
      <c r="O157" s="18">
        <v>7.38709024</v>
      </c>
      <c r="P157" s="18">
        <v>7.37337431</v>
      </c>
      <c r="Q157" s="18">
        <v>7.38709024</v>
      </c>
      <c r="R157" s="18">
        <v>7.1693500200000004</v>
      </c>
      <c r="S157" s="18">
        <v>7.1098794600000002</v>
      </c>
    </row>
    <row r="158" spans="1:19" x14ac:dyDescent="0.2">
      <c r="A158" s="17">
        <v>52</v>
      </c>
      <c r="B158" s="17">
        <v>7.8651879999999998</v>
      </c>
      <c r="C158" s="17">
        <v>7.8628819999999999</v>
      </c>
      <c r="D158" s="17">
        <v>7.8091350000000004</v>
      </c>
      <c r="E158" s="17">
        <v>7.7600410000000002</v>
      </c>
      <c r="F158" s="17">
        <v>7.8555450000000002</v>
      </c>
      <c r="G158" s="17">
        <v>7.7985230000000003</v>
      </c>
      <c r="H158" s="17">
        <v>7.9302060000000001</v>
      </c>
      <c r="I158" s="17">
        <v>7.9973270000000003</v>
      </c>
      <c r="J158" s="17">
        <v>7.959625</v>
      </c>
      <c r="K158" s="17">
        <v>7.8898339999999996</v>
      </c>
      <c r="L158" s="17">
        <v>7.9721209999999996</v>
      </c>
      <c r="M158" s="17">
        <v>7.9858250000000002</v>
      </c>
      <c r="N158" s="18">
        <v>7.9302062099999997</v>
      </c>
      <c r="O158" s="18">
        <v>7.3993980800000001</v>
      </c>
      <c r="P158" s="18">
        <v>7.3714893000000004</v>
      </c>
      <c r="Q158" s="18">
        <v>7.3864708500000003</v>
      </c>
      <c r="R158" s="18">
        <v>7.1831117000000004</v>
      </c>
      <c r="S158" s="18">
        <v>7.1041440900000001</v>
      </c>
    </row>
    <row r="159" spans="1:19" x14ac:dyDescent="0.2">
      <c r="A159" s="17">
        <v>52.33</v>
      </c>
      <c r="B159" s="17">
        <v>7.8624970000000003</v>
      </c>
      <c r="C159" s="17">
        <v>7.8624970000000003</v>
      </c>
      <c r="D159" s="17">
        <v>7.8091350000000004</v>
      </c>
      <c r="E159" s="17">
        <v>7.7630210000000002</v>
      </c>
      <c r="F159" s="17">
        <v>7.853993</v>
      </c>
      <c r="G159" s="17">
        <v>7.8001630000000004</v>
      </c>
      <c r="H159" s="17">
        <v>7.9262420000000002</v>
      </c>
      <c r="I159" s="17">
        <v>8.0003489999999999</v>
      </c>
      <c r="J159" s="17">
        <v>7.9529670000000001</v>
      </c>
      <c r="K159" s="17">
        <v>7.8950630000000004</v>
      </c>
      <c r="L159" s="17">
        <v>7.9752210000000003</v>
      </c>
      <c r="M159" s="17">
        <v>7.9854839999999996</v>
      </c>
      <c r="N159" s="18">
        <v>7.9262415199999996</v>
      </c>
      <c r="O159" s="18">
        <v>7.4054956599999997</v>
      </c>
      <c r="P159" s="18">
        <v>7.3777589099999998</v>
      </c>
      <c r="Q159" s="18">
        <v>7.3877092400000004</v>
      </c>
      <c r="R159" s="18">
        <v>7.1693500200000004</v>
      </c>
      <c r="S159" s="18">
        <v>7.1016759699999996</v>
      </c>
    </row>
    <row r="160" spans="1:19" x14ac:dyDescent="0.2">
      <c r="A160" s="17">
        <v>52.67</v>
      </c>
      <c r="B160" s="17">
        <v>7.8590270000000002</v>
      </c>
      <c r="C160" s="17">
        <v>7.8586410000000004</v>
      </c>
      <c r="D160" s="17">
        <v>7.8079169999999998</v>
      </c>
      <c r="E160" s="17">
        <v>7.7570509999999997</v>
      </c>
      <c r="F160" s="17">
        <v>7.8528279999999997</v>
      </c>
      <c r="G160" s="17">
        <v>7.8050670000000002</v>
      </c>
      <c r="H160" s="17">
        <v>7.9211729999999996</v>
      </c>
      <c r="I160" s="17">
        <v>8.0003489999999999</v>
      </c>
      <c r="J160" s="17">
        <v>7.9589259999999999</v>
      </c>
      <c r="K160" s="17">
        <v>7.8887099999999997</v>
      </c>
      <c r="L160" s="17">
        <v>7.9745330000000001</v>
      </c>
      <c r="M160" s="17">
        <v>7.9841220000000002</v>
      </c>
      <c r="N160" s="18">
        <v>7.9211727200000004</v>
      </c>
      <c r="O160" s="18">
        <v>7.3993980800000001</v>
      </c>
      <c r="P160" s="18">
        <v>7.3727463699999998</v>
      </c>
      <c r="Q160" s="18">
        <v>7.3524411000000001</v>
      </c>
      <c r="R160" s="18">
        <v>7.1754897099999999</v>
      </c>
      <c r="S160" s="18">
        <v>7.0958932199999998</v>
      </c>
    </row>
    <row r="161" spans="1:19" x14ac:dyDescent="0.2">
      <c r="A161" s="17">
        <v>53</v>
      </c>
      <c r="B161" s="17">
        <v>7.8628819999999999</v>
      </c>
      <c r="C161" s="17">
        <v>7.857094</v>
      </c>
      <c r="D161" s="17">
        <v>7.8095410000000003</v>
      </c>
      <c r="E161" s="17">
        <v>7.7557669999999996</v>
      </c>
      <c r="F161" s="17">
        <v>7.853993</v>
      </c>
      <c r="G161" s="17">
        <v>7.8026179999999998</v>
      </c>
      <c r="H161" s="17">
        <v>7.9247959999999997</v>
      </c>
      <c r="I161" s="17">
        <v>8.002694</v>
      </c>
      <c r="J161" s="17">
        <v>7.9561260000000003</v>
      </c>
      <c r="K161" s="17">
        <v>7.8868330000000002</v>
      </c>
      <c r="L161" s="17">
        <v>7.9745330000000001</v>
      </c>
      <c r="M161" s="17">
        <v>7.9765949999999997</v>
      </c>
      <c r="N161" s="18">
        <v>7.9247959100000003</v>
      </c>
      <c r="O161" s="18">
        <v>7.3963352899999997</v>
      </c>
      <c r="P161" s="18">
        <v>7.3677085699999996</v>
      </c>
      <c r="Q161" s="18">
        <v>7.3846103799999998</v>
      </c>
      <c r="R161" s="18">
        <v>7.1747243100000002</v>
      </c>
      <c r="S161" s="18">
        <v>7.0934046300000002</v>
      </c>
    </row>
    <row r="162" spans="1:19" x14ac:dyDescent="0.2">
      <c r="A162" s="17">
        <v>53.33</v>
      </c>
      <c r="B162" s="17">
        <v>7.8624970000000003</v>
      </c>
      <c r="C162" s="17">
        <v>7.8555450000000002</v>
      </c>
      <c r="D162" s="17">
        <v>7.8066959999999996</v>
      </c>
      <c r="E162" s="17">
        <v>7.7604670000000002</v>
      </c>
      <c r="F162" s="17">
        <v>7.8520500000000002</v>
      </c>
      <c r="G162" s="17">
        <v>7.8054750000000004</v>
      </c>
      <c r="H162" s="17">
        <v>7.9280460000000001</v>
      </c>
      <c r="I162" s="17">
        <v>8.0013550000000002</v>
      </c>
      <c r="J162" s="17">
        <v>7.9589259999999999</v>
      </c>
      <c r="K162" s="17">
        <v>7.8872090000000004</v>
      </c>
      <c r="L162" s="17">
        <v>7.9717760000000002</v>
      </c>
      <c r="M162" s="17">
        <v>7.982075</v>
      </c>
      <c r="N162" s="18">
        <v>7.9280455999999999</v>
      </c>
      <c r="O162" s="18">
        <v>7.3877092400000004</v>
      </c>
      <c r="P162" s="18">
        <v>7.3639134999999998</v>
      </c>
      <c r="Q162" s="18">
        <v>7.3802557899999996</v>
      </c>
      <c r="R162" s="18">
        <v>7.1708884800000003</v>
      </c>
      <c r="S162" s="18">
        <v>7.1024993600000004</v>
      </c>
    </row>
    <row r="163" spans="1:19" x14ac:dyDescent="0.2">
      <c r="A163" s="17">
        <v>53.67</v>
      </c>
      <c r="B163" s="17">
        <v>7.8613419999999996</v>
      </c>
      <c r="C163" s="17">
        <v>7.8532159999999998</v>
      </c>
      <c r="D163" s="17">
        <v>7.8050670000000002</v>
      </c>
      <c r="E163" s="17">
        <v>7.7531939999999997</v>
      </c>
      <c r="F163" s="17">
        <v>7.8512719999999998</v>
      </c>
      <c r="G163" s="17">
        <v>7.8013909999999997</v>
      </c>
      <c r="H163" s="17">
        <v>7.9258800000000003</v>
      </c>
      <c r="I163" s="17">
        <v>7.9929449999999997</v>
      </c>
      <c r="J163" s="17">
        <v>7.958577</v>
      </c>
      <c r="K163" s="17">
        <v>7.8864570000000001</v>
      </c>
      <c r="L163" s="17">
        <v>7.9676270000000002</v>
      </c>
      <c r="M163" s="17">
        <v>7.98956</v>
      </c>
      <c r="N163" s="18">
        <v>7.9258803200000001</v>
      </c>
      <c r="O163" s="18">
        <v>7.3839894599999996</v>
      </c>
      <c r="P163" s="18">
        <v>7.3714893000000004</v>
      </c>
      <c r="Q163" s="18">
        <v>7.3727463699999998</v>
      </c>
      <c r="R163" s="18">
        <v>7.1639466799999996</v>
      </c>
      <c r="S163" s="18">
        <v>7.1008519100000003</v>
      </c>
    </row>
    <row r="164" spans="1:19" x14ac:dyDescent="0.2">
      <c r="A164" s="17">
        <v>54</v>
      </c>
      <c r="B164" s="17">
        <v>7.857094</v>
      </c>
      <c r="C164" s="17">
        <v>7.8520500000000002</v>
      </c>
      <c r="D164" s="17">
        <v>7.8079169999999998</v>
      </c>
      <c r="E164" s="17">
        <v>7.7536240000000003</v>
      </c>
      <c r="F164" s="17">
        <v>7.8442410000000002</v>
      </c>
      <c r="G164" s="17">
        <v>7.7944110000000002</v>
      </c>
      <c r="H164" s="17">
        <v>7.9215359999999997</v>
      </c>
      <c r="I164" s="17">
        <v>8.0050329999999992</v>
      </c>
      <c r="J164" s="17">
        <v>7.9550739999999998</v>
      </c>
      <c r="K164" s="17">
        <v>7.8913310000000001</v>
      </c>
      <c r="L164" s="17">
        <v>7.9683200000000003</v>
      </c>
      <c r="M164" s="17">
        <v>7.9800240000000002</v>
      </c>
      <c r="N164" s="18">
        <v>7.9215356300000002</v>
      </c>
      <c r="O164" s="18">
        <v>7.3790081299999999</v>
      </c>
      <c r="P164" s="18">
        <v>7.37337431</v>
      </c>
      <c r="Q164" s="18">
        <v>7.3651801299999997</v>
      </c>
      <c r="R164" s="18">
        <v>7.1623975</v>
      </c>
      <c r="S164" s="18">
        <v>7.0975488499999999</v>
      </c>
    </row>
    <row r="165" spans="1:19" x14ac:dyDescent="0.2">
      <c r="A165" s="17">
        <v>54.33</v>
      </c>
      <c r="B165" s="17">
        <v>7.8632669999999996</v>
      </c>
      <c r="C165" s="17">
        <v>7.8551570000000002</v>
      </c>
      <c r="D165" s="17">
        <v>7.8066959999999996</v>
      </c>
      <c r="E165" s="17">
        <v>7.756195</v>
      </c>
      <c r="F165" s="17">
        <v>7.84659</v>
      </c>
      <c r="G165" s="17">
        <v>7.7948230000000001</v>
      </c>
      <c r="H165" s="17">
        <v>7.9309250000000002</v>
      </c>
      <c r="I165" s="17">
        <v>7.9979990000000001</v>
      </c>
      <c r="J165" s="17">
        <v>7.9547230000000004</v>
      </c>
      <c r="K165" s="17">
        <v>7.8838229999999996</v>
      </c>
      <c r="L165" s="17">
        <v>7.9631119999999997</v>
      </c>
      <c r="M165" s="17">
        <v>7.9796810000000002</v>
      </c>
      <c r="N165" s="18">
        <v>7.9309253699999998</v>
      </c>
      <c r="O165" s="18">
        <v>7.3839894599999996</v>
      </c>
      <c r="P165" s="18">
        <v>7.3670770599999997</v>
      </c>
      <c r="Q165" s="18">
        <v>7.3895639500000003</v>
      </c>
      <c r="R165" s="18">
        <v>7.1693500200000004</v>
      </c>
      <c r="S165" s="18">
        <v>7.0975488499999999</v>
      </c>
    </row>
    <row r="166" spans="1:19" x14ac:dyDescent="0.2">
      <c r="A166" s="17">
        <v>54.67</v>
      </c>
      <c r="B166" s="17">
        <v>7.8601850000000004</v>
      </c>
      <c r="C166" s="17">
        <v>7.8512719999999998</v>
      </c>
      <c r="D166" s="17">
        <v>7.8079169999999998</v>
      </c>
      <c r="E166" s="17">
        <v>7.7458679999999998</v>
      </c>
      <c r="F166" s="17">
        <v>7.851661</v>
      </c>
      <c r="G166" s="17">
        <v>7.7977020000000001</v>
      </c>
      <c r="H166" s="17">
        <v>7.9226239999999999</v>
      </c>
      <c r="I166" s="17">
        <v>8.0006850000000007</v>
      </c>
      <c r="J166" s="17">
        <v>7.9480320000000004</v>
      </c>
      <c r="K166" s="17">
        <v>7.8789129999999998</v>
      </c>
      <c r="L166" s="17">
        <v>7.9686659999999998</v>
      </c>
      <c r="M166" s="17">
        <v>7.9824159999999997</v>
      </c>
      <c r="N166" s="18">
        <v>7.9226235699999998</v>
      </c>
      <c r="O166" s="18">
        <v>7.3877092400000004</v>
      </c>
      <c r="P166" s="18">
        <v>7.3765081300000004</v>
      </c>
      <c r="Q166" s="18">
        <v>7.3524411000000001</v>
      </c>
      <c r="R166" s="18">
        <v>7.1724245800000004</v>
      </c>
      <c r="S166" s="18">
        <v>7.10332206</v>
      </c>
    </row>
    <row r="167" spans="1:19" x14ac:dyDescent="0.2">
      <c r="A167" s="17">
        <v>55</v>
      </c>
      <c r="B167" s="17">
        <v>7.8578679999999999</v>
      </c>
      <c r="C167" s="17">
        <v>7.8489339999999999</v>
      </c>
      <c r="D167" s="17">
        <v>7.804659</v>
      </c>
      <c r="E167" s="17">
        <v>7.7514750000000001</v>
      </c>
      <c r="F167" s="17">
        <v>7.8563200000000002</v>
      </c>
      <c r="G167" s="17">
        <v>7.7919359999999998</v>
      </c>
      <c r="H167" s="17">
        <v>7.9262420000000002</v>
      </c>
      <c r="I167" s="17">
        <v>7.9915919999999998</v>
      </c>
      <c r="J167" s="17">
        <v>7.9547230000000004</v>
      </c>
      <c r="K167" s="17">
        <v>7.8853289999999996</v>
      </c>
      <c r="L167" s="17">
        <v>7.9697040000000001</v>
      </c>
      <c r="M167" s="17">
        <v>7.9759080000000004</v>
      </c>
      <c r="N167" s="18">
        <v>7.9262415199999996</v>
      </c>
      <c r="O167" s="18">
        <v>7.3883278600000004</v>
      </c>
      <c r="P167" s="18">
        <v>7.3658128400000003</v>
      </c>
      <c r="Q167" s="18">
        <v>7.3771337099999998</v>
      </c>
      <c r="R167" s="18">
        <v>7.1569563599999997</v>
      </c>
      <c r="S167" s="18">
        <v>7.0934046300000002</v>
      </c>
    </row>
    <row r="168" spans="1:19" x14ac:dyDescent="0.2">
      <c r="A168" s="17">
        <v>55.33</v>
      </c>
      <c r="B168" s="17">
        <v>7.8609559999999998</v>
      </c>
      <c r="C168" s="17">
        <v>7.850104</v>
      </c>
      <c r="D168" s="17">
        <v>7.8026179999999998</v>
      </c>
      <c r="E168" s="17">
        <v>7.7480289999999998</v>
      </c>
      <c r="F168" s="17">
        <v>7.8536049999999999</v>
      </c>
      <c r="G168" s="17">
        <v>7.8001630000000004</v>
      </c>
      <c r="H168" s="17">
        <v>7.9280460000000001</v>
      </c>
      <c r="I168" s="17">
        <v>7.9990069999999998</v>
      </c>
      <c r="J168" s="17">
        <v>7.9476789999999999</v>
      </c>
      <c r="K168" s="17">
        <v>7.8758790000000003</v>
      </c>
      <c r="L168" s="17">
        <v>7.9714309999999999</v>
      </c>
      <c r="M168" s="17">
        <v>7.9813919999999996</v>
      </c>
      <c r="N168" s="18">
        <v>7.9280455999999999</v>
      </c>
      <c r="O168" s="18">
        <v>7.3746290200000004</v>
      </c>
      <c r="P168" s="18">
        <v>7.36833969</v>
      </c>
      <c r="Q168" s="18">
        <v>7.3765081300000004</v>
      </c>
      <c r="R168" s="18">
        <v>7.1800698699999996</v>
      </c>
      <c r="S168" s="18">
        <v>7.09007684</v>
      </c>
    </row>
    <row r="169" spans="1:19" x14ac:dyDescent="0.2">
      <c r="A169" s="17">
        <v>55.67</v>
      </c>
      <c r="B169" s="17">
        <v>7.8555450000000002</v>
      </c>
      <c r="C169" s="17">
        <v>7.8504930000000002</v>
      </c>
      <c r="D169" s="17">
        <v>7.8050670000000002</v>
      </c>
      <c r="E169" s="17">
        <v>7.7467329999999999</v>
      </c>
      <c r="F169" s="17">
        <v>7.8497139999999996</v>
      </c>
      <c r="G169" s="17">
        <v>7.7948230000000001</v>
      </c>
      <c r="H169" s="17">
        <v>7.9211729999999996</v>
      </c>
      <c r="I169" s="17">
        <v>7.9953070000000004</v>
      </c>
      <c r="J169" s="17">
        <v>7.951911</v>
      </c>
      <c r="K169" s="17">
        <v>7.8834460000000002</v>
      </c>
      <c r="L169" s="17">
        <v>7.964156</v>
      </c>
      <c r="M169" s="17">
        <v>7.9786539999999997</v>
      </c>
      <c r="N169" s="18">
        <v>7.9211727200000004</v>
      </c>
      <c r="O169" s="18">
        <v>7.3852309199999997</v>
      </c>
      <c r="P169" s="18">
        <v>7.3696007200000002</v>
      </c>
      <c r="Q169" s="18">
        <v>7.3796321499999999</v>
      </c>
      <c r="R169" s="18">
        <v>7.17011954</v>
      </c>
      <c r="S169" s="18">
        <v>7.0958932199999998</v>
      </c>
    </row>
    <row r="170" spans="1:19" x14ac:dyDescent="0.2">
      <c r="A170" s="17">
        <v>56</v>
      </c>
      <c r="B170" s="17">
        <v>7.8578679999999999</v>
      </c>
      <c r="C170" s="17">
        <v>7.8543810000000001</v>
      </c>
      <c r="D170" s="17">
        <v>7.7997529999999999</v>
      </c>
      <c r="E170" s="17">
        <v>7.7454359999999998</v>
      </c>
      <c r="F170" s="17">
        <v>7.847372</v>
      </c>
      <c r="G170" s="17">
        <v>7.8058820000000004</v>
      </c>
      <c r="H170" s="17">
        <v>7.9208100000000004</v>
      </c>
      <c r="I170" s="17">
        <v>8.0003489999999999</v>
      </c>
      <c r="J170" s="17">
        <v>7.9550739999999998</v>
      </c>
      <c r="K170" s="17">
        <v>7.8785340000000001</v>
      </c>
      <c r="L170" s="17">
        <v>7.9724659999999998</v>
      </c>
      <c r="M170" s="17">
        <v>7.9854839999999996</v>
      </c>
      <c r="N170" s="18">
        <v>7.9208096799999996</v>
      </c>
      <c r="O170" s="18">
        <v>7.38274645</v>
      </c>
      <c r="P170" s="18">
        <v>7.3658128400000003</v>
      </c>
      <c r="Q170" s="18">
        <v>7.3727463699999998</v>
      </c>
      <c r="R170" s="18">
        <v>7.1708884800000003</v>
      </c>
      <c r="S170" s="18">
        <v>7.1000271699999997</v>
      </c>
    </row>
    <row r="171" spans="1:19" x14ac:dyDescent="0.2">
      <c r="A171" s="17">
        <v>56.33</v>
      </c>
      <c r="B171" s="17">
        <v>7.859413</v>
      </c>
      <c r="C171" s="17">
        <v>7.8524390000000004</v>
      </c>
      <c r="D171" s="17">
        <v>7.7985230000000003</v>
      </c>
      <c r="E171" s="17">
        <v>7.7493220000000003</v>
      </c>
      <c r="F171" s="17">
        <v>7.8461990000000004</v>
      </c>
      <c r="G171" s="17">
        <v>7.7989329999999999</v>
      </c>
      <c r="H171" s="17">
        <v>7.9262420000000002</v>
      </c>
      <c r="I171" s="17">
        <v>7.9949700000000004</v>
      </c>
      <c r="J171" s="17">
        <v>7.9533180000000003</v>
      </c>
      <c r="K171" s="17">
        <v>7.8792910000000003</v>
      </c>
      <c r="L171" s="17">
        <v>7.9655459999999998</v>
      </c>
      <c r="M171" s="17">
        <v>7.9772819999999998</v>
      </c>
      <c r="N171" s="18">
        <v>7.9262415199999996</v>
      </c>
      <c r="O171" s="18">
        <v>7.3883278600000004</v>
      </c>
      <c r="P171" s="18">
        <v>7.3696007200000002</v>
      </c>
      <c r="Q171" s="18">
        <v>7.3472996999999998</v>
      </c>
      <c r="R171" s="18">
        <v>7.1522688600000004</v>
      </c>
      <c r="S171" s="18">
        <v>7.0983756400000004</v>
      </c>
    </row>
    <row r="172" spans="1:19" x14ac:dyDescent="0.2">
      <c r="A172" s="17">
        <v>56.67</v>
      </c>
      <c r="B172" s="17">
        <v>7.8567070000000001</v>
      </c>
      <c r="C172" s="17">
        <v>7.853993</v>
      </c>
      <c r="D172" s="17">
        <v>7.8018000000000001</v>
      </c>
      <c r="E172" s="17">
        <v>7.7471649999999999</v>
      </c>
      <c r="F172" s="17">
        <v>7.8458079999999999</v>
      </c>
      <c r="G172" s="17">
        <v>7.7931739999999996</v>
      </c>
      <c r="H172" s="17">
        <v>7.9276850000000003</v>
      </c>
      <c r="I172" s="17">
        <v>7.998335</v>
      </c>
      <c r="J172" s="17">
        <v>7.9550739999999998</v>
      </c>
      <c r="K172" s="17">
        <v>7.8773970000000002</v>
      </c>
      <c r="L172" s="17">
        <v>7.96624</v>
      </c>
      <c r="M172" s="17">
        <v>7.9728110000000001</v>
      </c>
      <c r="N172" s="18">
        <v>7.92768505</v>
      </c>
      <c r="O172" s="18">
        <v>7.38150189</v>
      </c>
      <c r="P172" s="18">
        <v>7.3696007200000002</v>
      </c>
      <c r="Q172" s="18">
        <v>7.3727463699999998</v>
      </c>
      <c r="R172" s="18">
        <v>7.1716568199999999</v>
      </c>
      <c r="S172" s="18">
        <v>7.1066061400000002</v>
      </c>
    </row>
    <row r="173" spans="1:19" x14ac:dyDescent="0.2">
      <c r="A173" s="17">
        <v>57</v>
      </c>
      <c r="B173" s="17">
        <v>7.8601850000000004</v>
      </c>
      <c r="C173" s="17">
        <v>7.8578679999999999</v>
      </c>
      <c r="D173" s="17">
        <v>7.7964690000000001</v>
      </c>
      <c r="E173" s="17">
        <v>7.7428359999999996</v>
      </c>
      <c r="F173" s="17">
        <v>7.8489339999999999</v>
      </c>
      <c r="G173" s="17">
        <v>7.7993430000000004</v>
      </c>
      <c r="H173" s="17">
        <v>7.9273239999999996</v>
      </c>
      <c r="I173" s="17">
        <v>8.0000140000000002</v>
      </c>
      <c r="J173" s="17">
        <v>7.9529670000000001</v>
      </c>
      <c r="K173" s="17">
        <v>7.8766379999999998</v>
      </c>
      <c r="L173" s="17">
        <v>7.9676270000000002</v>
      </c>
      <c r="M173" s="17">
        <v>7.9755649999999996</v>
      </c>
      <c r="N173" s="18">
        <v>7.9273243600000001</v>
      </c>
      <c r="O173" s="18">
        <v>7.3746290200000004</v>
      </c>
      <c r="P173" s="18">
        <v>7.36833969</v>
      </c>
      <c r="Q173" s="18">
        <v>7.3714893000000004</v>
      </c>
      <c r="R173" s="18">
        <v>7.1670378799999996</v>
      </c>
      <c r="S173" s="18">
        <v>7.1016759699999996</v>
      </c>
    </row>
    <row r="174" spans="1:19" x14ac:dyDescent="0.2">
      <c r="A174" s="17">
        <v>57.33</v>
      </c>
      <c r="B174" s="17">
        <v>7.8586410000000004</v>
      </c>
      <c r="C174" s="17">
        <v>7.859413</v>
      </c>
      <c r="D174" s="17">
        <v>7.7960580000000004</v>
      </c>
      <c r="E174" s="17">
        <v>7.7389239999999999</v>
      </c>
      <c r="F174" s="17">
        <v>7.8528279999999997</v>
      </c>
      <c r="G174" s="17">
        <v>7.7981129999999999</v>
      </c>
      <c r="H174" s="17">
        <v>7.929487</v>
      </c>
      <c r="I174" s="17">
        <v>8.0053669999999997</v>
      </c>
      <c r="J174" s="17">
        <v>7.9512070000000001</v>
      </c>
      <c r="K174" s="17">
        <v>7.8747389999999999</v>
      </c>
      <c r="L174" s="17">
        <v>7.9620670000000002</v>
      </c>
      <c r="M174" s="17">
        <v>7.9693579999999997</v>
      </c>
      <c r="N174" s="18">
        <v>7.9294865200000002</v>
      </c>
      <c r="O174" s="18">
        <v>7.3765081300000004</v>
      </c>
      <c r="P174" s="18">
        <v>7.3626452699999998</v>
      </c>
      <c r="Q174" s="18">
        <v>7.3645470099999999</v>
      </c>
      <c r="R174" s="18">
        <v>7.1724245800000004</v>
      </c>
      <c r="S174" s="18">
        <v>7.0950643800000002</v>
      </c>
    </row>
    <row r="175" spans="1:19" x14ac:dyDescent="0.2">
      <c r="A175" s="17">
        <v>57.67</v>
      </c>
      <c r="B175" s="17">
        <v>7.8563200000000002</v>
      </c>
      <c r="C175" s="17">
        <v>7.8504930000000002</v>
      </c>
      <c r="D175" s="17">
        <v>7.8001630000000004</v>
      </c>
      <c r="E175" s="17">
        <v>7.7406639999999998</v>
      </c>
      <c r="F175" s="17">
        <v>7.844633</v>
      </c>
      <c r="G175" s="17">
        <v>7.7911099999999998</v>
      </c>
      <c r="H175" s="17">
        <v>7.9222609999999998</v>
      </c>
      <c r="I175" s="17">
        <v>7.9986709999999999</v>
      </c>
      <c r="J175" s="17">
        <v>7.9564769999999996</v>
      </c>
      <c r="K175" s="17">
        <v>7.8785340000000001</v>
      </c>
      <c r="L175" s="17">
        <v>7.9693579999999997</v>
      </c>
      <c r="M175" s="17">
        <v>7.9724659999999998</v>
      </c>
      <c r="N175" s="18">
        <v>7.9222610600000003</v>
      </c>
      <c r="O175" s="18">
        <v>7.3808790399999999</v>
      </c>
      <c r="P175" s="18">
        <v>7.3670770599999997</v>
      </c>
      <c r="Q175" s="18">
        <v>7.3677085699999996</v>
      </c>
      <c r="R175" s="18">
        <v>7.1616220000000004</v>
      </c>
      <c r="S175" s="18">
        <v>7.1016759699999996</v>
      </c>
    </row>
    <row r="176" spans="1:19" x14ac:dyDescent="0.2">
      <c r="A176" s="17">
        <v>58</v>
      </c>
      <c r="B176" s="17">
        <v>7.8543810000000001</v>
      </c>
      <c r="C176" s="17">
        <v>7.8536049999999999</v>
      </c>
      <c r="D176" s="17">
        <v>7.7935869999999996</v>
      </c>
      <c r="E176" s="17">
        <v>7.741968</v>
      </c>
      <c r="F176" s="17">
        <v>7.8422790000000004</v>
      </c>
      <c r="G176" s="17">
        <v>7.7968799999999998</v>
      </c>
      <c r="H176" s="17">
        <v>7.9266030000000001</v>
      </c>
      <c r="I176" s="17">
        <v>8.0050329999999992</v>
      </c>
      <c r="J176" s="17">
        <v>7.9494439999999997</v>
      </c>
      <c r="K176" s="17">
        <v>7.8709300000000004</v>
      </c>
      <c r="L176" s="17">
        <v>7.9676270000000002</v>
      </c>
      <c r="M176" s="17">
        <v>7.9734999999999996</v>
      </c>
      <c r="N176" s="18">
        <v>7.9266025999999998</v>
      </c>
      <c r="O176" s="18">
        <v>7.3758821499999998</v>
      </c>
      <c r="P176" s="18">
        <v>7.3689704000000003</v>
      </c>
      <c r="Q176" s="18">
        <v>7.3740018599999999</v>
      </c>
      <c r="R176" s="18">
        <v>7.1800698699999996</v>
      </c>
      <c r="S176" s="18">
        <v>7.1057861300000003</v>
      </c>
    </row>
    <row r="177" spans="1:19" x14ac:dyDescent="0.2">
      <c r="A177" s="17">
        <v>58.33</v>
      </c>
      <c r="B177" s="17">
        <v>7.8586410000000004</v>
      </c>
      <c r="C177" s="17">
        <v>7.8485430000000003</v>
      </c>
      <c r="D177" s="17">
        <v>7.8001630000000004</v>
      </c>
      <c r="E177" s="17">
        <v>7.7384880000000003</v>
      </c>
      <c r="F177" s="17">
        <v>7.8395260000000002</v>
      </c>
      <c r="G177" s="17">
        <v>7.7948230000000001</v>
      </c>
      <c r="H177" s="17">
        <v>7.9255190000000004</v>
      </c>
      <c r="I177" s="17">
        <v>8.0000140000000002</v>
      </c>
      <c r="J177" s="17">
        <v>7.9490910000000001</v>
      </c>
      <c r="K177" s="17">
        <v>7.8751189999999998</v>
      </c>
      <c r="L177" s="17">
        <v>7.9755649999999996</v>
      </c>
      <c r="M177" s="17">
        <v>7.9697040000000001</v>
      </c>
      <c r="N177" s="18">
        <v>7.9255189799999997</v>
      </c>
      <c r="O177" s="18">
        <v>7.3846103799999998</v>
      </c>
      <c r="P177" s="18">
        <v>7.3639134999999998</v>
      </c>
      <c r="Q177" s="18">
        <v>7.3639134999999998</v>
      </c>
      <c r="R177" s="18">
        <v>7.1716568199999999</v>
      </c>
      <c r="S177" s="18">
        <v>7.1057861300000003</v>
      </c>
    </row>
    <row r="178" spans="1:19" x14ac:dyDescent="0.2">
      <c r="A178" s="17">
        <v>58.67</v>
      </c>
      <c r="B178" s="17">
        <v>7.8582539999999996</v>
      </c>
      <c r="C178" s="17">
        <v>7.8454160000000002</v>
      </c>
      <c r="D178" s="17">
        <v>7.7902820000000004</v>
      </c>
      <c r="E178" s="17">
        <v>7.7354329999999996</v>
      </c>
      <c r="F178" s="17">
        <v>7.8458079999999999</v>
      </c>
      <c r="G178" s="17">
        <v>7.7931739999999996</v>
      </c>
      <c r="H178" s="17">
        <v>7.9337970000000002</v>
      </c>
      <c r="I178" s="17">
        <v>7.9976630000000002</v>
      </c>
      <c r="J178" s="17">
        <v>7.955425</v>
      </c>
      <c r="K178" s="17">
        <v>7.8709300000000004</v>
      </c>
      <c r="L178" s="17">
        <v>7.9679729999999998</v>
      </c>
      <c r="M178" s="17">
        <v>7.9728110000000001</v>
      </c>
      <c r="N178" s="18">
        <v>7.9337968700000001</v>
      </c>
      <c r="O178" s="18">
        <v>7.3901814300000002</v>
      </c>
      <c r="P178" s="18">
        <v>7.3771337099999998</v>
      </c>
      <c r="Q178" s="18">
        <v>7.3702306399999999</v>
      </c>
      <c r="R178" s="18">
        <v>7.1770187700000001</v>
      </c>
      <c r="S178" s="18">
        <v>7.1041440900000001</v>
      </c>
    </row>
    <row r="179" spans="1:19" x14ac:dyDescent="0.2">
      <c r="A179" s="17">
        <v>59</v>
      </c>
      <c r="B179" s="17">
        <v>7.8563200000000002</v>
      </c>
      <c r="C179" s="17">
        <v>7.8559320000000001</v>
      </c>
      <c r="D179" s="17">
        <v>7.7902820000000004</v>
      </c>
      <c r="E179" s="17">
        <v>7.7424020000000002</v>
      </c>
      <c r="F179" s="17">
        <v>7.8426710000000002</v>
      </c>
      <c r="G179" s="17">
        <v>7.7964690000000001</v>
      </c>
      <c r="H179" s="17">
        <v>7.9226239999999999</v>
      </c>
      <c r="I179" s="17">
        <v>7.998335</v>
      </c>
      <c r="J179" s="17">
        <v>7.9522630000000003</v>
      </c>
      <c r="K179" s="17">
        <v>7.8762590000000001</v>
      </c>
      <c r="L179" s="17">
        <v>7.9679729999999998</v>
      </c>
      <c r="M179" s="17">
        <v>7.9793390000000004</v>
      </c>
      <c r="N179" s="18">
        <v>7.9226235699999998</v>
      </c>
      <c r="O179" s="18">
        <v>7.38150189</v>
      </c>
      <c r="P179" s="18">
        <v>7.3658128400000003</v>
      </c>
      <c r="Q179" s="18">
        <v>7.38150189</v>
      </c>
      <c r="R179" s="18">
        <v>7.1631723899999997</v>
      </c>
      <c r="S179" s="18">
        <v>7.1000271699999997</v>
      </c>
    </row>
    <row r="180" spans="1:19" x14ac:dyDescent="0.2">
      <c r="A180" s="17">
        <v>59.33</v>
      </c>
      <c r="B180" s="17">
        <v>7.8547690000000001</v>
      </c>
      <c r="C180" s="17">
        <v>7.8426710000000002</v>
      </c>
      <c r="D180" s="17">
        <v>7.7902820000000004</v>
      </c>
      <c r="E180" s="17">
        <v>7.7384880000000003</v>
      </c>
      <c r="F180" s="17">
        <v>7.8438489999999996</v>
      </c>
      <c r="G180" s="17">
        <v>7.7915229999999998</v>
      </c>
      <c r="H180" s="17">
        <v>7.9266030000000001</v>
      </c>
      <c r="I180" s="17">
        <v>7.9963170000000003</v>
      </c>
      <c r="J180" s="17">
        <v>7.9515589999999996</v>
      </c>
      <c r="K180" s="17">
        <v>7.8830689999999999</v>
      </c>
      <c r="L180" s="17">
        <v>7.9617190000000004</v>
      </c>
      <c r="M180" s="17">
        <v>7.9697040000000001</v>
      </c>
      <c r="N180" s="18">
        <v>7.9266025999999998</v>
      </c>
      <c r="O180" s="18">
        <v>7.3758821499999998</v>
      </c>
      <c r="P180" s="18">
        <v>7.3607398999999996</v>
      </c>
      <c r="Q180" s="18">
        <v>7.3714893000000004</v>
      </c>
      <c r="R180" s="18">
        <v>7.1777824199999998</v>
      </c>
      <c r="S180" s="18">
        <v>7.1172054999999999</v>
      </c>
    </row>
    <row r="181" spans="1:19" x14ac:dyDescent="0.2">
      <c r="A181" s="17">
        <v>59.67</v>
      </c>
      <c r="B181" s="17">
        <v>7.8597989999999998</v>
      </c>
      <c r="C181" s="17">
        <v>7.8461990000000004</v>
      </c>
      <c r="D181" s="17">
        <v>7.7915229999999998</v>
      </c>
      <c r="E181" s="17">
        <v>7.7371800000000004</v>
      </c>
      <c r="F181" s="17">
        <v>7.8411</v>
      </c>
      <c r="G181" s="17">
        <v>7.7906959999999996</v>
      </c>
      <c r="H181" s="17">
        <v>7.9251579999999997</v>
      </c>
      <c r="I181" s="17">
        <v>7.9963170000000003</v>
      </c>
      <c r="J181" s="17">
        <v>7.9557760000000002</v>
      </c>
      <c r="K181" s="17">
        <v>7.8792910000000003</v>
      </c>
      <c r="L181" s="17">
        <v>7.9613699999999996</v>
      </c>
      <c r="M181" s="17">
        <v>7.9690120000000002</v>
      </c>
      <c r="N181" s="18">
        <v>7.92515751</v>
      </c>
      <c r="O181" s="18">
        <v>7.36833969</v>
      </c>
      <c r="P181" s="18">
        <v>7.36833969</v>
      </c>
      <c r="Q181" s="18">
        <v>7.3658128400000003</v>
      </c>
      <c r="R181" s="18">
        <v>7.1708884800000003</v>
      </c>
      <c r="S181" s="18">
        <v>7.1066061400000002</v>
      </c>
    </row>
    <row r="182" spans="1:19" x14ac:dyDescent="0.2">
      <c r="A182" s="17">
        <v>60</v>
      </c>
      <c r="B182" s="17">
        <v>7.857094</v>
      </c>
      <c r="C182" s="17">
        <v>7.8414929999999998</v>
      </c>
      <c r="D182" s="17">
        <v>7.7906959999999996</v>
      </c>
      <c r="E182" s="17">
        <v>7.7319310000000003</v>
      </c>
      <c r="F182" s="17">
        <v>7.8512719999999998</v>
      </c>
      <c r="G182" s="17">
        <v>7.7944110000000002</v>
      </c>
      <c r="H182" s="17">
        <v>7.9291260000000001</v>
      </c>
      <c r="I182" s="17">
        <v>7.9966540000000004</v>
      </c>
      <c r="J182" s="17">
        <v>7.948385</v>
      </c>
      <c r="K182" s="17">
        <v>7.8773970000000002</v>
      </c>
      <c r="L182" s="17">
        <v>7.9613699999999996</v>
      </c>
      <c r="M182" s="17">
        <v>7.9717760000000002</v>
      </c>
      <c r="N182" s="18">
        <v>7.9291264899999998</v>
      </c>
      <c r="O182" s="18">
        <v>7.3783837099999996</v>
      </c>
      <c r="P182" s="18">
        <v>7.3758821499999998</v>
      </c>
      <c r="Q182" s="18">
        <v>7.3746290200000004</v>
      </c>
      <c r="R182" s="18">
        <v>7.17011954</v>
      </c>
      <c r="S182" s="18">
        <v>7.1123274399999996</v>
      </c>
    </row>
    <row r="183" spans="1:19" x14ac:dyDescent="0.2">
      <c r="A183" s="17">
        <v>60.33</v>
      </c>
      <c r="B183" s="17">
        <v>7.8551570000000002</v>
      </c>
      <c r="C183" s="17">
        <v>7.8434559999999998</v>
      </c>
      <c r="D183" s="17">
        <v>7.7898690000000004</v>
      </c>
      <c r="E183" s="17">
        <v>7.7354329999999996</v>
      </c>
      <c r="F183" s="17">
        <v>7.8454160000000002</v>
      </c>
      <c r="G183" s="17">
        <v>7.7869669999999998</v>
      </c>
      <c r="H183" s="17">
        <v>7.929487</v>
      </c>
      <c r="I183" s="17">
        <v>8.0003489999999999</v>
      </c>
      <c r="J183" s="17">
        <v>7.948385</v>
      </c>
      <c r="K183" s="17">
        <v>7.8781549999999996</v>
      </c>
      <c r="L183" s="17">
        <v>7.9620670000000002</v>
      </c>
      <c r="M183" s="17">
        <v>7.9665869999999996</v>
      </c>
      <c r="N183" s="18">
        <v>7.9294865200000002</v>
      </c>
      <c r="O183" s="18">
        <v>7.3765081300000004</v>
      </c>
      <c r="P183" s="18">
        <v>7.3645470099999999</v>
      </c>
      <c r="Q183" s="18">
        <v>7.3562798799999998</v>
      </c>
      <c r="R183" s="18">
        <v>7.1678091799999999</v>
      </c>
      <c r="S183" s="18">
        <v>7.1074254699999999</v>
      </c>
    </row>
    <row r="184" spans="1:19" x14ac:dyDescent="0.2">
      <c r="A184" s="17">
        <v>60.67</v>
      </c>
      <c r="B184" s="17">
        <v>7.8551570000000002</v>
      </c>
      <c r="C184" s="17">
        <v>7.8422790000000004</v>
      </c>
      <c r="D184" s="17">
        <v>7.7898690000000004</v>
      </c>
      <c r="E184" s="17">
        <v>7.7310530000000002</v>
      </c>
      <c r="F184" s="17">
        <v>7.8442410000000002</v>
      </c>
      <c r="G184" s="17">
        <v>7.7911099999999998</v>
      </c>
      <c r="H184" s="17">
        <v>7.9262420000000002</v>
      </c>
      <c r="I184" s="17">
        <v>7.9956440000000004</v>
      </c>
      <c r="J184" s="17">
        <v>7.9494439999999997</v>
      </c>
      <c r="K184" s="17">
        <v>7.8762590000000001</v>
      </c>
      <c r="L184" s="17">
        <v>7.9693579999999997</v>
      </c>
      <c r="M184" s="17">
        <v>7.9655459999999998</v>
      </c>
      <c r="N184" s="18">
        <v>7.9262415199999996</v>
      </c>
      <c r="O184" s="18">
        <v>7.3802557899999996</v>
      </c>
      <c r="P184" s="18">
        <v>7.3689704000000003</v>
      </c>
      <c r="Q184" s="18">
        <v>7.3421317300000002</v>
      </c>
      <c r="R184" s="18">
        <v>7.1906760299999997</v>
      </c>
      <c r="S184" s="18">
        <v>7.1204443700000004</v>
      </c>
    </row>
    <row r="185" spans="1:19" x14ac:dyDescent="0.2">
      <c r="A185" s="17">
        <v>61</v>
      </c>
      <c r="B185" s="17">
        <v>7.8543810000000001</v>
      </c>
      <c r="C185" s="17">
        <v>7.8414929999999998</v>
      </c>
      <c r="D185" s="17">
        <v>7.7894550000000002</v>
      </c>
      <c r="E185" s="17">
        <v>7.7270940000000001</v>
      </c>
      <c r="F185" s="17">
        <v>7.8477629999999996</v>
      </c>
      <c r="G185" s="17">
        <v>7.780303</v>
      </c>
      <c r="H185" s="17">
        <v>7.9229859999999999</v>
      </c>
      <c r="I185" s="17">
        <v>8.0013550000000002</v>
      </c>
      <c r="J185" s="17">
        <v>7.951911</v>
      </c>
      <c r="K185" s="17">
        <v>7.8739780000000001</v>
      </c>
      <c r="L185" s="17">
        <v>7.9690120000000002</v>
      </c>
      <c r="M185" s="17">
        <v>7.9665869999999996</v>
      </c>
      <c r="N185" s="18">
        <v>7.9229859600000001</v>
      </c>
      <c r="O185" s="18">
        <v>7.3752557799999998</v>
      </c>
      <c r="P185" s="18">
        <v>7.3613754299999998</v>
      </c>
      <c r="Q185" s="18">
        <v>7.3550019200000003</v>
      </c>
      <c r="R185" s="18">
        <v>7.1762545299999996</v>
      </c>
      <c r="S185" s="18">
        <v>7.1106961200000001</v>
      </c>
    </row>
    <row r="186" spans="1:19" x14ac:dyDescent="0.2">
      <c r="A186" s="17">
        <v>61.33</v>
      </c>
      <c r="B186" s="17">
        <v>7.8551570000000002</v>
      </c>
      <c r="C186" s="17">
        <v>7.8383430000000001</v>
      </c>
      <c r="D186" s="17">
        <v>7.7886259999999998</v>
      </c>
      <c r="E186" s="17">
        <v>7.7297349999999998</v>
      </c>
      <c r="F186" s="17">
        <v>7.8504930000000002</v>
      </c>
      <c r="G186" s="17">
        <v>7.7886259999999998</v>
      </c>
      <c r="H186" s="17">
        <v>7.9266030000000001</v>
      </c>
      <c r="I186" s="17">
        <v>8.0003489999999999</v>
      </c>
      <c r="J186" s="17">
        <v>7.9490910000000001</v>
      </c>
      <c r="K186" s="17">
        <v>7.8678710000000001</v>
      </c>
      <c r="L186" s="17">
        <v>7.9724659999999998</v>
      </c>
      <c r="M186" s="17">
        <v>7.9672799999999997</v>
      </c>
      <c r="N186" s="18">
        <v>7.9266025999999998</v>
      </c>
      <c r="O186" s="18">
        <v>7.3721180300000002</v>
      </c>
      <c r="P186" s="18">
        <v>7.3517998699999998</v>
      </c>
      <c r="Q186" s="18">
        <v>7.3575562000000003</v>
      </c>
      <c r="R186" s="18">
        <v>7.1670378799999996</v>
      </c>
      <c r="S186" s="18">
        <v>7.1236727899999996</v>
      </c>
    </row>
    <row r="187" spans="1:19" x14ac:dyDescent="0.2">
      <c r="A187" s="17">
        <v>61.67</v>
      </c>
      <c r="B187" s="17">
        <v>7.8597989999999998</v>
      </c>
      <c r="C187" s="17">
        <v>7.8355790000000001</v>
      </c>
      <c r="D187" s="17">
        <v>7.7894550000000002</v>
      </c>
      <c r="E187" s="17">
        <v>7.7310530000000002</v>
      </c>
      <c r="F187" s="17">
        <v>7.8508829999999996</v>
      </c>
      <c r="G187" s="17">
        <v>7.7752759999999999</v>
      </c>
      <c r="H187" s="17">
        <v>7.9240719999999998</v>
      </c>
      <c r="I187" s="17">
        <v>7.9963170000000003</v>
      </c>
      <c r="J187" s="17">
        <v>7.9501499999999998</v>
      </c>
      <c r="K187" s="17">
        <v>7.8732170000000004</v>
      </c>
      <c r="L187" s="17">
        <v>7.9762519999999997</v>
      </c>
      <c r="M187" s="17">
        <v>7.9714309999999999</v>
      </c>
      <c r="N187" s="18">
        <v>7.9240723199999996</v>
      </c>
      <c r="O187" s="18">
        <v>7.3758821499999998</v>
      </c>
      <c r="P187" s="18">
        <v>7.3524411000000001</v>
      </c>
      <c r="Q187" s="18">
        <v>7.3524411000000001</v>
      </c>
      <c r="R187" s="18">
        <v>7.1770187700000001</v>
      </c>
      <c r="S187" s="18">
        <v>7.1196356400000003</v>
      </c>
    </row>
    <row r="188" spans="1:19" x14ac:dyDescent="0.2">
      <c r="A188" s="17">
        <v>62</v>
      </c>
      <c r="B188" s="17">
        <v>7.8551570000000002</v>
      </c>
      <c r="C188" s="17">
        <v>7.843064</v>
      </c>
      <c r="D188" s="17">
        <v>7.7898690000000004</v>
      </c>
      <c r="E188" s="17">
        <v>7.7231199999999998</v>
      </c>
      <c r="F188" s="17">
        <v>7.8450240000000004</v>
      </c>
      <c r="G188" s="17">
        <v>7.7853050000000001</v>
      </c>
      <c r="H188" s="17">
        <v>7.9233479999999998</v>
      </c>
      <c r="I188" s="17">
        <v>8.0036970000000007</v>
      </c>
      <c r="J188" s="17">
        <v>7.9522630000000003</v>
      </c>
      <c r="K188" s="17">
        <v>7.8735980000000003</v>
      </c>
      <c r="L188" s="17">
        <v>7.9755649999999996</v>
      </c>
      <c r="M188" s="17">
        <v>7.966933</v>
      </c>
      <c r="N188" s="18">
        <v>7.9233482100000003</v>
      </c>
      <c r="O188" s="18">
        <v>7.3689704000000003</v>
      </c>
      <c r="P188" s="18">
        <v>7.3550019200000003</v>
      </c>
      <c r="Q188" s="18">
        <v>7.3460102100000002</v>
      </c>
      <c r="R188" s="18">
        <v>7.1808312000000001</v>
      </c>
      <c r="S188" s="18">
        <v>7.1147694499999998</v>
      </c>
    </row>
    <row r="189" spans="1:19" x14ac:dyDescent="0.2">
      <c r="A189" s="17">
        <v>62.33</v>
      </c>
      <c r="B189" s="17">
        <v>7.8477629999999996</v>
      </c>
      <c r="C189" s="17">
        <v>7.8355790000000001</v>
      </c>
      <c r="D189" s="17">
        <v>7.7807209999999998</v>
      </c>
      <c r="E189" s="17">
        <v>7.730175</v>
      </c>
      <c r="F189" s="17">
        <v>7.8524390000000004</v>
      </c>
      <c r="G189" s="17">
        <v>7.7769539999999999</v>
      </c>
      <c r="H189" s="17">
        <v>7.9208100000000004</v>
      </c>
      <c r="I189" s="17">
        <v>7.9979990000000001</v>
      </c>
      <c r="J189" s="17">
        <v>7.9462640000000002</v>
      </c>
      <c r="K189" s="17">
        <v>7.8713110000000004</v>
      </c>
      <c r="L189" s="17">
        <v>7.9738439999999997</v>
      </c>
      <c r="M189" s="17">
        <v>7.96624</v>
      </c>
      <c r="N189" s="18">
        <v>7.9208096799999996</v>
      </c>
      <c r="O189" s="18">
        <v>7.3740018599999999</v>
      </c>
      <c r="P189" s="18">
        <v>7.3556410999999997</v>
      </c>
      <c r="Q189" s="18">
        <v>7.3453648400000002</v>
      </c>
      <c r="R189" s="18">
        <v>7.1815919399999997</v>
      </c>
      <c r="S189" s="18">
        <v>7.1139561100000002</v>
      </c>
    </row>
    <row r="190" spans="1:19" x14ac:dyDescent="0.2">
      <c r="A190" s="17">
        <v>62.67</v>
      </c>
      <c r="B190" s="17">
        <v>7.8555450000000002</v>
      </c>
      <c r="C190" s="17">
        <v>7.8367649999999998</v>
      </c>
      <c r="D190" s="17">
        <v>7.7844730000000002</v>
      </c>
      <c r="E190" s="17">
        <v>7.721349</v>
      </c>
      <c r="F190" s="17">
        <v>7.843064</v>
      </c>
      <c r="G190" s="17">
        <v>7.7761149999999999</v>
      </c>
      <c r="H190" s="17">
        <v>7.9251579999999997</v>
      </c>
      <c r="I190" s="17">
        <v>8.0006850000000007</v>
      </c>
      <c r="J190" s="17">
        <v>7.9437829999999998</v>
      </c>
      <c r="K190" s="17">
        <v>7.8682540000000003</v>
      </c>
      <c r="L190" s="17">
        <v>7.9748770000000002</v>
      </c>
      <c r="M190" s="17">
        <v>7.9606729999999999</v>
      </c>
      <c r="N190" s="18">
        <v>7.92515751</v>
      </c>
      <c r="O190" s="18">
        <v>7.3670770599999997</v>
      </c>
      <c r="P190" s="18">
        <v>7.3550019200000003</v>
      </c>
      <c r="Q190" s="18">
        <v>7.3651801299999997</v>
      </c>
      <c r="R190" s="18">
        <v>7.1716568199999999</v>
      </c>
      <c r="S190" s="18">
        <v>7.1147694499999998</v>
      </c>
    </row>
    <row r="191" spans="1:19" x14ac:dyDescent="0.2">
      <c r="A191" s="17">
        <v>63</v>
      </c>
      <c r="B191" s="17">
        <v>7.851661</v>
      </c>
      <c r="C191" s="17">
        <v>7.8351839999999999</v>
      </c>
      <c r="D191" s="17">
        <v>7.7836410000000003</v>
      </c>
      <c r="E191" s="17">
        <v>7.724005</v>
      </c>
      <c r="F191" s="17">
        <v>7.8497139999999996</v>
      </c>
      <c r="G191" s="17">
        <v>7.7735940000000001</v>
      </c>
      <c r="H191" s="17">
        <v>7.9193559999999996</v>
      </c>
      <c r="I191" s="17">
        <v>7.9878640000000001</v>
      </c>
      <c r="J191" s="17">
        <v>7.9543720000000002</v>
      </c>
      <c r="K191" s="17">
        <v>7.867489</v>
      </c>
      <c r="L191" s="17">
        <v>7.9779679999999997</v>
      </c>
      <c r="M191" s="17">
        <v>7.9645029999999997</v>
      </c>
      <c r="N191" s="18">
        <v>7.9193561900000002</v>
      </c>
      <c r="O191" s="18">
        <v>7.3664451499999997</v>
      </c>
      <c r="P191" s="18">
        <v>7.3581937499999999</v>
      </c>
      <c r="Q191" s="18">
        <v>7.3632795900000003</v>
      </c>
      <c r="R191" s="18">
        <v>7.1724245800000004</v>
      </c>
      <c r="S191" s="18">
        <v>7.1212524500000001</v>
      </c>
    </row>
    <row r="192" spans="1:19" x14ac:dyDescent="0.2">
      <c r="A192" s="17">
        <v>63.33</v>
      </c>
      <c r="B192" s="17">
        <v>7.8508829999999996</v>
      </c>
      <c r="C192" s="17">
        <v>7.8335999999999997</v>
      </c>
      <c r="D192" s="17">
        <v>7.782807</v>
      </c>
      <c r="E192" s="17">
        <v>7.7226780000000002</v>
      </c>
      <c r="F192" s="17">
        <v>7.8489339999999999</v>
      </c>
      <c r="G192" s="17">
        <v>7.773174</v>
      </c>
      <c r="H192" s="17">
        <v>7.9266030000000001</v>
      </c>
      <c r="I192" s="17">
        <v>7.9936199999999999</v>
      </c>
      <c r="J192" s="17">
        <v>7.9437829999999998</v>
      </c>
      <c r="K192" s="17">
        <v>7.8728360000000004</v>
      </c>
      <c r="L192" s="17">
        <v>7.9769389999999998</v>
      </c>
      <c r="M192" s="17">
        <v>7.954021</v>
      </c>
      <c r="N192" s="18">
        <v>7.9266025999999998</v>
      </c>
      <c r="O192" s="18">
        <v>7.3708601700000003</v>
      </c>
      <c r="P192" s="18">
        <v>7.3575562000000003</v>
      </c>
      <c r="Q192" s="18">
        <v>7.3839894599999996</v>
      </c>
      <c r="R192" s="18">
        <v>7.1770187700000001</v>
      </c>
      <c r="S192" s="18">
        <v>7.1115121200000004</v>
      </c>
    </row>
    <row r="193" spans="1:19" x14ac:dyDescent="0.2">
      <c r="A193" s="17">
        <v>63.67</v>
      </c>
      <c r="B193" s="17">
        <v>7.8481529999999999</v>
      </c>
      <c r="C193" s="17">
        <v>7.8304260000000001</v>
      </c>
      <c r="D193" s="17">
        <v>7.7840569999999998</v>
      </c>
      <c r="E193" s="17">
        <v>7.7226780000000002</v>
      </c>
      <c r="F193" s="17">
        <v>7.8481529999999999</v>
      </c>
      <c r="G193" s="17">
        <v>7.7676869999999996</v>
      </c>
      <c r="H193" s="17">
        <v>7.9226239999999999</v>
      </c>
      <c r="I193" s="17">
        <v>7.9976630000000002</v>
      </c>
      <c r="J193" s="17">
        <v>7.9515589999999996</v>
      </c>
      <c r="K193" s="17">
        <v>7.8732170000000004</v>
      </c>
      <c r="L193" s="17">
        <v>7.9762519999999997</v>
      </c>
      <c r="M193" s="17">
        <v>7.9571769999999997</v>
      </c>
      <c r="N193" s="18">
        <v>7.9226235699999998</v>
      </c>
      <c r="O193" s="18">
        <v>7.3708601700000003</v>
      </c>
      <c r="P193" s="18">
        <v>7.3601039699999999</v>
      </c>
      <c r="Q193" s="18">
        <v>7.3846103799999998</v>
      </c>
      <c r="R193" s="18">
        <v>7.1716568199999999</v>
      </c>
      <c r="S193" s="18">
        <v>7.1008519100000003</v>
      </c>
    </row>
    <row r="194" spans="1:19" x14ac:dyDescent="0.2">
      <c r="A194" s="17">
        <v>64</v>
      </c>
      <c r="B194" s="17">
        <v>7.8489339999999999</v>
      </c>
      <c r="C194" s="17">
        <v>7.832808</v>
      </c>
      <c r="D194" s="17">
        <v>7.7865520000000004</v>
      </c>
      <c r="E194" s="17">
        <v>7.724888</v>
      </c>
      <c r="F194" s="17">
        <v>7.8469810000000004</v>
      </c>
      <c r="G194" s="17">
        <v>7.7676869999999996</v>
      </c>
      <c r="H194" s="17">
        <v>7.9208100000000004</v>
      </c>
      <c r="I194" s="17">
        <v>7.9979990000000001</v>
      </c>
      <c r="J194" s="17">
        <v>7.9522630000000003</v>
      </c>
      <c r="K194" s="17">
        <v>7.8751189999999998</v>
      </c>
      <c r="L194" s="17">
        <v>7.9769389999999998</v>
      </c>
      <c r="M194" s="17">
        <v>7.959276</v>
      </c>
      <c r="N194" s="18">
        <v>7.9208096799999996</v>
      </c>
      <c r="O194" s="18">
        <v>7.3783837099999996</v>
      </c>
      <c r="P194" s="18">
        <v>7.3613754299999998</v>
      </c>
      <c r="Q194" s="18">
        <v>7.3951075499999996</v>
      </c>
      <c r="R194" s="18">
        <v>7.1785454800000004</v>
      </c>
      <c r="S194" s="18">
        <v>7.1090621399999998</v>
      </c>
    </row>
    <row r="195" spans="1:19" x14ac:dyDescent="0.2">
      <c r="A195" s="17">
        <v>64.33</v>
      </c>
      <c r="B195" s="17">
        <v>7.8504930000000002</v>
      </c>
      <c r="C195" s="17">
        <v>7.8324109999999996</v>
      </c>
      <c r="D195" s="17">
        <v>7.7798850000000002</v>
      </c>
      <c r="E195" s="17">
        <v>7.7284160000000002</v>
      </c>
      <c r="F195" s="17">
        <v>7.850104</v>
      </c>
      <c r="G195" s="17">
        <v>7.7604670000000002</v>
      </c>
      <c r="H195" s="17">
        <v>7.9193559999999996</v>
      </c>
      <c r="I195" s="17">
        <v>8.0006850000000007</v>
      </c>
      <c r="J195" s="17">
        <v>7.9469709999999996</v>
      </c>
      <c r="K195" s="17">
        <v>7.8747389999999999</v>
      </c>
      <c r="L195" s="17">
        <v>7.9755649999999996</v>
      </c>
      <c r="M195" s="17">
        <v>7.9575269999999998</v>
      </c>
      <c r="N195" s="18">
        <v>7.9193561900000002</v>
      </c>
      <c r="O195" s="18">
        <v>7.3758821499999998</v>
      </c>
      <c r="P195" s="18">
        <v>7.3632795900000003</v>
      </c>
      <c r="Q195" s="18">
        <v>7.3846103799999998</v>
      </c>
      <c r="R195" s="18">
        <v>7.1739583199999997</v>
      </c>
      <c r="S195" s="18">
        <v>7.1106961200000001</v>
      </c>
    </row>
    <row r="196" spans="1:19" x14ac:dyDescent="0.2">
      <c r="A196" s="17">
        <v>64.67</v>
      </c>
      <c r="B196" s="17">
        <v>7.843064</v>
      </c>
      <c r="C196" s="17">
        <v>7.832014</v>
      </c>
      <c r="D196" s="17">
        <v>7.7698010000000002</v>
      </c>
      <c r="E196" s="17">
        <v>7.7253299999999996</v>
      </c>
      <c r="F196" s="17">
        <v>7.8520500000000002</v>
      </c>
      <c r="G196" s="17">
        <v>7.7702229999999997</v>
      </c>
      <c r="H196" s="17">
        <v>7.9153479999999998</v>
      </c>
      <c r="I196" s="17">
        <v>7.9929449999999997</v>
      </c>
      <c r="J196" s="17">
        <v>7.9395150000000001</v>
      </c>
      <c r="K196" s="17">
        <v>7.8728360000000004</v>
      </c>
      <c r="L196" s="17">
        <v>7.9813919999999996</v>
      </c>
      <c r="M196" s="17">
        <v>7.9564769999999996</v>
      </c>
      <c r="N196" s="18">
        <v>7.9153481699999997</v>
      </c>
      <c r="O196" s="18">
        <v>7.3740018599999999</v>
      </c>
      <c r="P196" s="18">
        <v>7.3466551600000001</v>
      </c>
      <c r="Q196" s="18">
        <v>7.4000095200000002</v>
      </c>
      <c r="R196" s="18">
        <v>7.1747243100000002</v>
      </c>
      <c r="S196" s="18">
        <v>7.1074254699999999</v>
      </c>
    </row>
    <row r="197" spans="1:19" x14ac:dyDescent="0.2">
      <c r="A197" s="17">
        <v>65</v>
      </c>
      <c r="B197" s="17">
        <v>7.8418859999999997</v>
      </c>
      <c r="C197" s="17">
        <v>7.832808</v>
      </c>
      <c r="D197" s="17">
        <v>7.773174</v>
      </c>
      <c r="E197" s="17">
        <v>7.7244469999999996</v>
      </c>
      <c r="F197" s="17">
        <v>7.8438489999999996</v>
      </c>
      <c r="G197" s="17">
        <v>7.7651450000000004</v>
      </c>
      <c r="H197" s="17">
        <v>7.9255190000000004</v>
      </c>
      <c r="I197" s="17">
        <v>7.9932819999999998</v>
      </c>
      <c r="J197" s="17">
        <v>7.946618</v>
      </c>
      <c r="K197" s="17">
        <v>7.8781549999999996</v>
      </c>
      <c r="L197" s="17">
        <v>7.9748770000000002</v>
      </c>
      <c r="M197" s="17">
        <v>7.954021</v>
      </c>
      <c r="N197" s="18">
        <v>7.9255189799999997</v>
      </c>
      <c r="O197" s="18">
        <v>7.3714893000000004</v>
      </c>
      <c r="P197" s="18">
        <v>7.3472996999999998</v>
      </c>
      <c r="Q197" s="18">
        <v>7.3883278600000004</v>
      </c>
      <c r="R197" s="18">
        <v>7.15617664</v>
      </c>
      <c r="S197" s="18">
        <v>7.1066061400000002</v>
      </c>
    </row>
    <row r="198" spans="1:19" x14ac:dyDescent="0.2">
      <c r="A198" s="17">
        <v>65.33</v>
      </c>
      <c r="B198" s="17">
        <v>7.8422790000000004</v>
      </c>
      <c r="C198" s="17">
        <v>7.828436</v>
      </c>
      <c r="D198" s="17">
        <v>7.7727529999999998</v>
      </c>
      <c r="E198" s="17">
        <v>7.7235620000000003</v>
      </c>
      <c r="F198" s="17">
        <v>7.851661</v>
      </c>
      <c r="G198" s="17">
        <v>7.7608930000000003</v>
      </c>
      <c r="H198" s="17">
        <v>7.9226239999999999</v>
      </c>
      <c r="I198" s="17">
        <v>7.9973270000000003</v>
      </c>
      <c r="J198" s="17">
        <v>7.9501499999999998</v>
      </c>
      <c r="K198" s="17">
        <v>7.8777759999999999</v>
      </c>
      <c r="L198" s="17">
        <v>7.9707400000000002</v>
      </c>
      <c r="M198" s="17">
        <v>7.9469709999999996</v>
      </c>
      <c r="N198" s="18">
        <v>7.9226235699999998</v>
      </c>
      <c r="O198" s="18">
        <v>7.3677085699999996</v>
      </c>
      <c r="P198" s="18">
        <v>7.3543623299999998</v>
      </c>
      <c r="Q198" s="18">
        <v>7.3987862800000004</v>
      </c>
      <c r="R198" s="18">
        <v>7.1785454800000004</v>
      </c>
      <c r="S198" s="18">
        <v>7.1090621399999998</v>
      </c>
    </row>
    <row r="199" spans="1:19" x14ac:dyDescent="0.2">
      <c r="A199" s="17">
        <v>65.67</v>
      </c>
      <c r="B199" s="17">
        <v>7.8512719999999998</v>
      </c>
      <c r="C199" s="17">
        <v>7.8308229999999996</v>
      </c>
      <c r="D199" s="17">
        <v>7.7748559999999998</v>
      </c>
      <c r="E199" s="17">
        <v>7.724888</v>
      </c>
      <c r="F199" s="17">
        <v>7.8469810000000004</v>
      </c>
      <c r="G199" s="17">
        <v>7.7570509999999997</v>
      </c>
      <c r="H199" s="17">
        <v>7.9160779999999997</v>
      </c>
      <c r="I199" s="17">
        <v>7.9926069999999996</v>
      </c>
      <c r="J199" s="17">
        <v>7.9526149999999998</v>
      </c>
      <c r="K199" s="17">
        <v>7.8815600000000003</v>
      </c>
      <c r="L199" s="17">
        <v>7.9779679999999997</v>
      </c>
      <c r="M199" s="17">
        <v>7.9568269999999997</v>
      </c>
      <c r="N199" s="18">
        <v>7.9160781</v>
      </c>
      <c r="O199" s="18">
        <v>7.37337431</v>
      </c>
      <c r="P199" s="18">
        <v>7.3530819200000002</v>
      </c>
      <c r="Q199" s="18">
        <v>7.3987862800000004</v>
      </c>
      <c r="R199" s="18">
        <v>7.1739583199999997</v>
      </c>
      <c r="S199" s="18">
        <v>7.1123274399999996</v>
      </c>
    </row>
    <row r="200" spans="1:19" x14ac:dyDescent="0.2">
      <c r="A200" s="17">
        <v>66</v>
      </c>
      <c r="B200" s="17">
        <v>7.8493240000000002</v>
      </c>
      <c r="C200" s="17">
        <v>7.8280380000000003</v>
      </c>
      <c r="D200" s="17">
        <v>7.773174</v>
      </c>
      <c r="E200" s="17">
        <v>7.7244469999999996</v>
      </c>
      <c r="F200" s="17">
        <v>7.851661</v>
      </c>
      <c r="G200" s="17">
        <v>7.7557669999999996</v>
      </c>
      <c r="H200" s="17">
        <v>7.9131549999999997</v>
      </c>
      <c r="I200" s="17">
        <v>8.002694</v>
      </c>
      <c r="J200" s="17">
        <v>7.9494439999999997</v>
      </c>
      <c r="K200" s="17">
        <v>7.8762590000000001</v>
      </c>
      <c r="L200" s="17">
        <v>7.9813919999999996</v>
      </c>
      <c r="M200" s="17">
        <v>7.9564769999999996</v>
      </c>
      <c r="N200" s="18">
        <v>7.9131551900000003</v>
      </c>
      <c r="O200" s="18">
        <v>7.3601039699999999</v>
      </c>
      <c r="P200" s="18">
        <v>7.3556410999999997</v>
      </c>
      <c r="Q200" s="18">
        <v>7.39387829</v>
      </c>
      <c r="R200" s="18">
        <v>7.1823521100000001</v>
      </c>
      <c r="S200" s="18">
        <v>7.1212524500000001</v>
      </c>
    </row>
    <row r="201" spans="1:19" x14ac:dyDescent="0.2">
      <c r="A201" s="17">
        <v>66.33</v>
      </c>
      <c r="B201" s="17">
        <v>7.8461990000000004</v>
      </c>
      <c r="C201" s="17">
        <v>7.8316169999999996</v>
      </c>
      <c r="D201" s="17">
        <v>7.7714889999999999</v>
      </c>
      <c r="E201" s="17">
        <v>7.7222350000000004</v>
      </c>
      <c r="F201" s="17">
        <v>7.8524390000000004</v>
      </c>
      <c r="G201" s="17">
        <v>7.7583330000000004</v>
      </c>
      <c r="H201" s="17">
        <v>7.9193559999999996</v>
      </c>
      <c r="I201" s="17">
        <v>7.9966540000000004</v>
      </c>
      <c r="J201" s="17">
        <v>7.9505020000000002</v>
      </c>
      <c r="K201" s="17">
        <v>7.8770179999999996</v>
      </c>
      <c r="L201" s="17">
        <v>7.9738439999999997</v>
      </c>
      <c r="M201" s="17">
        <v>7.955425</v>
      </c>
      <c r="N201" s="18">
        <v>7.9193561900000002</v>
      </c>
      <c r="O201" s="18">
        <v>7.37337431</v>
      </c>
      <c r="P201" s="18">
        <v>7.3530819200000002</v>
      </c>
      <c r="Q201" s="18">
        <v>7.4073177100000001</v>
      </c>
      <c r="R201" s="18">
        <v>7.1800698699999996</v>
      </c>
      <c r="S201" s="18">
        <v>7.1123274399999996</v>
      </c>
    </row>
    <row r="202" spans="1:19" x14ac:dyDescent="0.2">
      <c r="A202" s="17">
        <v>66.67</v>
      </c>
      <c r="B202" s="17">
        <v>7.8485430000000003</v>
      </c>
      <c r="C202" s="17">
        <v>7.828436</v>
      </c>
      <c r="D202" s="17">
        <v>7.776535</v>
      </c>
      <c r="E202" s="17">
        <v>7.7111010000000002</v>
      </c>
      <c r="F202" s="17">
        <v>7.8555450000000002</v>
      </c>
      <c r="G202" s="17">
        <v>7.7536240000000003</v>
      </c>
      <c r="H202" s="17">
        <v>7.9168070000000004</v>
      </c>
      <c r="I202" s="17">
        <v>7.9996790000000004</v>
      </c>
      <c r="J202" s="17">
        <v>7.9512070000000001</v>
      </c>
      <c r="K202" s="17">
        <v>7.8800480000000004</v>
      </c>
      <c r="L202" s="17">
        <v>7.9807079999999999</v>
      </c>
      <c r="M202" s="17">
        <v>7.9455549999999997</v>
      </c>
      <c r="N202" s="18">
        <v>7.9168074900000001</v>
      </c>
      <c r="O202" s="18">
        <v>7.36833969</v>
      </c>
      <c r="P202" s="18">
        <v>7.3601039699999999</v>
      </c>
      <c r="Q202" s="18">
        <v>7.3993980800000001</v>
      </c>
      <c r="R202" s="18">
        <v>7.1831117000000004</v>
      </c>
      <c r="S202" s="18">
        <v>7.1180161999999996</v>
      </c>
    </row>
    <row r="203" spans="1:19" x14ac:dyDescent="0.2">
      <c r="A203" s="17">
        <v>67</v>
      </c>
      <c r="B203" s="17">
        <v>7.8489339999999999</v>
      </c>
      <c r="C203" s="17">
        <v>7.8272409999999999</v>
      </c>
      <c r="D203" s="17">
        <v>7.7727529999999998</v>
      </c>
      <c r="E203" s="17">
        <v>7.7244469999999996</v>
      </c>
      <c r="F203" s="17">
        <v>7.8532159999999998</v>
      </c>
      <c r="G203" s="17">
        <v>7.7570509999999997</v>
      </c>
      <c r="H203" s="17">
        <v>7.9189920000000003</v>
      </c>
      <c r="I203" s="17">
        <v>7.9969900000000003</v>
      </c>
      <c r="J203" s="17">
        <v>7.9427180000000002</v>
      </c>
      <c r="K203" s="17">
        <v>7.8792910000000003</v>
      </c>
      <c r="L203" s="17">
        <v>7.9824159999999997</v>
      </c>
      <c r="M203" s="17">
        <v>7.9501499999999998</v>
      </c>
      <c r="N203" s="18">
        <v>7.9189924899999999</v>
      </c>
      <c r="O203" s="18">
        <v>7.3670770599999997</v>
      </c>
      <c r="P203" s="18">
        <v>7.3562798799999998</v>
      </c>
      <c r="Q203" s="18">
        <v>7.3746290200000004</v>
      </c>
      <c r="R203" s="18">
        <v>7.1815919399999997</v>
      </c>
      <c r="S203" s="18">
        <v>7.1155821299999999</v>
      </c>
    </row>
    <row r="204" spans="1:19" x14ac:dyDescent="0.2">
      <c r="A204" s="17">
        <v>67.33</v>
      </c>
      <c r="B204" s="17">
        <v>7.8411</v>
      </c>
      <c r="C204" s="17">
        <v>7.8260439999999996</v>
      </c>
      <c r="D204" s="17">
        <v>7.7719100000000001</v>
      </c>
      <c r="E204" s="17">
        <v>7.7231199999999998</v>
      </c>
      <c r="F204" s="17">
        <v>7.8512719999999998</v>
      </c>
      <c r="G204" s="17">
        <v>7.7475969999999998</v>
      </c>
      <c r="H204" s="17">
        <v>7.9149830000000003</v>
      </c>
      <c r="I204" s="17">
        <v>7.9996790000000004</v>
      </c>
      <c r="J204" s="17">
        <v>7.9522630000000003</v>
      </c>
      <c r="K204" s="17">
        <v>7.8826919999999996</v>
      </c>
      <c r="L204" s="17">
        <v>7.9786539999999997</v>
      </c>
      <c r="M204" s="17">
        <v>7.9526149999999998</v>
      </c>
      <c r="N204" s="18">
        <v>7.9149830100000003</v>
      </c>
      <c r="O204" s="18">
        <v>7.3721180300000002</v>
      </c>
      <c r="P204" s="18">
        <v>7.3543623299999998</v>
      </c>
      <c r="Q204" s="18">
        <v>7.4030610899999996</v>
      </c>
      <c r="R204" s="18">
        <v>7.1777824199999998</v>
      </c>
      <c r="S204" s="18">
        <v>7.1115121200000004</v>
      </c>
    </row>
    <row r="205" spans="1:19" x14ac:dyDescent="0.2">
      <c r="A205" s="17">
        <v>67.67</v>
      </c>
      <c r="B205" s="17">
        <v>7.8418859999999997</v>
      </c>
      <c r="C205" s="17">
        <v>7.8292330000000003</v>
      </c>
      <c r="D205" s="17">
        <v>7.7756959999999999</v>
      </c>
      <c r="E205" s="17">
        <v>7.7151240000000003</v>
      </c>
      <c r="F205" s="17">
        <v>7.8520500000000002</v>
      </c>
      <c r="G205" s="17">
        <v>7.7566230000000003</v>
      </c>
      <c r="H205" s="17">
        <v>7.9160779999999997</v>
      </c>
      <c r="I205" s="17">
        <v>8.0023599999999995</v>
      </c>
      <c r="J205" s="17">
        <v>7.9547230000000004</v>
      </c>
      <c r="K205" s="17">
        <v>7.8789129999999998</v>
      </c>
      <c r="L205" s="17">
        <v>7.9865050000000002</v>
      </c>
      <c r="M205" s="17">
        <v>7.948385</v>
      </c>
      <c r="N205" s="18">
        <v>7.9160781</v>
      </c>
      <c r="O205" s="18">
        <v>7.3658128400000003</v>
      </c>
      <c r="P205" s="18">
        <v>7.3632795900000003</v>
      </c>
      <c r="Q205" s="18">
        <v>7.4073177100000001</v>
      </c>
      <c r="R205" s="18">
        <v>7.1724245800000004</v>
      </c>
      <c r="S205" s="18">
        <v>7.1244782600000001</v>
      </c>
    </row>
    <row r="206" spans="1:19" x14ac:dyDescent="0.2">
      <c r="A206" s="17">
        <v>68</v>
      </c>
      <c r="B206" s="17">
        <v>7.8414929999999998</v>
      </c>
      <c r="C206" s="17">
        <v>7.822044</v>
      </c>
      <c r="D206" s="17">
        <v>7.7710670000000004</v>
      </c>
      <c r="E206" s="17">
        <v>7.7195739999999997</v>
      </c>
      <c r="F206" s="17">
        <v>7.8508829999999996</v>
      </c>
      <c r="G206" s="17">
        <v>7.7450029999999996</v>
      </c>
      <c r="H206" s="17">
        <v>7.9146179999999999</v>
      </c>
      <c r="I206" s="17">
        <v>8.0046999999999997</v>
      </c>
      <c r="J206" s="17">
        <v>7.9497970000000002</v>
      </c>
      <c r="K206" s="17">
        <v>7.8789129999999998</v>
      </c>
      <c r="L206" s="17">
        <v>7.9848030000000003</v>
      </c>
      <c r="M206" s="17">
        <v>7.9437829999999998</v>
      </c>
      <c r="N206" s="18">
        <v>7.9146177099999999</v>
      </c>
      <c r="O206" s="18">
        <v>7.3632795900000003</v>
      </c>
      <c r="P206" s="18">
        <v>7.3498736999999998</v>
      </c>
      <c r="Q206" s="18">
        <v>7.40062058</v>
      </c>
      <c r="R206" s="18">
        <v>7.1808312000000001</v>
      </c>
      <c r="S206" s="18">
        <v>7.1172054999999999</v>
      </c>
    </row>
    <row r="207" spans="1:19" x14ac:dyDescent="0.2">
      <c r="A207" s="17">
        <v>68.33</v>
      </c>
      <c r="B207" s="17">
        <v>7.8508829999999996</v>
      </c>
      <c r="C207" s="17">
        <v>7.8232460000000001</v>
      </c>
      <c r="D207" s="17">
        <v>7.7651450000000004</v>
      </c>
      <c r="E207" s="17">
        <v>7.7151240000000003</v>
      </c>
      <c r="F207" s="17">
        <v>7.853993</v>
      </c>
      <c r="G207" s="17">
        <v>7.7458679999999998</v>
      </c>
      <c r="H207" s="17">
        <v>7.9168070000000004</v>
      </c>
      <c r="I207" s="17">
        <v>8.00169</v>
      </c>
      <c r="J207" s="17">
        <v>7.9536699999999998</v>
      </c>
      <c r="K207" s="17">
        <v>7.8879590000000004</v>
      </c>
      <c r="L207" s="17">
        <v>7.985144</v>
      </c>
      <c r="M207" s="17">
        <v>7.9529670000000001</v>
      </c>
      <c r="N207" s="18">
        <v>7.9168074900000001</v>
      </c>
      <c r="O207" s="18">
        <v>7.3702306399999999</v>
      </c>
      <c r="P207" s="18">
        <v>7.3524411000000001</v>
      </c>
      <c r="Q207" s="18">
        <v>7.4079243200000002</v>
      </c>
      <c r="R207" s="18">
        <v>7.1838707199999998</v>
      </c>
      <c r="S207" s="18">
        <v>7.1244782600000001</v>
      </c>
    </row>
    <row r="208" spans="1:19" x14ac:dyDescent="0.2">
      <c r="A208" s="17">
        <v>68.67</v>
      </c>
      <c r="B208" s="17">
        <v>7.840706</v>
      </c>
      <c r="C208" s="17">
        <v>7.8192339999999998</v>
      </c>
      <c r="D208" s="17">
        <v>7.7625960000000003</v>
      </c>
      <c r="E208" s="17">
        <v>7.7119970000000002</v>
      </c>
      <c r="F208" s="17">
        <v>7.859413</v>
      </c>
      <c r="G208" s="17">
        <v>7.734121</v>
      </c>
      <c r="H208" s="17">
        <v>7.9157130000000002</v>
      </c>
      <c r="I208" s="17">
        <v>7.9966540000000004</v>
      </c>
      <c r="J208" s="17">
        <v>7.9476789999999999</v>
      </c>
      <c r="K208" s="17">
        <v>7.8804259999999999</v>
      </c>
      <c r="L208" s="17">
        <v>7.9837809999999996</v>
      </c>
      <c r="M208" s="17">
        <v>7.9529670000000001</v>
      </c>
      <c r="N208" s="18">
        <v>7.9157131999999999</v>
      </c>
      <c r="O208" s="18">
        <v>7.3689704000000003</v>
      </c>
      <c r="P208" s="18">
        <v>7.3562798799999998</v>
      </c>
      <c r="Q208" s="18">
        <v>7.4048875799999996</v>
      </c>
      <c r="R208" s="18">
        <v>7.1800698699999996</v>
      </c>
      <c r="S208" s="18">
        <v>7.1204443700000004</v>
      </c>
    </row>
    <row r="209" spans="1:19" x14ac:dyDescent="0.2">
      <c r="A209" s="17">
        <v>69</v>
      </c>
      <c r="B209" s="17">
        <v>7.8411</v>
      </c>
      <c r="C209" s="17">
        <v>7.8127829999999996</v>
      </c>
      <c r="D209" s="17">
        <v>7.7710670000000004</v>
      </c>
      <c r="E209" s="17">
        <v>7.7182409999999999</v>
      </c>
      <c r="F209" s="17">
        <v>7.8582539999999996</v>
      </c>
      <c r="G209" s="17">
        <v>7.7450029999999996</v>
      </c>
      <c r="H209" s="17">
        <v>7.9138869999999999</v>
      </c>
      <c r="I209" s="17">
        <v>7.9986709999999999</v>
      </c>
      <c r="J209" s="17">
        <v>7.9515589999999996</v>
      </c>
      <c r="K209" s="17">
        <v>7.8819369999999997</v>
      </c>
      <c r="L209" s="17">
        <v>7.9871850000000002</v>
      </c>
      <c r="M209" s="17">
        <v>7.9505020000000002</v>
      </c>
      <c r="N209" s="18">
        <v>7.9138867099999999</v>
      </c>
      <c r="O209" s="18">
        <v>7.3645470099999999</v>
      </c>
      <c r="P209" s="18">
        <v>7.3524411000000001</v>
      </c>
      <c r="Q209" s="18">
        <v>7.40427912</v>
      </c>
      <c r="R209" s="18">
        <v>7.1762545299999996</v>
      </c>
      <c r="S209" s="18">
        <v>7.1260872700000002</v>
      </c>
    </row>
    <row r="210" spans="1:19" x14ac:dyDescent="0.2">
      <c r="A210" s="17">
        <v>69.33</v>
      </c>
      <c r="B210" s="17">
        <v>7.8426710000000002</v>
      </c>
      <c r="C210" s="17">
        <v>7.818028</v>
      </c>
      <c r="D210" s="17">
        <v>7.770645</v>
      </c>
      <c r="E210" s="17">
        <v>7.7182409999999999</v>
      </c>
      <c r="F210" s="17">
        <v>7.8582539999999996</v>
      </c>
      <c r="G210" s="17">
        <v>7.7389239999999999</v>
      </c>
      <c r="H210" s="17">
        <v>7.9146179999999999</v>
      </c>
      <c r="I210" s="17">
        <v>7.9912539999999996</v>
      </c>
      <c r="J210" s="17">
        <v>7.9505020000000002</v>
      </c>
      <c r="K210" s="17">
        <v>7.8879590000000004</v>
      </c>
      <c r="L210" s="17">
        <v>7.9892209999999997</v>
      </c>
      <c r="M210" s="17">
        <v>7.9501499999999998</v>
      </c>
      <c r="N210" s="18">
        <v>7.9146177099999999</v>
      </c>
      <c r="O210" s="18">
        <v>7.3664451499999997</v>
      </c>
      <c r="P210" s="18">
        <v>7.3530819200000002</v>
      </c>
      <c r="Q210" s="18">
        <v>7.3987862800000004</v>
      </c>
      <c r="R210" s="18">
        <v>7.1959372300000002</v>
      </c>
      <c r="S210" s="18">
        <v>7.1340937200000001</v>
      </c>
    </row>
    <row r="211" spans="1:19" x14ac:dyDescent="0.2">
      <c r="A211" s="17">
        <v>69.67</v>
      </c>
      <c r="B211" s="17">
        <v>7.8411</v>
      </c>
      <c r="C211" s="17">
        <v>7.8131870000000001</v>
      </c>
      <c r="D211" s="17">
        <v>7.7630210000000002</v>
      </c>
      <c r="E211" s="17">
        <v>7.7169059999999998</v>
      </c>
      <c r="F211" s="17">
        <v>7.859413</v>
      </c>
      <c r="G211" s="17">
        <v>7.7406639999999998</v>
      </c>
      <c r="H211" s="17">
        <v>7.9146179999999999</v>
      </c>
      <c r="I211" s="17">
        <v>7.9986709999999999</v>
      </c>
      <c r="J211" s="17">
        <v>7.9448470000000002</v>
      </c>
      <c r="K211" s="17">
        <v>7.8853289999999996</v>
      </c>
      <c r="L211" s="17">
        <v>7.9854839999999996</v>
      </c>
      <c r="M211" s="17">
        <v>7.954021</v>
      </c>
      <c r="N211" s="18">
        <v>7.9146177099999999</v>
      </c>
      <c r="O211" s="18">
        <v>7.3651801299999997</v>
      </c>
      <c r="P211" s="18">
        <v>7.3505161699999997</v>
      </c>
      <c r="Q211" s="18">
        <v>7.4061033800000002</v>
      </c>
      <c r="R211" s="18">
        <v>7.1823521100000001</v>
      </c>
      <c r="S211" s="18">
        <v>7.1340937200000001</v>
      </c>
    </row>
    <row r="212" spans="1:19" x14ac:dyDescent="0.2">
      <c r="A212" s="17">
        <v>70</v>
      </c>
      <c r="B212" s="17">
        <v>7.8395260000000002</v>
      </c>
      <c r="C212" s="17">
        <v>7.8127829999999996</v>
      </c>
      <c r="D212" s="17">
        <v>7.7613190000000003</v>
      </c>
      <c r="E212" s="17">
        <v>7.7106529999999998</v>
      </c>
      <c r="F212" s="17">
        <v>7.8628819999999999</v>
      </c>
      <c r="G212" s="17">
        <v>7.7336840000000002</v>
      </c>
      <c r="H212" s="17">
        <v>7.9179009999999996</v>
      </c>
      <c r="I212" s="17">
        <v>7.9990069999999998</v>
      </c>
      <c r="J212" s="17">
        <v>7.948385</v>
      </c>
      <c r="K212" s="17">
        <v>7.8830689999999999</v>
      </c>
      <c r="L212" s="17">
        <v>7.9953070000000004</v>
      </c>
      <c r="M212" s="17">
        <v>7.9508549999999998</v>
      </c>
      <c r="N212" s="18">
        <v>7.9179005900000003</v>
      </c>
      <c r="O212" s="18">
        <v>7.3651801299999997</v>
      </c>
      <c r="P212" s="18">
        <v>7.3485875299999996</v>
      </c>
      <c r="Q212" s="18">
        <v>7.40062058</v>
      </c>
      <c r="R212" s="18">
        <v>7.1861442999999996</v>
      </c>
      <c r="S212" s="18">
        <v>7.1220598800000001</v>
      </c>
    </row>
    <row r="213" spans="1:19" x14ac:dyDescent="0.2">
      <c r="A213" s="17">
        <v>70.33</v>
      </c>
      <c r="B213" s="17">
        <v>7.8359750000000004</v>
      </c>
      <c r="C213" s="17">
        <v>7.8107579999999999</v>
      </c>
      <c r="D213" s="17">
        <v>7.7651450000000004</v>
      </c>
      <c r="E213" s="17">
        <v>7.7039099999999996</v>
      </c>
      <c r="F213" s="17">
        <v>7.8586410000000004</v>
      </c>
      <c r="G213" s="17">
        <v>7.7314920000000003</v>
      </c>
      <c r="H213" s="17">
        <v>7.9153479999999998</v>
      </c>
      <c r="I213" s="17">
        <v>7.9979990000000001</v>
      </c>
      <c r="J213" s="17">
        <v>7.9529670000000001</v>
      </c>
      <c r="K213" s="17">
        <v>7.8860809999999999</v>
      </c>
      <c r="L213" s="17">
        <v>7.9946320000000002</v>
      </c>
      <c r="M213" s="17">
        <v>7.9405840000000003</v>
      </c>
      <c r="N213" s="18">
        <v>7.9153481699999997</v>
      </c>
      <c r="O213" s="18">
        <v>7.3632795900000003</v>
      </c>
      <c r="P213" s="18">
        <v>7.3562798799999998</v>
      </c>
      <c r="Q213" s="18">
        <v>7.3645470099999999</v>
      </c>
      <c r="R213" s="18">
        <v>7.1815919399999997</v>
      </c>
      <c r="S213" s="18">
        <v>7.1163941399999997</v>
      </c>
    </row>
    <row r="214" spans="1:19" x14ac:dyDescent="0.2">
      <c r="A214" s="17">
        <v>70.67</v>
      </c>
      <c r="B214" s="17">
        <v>7.8371599999999999</v>
      </c>
      <c r="C214" s="17">
        <v>7.8156109999999996</v>
      </c>
      <c r="D214" s="17">
        <v>7.7579060000000002</v>
      </c>
      <c r="E214" s="17">
        <v>7.7070629999999998</v>
      </c>
      <c r="F214" s="17">
        <v>7.8609559999999998</v>
      </c>
      <c r="G214" s="17">
        <v>7.724888</v>
      </c>
      <c r="H214" s="17">
        <v>7.9175360000000001</v>
      </c>
      <c r="I214" s="17">
        <v>7.9946320000000002</v>
      </c>
      <c r="J214" s="17">
        <v>7.9487379999999996</v>
      </c>
      <c r="K214" s="17">
        <v>7.8890840000000004</v>
      </c>
      <c r="L214" s="17">
        <v>7.9979990000000001</v>
      </c>
      <c r="M214" s="17">
        <v>7.9416510000000002</v>
      </c>
      <c r="N214" s="18">
        <v>7.9175363499999998</v>
      </c>
      <c r="O214" s="18">
        <v>7.3658128400000003</v>
      </c>
      <c r="P214" s="18">
        <v>7.3588309000000001</v>
      </c>
      <c r="Q214" s="18">
        <v>7.39449311</v>
      </c>
      <c r="R214" s="18">
        <v>7.1831117000000004</v>
      </c>
      <c r="S214" s="18">
        <v>7.1236727899999996</v>
      </c>
    </row>
    <row r="215" spans="1:19" x14ac:dyDescent="0.2">
      <c r="A215" s="17">
        <v>71</v>
      </c>
      <c r="B215" s="17">
        <v>7.8422790000000004</v>
      </c>
      <c r="C215" s="17">
        <v>7.8139960000000004</v>
      </c>
      <c r="D215" s="17">
        <v>7.7600410000000002</v>
      </c>
      <c r="E215" s="17">
        <v>7.7079620000000002</v>
      </c>
      <c r="F215" s="17">
        <v>7.8628819999999999</v>
      </c>
      <c r="G215" s="17">
        <v>7.7319310000000003</v>
      </c>
      <c r="H215" s="17">
        <v>7.9131549999999997</v>
      </c>
      <c r="I215" s="17">
        <v>7.9986709999999999</v>
      </c>
      <c r="J215" s="17">
        <v>7.9497970000000002</v>
      </c>
      <c r="K215" s="17">
        <v>7.8834460000000002</v>
      </c>
      <c r="L215" s="17">
        <v>7.9909150000000002</v>
      </c>
      <c r="M215" s="17">
        <v>7.9434279999999999</v>
      </c>
      <c r="N215" s="18">
        <v>7.9131551900000003</v>
      </c>
      <c r="O215" s="18">
        <v>7.3601039699999999</v>
      </c>
      <c r="P215" s="18">
        <v>7.3434262300000004</v>
      </c>
      <c r="Q215" s="18">
        <v>7.3987862800000004</v>
      </c>
      <c r="R215" s="18">
        <v>7.1777824199999998</v>
      </c>
      <c r="S215" s="18">
        <v>7.1300985099999998</v>
      </c>
    </row>
    <row r="216" spans="1:19" x14ac:dyDescent="0.2">
      <c r="A216" s="17">
        <v>71.33</v>
      </c>
      <c r="B216" s="17">
        <v>7.8375539999999999</v>
      </c>
      <c r="C216" s="17">
        <v>7.8079169999999998</v>
      </c>
      <c r="D216" s="17">
        <v>7.756195</v>
      </c>
      <c r="E216" s="17">
        <v>7.7007479999999999</v>
      </c>
      <c r="F216" s="17">
        <v>7.8578679999999999</v>
      </c>
      <c r="G216" s="17">
        <v>7.7200179999999996</v>
      </c>
      <c r="H216" s="17">
        <v>7.9197199999999999</v>
      </c>
      <c r="I216" s="17">
        <v>7.998335</v>
      </c>
      <c r="J216" s="17">
        <v>7.951911</v>
      </c>
      <c r="K216" s="17">
        <v>7.8845770000000002</v>
      </c>
      <c r="L216" s="17">
        <v>7.9926069999999996</v>
      </c>
      <c r="M216" s="17">
        <v>7.9384459999999999</v>
      </c>
      <c r="N216" s="18">
        <v>7.9197197600000004</v>
      </c>
      <c r="O216" s="18">
        <v>7.3645470099999999</v>
      </c>
      <c r="P216" s="18">
        <v>7.3460102100000002</v>
      </c>
      <c r="Q216" s="18">
        <v>7.3895639500000003</v>
      </c>
      <c r="R216" s="18">
        <v>7.1808312000000001</v>
      </c>
      <c r="S216" s="18">
        <v>7.1204443700000004</v>
      </c>
    </row>
    <row r="217" spans="1:19" x14ac:dyDescent="0.2">
      <c r="A217" s="17">
        <v>71.67</v>
      </c>
      <c r="B217" s="17">
        <v>7.8347879999999996</v>
      </c>
      <c r="C217" s="17">
        <v>7.8062889999999996</v>
      </c>
      <c r="D217" s="17">
        <v>7.7553390000000002</v>
      </c>
      <c r="E217" s="17">
        <v>7.7007479999999999</v>
      </c>
      <c r="F217" s="17">
        <v>7.8574809999999999</v>
      </c>
      <c r="G217" s="17">
        <v>7.7257709999999999</v>
      </c>
      <c r="H217" s="17">
        <v>7.9157130000000002</v>
      </c>
      <c r="I217" s="17">
        <v>7.9973270000000003</v>
      </c>
      <c r="J217" s="17">
        <v>7.9512070000000001</v>
      </c>
      <c r="K217" s="17">
        <v>7.8853289999999996</v>
      </c>
      <c r="L217" s="17">
        <v>7.998335</v>
      </c>
      <c r="M217" s="17">
        <v>7.9345129999999999</v>
      </c>
      <c r="N217" s="18">
        <v>7.9157131999999999</v>
      </c>
      <c r="O217" s="18">
        <v>7.3607398999999996</v>
      </c>
      <c r="P217" s="18">
        <v>7.3401868400000003</v>
      </c>
      <c r="Q217" s="18">
        <v>7.36833969</v>
      </c>
      <c r="R217" s="18">
        <v>7.1861442999999996</v>
      </c>
      <c r="S217" s="18">
        <v>7.1260872700000002</v>
      </c>
    </row>
    <row r="218" spans="1:19" x14ac:dyDescent="0.2">
      <c r="A218" s="17">
        <v>72</v>
      </c>
      <c r="B218" s="17">
        <v>7.8304260000000001</v>
      </c>
      <c r="C218" s="17">
        <v>7.8058820000000004</v>
      </c>
      <c r="D218" s="17">
        <v>7.7536240000000003</v>
      </c>
      <c r="E218" s="17">
        <v>7.7052620000000003</v>
      </c>
      <c r="F218" s="17">
        <v>7.8567070000000001</v>
      </c>
      <c r="G218" s="17">
        <v>7.7209050000000001</v>
      </c>
      <c r="H218" s="17">
        <v>7.9153479999999998</v>
      </c>
      <c r="I218" s="17">
        <v>7.998335</v>
      </c>
      <c r="J218" s="17">
        <v>7.9505020000000002</v>
      </c>
      <c r="K218" s="17">
        <v>7.8841999999999999</v>
      </c>
      <c r="L218" s="17">
        <v>7.9966540000000004</v>
      </c>
      <c r="M218" s="17">
        <v>7.9337970000000002</v>
      </c>
      <c r="N218" s="18">
        <v>7.9153481699999997</v>
      </c>
      <c r="O218" s="18">
        <v>7.3664451499999997</v>
      </c>
      <c r="P218" s="18">
        <v>7.3511582300000002</v>
      </c>
      <c r="Q218" s="18">
        <v>7.3987862800000004</v>
      </c>
      <c r="R218" s="18">
        <v>7.1853870200000003</v>
      </c>
      <c r="S218" s="18">
        <v>7.1204443700000004</v>
      </c>
    </row>
    <row r="219" spans="1:19" x14ac:dyDescent="0.2">
      <c r="A219" s="17">
        <v>72.33</v>
      </c>
      <c r="B219" s="17">
        <v>7.8375539999999999</v>
      </c>
      <c r="C219" s="17">
        <v>7.8009820000000003</v>
      </c>
      <c r="D219" s="17">
        <v>7.7544820000000003</v>
      </c>
      <c r="E219" s="17">
        <v>7.6898289999999996</v>
      </c>
      <c r="F219" s="17">
        <v>7.8624970000000003</v>
      </c>
      <c r="G219" s="17">
        <v>7.7115489999999998</v>
      </c>
      <c r="H219" s="17">
        <v>7.9124230000000004</v>
      </c>
      <c r="I219" s="17">
        <v>8.0020249999999997</v>
      </c>
      <c r="J219" s="17">
        <v>7.9444920000000003</v>
      </c>
      <c r="K219" s="17">
        <v>7.8823150000000002</v>
      </c>
      <c r="L219" s="17">
        <v>7.9963170000000003</v>
      </c>
      <c r="M219" s="17">
        <v>7.9405840000000003</v>
      </c>
      <c r="N219" s="18">
        <v>7.9124231199999997</v>
      </c>
      <c r="O219" s="18">
        <v>7.3613754299999998</v>
      </c>
      <c r="P219" s="18">
        <v>7.3414838500000004</v>
      </c>
      <c r="Q219" s="18">
        <v>7.39449311</v>
      </c>
      <c r="R219" s="18">
        <v>7.1853870200000003</v>
      </c>
      <c r="S219" s="18">
        <v>7.1180161999999996</v>
      </c>
    </row>
    <row r="220" spans="1:19" x14ac:dyDescent="0.2">
      <c r="A220" s="17">
        <v>72.67</v>
      </c>
      <c r="B220" s="17">
        <v>7.8300280000000004</v>
      </c>
      <c r="C220" s="17">
        <v>7.804659</v>
      </c>
      <c r="D220" s="17">
        <v>7.7557669999999996</v>
      </c>
      <c r="E220" s="17">
        <v>7.7007479999999999</v>
      </c>
      <c r="F220" s="17">
        <v>7.8582539999999996</v>
      </c>
      <c r="G220" s="17">
        <v>7.7142309999999998</v>
      </c>
      <c r="H220" s="17">
        <v>7.9164430000000001</v>
      </c>
      <c r="I220" s="17">
        <v>8.0053669999999997</v>
      </c>
      <c r="J220" s="17">
        <v>7.9497970000000002</v>
      </c>
      <c r="K220" s="17">
        <v>7.8834460000000002</v>
      </c>
      <c r="L220" s="17">
        <v>8.0000140000000002</v>
      </c>
      <c r="M220" s="17">
        <v>7.9305659999999998</v>
      </c>
      <c r="N220" s="18">
        <v>7.9164428600000001</v>
      </c>
      <c r="O220" s="18">
        <v>7.3658128400000003</v>
      </c>
      <c r="P220" s="18">
        <v>7.3524411000000001</v>
      </c>
      <c r="Q220" s="18">
        <v>7.3883278600000004</v>
      </c>
      <c r="R220" s="18">
        <v>7.1777824199999998</v>
      </c>
      <c r="S220" s="18">
        <v>7.09672138</v>
      </c>
    </row>
    <row r="221" spans="1:19" x14ac:dyDescent="0.2">
      <c r="A221" s="17">
        <v>73</v>
      </c>
      <c r="B221" s="17">
        <v>7.8300280000000004</v>
      </c>
      <c r="C221" s="17">
        <v>7.8026179999999998</v>
      </c>
      <c r="D221" s="17">
        <v>7.7510450000000004</v>
      </c>
      <c r="E221" s="17">
        <v>7.692113</v>
      </c>
      <c r="F221" s="17">
        <v>7.8609559999999998</v>
      </c>
      <c r="G221" s="17">
        <v>7.7084109999999999</v>
      </c>
      <c r="H221" s="17">
        <v>7.9098569999999997</v>
      </c>
      <c r="I221" s="17">
        <v>7.9986709999999999</v>
      </c>
      <c r="J221" s="17">
        <v>7.9547230000000004</v>
      </c>
      <c r="K221" s="17">
        <v>7.8920779999999997</v>
      </c>
      <c r="L221" s="17">
        <v>7.9956440000000004</v>
      </c>
      <c r="M221" s="17">
        <v>7.929487</v>
      </c>
      <c r="N221" s="18">
        <v>7.9098566699999999</v>
      </c>
      <c r="O221" s="18">
        <v>7.36833969</v>
      </c>
      <c r="P221" s="18">
        <v>7.3511582300000002</v>
      </c>
      <c r="Q221" s="18">
        <v>7.3670770599999997</v>
      </c>
      <c r="R221" s="18">
        <v>7.1800698699999996</v>
      </c>
      <c r="S221" s="18">
        <v>7.1340937200000001</v>
      </c>
    </row>
    <row r="222" spans="1:19" x14ac:dyDescent="0.2">
      <c r="A222" s="17">
        <v>73.33</v>
      </c>
      <c r="B222" s="17">
        <v>7.8395260000000002</v>
      </c>
      <c r="C222" s="17">
        <v>7.8013909999999997</v>
      </c>
      <c r="D222" s="17">
        <v>7.7531939999999997</v>
      </c>
      <c r="E222" s="17">
        <v>7.6857030000000002</v>
      </c>
      <c r="F222" s="17">
        <v>7.859413</v>
      </c>
      <c r="G222" s="17">
        <v>7.7075120000000004</v>
      </c>
      <c r="H222" s="17">
        <v>7.9157130000000002</v>
      </c>
      <c r="I222" s="17">
        <v>8.0010200000000005</v>
      </c>
      <c r="J222" s="17">
        <v>7.9473250000000002</v>
      </c>
      <c r="K222" s="17">
        <v>7.8815600000000003</v>
      </c>
      <c r="L222" s="17">
        <v>7.9929449999999997</v>
      </c>
      <c r="M222" s="17">
        <v>7.9280460000000001</v>
      </c>
      <c r="N222" s="18">
        <v>7.9157131999999999</v>
      </c>
      <c r="O222" s="18">
        <v>7.3651801299999997</v>
      </c>
      <c r="P222" s="18">
        <v>7.3575562000000003</v>
      </c>
      <c r="Q222" s="18">
        <v>7.3670770599999997</v>
      </c>
      <c r="R222" s="18">
        <v>7.1853870200000003</v>
      </c>
      <c r="S222" s="18">
        <v>7.1228666599999997</v>
      </c>
    </row>
    <row r="223" spans="1:19" x14ac:dyDescent="0.2">
      <c r="A223" s="17">
        <v>73.67</v>
      </c>
      <c r="B223" s="17">
        <v>7.832808</v>
      </c>
      <c r="C223" s="17">
        <v>7.8022090000000004</v>
      </c>
      <c r="D223" s="17">
        <v>7.7463009999999999</v>
      </c>
      <c r="E223" s="17">
        <v>7.6870799999999999</v>
      </c>
      <c r="F223" s="17">
        <v>7.8601850000000004</v>
      </c>
      <c r="G223" s="17">
        <v>7.7048120000000004</v>
      </c>
      <c r="H223" s="17">
        <v>7.9127890000000001</v>
      </c>
      <c r="I223" s="17">
        <v>7.9973270000000003</v>
      </c>
      <c r="J223" s="17">
        <v>7.9505020000000002</v>
      </c>
      <c r="K223" s="17">
        <v>7.8890840000000004</v>
      </c>
      <c r="L223" s="17">
        <v>7.9976630000000002</v>
      </c>
      <c r="M223" s="17">
        <v>7.9352299999999998</v>
      </c>
      <c r="N223" s="18">
        <v>7.9127892199999996</v>
      </c>
      <c r="O223" s="18">
        <v>7.3581937499999999</v>
      </c>
      <c r="P223" s="18">
        <v>7.3524411000000001</v>
      </c>
      <c r="Q223" s="18">
        <v>7.3645470099999999</v>
      </c>
      <c r="R223" s="18">
        <v>7.1754897099999999</v>
      </c>
      <c r="S223" s="18">
        <v>7.1155821299999999</v>
      </c>
    </row>
    <row r="224" spans="1:19" x14ac:dyDescent="0.2">
      <c r="A224" s="17">
        <v>74</v>
      </c>
      <c r="B224" s="17">
        <v>7.8304260000000001</v>
      </c>
      <c r="C224" s="17">
        <v>7.7956469999999998</v>
      </c>
      <c r="D224" s="17">
        <v>7.7506149999999998</v>
      </c>
      <c r="E224" s="17">
        <v>7.6916570000000002</v>
      </c>
      <c r="F224" s="17">
        <v>7.8617270000000001</v>
      </c>
      <c r="G224" s="17">
        <v>7.7034589999999996</v>
      </c>
      <c r="H224" s="17">
        <v>7.9083870000000003</v>
      </c>
      <c r="I224" s="17">
        <v>8.0003489999999999</v>
      </c>
      <c r="J224" s="17">
        <v>7.9487379999999996</v>
      </c>
      <c r="K224" s="17">
        <v>7.8890840000000004</v>
      </c>
      <c r="L224" s="17">
        <v>8.0003489999999999</v>
      </c>
      <c r="M224" s="17">
        <v>7.9377319999999996</v>
      </c>
      <c r="N224" s="18">
        <v>7.9083871600000002</v>
      </c>
      <c r="O224" s="18">
        <v>7.3562798799999998</v>
      </c>
      <c r="P224" s="18">
        <v>7.3440728499999999</v>
      </c>
      <c r="Q224" s="18">
        <v>7.3689704000000003</v>
      </c>
      <c r="R224" s="18">
        <v>7.17930797</v>
      </c>
      <c r="S224" s="18">
        <v>7.1196356400000003</v>
      </c>
    </row>
    <row r="225" spans="1:19" x14ac:dyDescent="0.2">
      <c r="A225" s="17">
        <v>74.33</v>
      </c>
      <c r="B225" s="17">
        <v>7.8359750000000004</v>
      </c>
      <c r="C225" s="17">
        <v>7.7939990000000003</v>
      </c>
      <c r="D225" s="17">
        <v>7.7475969999999998</v>
      </c>
      <c r="E225" s="17">
        <v>7.6902860000000004</v>
      </c>
      <c r="F225" s="17">
        <v>7.86442</v>
      </c>
      <c r="G225" s="17">
        <v>7.7030079999999996</v>
      </c>
      <c r="H225" s="17">
        <v>7.9120569999999999</v>
      </c>
      <c r="I225" s="17">
        <v>7.9929449999999997</v>
      </c>
      <c r="J225" s="17">
        <v>7.9469709999999996</v>
      </c>
      <c r="K225" s="17">
        <v>7.8849530000000003</v>
      </c>
      <c r="L225" s="17">
        <v>7.9973270000000003</v>
      </c>
      <c r="M225" s="17">
        <v>7.9384459999999999</v>
      </c>
      <c r="N225" s="18">
        <v>7.9120568899999997</v>
      </c>
      <c r="O225" s="18">
        <v>7.3543623299999998</v>
      </c>
      <c r="P225" s="18">
        <v>7.3498736999999998</v>
      </c>
      <c r="Q225" s="18">
        <v>7.3993980800000001</v>
      </c>
      <c r="R225" s="18">
        <v>7.1823521100000001</v>
      </c>
      <c r="S225" s="18">
        <v>7.1115121200000004</v>
      </c>
    </row>
    <row r="226" spans="1:19" x14ac:dyDescent="0.2">
      <c r="A226" s="17">
        <v>74.67</v>
      </c>
      <c r="B226" s="17">
        <v>7.833996</v>
      </c>
      <c r="C226" s="17">
        <v>7.7972910000000004</v>
      </c>
      <c r="D226" s="17">
        <v>7.7488910000000004</v>
      </c>
      <c r="E226" s="17">
        <v>7.6893710000000004</v>
      </c>
      <c r="F226" s="17">
        <v>7.8528279999999997</v>
      </c>
      <c r="G226" s="17">
        <v>7.6971210000000001</v>
      </c>
      <c r="H226" s="17">
        <v>7.9124230000000004</v>
      </c>
      <c r="I226" s="17">
        <v>7.98956</v>
      </c>
      <c r="J226" s="17">
        <v>7.9490910000000001</v>
      </c>
      <c r="K226" s="17">
        <v>7.8879590000000004</v>
      </c>
      <c r="L226" s="17">
        <v>7.998335</v>
      </c>
      <c r="M226" s="17">
        <v>7.9373750000000003</v>
      </c>
      <c r="N226" s="18">
        <v>7.9124231199999997</v>
      </c>
      <c r="O226" s="18">
        <v>7.3613754299999998</v>
      </c>
      <c r="P226" s="18">
        <v>7.3434262300000004</v>
      </c>
      <c r="Q226" s="18">
        <v>7.3981740900000004</v>
      </c>
      <c r="R226" s="18">
        <v>7.17930797</v>
      </c>
      <c r="S226" s="18">
        <v>7.1090621399999998</v>
      </c>
    </row>
    <row r="227" spans="1:19" x14ac:dyDescent="0.2">
      <c r="A227" s="17">
        <v>75</v>
      </c>
      <c r="B227" s="17">
        <v>7.8296299999999999</v>
      </c>
      <c r="C227" s="17">
        <v>7.78904</v>
      </c>
      <c r="D227" s="17">
        <v>7.7471649999999999</v>
      </c>
      <c r="E227" s="17">
        <v>7.6893710000000004</v>
      </c>
      <c r="F227" s="17">
        <v>7.8574809999999999</v>
      </c>
      <c r="G227" s="17">
        <v>7.6998420000000003</v>
      </c>
      <c r="H227" s="17">
        <v>7.9160779999999997</v>
      </c>
      <c r="I227" s="17">
        <v>7.9973270000000003</v>
      </c>
      <c r="J227" s="17">
        <v>7.9515589999999996</v>
      </c>
      <c r="K227" s="17">
        <v>7.8894590000000004</v>
      </c>
      <c r="L227" s="17">
        <v>7.9956440000000004</v>
      </c>
      <c r="M227" s="17">
        <v>7.9312849999999999</v>
      </c>
      <c r="N227" s="18">
        <v>7.9160781</v>
      </c>
      <c r="O227" s="18">
        <v>7.3524411000000001</v>
      </c>
      <c r="P227" s="18">
        <v>7.3427791899999999</v>
      </c>
      <c r="Q227" s="18">
        <v>7.3907985199999997</v>
      </c>
      <c r="R227" s="18">
        <v>7.1861442999999996</v>
      </c>
      <c r="S227" s="18">
        <v>7.1066061400000002</v>
      </c>
    </row>
    <row r="228" spans="1:19" x14ac:dyDescent="0.2">
      <c r="A228" s="17">
        <v>75.33</v>
      </c>
      <c r="B228" s="17">
        <v>7.8312200000000001</v>
      </c>
      <c r="C228" s="17">
        <v>7.7898690000000004</v>
      </c>
      <c r="D228" s="17">
        <v>7.7471649999999999</v>
      </c>
      <c r="E228" s="17">
        <v>7.6875390000000001</v>
      </c>
      <c r="F228" s="17">
        <v>7.8547690000000001</v>
      </c>
      <c r="G228" s="17">
        <v>7.6879970000000002</v>
      </c>
      <c r="H228" s="17">
        <v>7.9131549999999997</v>
      </c>
      <c r="I228" s="17">
        <v>7.998335</v>
      </c>
      <c r="J228" s="17">
        <v>7.9494439999999997</v>
      </c>
      <c r="K228" s="17">
        <v>7.8872090000000004</v>
      </c>
      <c r="L228" s="17">
        <v>8.0013550000000002</v>
      </c>
      <c r="M228" s="17">
        <v>7.9366599999999998</v>
      </c>
      <c r="N228" s="18">
        <v>7.9131551900000003</v>
      </c>
      <c r="O228" s="18">
        <v>7.3626452699999998</v>
      </c>
      <c r="P228" s="18">
        <v>7.3472996999999998</v>
      </c>
      <c r="Q228" s="18">
        <v>7.3932630899999996</v>
      </c>
      <c r="R228" s="18">
        <v>7.1831117000000004</v>
      </c>
      <c r="S228" s="18">
        <v>7.1090621399999998</v>
      </c>
    </row>
    <row r="229" spans="1:19" x14ac:dyDescent="0.2">
      <c r="A229" s="17">
        <v>75.67</v>
      </c>
      <c r="B229" s="17">
        <v>7.8343920000000002</v>
      </c>
      <c r="C229" s="17">
        <v>7.7939990000000003</v>
      </c>
      <c r="D229" s="17">
        <v>7.7441370000000003</v>
      </c>
      <c r="E229" s="17">
        <v>7.6787890000000001</v>
      </c>
      <c r="F229" s="17">
        <v>7.8613419999999996</v>
      </c>
      <c r="G229" s="17">
        <v>7.6943929999999998</v>
      </c>
      <c r="H229" s="17">
        <v>7.9127890000000001</v>
      </c>
      <c r="I229" s="17">
        <v>8.0006850000000007</v>
      </c>
      <c r="J229" s="17">
        <v>7.9536699999999998</v>
      </c>
      <c r="K229" s="17">
        <v>7.8819369999999997</v>
      </c>
      <c r="L229" s="17">
        <v>7.9990069999999998</v>
      </c>
      <c r="M229" s="17">
        <v>7.9334379999999998</v>
      </c>
      <c r="N229" s="18">
        <v>7.9127892199999996</v>
      </c>
      <c r="O229" s="18">
        <v>7.3556410999999997</v>
      </c>
      <c r="P229" s="18">
        <v>7.3440728499999999</v>
      </c>
      <c r="Q229" s="18">
        <v>7.38709024</v>
      </c>
      <c r="R229" s="18">
        <v>7.1838707199999998</v>
      </c>
      <c r="S229" s="18">
        <v>7.1180161999999996</v>
      </c>
    </row>
    <row r="230" spans="1:19" x14ac:dyDescent="0.2">
      <c r="A230" s="17">
        <v>76</v>
      </c>
      <c r="B230" s="17">
        <v>7.8288349999999998</v>
      </c>
      <c r="C230" s="17">
        <v>7.780303</v>
      </c>
      <c r="D230" s="17">
        <v>7.7441370000000003</v>
      </c>
      <c r="E230" s="17">
        <v>7.6773999999999996</v>
      </c>
      <c r="F230" s="17">
        <v>7.8605710000000002</v>
      </c>
      <c r="G230" s="17">
        <v>7.6930259999999997</v>
      </c>
      <c r="H230" s="17">
        <v>7.9153479999999998</v>
      </c>
      <c r="I230" s="17">
        <v>7.9990069999999998</v>
      </c>
      <c r="J230" s="17">
        <v>7.9420070000000003</v>
      </c>
      <c r="K230" s="17">
        <v>7.8815600000000003</v>
      </c>
      <c r="L230" s="17">
        <v>8.0030289999999997</v>
      </c>
      <c r="M230" s="17">
        <v>7.9258800000000003</v>
      </c>
      <c r="N230" s="18">
        <v>7.9153481699999997</v>
      </c>
      <c r="O230" s="18">
        <v>7.3492308199999998</v>
      </c>
      <c r="P230" s="18">
        <v>7.3466551600000001</v>
      </c>
      <c r="Q230" s="18">
        <v>7.38274645</v>
      </c>
      <c r="R230" s="18">
        <v>7.1800698699999996</v>
      </c>
      <c r="S230" s="18">
        <v>7.1155821299999999</v>
      </c>
    </row>
    <row r="231" spans="1:19" x14ac:dyDescent="0.2">
      <c r="A231" s="17">
        <v>76.33</v>
      </c>
      <c r="B231" s="17">
        <v>7.8316169999999996</v>
      </c>
      <c r="C231" s="17">
        <v>7.7844730000000002</v>
      </c>
      <c r="D231" s="17">
        <v>7.7406639999999998</v>
      </c>
      <c r="E231" s="17">
        <v>7.6783260000000002</v>
      </c>
      <c r="F231" s="17">
        <v>7.8586410000000004</v>
      </c>
      <c r="G231" s="17">
        <v>7.685244</v>
      </c>
      <c r="H231" s="17">
        <v>7.9160779999999997</v>
      </c>
      <c r="I231" s="17">
        <v>7.9929449999999997</v>
      </c>
      <c r="J231" s="17">
        <v>7.9515589999999996</v>
      </c>
      <c r="K231" s="17">
        <v>7.8872090000000004</v>
      </c>
      <c r="L231" s="17">
        <v>8.0003489999999999</v>
      </c>
      <c r="M231" s="17">
        <v>7.9341549999999996</v>
      </c>
      <c r="N231" s="18">
        <v>7.9160781</v>
      </c>
      <c r="O231" s="18">
        <v>7.3517998699999998</v>
      </c>
      <c r="P231" s="18">
        <v>7.3401868400000003</v>
      </c>
      <c r="Q231" s="18">
        <v>7.39449311</v>
      </c>
      <c r="R231" s="18">
        <v>7.17930797</v>
      </c>
      <c r="S231" s="18">
        <v>7.1098794600000002</v>
      </c>
    </row>
    <row r="232" spans="1:19" x14ac:dyDescent="0.2">
      <c r="A232" s="17">
        <v>76.67</v>
      </c>
      <c r="B232" s="17">
        <v>7.8288349999999998</v>
      </c>
      <c r="C232" s="17">
        <v>7.780303</v>
      </c>
      <c r="D232" s="17">
        <v>7.7406639999999998</v>
      </c>
      <c r="E232" s="17">
        <v>7.6769369999999997</v>
      </c>
      <c r="F232" s="17">
        <v>7.8590270000000002</v>
      </c>
      <c r="G232" s="17">
        <v>7.6916570000000002</v>
      </c>
      <c r="H232" s="17">
        <v>7.9069149999999997</v>
      </c>
      <c r="I232" s="17">
        <v>8.0010200000000005</v>
      </c>
      <c r="J232" s="17">
        <v>7.9476789999999999</v>
      </c>
      <c r="K232" s="17">
        <v>7.8860809999999999</v>
      </c>
      <c r="L232" s="17">
        <v>7.9966540000000004</v>
      </c>
      <c r="M232" s="17">
        <v>7.9330800000000004</v>
      </c>
      <c r="N232" s="18">
        <v>7.9069154900000003</v>
      </c>
      <c r="O232" s="18">
        <v>7.3395377000000002</v>
      </c>
      <c r="P232" s="18">
        <v>7.3517998699999998</v>
      </c>
      <c r="Q232" s="18">
        <v>7.3846103799999998</v>
      </c>
      <c r="R232" s="18">
        <v>7.1815919399999997</v>
      </c>
      <c r="S232" s="18">
        <v>7.0975488499999999</v>
      </c>
    </row>
    <row r="233" spans="1:19" x14ac:dyDescent="0.2">
      <c r="A233" s="17">
        <v>77</v>
      </c>
      <c r="B233" s="17">
        <v>7.8371599999999999</v>
      </c>
      <c r="C233" s="17">
        <v>7.7807209999999998</v>
      </c>
      <c r="D233" s="17">
        <v>7.734121</v>
      </c>
      <c r="E233" s="17">
        <v>7.6746169999999996</v>
      </c>
      <c r="F233" s="17">
        <v>7.8597989999999998</v>
      </c>
      <c r="G233" s="17">
        <v>7.6843240000000002</v>
      </c>
      <c r="H233" s="17">
        <v>7.9149830000000003</v>
      </c>
      <c r="I233" s="17">
        <v>7.9986709999999999</v>
      </c>
      <c r="J233" s="17">
        <v>7.9497970000000002</v>
      </c>
      <c r="K233" s="17">
        <v>7.8823150000000002</v>
      </c>
      <c r="L233" s="17">
        <v>7.9996790000000004</v>
      </c>
      <c r="M233" s="17">
        <v>7.9348720000000004</v>
      </c>
      <c r="N233" s="18">
        <v>7.9149830100000003</v>
      </c>
      <c r="O233" s="18">
        <v>7.3524411000000001</v>
      </c>
      <c r="P233" s="18">
        <v>7.3492308199999998</v>
      </c>
      <c r="Q233" s="18">
        <v>7.3957216099999998</v>
      </c>
      <c r="R233" s="18">
        <v>7.1831117000000004</v>
      </c>
      <c r="S233" s="18">
        <v>7.1115121200000004</v>
      </c>
    </row>
    <row r="234" spans="1:19" x14ac:dyDescent="0.2">
      <c r="A234" s="17">
        <v>77.33</v>
      </c>
      <c r="B234" s="17">
        <v>7.8268420000000001</v>
      </c>
      <c r="C234" s="17">
        <v>7.773174</v>
      </c>
      <c r="D234" s="17">
        <v>7.7332460000000003</v>
      </c>
      <c r="E234" s="17">
        <v>7.6694950000000004</v>
      </c>
      <c r="F234" s="17">
        <v>7.8582539999999996</v>
      </c>
      <c r="G234" s="17">
        <v>7.6787890000000001</v>
      </c>
      <c r="H234" s="17">
        <v>7.9120569999999999</v>
      </c>
      <c r="I234" s="17">
        <v>7.9922690000000003</v>
      </c>
      <c r="J234" s="17">
        <v>7.9420070000000003</v>
      </c>
      <c r="K234" s="17">
        <v>7.8819369999999997</v>
      </c>
      <c r="L234" s="17">
        <v>8.0000140000000002</v>
      </c>
      <c r="M234" s="17">
        <v>7.9366599999999998</v>
      </c>
      <c r="N234" s="18">
        <v>7.9120568899999997</v>
      </c>
      <c r="O234" s="18">
        <v>7.3479438200000002</v>
      </c>
      <c r="P234" s="18">
        <v>7.3408355500000004</v>
      </c>
      <c r="Q234" s="18">
        <v>7.3889461000000001</v>
      </c>
      <c r="R234" s="18">
        <v>7.1876571599999997</v>
      </c>
      <c r="S234" s="18">
        <v>7.1098794600000002</v>
      </c>
    </row>
    <row r="235" spans="1:19" x14ac:dyDescent="0.2">
      <c r="A235" s="17">
        <v>77.67</v>
      </c>
      <c r="B235" s="17">
        <v>7.8308229999999996</v>
      </c>
      <c r="C235" s="17">
        <v>7.7761149999999999</v>
      </c>
      <c r="D235" s="17">
        <v>7.7332460000000003</v>
      </c>
      <c r="E235" s="17">
        <v>7.6718270000000004</v>
      </c>
      <c r="F235" s="17">
        <v>7.8609559999999998</v>
      </c>
      <c r="G235" s="17">
        <v>7.6769369999999997</v>
      </c>
      <c r="H235" s="17">
        <v>7.9076519999999997</v>
      </c>
      <c r="I235" s="17">
        <v>7.9932819999999998</v>
      </c>
      <c r="J235" s="17">
        <v>7.9459099999999996</v>
      </c>
      <c r="K235" s="17">
        <v>7.8849530000000003</v>
      </c>
      <c r="L235" s="17">
        <v>8.00169</v>
      </c>
      <c r="M235" s="17">
        <v>7.9337970000000002</v>
      </c>
      <c r="N235" s="18">
        <v>7.9076515900000004</v>
      </c>
      <c r="O235" s="18">
        <v>7.3511582300000002</v>
      </c>
      <c r="P235" s="18">
        <v>7.3395377000000002</v>
      </c>
      <c r="Q235" s="18">
        <v>7.3846103799999998</v>
      </c>
      <c r="R235" s="18">
        <v>7.1891677400000003</v>
      </c>
      <c r="S235" s="18">
        <v>7.1172054999999999</v>
      </c>
    </row>
  </sheetData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3CC2-7F76-4841-9E4F-CA2E53855939}">
  <dimension ref="A1:G19"/>
  <sheetViews>
    <sheetView zoomScale="168" workbookViewId="0">
      <selection sqref="A1:F1"/>
    </sheetView>
  </sheetViews>
  <sheetFormatPr baseColWidth="10" defaultRowHeight="16" x14ac:dyDescent="0.2"/>
  <cols>
    <col min="1" max="1" width="9.83203125" bestFit="1" customWidth="1"/>
    <col min="2" max="2" width="12.6640625" bestFit="1" customWidth="1"/>
    <col min="4" max="4" width="15.33203125" bestFit="1" customWidth="1"/>
    <col min="6" max="6" width="13.5" bestFit="1" customWidth="1"/>
  </cols>
  <sheetData>
    <row r="1" spans="1:7" x14ac:dyDescent="0.2">
      <c r="A1" s="7" t="s">
        <v>37</v>
      </c>
      <c r="B1" s="7" t="s">
        <v>0</v>
      </c>
      <c r="C1" s="7" t="s">
        <v>6</v>
      </c>
      <c r="D1" s="7" t="s">
        <v>1040</v>
      </c>
      <c r="E1" s="7" t="s">
        <v>1042</v>
      </c>
      <c r="F1" s="7" t="s">
        <v>1043</v>
      </c>
    </row>
    <row r="2" spans="1:7" x14ac:dyDescent="0.2">
      <c r="A2" t="s">
        <v>17</v>
      </c>
      <c r="B2" t="s">
        <v>1041</v>
      </c>
      <c r="C2">
        <v>1</v>
      </c>
      <c r="D2">
        <v>0.26818999999999998</v>
      </c>
      <c r="E2" s="19">
        <v>20.5</v>
      </c>
      <c r="F2">
        <v>7.8308229999999996</v>
      </c>
    </row>
    <row r="3" spans="1:7" x14ac:dyDescent="0.2">
      <c r="A3" t="s">
        <v>17</v>
      </c>
      <c r="B3" t="s">
        <v>1041</v>
      </c>
      <c r="C3">
        <v>2</v>
      </c>
      <c r="D3">
        <v>0.23649300000000001</v>
      </c>
      <c r="E3" s="19">
        <v>16.02</v>
      </c>
      <c r="F3">
        <v>7.7761154799999996</v>
      </c>
    </row>
    <row r="4" spans="1:7" x14ac:dyDescent="0.2">
      <c r="A4" t="s">
        <v>17</v>
      </c>
      <c r="B4" t="s">
        <v>1041</v>
      </c>
      <c r="C4">
        <v>3</v>
      </c>
      <c r="D4">
        <v>0.25570900000000002</v>
      </c>
      <c r="E4" s="19">
        <v>17</v>
      </c>
      <c r="F4">
        <v>7.7332456499999997</v>
      </c>
    </row>
    <row r="5" spans="1:7" x14ac:dyDescent="0.2">
      <c r="A5" t="s">
        <v>17</v>
      </c>
      <c r="B5" t="s">
        <v>1041</v>
      </c>
      <c r="C5">
        <v>4</v>
      </c>
      <c r="D5">
        <v>0.242645</v>
      </c>
      <c r="E5" s="19">
        <v>18.399999999999999</v>
      </c>
      <c r="F5">
        <v>7.6718267999999998</v>
      </c>
      <c r="G5" s="4"/>
    </row>
    <row r="6" spans="1:7" x14ac:dyDescent="0.2">
      <c r="A6" t="s">
        <v>17</v>
      </c>
      <c r="B6" t="s">
        <v>1041</v>
      </c>
      <c r="C6">
        <v>5</v>
      </c>
      <c r="D6">
        <v>0.2283</v>
      </c>
      <c r="E6" s="19">
        <v>28.1</v>
      </c>
      <c r="F6">
        <v>7.8609563600000003</v>
      </c>
      <c r="G6" s="4"/>
    </row>
    <row r="7" spans="1:7" x14ac:dyDescent="0.2">
      <c r="A7" t="s">
        <v>17</v>
      </c>
      <c r="B7" t="s">
        <v>1041</v>
      </c>
      <c r="C7">
        <v>6</v>
      </c>
      <c r="D7">
        <v>0.21729999999999999</v>
      </c>
      <c r="E7" s="19">
        <v>39</v>
      </c>
      <c r="F7">
        <v>7.6769371499999997</v>
      </c>
      <c r="G7" s="4"/>
    </row>
    <row r="8" spans="1:7" x14ac:dyDescent="0.2">
      <c r="A8" t="s">
        <v>17</v>
      </c>
      <c r="B8" t="s">
        <v>20</v>
      </c>
      <c r="C8">
        <v>1</v>
      </c>
      <c r="D8">
        <v>0.33078587999999998</v>
      </c>
      <c r="E8" s="19">
        <v>25.2</v>
      </c>
      <c r="F8">
        <v>7.9076515900000004</v>
      </c>
    </row>
    <row r="9" spans="1:7" x14ac:dyDescent="0.2">
      <c r="A9" t="s">
        <v>17</v>
      </c>
      <c r="B9" t="s">
        <v>20</v>
      </c>
      <c r="C9">
        <v>2</v>
      </c>
      <c r="D9">
        <v>0.31591863999999997</v>
      </c>
      <c r="E9" s="19">
        <v>16.3</v>
      </c>
      <c r="F9">
        <v>7.9932823300000004</v>
      </c>
    </row>
    <row r="10" spans="1:7" x14ac:dyDescent="0.2">
      <c r="A10" t="s">
        <v>17</v>
      </c>
      <c r="B10" t="s">
        <v>20</v>
      </c>
      <c r="C10">
        <v>3</v>
      </c>
      <c r="D10">
        <v>0.31902544999999999</v>
      </c>
      <c r="E10" s="19">
        <v>14.8</v>
      </c>
      <c r="F10">
        <v>7.9459096000000002</v>
      </c>
    </row>
    <row r="11" spans="1:7" x14ac:dyDescent="0.2">
      <c r="A11" t="s">
        <v>17</v>
      </c>
      <c r="B11" t="s">
        <v>20</v>
      </c>
      <c r="C11">
        <v>4</v>
      </c>
      <c r="D11">
        <v>0.29199543</v>
      </c>
      <c r="E11" s="19">
        <v>14.4</v>
      </c>
      <c r="F11">
        <v>7.8849529499999997</v>
      </c>
    </row>
    <row r="12" spans="1:7" x14ac:dyDescent="0.2">
      <c r="A12" t="s">
        <v>17</v>
      </c>
      <c r="B12" t="s">
        <v>20</v>
      </c>
      <c r="C12">
        <v>5</v>
      </c>
      <c r="D12">
        <v>0.31876078000000002</v>
      </c>
      <c r="E12" s="19">
        <v>12</v>
      </c>
      <c r="F12">
        <v>8.0016899800000001</v>
      </c>
    </row>
    <row r="13" spans="1:7" x14ac:dyDescent="0.2">
      <c r="A13" t="s">
        <v>17</v>
      </c>
      <c r="B13" t="s">
        <v>20</v>
      </c>
      <c r="C13">
        <v>6</v>
      </c>
      <c r="D13">
        <v>0.29885054</v>
      </c>
      <c r="E13" s="19">
        <v>18.5</v>
      </c>
      <c r="F13">
        <v>7.9337968700000001</v>
      </c>
    </row>
    <row r="14" spans="1:7" x14ac:dyDescent="0.2">
      <c r="A14" t="s">
        <v>18</v>
      </c>
      <c r="B14" t="s">
        <v>1041</v>
      </c>
      <c r="C14">
        <v>1</v>
      </c>
      <c r="D14">
        <v>0.11998423</v>
      </c>
      <c r="E14" s="19">
        <v>12.5</v>
      </c>
      <c r="F14">
        <v>7.9076515900000004</v>
      </c>
    </row>
    <row r="15" spans="1:7" x14ac:dyDescent="0.2">
      <c r="A15" t="s">
        <v>18</v>
      </c>
      <c r="B15" t="s">
        <v>1041</v>
      </c>
      <c r="C15">
        <v>2</v>
      </c>
      <c r="D15">
        <v>0.13212940000000001</v>
      </c>
      <c r="E15" s="19">
        <v>11.3</v>
      </c>
      <c r="F15">
        <v>7.3511582300000002</v>
      </c>
    </row>
    <row r="16" spans="1:7" x14ac:dyDescent="0.2">
      <c r="A16" t="s">
        <v>18</v>
      </c>
      <c r="B16" t="s">
        <v>1041</v>
      </c>
      <c r="C16">
        <v>3</v>
      </c>
      <c r="D16">
        <v>0.11972405</v>
      </c>
      <c r="E16" s="19">
        <v>9.73</v>
      </c>
      <c r="F16">
        <v>7.3395377000000002</v>
      </c>
    </row>
    <row r="17" spans="1:6" x14ac:dyDescent="0.2">
      <c r="A17" t="s">
        <v>18</v>
      </c>
      <c r="B17" t="s">
        <v>1041</v>
      </c>
      <c r="C17">
        <v>4</v>
      </c>
      <c r="D17">
        <v>0.11359542</v>
      </c>
      <c r="E17" s="19">
        <v>10.8</v>
      </c>
      <c r="F17">
        <v>7.3846103799999998</v>
      </c>
    </row>
    <row r="18" spans="1:6" x14ac:dyDescent="0.2">
      <c r="A18" t="s">
        <v>18</v>
      </c>
      <c r="B18" t="s">
        <v>1041</v>
      </c>
      <c r="C18">
        <v>5</v>
      </c>
      <c r="D18">
        <v>0.14158698</v>
      </c>
      <c r="E18" s="19">
        <v>28.8</v>
      </c>
      <c r="F18">
        <v>7.1891677400000003</v>
      </c>
    </row>
    <row r="19" spans="1:6" x14ac:dyDescent="0.2">
      <c r="A19" t="s">
        <v>18</v>
      </c>
      <c r="B19" t="s">
        <v>1041</v>
      </c>
      <c r="C19">
        <v>6</v>
      </c>
      <c r="D19">
        <v>0.12986327</v>
      </c>
      <c r="E19" s="19">
        <v>39</v>
      </c>
      <c r="F19">
        <v>7.1172054999999999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32A1-732F-A64F-AD67-EA10349678BB}">
  <dimension ref="A1:C10"/>
  <sheetViews>
    <sheetView zoomScale="160" workbookViewId="0">
      <selection activeCell="C10" sqref="C10"/>
    </sheetView>
  </sheetViews>
  <sheetFormatPr baseColWidth="10" defaultRowHeight="16" x14ac:dyDescent="0.2"/>
  <sheetData>
    <row r="1" spans="1:3" s="7" customFormat="1" x14ac:dyDescent="0.2">
      <c r="A1" s="7" t="s">
        <v>37</v>
      </c>
      <c r="B1" s="7" t="s">
        <v>1044</v>
      </c>
      <c r="C1" s="7" t="s">
        <v>1048</v>
      </c>
    </row>
    <row r="2" spans="1:3" x14ac:dyDescent="0.2">
      <c r="A2" t="s">
        <v>17</v>
      </c>
      <c r="B2" t="s">
        <v>1045</v>
      </c>
      <c r="C2">
        <v>0.34899999999999998</v>
      </c>
    </row>
    <row r="3" spans="1:3" x14ac:dyDescent="0.2">
      <c r="A3" t="s">
        <v>17</v>
      </c>
      <c r="B3" t="s">
        <v>1045</v>
      </c>
      <c r="C3">
        <v>0.253</v>
      </c>
    </row>
    <row r="4" spans="1:3" x14ac:dyDescent="0.2">
      <c r="A4" t="s">
        <v>17</v>
      </c>
      <c r="B4" t="s">
        <v>1045</v>
      </c>
      <c r="C4">
        <v>0.34399999999999997</v>
      </c>
    </row>
    <row r="5" spans="1:3" x14ac:dyDescent="0.2">
      <c r="A5" t="s">
        <v>17</v>
      </c>
      <c r="B5" t="s">
        <v>1046</v>
      </c>
      <c r="C5">
        <v>0.11600000000000001</v>
      </c>
    </row>
    <row r="6" spans="1:3" x14ac:dyDescent="0.2">
      <c r="A6" t="s">
        <v>17</v>
      </c>
      <c r="B6" t="s">
        <v>1046</v>
      </c>
      <c r="C6">
        <v>0.104</v>
      </c>
    </row>
    <row r="7" spans="1:3" x14ac:dyDescent="0.2">
      <c r="A7" t="s">
        <v>17</v>
      </c>
      <c r="B7" t="s">
        <v>1046</v>
      </c>
      <c r="C7">
        <v>0.111</v>
      </c>
    </row>
    <row r="8" spans="1:3" x14ac:dyDescent="0.2">
      <c r="A8" t="s">
        <v>1047</v>
      </c>
      <c r="B8" t="s">
        <v>25</v>
      </c>
      <c r="C8">
        <v>8.5000000000000006E-2</v>
      </c>
    </row>
    <row r="9" spans="1:3" x14ac:dyDescent="0.2">
      <c r="A9" t="s">
        <v>1047</v>
      </c>
      <c r="B9" t="s">
        <v>25</v>
      </c>
      <c r="C9">
        <v>8.3000000000000004E-2</v>
      </c>
    </row>
    <row r="10" spans="1:3" x14ac:dyDescent="0.2">
      <c r="A10" t="s">
        <v>1047</v>
      </c>
      <c r="B10" t="s">
        <v>25</v>
      </c>
      <c r="C10">
        <v>8.2000000000000003E-2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DE59-8842-8E46-845B-E81D97D28335}">
  <dimension ref="A1:E109"/>
  <sheetViews>
    <sheetView zoomScale="200" workbookViewId="0">
      <selection activeCell="C4" sqref="C4"/>
    </sheetView>
  </sheetViews>
  <sheetFormatPr baseColWidth="10" defaultRowHeight="16" x14ac:dyDescent="0.2"/>
  <cols>
    <col min="2" max="2" width="12.6640625" bestFit="1" customWidth="1"/>
    <col min="3" max="3" width="9.83203125" bestFit="1" customWidth="1"/>
    <col min="4" max="4" width="8.83203125" bestFit="1" customWidth="1"/>
    <col min="5" max="5" width="12.33203125" bestFit="1" customWidth="1"/>
  </cols>
  <sheetData>
    <row r="1" spans="1:5" s="7" customFormat="1" x14ac:dyDescent="0.2">
      <c r="A1" s="7" t="s">
        <v>1049</v>
      </c>
      <c r="B1" s="7" t="s">
        <v>37</v>
      </c>
      <c r="C1" s="7" t="s">
        <v>6</v>
      </c>
      <c r="D1" s="7" t="s">
        <v>1050</v>
      </c>
      <c r="E1" s="7" t="s">
        <v>1051</v>
      </c>
    </row>
    <row r="2" spans="1:5" x14ac:dyDescent="0.2">
      <c r="A2" t="s">
        <v>1006</v>
      </c>
      <c r="B2" t="s">
        <v>17</v>
      </c>
      <c r="C2">
        <v>1</v>
      </c>
      <c r="D2">
        <v>1</v>
      </c>
      <c r="E2">
        <v>0.78125</v>
      </c>
    </row>
    <row r="3" spans="1:5" x14ac:dyDescent="0.2">
      <c r="A3" t="s">
        <v>1006</v>
      </c>
      <c r="B3" t="s">
        <v>17</v>
      </c>
      <c r="C3">
        <v>2</v>
      </c>
      <c r="D3">
        <v>1</v>
      </c>
      <c r="E3">
        <v>0.78125</v>
      </c>
    </row>
    <row r="4" spans="1:5" x14ac:dyDescent="0.2">
      <c r="A4" t="s">
        <v>1006</v>
      </c>
      <c r="B4" t="s">
        <v>17</v>
      </c>
      <c r="C4">
        <v>3</v>
      </c>
      <c r="D4">
        <v>1</v>
      </c>
      <c r="E4">
        <v>0.78125</v>
      </c>
    </row>
    <row r="5" spans="1:5" x14ac:dyDescent="0.2">
      <c r="A5" t="s">
        <v>1006</v>
      </c>
      <c r="B5" t="s">
        <v>17</v>
      </c>
      <c r="C5">
        <v>4</v>
      </c>
      <c r="D5">
        <v>1</v>
      </c>
      <c r="E5">
        <v>0.78125</v>
      </c>
    </row>
    <row r="6" spans="1:5" x14ac:dyDescent="0.2">
      <c r="A6" t="s">
        <v>1006</v>
      </c>
      <c r="B6" t="s">
        <v>17</v>
      </c>
      <c r="C6">
        <v>5</v>
      </c>
      <c r="D6">
        <v>2</v>
      </c>
      <c r="E6">
        <v>0.78125</v>
      </c>
    </row>
    <row r="7" spans="1:5" x14ac:dyDescent="0.2">
      <c r="A7" t="s">
        <v>1006</v>
      </c>
      <c r="B7" t="s">
        <v>17</v>
      </c>
      <c r="C7">
        <v>6</v>
      </c>
      <c r="D7">
        <v>2</v>
      </c>
      <c r="E7">
        <v>0.78125</v>
      </c>
    </row>
    <row r="8" spans="1:5" x14ac:dyDescent="0.2">
      <c r="A8" t="s">
        <v>1007</v>
      </c>
      <c r="B8" t="s">
        <v>17</v>
      </c>
      <c r="C8">
        <v>1</v>
      </c>
      <c r="D8">
        <v>1</v>
      </c>
      <c r="E8">
        <v>12.5</v>
      </c>
    </row>
    <row r="9" spans="1:5" x14ac:dyDescent="0.2">
      <c r="A9" t="s">
        <v>1007</v>
      </c>
      <c r="B9" t="s">
        <v>17</v>
      </c>
      <c r="C9">
        <v>2</v>
      </c>
      <c r="D9">
        <v>1</v>
      </c>
      <c r="E9">
        <v>12.5</v>
      </c>
    </row>
    <row r="10" spans="1:5" x14ac:dyDescent="0.2">
      <c r="A10" t="s">
        <v>1007</v>
      </c>
      <c r="B10" t="s">
        <v>17</v>
      </c>
      <c r="C10">
        <v>3</v>
      </c>
      <c r="D10">
        <v>1</v>
      </c>
      <c r="E10">
        <v>12.5</v>
      </c>
    </row>
    <row r="11" spans="1:5" x14ac:dyDescent="0.2">
      <c r="A11" t="s">
        <v>1007</v>
      </c>
      <c r="B11" t="s">
        <v>17</v>
      </c>
      <c r="C11">
        <v>4</v>
      </c>
      <c r="D11">
        <v>1</v>
      </c>
      <c r="E11">
        <v>6.25</v>
      </c>
    </row>
    <row r="12" spans="1:5" x14ac:dyDescent="0.2">
      <c r="A12" t="s">
        <v>1007</v>
      </c>
      <c r="B12" t="s">
        <v>17</v>
      </c>
      <c r="C12">
        <v>5</v>
      </c>
      <c r="D12">
        <v>2</v>
      </c>
      <c r="E12">
        <v>6.25</v>
      </c>
    </row>
    <row r="13" spans="1:5" x14ac:dyDescent="0.2">
      <c r="A13" t="s">
        <v>1007</v>
      </c>
      <c r="B13" t="s">
        <v>17</v>
      </c>
      <c r="C13">
        <v>6</v>
      </c>
      <c r="D13">
        <v>2</v>
      </c>
      <c r="E13">
        <v>6.25</v>
      </c>
    </row>
    <row r="14" spans="1:5" x14ac:dyDescent="0.2">
      <c r="A14" t="s">
        <v>26</v>
      </c>
      <c r="B14" t="s">
        <v>17</v>
      </c>
      <c r="C14">
        <v>1</v>
      </c>
      <c r="D14">
        <v>1</v>
      </c>
      <c r="E14">
        <v>1.5625</v>
      </c>
    </row>
    <row r="15" spans="1:5" x14ac:dyDescent="0.2">
      <c r="A15" t="s">
        <v>26</v>
      </c>
      <c r="B15" t="s">
        <v>17</v>
      </c>
      <c r="C15">
        <v>2</v>
      </c>
      <c r="D15">
        <v>1</v>
      </c>
      <c r="E15">
        <v>0.78125</v>
      </c>
    </row>
    <row r="16" spans="1:5" x14ac:dyDescent="0.2">
      <c r="A16" t="s">
        <v>26</v>
      </c>
      <c r="B16" t="s">
        <v>17</v>
      </c>
      <c r="C16">
        <v>3</v>
      </c>
      <c r="D16">
        <v>1</v>
      </c>
      <c r="E16">
        <v>0.78125</v>
      </c>
    </row>
    <row r="17" spans="1:5" x14ac:dyDescent="0.2">
      <c r="A17" t="s">
        <v>26</v>
      </c>
      <c r="B17" t="s">
        <v>17</v>
      </c>
      <c r="C17">
        <v>4</v>
      </c>
      <c r="D17">
        <v>1</v>
      </c>
      <c r="E17">
        <v>0.390625</v>
      </c>
    </row>
    <row r="18" spans="1:5" x14ac:dyDescent="0.2">
      <c r="A18" t="s">
        <v>26</v>
      </c>
      <c r="B18" t="s">
        <v>17</v>
      </c>
      <c r="C18">
        <v>5</v>
      </c>
      <c r="D18">
        <v>2</v>
      </c>
      <c r="E18">
        <v>1.5625</v>
      </c>
    </row>
    <row r="19" spans="1:5" x14ac:dyDescent="0.2">
      <c r="A19" t="s">
        <v>26</v>
      </c>
      <c r="B19" t="s">
        <v>17</v>
      </c>
      <c r="C19">
        <v>6</v>
      </c>
      <c r="D19">
        <v>2</v>
      </c>
      <c r="E19">
        <v>1.5625</v>
      </c>
    </row>
    <row r="20" spans="1:5" x14ac:dyDescent="0.2">
      <c r="A20" t="s">
        <v>947</v>
      </c>
      <c r="B20" t="s">
        <v>17</v>
      </c>
      <c r="C20">
        <v>1</v>
      </c>
      <c r="D20">
        <v>1</v>
      </c>
      <c r="E20">
        <v>0.390625</v>
      </c>
    </row>
    <row r="21" spans="1:5" x14ac:dyDescent="0.2">
      <c r="A21" t="s">
        <v>947</v>
      </c>
      <c r="B21" t="s">
        <v>17</v>
      </c>
      <c r="C21">
        <v>2</v>
      </c>
      <c r="D21">
        <v>1</v>
      </c>
      <c r="E21">
        <v>0.390625</v>
      </c>
    </row>
    <row r="22" spans="1:5" x14ac:dyDescent="0.2">
      <c r="A22" t="s">
        <v>947</v>
      </c>
      <c r="B22" t="s">
        <v>17</v>
      </c>
      <c r="C22">
        <v>3</v>
      </c>
      <c r="D22">
        <v>1</v>
      </c>
      <c r="E22">
        <v>0.390625</v>
      </c>
    </row>
    <row r="23" spans="1:5" x14ac:dyDescent="0.2">
      <c r="A23" t="s">
        <v>947</v>
      </c>
      <c r="B23" t="s">
        <v>17</v>
      </c>
      <c r="C23">
        <v>4</v>
      </c>
      <c r="D23">
        <v>1</v>
      </c>
      <c r="E23">
        <v>0.390625</v>
      </c>
    </row>
    <row r="24" spans="1:5" x14ac:dyDescent="0.2">
      <c r="A24" t="s">
        <v>947</v>
      </c>
      <c r="B24" t="s">
        <v>17</v>
      </c>
      <c r="C24">
        <v>5</v>
      </c>
      <c r="D24">
        <v>2</v>
      </c>
      <c r="E24">
        <v>0.78125</v>
      </c>
    </row>
    <row r="25" spans="1:5" x14ac:dyDescent="0.2">
      <c r="A25" t="s">
        <v>947</v>
      </c>
      <c r="B25" t="s">
        <v>17</v>
      </c>
      <c r="C25">
        <v>6</v>
      </c>
      <c r="D25">
        <v>2</v>
      </c>
      <c r="E25">
        <v>0.78125</v>
      </c>
    </row>
    <row r="26" spans="1:5" x14ac:dyDescent="0.2">
      <c r="A26" t="s">
        <v>1008</v>
      </c>
      <c r="B26" t="s">
        <v>17</v>
      </c>
      <c r="C26">
        <v>1</v>
      </c>
      <c r="D26">
        <v>1</v>
      </c>
      <c r="E26">
        <v>1.5625</v>
      </c>
    </row>
    <row r="27" spans="1:5" x14ac:dyDescent="0.2">
      <c r="A27" t="s">
        <v>1008</v>
      </c>
      <c r="B27" t="s">
        <v>17</v>
      </c>
      <c r="C27">
        <v>2</v>
      </c>
      <c r="D27">
        <v>1</v>
      </c>
      <c r="E27">
        <v>1.5625</v>
      </c>
    </row>
    <row r="28" spans="1:5" x14ac:dyDescent="0.2">
      <c r="A28" t="s">
        <v>1008</v>
      </c>
      <c r="B28" t="s">
        <v>17</v>
      </c>
      <c r="C28">
        <v>3</v>
      </c>
      <c r="D28">
        <v>1</v>
      </c>
      <c r="E28">
        <v>3.125</v>
      </c>
    </row>
    <row r="29" spans="1:5" x14ac:dyDescent="0.2">
      <c r="A29" t="s">
        <v>1008</v>
      </c>
      <c r="B29" t="s">
        <v>17</v>
      </c>
      <c r="C29">
        <v>4</v>
      </c>
      <c r="D29">
        <v>1</v>
      </c>
      <c r="E29">
        <v>3.125</v>
      </c>
    </row>
    <row r="30" spans="1:5" x14ac:dyDescent="0.2">
      <c r="A30" t="s">
        <v>1008</v>
      </c>
      <c r="B30" t="s">
        <v>17</v>
      </c>
      <c r="C30">
        <v>5</v>
      </c>
      <c r="D30">
        <v>2</v>
      </c>
      <c r="E30">
        <v>1.5625</v>
      </c>
    </row>
    <row r="31" spans="1:5" x14ac:dyDescent="0.2">
      <c r="A31" t="s">
        <v>1008</v>
      </c>
      <c r="B31" t="s">
        <v>17</v>
      </c>
      <c r="C31">
        <v>6</v>
      </c>
      <c r="D31">
        <v>2</v>
      </c>
      <c r="E31">
        <v>1.5625</v>
      </c>
    </row>
    <row r="32" spans="1:5" x14ac:dyDescent="0.2">
      <c r="A32" t="s">
        <v>27</v>
      </c>
      <c r="B32" t="s">
        <v>17</v>
      </c>
      <c r="C32">
        <v>1</v>
      </c>
      <c r="D32">
        <v>1</v>
      </c>
      <c r="E32">
        <v>1.5625</v>
      </c>
    </row>
    <row r="33" spans="1:5" x14ac:dyDescent="0.2">
      <c r="A33" t="s">
        <v>27</v>
      </c>
      <c r="B33" t="s">
        <v>17</v>
      </c>
      <c r="C33">
        <v>2</v>
      </c>
      <c r="D33">
        <v>1</v>
      </c>
      <c r="E33">
        <v>3.125</v>
      </c>
    </row>
    <row r="34" spans="1:5" x14ac:dyDescent="0.2">
      <c r="A34" t="s">
        <v>27</v>
      </c>
      <c r="B34" t="s">
        <v>17</v>
      </c>
      <c r="C34">
        <v>3</v>
      </c>
      <c r="D34">
        <v>1</v>
      </c>
      <c r="E34">
        <v>3.125</v>
      </c>
    </row>
    <row r="35" spans="1:5" x14ac:dyDescent="0.2">
      <c r="A35" t="s">
        <v>27</v>
      </c>
      <c r="B35" t="s">
        <v>17</v>
      </c>
      <c r="C35">
        <v>4</v>
      </c>
      <c r="D35">
        <v>1</v>
      </c>
      <c r="E35">
        <v>3.125</v>
      </c>
    </row>
    <row r="36" spans="1:5" x14ac:dyDescent="0.2">
      <c r="A36" t="s">
        <v>27</v>
      </c>
      <c r="B36" t="s">
        <v>17</v>
      </c>
      <c r="C36">
        <v>5</v>
      </c>
      <c r="D36">
        <v>2</v>
      </c>
      <c r="E36">
        <v>0.78125</v>
      </c>
    </row>
    <row r="37" spans="1:5" x14ac:dyDescent="0.2">
      <c r="A37" t="s">
        <v>27</v>
      </c>
      <c r="B37" t="s">
        <v>17</v>
      </c>
      <c r="C37">
        <v>6</v>
      </c>
      <c r="D37">
        <v>2</v>
      </c>
      <c r="E37">
        <v>0.78125</v>
      </c>
    </row>
    <row r="38" spans="1:5" x14ac:dyDescent="0.2">
      <c r="A38" t="s">
        <v>1009</v>
      </c>
      <c r="B38" t="s">
        <v>17</v>
      </c>
      <c r="C38">
        <v>1</v>
      </c>
      <c r="D38">
        <v>1</v>
      </c>
      <c r="E38">
        <v>100</v>
      </c>
    </row>
    <row r="39" spans="1:5" x14ac:dyDescent="0.2">
      <c r="A39" t="s">
        <v>1009</v>
      </c>
      <c r="B39" t="s">
        <v>17</v>
      </c>
      <c r="C39">
        <v>2</v>
      </c>
      <c r="D39">
        <v>1</v>
      </c>
      <c r="E39">
        <v>100</v>
      </c>
    </row>
    <row r="40" spans="1:5" x14ac:dyDescent="0.2">
      <c r="A40" t="s">
        <v>1009</v>
      </c>
      <c r="B40" t="s">
        <v>17</v>
      </c>
      <c r="C40">
        <v>3</v>
      </c>
      <c r="D40">
        <v>1</v>
      </c>
      <c r="E40">
        <v>100</v>
      </c>
    </row>
    <row r="41" spans="1:5" x14ac:dyDescent="0.2">
      <c r="A41" t="s">
        <v>1009</v>
      </c>
      <c r="B41" t="s">
        <v>17</v>
      </c>
      <c r="C41">
        <v>4</v>
      </c>
      <c r="D41">
        <v>1</v>
      </c>
      <c r="E41">
        <v>50</v>
      </c>
    </row>
    <row r="42" spans="1:5" x14ac:dyDescent="0.2">
      <c r="A42" t="s">
        <v>1009</v>
      </c>
      <c r="B42" t="s">
        <v>17</v>
      </c>
      <c r="C42">
        <v>5</v>
      </c>
      <c r="D42">
        <v>2</v>
      </c>
      <c r="E42">
        <v>100</v>
      </c>
    </row>
    <row r="43" spans="1:5" x14ac:dyDescent="0.2">
      <c r="A43" t="s">
        <v>1009</v>
      </c>
      <c r="B43" t="s">
        <v>17</v>
      </c>
      <c r="C43">
        <v>6</v>
      </c>
      <c r="D43">
        <v>2</v>
      </c>
      <c r="E43">
        <v>50</v>
      </c>
    </row>
    <row r="44" spans="1:5" x14ac:dyDescent="0.2">
      <c r="A44" t="s">
        <v>1010</v>
      </c>
      <c r="B44" t="s">
        <v>17</v>
      </c>
      <c r="C44">
        <v>1</v>
      </c>
      <c r="D44">
        <v>1</v>
      </c>
      <c r="E44">
        <v>1.5625E-2</v>
      </c>
    </row>
    <row r="45" spans="1:5" x14ac:dyDescent="0.2">
      <c r="A45" t="s">
        <v>1010</v>
      </c>
      <c r="B45" t="s">
        <v>17</v>
      </c>
      <c r="C45">
        <v>2</v>
      </c>
      <c r="D45">
        <v>1</v>
      </c>
      <c r="E45">
        <v>1.5625E-2</v>
      </c>
    </row>
    <row r="46" spans="1:5" x14ac:dyDescent="0.2">
      <c r="A46" t="s">
        <v>1010</v>
      </c>
      <c r="B46" t="s">
        <v>17</v>
      </c>
      <c r="C46">
        <v>3</v>
      </c>
      <c r="D46">
        <v>1</v>
      </c>
      <c r="E46">
        <v>1.5625E-2</v>
      </c>
    </row>
    <row r="47" spans="1:5" x14ac:dyDescent="0.2">
      <c r="A47" t="s">
        <v>1010</v>
      </c>
      <c r="B47" t="s">
        <v>17</v>
      </c>
      <c r="C47">
        <v>4</v>
      </c>
      <c r="D47">
        <v>1</v>
      </c>
      <c r="E47">
        <v>1.5625E-2</v>
      </c>
    </row>
    <row r="48" spans="1:5" x14ac:dyDescent="0.2">
      <c r="A48" t="s">
        <v>1010</v>
      </c>
      <c r="B48" t="s">
        <v>17</v>
      </c>
      <c r="C48">
        <v>5</v>
      </c>
      <c r="D48">
        <v>2</v>
      </c>
      <c r="E48">
        <v>7.8E-2</v>
      </c>
    </row>
    <row r="49" spans="1:5" x14ac:dyDescent="0.2">
      <c r="A49" t="s">
        <v>1010</v>
      </c>
      <c r="B49" t="s">
        <v>17</v>
      </c>
      <c r="C49">
        <v>6</v>
      </c>
      <c r="D49">
        <v>2</v>
      </c>
      <c r="E49">
        <v>7.8E-2</v>
      </c>
    </row>
    <row r="50" spans="1:5" x14ac:dyDescent="0.2">
      <c r="A50" t="s">
        <v>1011</v>
      </c>
      <c r="B50" t="s">
        <v>17</v>
      </c>
      <c r="C50">
        <v>1</v>
      </c>
      <c r="D50">
        <v>1</v>
      </c>
      <c r="E50">
        <v>0.78125</v>
      </c>
    </row>
    <row r="51" spans="1:5" x14ac:dyDescent="0.2">
      <c r="A51" t="s">
        <v>1011</v>
      </c>
      <c r="B51" t="s">
        <v>17</v>
      </c>
      <c r="C51">
        <v>2</v>
      </c>
      <c r="D51">
        <v>1</v>
      </c>
      <c r="E51">
        <v>0.78125</v>
      </c>
    </row>
    <row r="52" spans="1:5" x14ac:dyDescent="0.2">
      <c r="A52" t="s">
        <v>1011</v>
      </c>
      <c r="B52" t="s">
        <v>17</v>
      </c>
      <c r="C52">
        <v>3</v>
      </c>
      <c r="D52">
        <v>1</v>
      </c>
      <c r="E52">
        <v>0.78125</v>
      </c>
    </row>
    <row r="53" spans="1:5" x14ac:dyDescent="0.2">
      <c r="A53" t="s">
        <v>1011</v>
      </c>
      <c r="B53" t="s">
        <v>17</v>
      </c>
      <c r="C53">
        <v>4</v>
      </c>
      <c r="D53">
        <v>1</v>
      </c>
      <c r="E53">
        <v>0.78125</v>
      </c>
    </row>
    <row r="54" spans="1:5" x14ac:dyDescent="0.2">
      <c r="A54" t="s">
        <v>1011</v>
      </c>
      <c r="B54" t="s">
        <v>17</v>
      </c>
      <c r="C54">
        <v>5</v>
      </c>
      <c r="D54">
        <v>2</v>
      </c>
      <c r="E54">
        <v>6.25</v>
      </c>
    </row>
    <row r="55" spans="1:5" x14ac:dyDescent="0.2">
      <c r="A55" t="s">
        <v>1011</v>
      </c>
      <c r="B55" t="s">
        <v>17</v>
      </c>
      <c r="C55">
        <v>6</v>
      </c>
      <c r="D55">
        <v>2</v>
      </c>
      <c r="E55">
        <v>6.25</v>
      </c>
    </row>
    <row r="56" spans="1:5" x14ac:dyDescent="0.2">
      <c r="A56" t="s">
        <v>1006</v>
      </c>
      <c r="B56" t="s">
        <v>18</v>
      </c>
      <c r="C56">
        <v>1</v>
      </c>
      <c r="D56">
        <v>1</v>
      </c>
      <c r="E56">
        <v>1.5625</v>
      </c>
    </row>
    <row r="57" spans="1:5" x14ac:dyDescent="0.2">
      <c r="A57" t="s">
        <v>1006</v>
      </c>
      <c r="B57" t="s">
        <v>18</v>
      </c>
      <c r="C57">
        <v>2</v>
      </c>
      <c r="D57">
        <v>1</v>
      </c>
      <c r="E57">
        <v>0.78125</v>
      </c>
    </row>
    <row r="58" spans="1:5" x14ac:dyDescent="0.2">
      <c r="A58" t="s">
        <v>1006</v>
      </c>
      <c r="B58" t="s">
        <v>18</v>
      </c>
      <c r="C58">
        <v>3</v>
      </c>
      <c r="D58">
        <v>1</v>
      </c>
      <c r="E58">
        <v>1.5625</v>
      </c>
    </row>
    <row r="59" spans="1:5" x14ac:dyDescent="0.2">
      <c r="A59" t="s">
        <v>1006</v>
      </c>
      <c r="B59" t="s">
        <v>18</v>
      </c>
      <c r="C59">
        <v>4</v>
      </c>
      <c r="D59">
        <v>1</v>
      </c>
      <c r="E59">
        <v>1.5625</v>
      </c>
    </row>
    <row r="60" spans="1:5" x14ac:dyDescent="0.2">
      <c r="A60" t="s">
        <v>1006</v>
      </c>
      <c r="B60" t="s">
        <v>18</v>
      </c>
      <c r="C60">
        <v>5</v>
      </c>
      <c r="D60">
        <v>2</v>
      </c>
      <c r="E60">
        <v>1.5625</v>
      </c>
    </row>
    <row r="61" spans="1:5" x14ac:dyDescent="0.2">
      <c r="A61" t="s">
        <v>1006</v>
      </c>
      <c r="B61" t="s">
        <v>18</v>
      </c>
      <c r="C61">
        <v>6</v>
      </c>
      <c r="D61">
        <v>2</v>
      </c>
      <c r="E61">
        <v>1.5625</v>
      </c>
    </row>
    <row r="62" spans="1:5" x14ac:dyDescent="0.2">
      <c r="A62" t="s">
        <v>1007</v>
      </c>
      <c r="B62" t="s">
        <v>18</v>
      </c>
      <c r="C62">
        <v>1</v>
      </c>
      <c r="D62">
        <v>1</v>
      </c>
      <c r="E62">
        <v>1.5625</v>
      </c>
    </row>
    <row r="63" spans="1:5" x14ac:dyDescent="0.2">
      <c r="A63" t="s">
        <v>1007</v>
      </c>
      <c r="B63" t="s">
        <v>18</v>
      </c>
      <c r="C63">
        <v>2</v>
      </c>
      <c r="D63">
        <v>1</v>
      </c>
      <c r="E63">
        <v>1.5625</v>
      </c>
    </row>
    <row r="64" spans="1:5" x14ac:dyDescent="0.2">
      <c r="A64" t="s">
        <v>1007</v>
      </c>
      <c r="B64" t="s">
        <v>18</v>
      </c>
      <c r="C64">
        <v>3</v>
      </c>
      <c r="D64">
        <v>1</v>
      </c>
      <c r="E64">
        <v>1.5625</v>
      </c>
    </row>
    <row r="65" spans="1:5" x14ac:dyDescent="0.2">
      <c r="A65" t="s">
        <v>1007</v>
      </c>
      <c r="B65" t="s">
        <v>18</v>
      </c>
      <c r="C65">
        <v>4</v>
      </c>
      <c r="D65">
        <v>1</v>
      </c>
      <c r="E65">
        <v>0.78125</v>
      </c>
    </row>
    <row r="66" spans="1:5" x14ac:dyDescent="0.2">
      <c r="A66" t="s">
        <v>1007</v>
      </c>
      <c r="B66" t="s">
        <v>18</v>
      </c>
      <c r="C66">
        <v>5</v>
      </c>
      <c r="D66">
        <v>2</v>
      </c>
      <c r="E66">
        <v>1.5625</v>
      </c>
    </row>
    <row r="67" spans="1:5" x14ac:dyDescent="0.2">
      <c r="A67" t="s">
        <v>1007</v>
      </c>
      <c r="B67" t="s">
        <v>18</v>
      </c>
      <c r="C67">
        <v>6</v>
      </c>
      <c r="D67">
        <v>2</v>
      </c>
      <c r="E67">
        <v>1.5625</v>
      </c>
    </row>
    <row r="68" spans="1:5" x14ac:dyDescent="0.2">
      <c r="A68" t="s">
        <v>26</v>
      </c>
      <c r="B68" t="s">
        <v>18</v>
      </c>
      <c r="C68">
        <v>1</v>
      </c>
      <c r="D68">
        <v>1</v>
      </c>
      <c r="E68">
        <v>0.390625</v>
      </c>
    </row>
    <row r="69" spans="1:5" x14ac:dyDescent="0.2">
      <c r="A69" t="s">
        <v>26</v>
      </c>
      <c r="B69" t="s">
        <v>18</v>
      </c>
      <c r="C69">
        <v>2</v>
      </c>
      <c r="D69">
        <v>1</v>
      </c>
      <c r="E69">
        <v>0.390625</v>
      </c>
    </row>
    <row r="70" spans="1:5" x14ac:dyDescent="0.2">
      <c r="A70" t="s">
        <v>26</v>
      </c>
      <c r="B70" t="s">
        <v>18</v>
      </c>
      <c r="C70">
        <v>3</v>
      </c>
      <c r="D70">
        <v>1</v>
      </c>
      <c r="E70">
        <v>0.390625</v>
      </c>
    </row>
    <row r="71" spans="1:5" x14ac:dyDescent="0.2">
      <c r="A71" t="s">
        <v>26</v>
      </c>
      <c r="B71" t="s">
        <v>18</v>
      </c>
      <c r="C71">
        <v>4</v>
      </c>
      <c r="D71">
        <v>1</v>
      </c>
      <c r="E71">
        <v>0.390625</v>
      </c>
    </row>
    <row r="72" spans="1:5" x14ac:dyDescent="0.2">
      <c r="A72" t="s">
        <v>26</v>
      </c>
      <c r="B72" t="s">
        <v>18</v>
      </c>
      <c r="C72">
        <v>5</v>
      </c>
      <c r="D72">
        <v>2</v>
      </c>
      <c r="E72">
        <v>0.78125</v>
      </c>
    </row>
    <row r="73" spans="1:5" x14ac:dyDescent="0.2">
      <c r="A73" t="s">
        <v>26</v>
      </c>
      <c r="B73" t="s">
        <v>18</v>
      </c>
      <c r="C73">
        <v>6</v>
      </c>
      <c r="D73">
        <v>2</v>
      </c>
      <c r="E73">
        <v>0.78125</v>
      </c>
    </row>
    <row r="74" spans="1:5" x14ac:dyDescent="0.2">
      <c r="A74" t="s">
        <v>947</v>
      </c>
      <c r="B74" t="s">
        <v>18</v>
      </c>
      <c r="C74">
        <v>1</v>
      </c>
      <c r="D74">
        <v>1</v>
      </c>
      <c r="E74">
        <v>0.390625</v>
      </c>
    </row>
    <row r="75" spans="1:5" x14ac:dyDescent="0.2">
      <c r="A75" t="s">
        <v>947</v>
      </c>
      <c r="B75" t="s">
        <v>18</v>
      </c>
      <c r="C75">
        <v>2</v>
      </c>
      <c r="D75">
        <v>1</v>
      </c>
      <c r="E75">
        <v>0.390625</v>
      </c>
    </row>
    <row r="76" spans="1:5" x14ac:dyDescent="0.2">
      <c r="A76" t="s">
        <v>947</v>
      </c>
      <c r="B76" t="s">
        <v>18</v>
      </c>
      <c r="C76">
        <v>3</v>
      </c>
      <c r="D76">
        <v>1</v>
      </c>
      <c r="E76">
        <v>0.1953125</v>
      </c>
    </row>
    <row r="77" spans="1:5" x14ac:dyDescent="0.2">
      <c r="A77" t="s">
        <v>947</v>
      </c>
      <c r="B77" t="s">
        <v>18</v>
      </c>
      <c r="C77">
        <v>4</v>
      </c>
      <c r="D77">
        <v>1</v>
      </c>
      <c r="E77">
        <v>0.390625</v>
      </c>
    </row>
    <row r="78" spans="1:5" x14ac:dyDescent="0.2">
      <c r="A78" t="s">
        <v>947</v>
      </c>
      <c r="B78" t="s">
        <v>18</v>
      </c>
      <c r="C78">
        <v>5</v>
      </c>
      <c r="D78">
        <v>2</v>
      </c>
      <c r="E78">
        <v>0.78125</v>
      </c>
    </row>
    <row r="79" spans="1:5" x14ac:dyDescent="0.2">
      <c r="A79" t="s">
        <v>947</v>
      </c>
      <c r="B79" t="s">
        <v>18</v>
      </c>
      <c r="C79">
        <v>6</v>
      </c>
      <c r="D79">
        <v>2</v>
      </c>
      <c r="E79">
        <v>0.78125</v>
      </c>
    </row>
    <row r="80" spans="1:5" x14ac:dyDescent="0.2">
      <c r="A80" t="s">
        <v>1008</v>
      </c>
      <c r="B80" t="s">
        <v>18</v>
      </c>
      <c r="C80">
        <v>1</v>
      </c>
      <c r="D80">
        <v>1</v>
      </c>
      <c r="E80">
        <v>0.78125</v>
      </c>
    </row>
    <row r="81" spans="1:5" x14ac:dyDescent="0.2">
      <c r="A81" t="s">
        <v>1008</v>
      </c>
      <c r="B81" t="s">
        <v>18</v>
      </c>
      <c r="C81">
        <v>2</v>
      </c>
      <c r="D81">
        <v>1</v>
      </c>
      <c r="E81">
        <v>0.78125</v>
      </c>
    </row>
    <row r="82" spans="1:5" x14ac:dyDescent="0.2">
      <c r="A82" t="s">
        <v>1008</v>
      </c>
      <c r="B82" t="s">
        <v>18</v>
      </c>
      <c r="C82">
        <v>3</v>
      </c>
      <c r="D82">
        <v>1</v>
      </c>
      <c r="E82">
        <v>0.78125</v>
      </c>
    </row>
    <row r="83" spans="1:5" x14ac:dyDescent="0.2">
      <c r="A83" t="s">
        <v>1008</v>
      </c>
      <c r="B83" t="s">
        <v>18</v>
      </c>
      <c r="C83">
        <v>4</v>
      </c>
      <c r="D83">
        <v>1</v>
      </c>
      <c r="E83">
        <v>0.78125</v>
      </c>
    </row>
    <row r="84" spans="1:5" x14ac:dyDescent="0.2">
      <c r="A84" t="s">
        <v>1008</v>
      </c>
      <c r="B84" t="s">
        <v>18</v>
      </c>
      <c r="C84">
        <v>5</v>
      </c>
      <c r="D84">
        <v>2</v>
      </c>
      <c r="E84">
        <v>0.78125</v>
      </c>
    </row>
    <row r="85" spans="1:5" x14ac:dyDescent="0.2">
      <c r="A85" t="s">
        <v>1008</v>
      </c>
      <c r="B85" t="s">
        <v>18</v>
      </c>
      <c r="C85">
        <v>6</v>
      </c>
      <c r="D85">
        <v>2</v>
      </c>
      <c r="E85">
        <v>0.78125</v>
      </c>
    </row>
    <row r="86" spans="1:5" x14ac:dyDescent="0.2">
      <c r="A86" t="s">
        <v>27</v>
      </c>
      <c r="B86" t="s">
        <v>18</v>
      </c>
      <c r="C86">
        <v>1</v>
      </c>
      <c r="D86">
        <v>1</v>
      </c>
      <c r="E86">
        <v>0.390625</v>
      </c>
    </row>
    <row r="87" spans="1:5" x14ac:dyDescent="0.2">
      <c r="A87" t="s">
        <v>27</v>
      </c>
      <c r="B87" t="s">
        <v>18</v>
      </c>
      <c r="C87">
        <v>2</v>
      </c>
      <c r="D87">
        <v>1</v>
      </c>
      <c r="E87">
        <v>0.390625</v>
      </c>
    </row>
    <row r="88" spans="1:5" x14ac:dyDescent="0.2">
      <c r="A88" t="s">
        <v>27</v>
      </c>
      <c r="B88" t="s">
        <v>18</v>
      </c>
      <c r="C88">
        <v>3</v>
      </c>
      <c r="D88">
        <v>1</v>
      </c>
      <c r="E88">
        <v>0.390625</v>
      </c>
    </row>
    <row r="89" spans="1:5" x14ac:dyDescent="0.2">
      <c r="A89" t="s">
        <v>27</v>
      </c>
      <c r="B89" t="s">
        <v>18</v>
      </c>
      <c r="C89">
        <v>4</v>
      </c>
      <c r="D89">
        <v>1</v>
      </c>
      <c r="E89">
        <v>0.390625</v>
      </c>
    </row>
    <row r="90" spans="1:5" x14ac:dyDescent="0.2">
      <c r="A90" t="s">
        <v>27</v>
      </c>
      <c r="B90" t="s">
        <v>18</v>
      </c>
      <c r="C90">
        <v>5</v>
      </c>
      <c r="D90">
        <v>2</v>
      </c>
      <c r="E90">
        <v>0.78125</v>
      </c>
    </row>
    <row r="91" spans="1:5" x14ac:dyDescent="0.2">
      <c r="A91" t="s">
        <v>27</v>
      </c>
      <c r="B91" t="s">
        <v>18</v>
      </c>
      <c r="C91">
        <v>6</v>
      </c>
      <c r="D91">
        <v>2</v>
      </c>
      <c r="E91">
        <v>0.78125</v>
      </c>
    </row>
    <row r="92" spans="1:5" x14ac:dyDescent="0.2">
      <c r="A92" t="s">
        <v>1009</v>
      </c>
      <c r="B92" t="s">
        <v>18</v>
      </c>
      <c r="C92">
        <v>1</v>
      </c>
      <c r="D92">
        <v>1</v>
      </c>
      <c r="E92">
        <v>3.125</v>
      </c>
    </row>
    <row r="93" spans="1:5" x14ac:dyDescent="0.2">
      <c r="A93" t="s">
        <v>1009</v>
      </c>
      <c r="B93" t="s">
        <v>18</v>
      </c>
      <c r="C93">
        <v>2</v>
      </c>
      <c r="D93">
        <v>1</v>
      </c>
      <c r="E93">
        <v>3.125</v>
      </c>
    </row>
    <row r="94" spans="1:5" x14ac:dyDescent="0.2">
      <c r="A94" t="s">
        <v>1009</v>
      </c>
      <c r="B94" t="s">
        <v>18</v>
      </c>
      <c r="C94">
        <v>3</v>
      </c>
      <c r="D94">
        <v>1</v>
      </c>
      <c r="E94">
        <v>1.5625</v>
      </c>
    </row>
    <row r="95" spans="1:5" x14ac:dyDescent="0.2">
      <c r="A95" t="s">
        <v>1009</v>
      </c>
      <c r="B95" t="s">
        <v>18</v>
      </c>
      <c r="C95">
        <v>4</v>
      </c>
      <c r="D95">
        <v>1</v>
      </c>
      <c r="E95">
        <v>1.5625</v>
      </c>
    </row>
    <row r="96" spans="1:5" x14ac:dyDescent="0.2">
      <c r="A96" t="s">
        <v>1009</v>
      </c>
      <c r="B96" t="s">
        <v>18</v>
      </c>
      <c r="C96">
        <v>5</v>
      </c>
      <c r="D96">
        <v>2</v>
      </c>
      <c r="E96">
        <v>3.125</v>
      </c>
    </row>
    <row r="97" spans="1:5" x14ac:dyDescent="0.2">
      <c r="A97" t="s">
        <v>1009</v>
      </c>
      <c r="B97" t="s">
        <v>18</v>
      </c>
      <c r="C97">
        <v>6</v>
      </c>
      <c r="D97">
        <v>2</v>
      </c>
      <c r="E97">
        <v>3.125</v>
      </c>
    </row>
    <row r="98" spans="1:5" x14ac:dyDescent="0.2">
      <c r="A98" t="s">
        <v>1010</v>
      </c>
      <c r="B98" t="s">
        <v>18</v>
      </c>
      <c r="C98">
        <v>1</v>
      </c>
      <c r="D98">
        <v>1</v>
      </c>
      <c r="E98">
        <v>3.90625E-2</v>
      </c>
    </row>
    <row r="99" spans="1:5" x14ac:dyDescent="0.2">
      <c r="A99" t="s">
        <v>1010</v>
      </c>
      <c r="B99" t="s">
        <v>18</v>
      </c>
      <c r="C99">
        <v>2</v>
      </c>
      <c r="D99">
        <v>1</v>
      </c>
      <c r="E99">
        <v>3.90625E-2</v>
      </c>
    </row>
    <row r="100" spans="1:5" x14ac:dyDescent="0.2">
      <c r="A100" t="s">
        <v>1010</v>
      </c>
      <c r="B100" t="s">
        <v>18</v>
      </c>
      <c r="C100">
        <v>3</v>
      </c>
      <c r="D100">
        <v>1</v>
      </c>
      <c r="E100">
        <v>3.90625E-2</v>
      </c>
    </row>
    <row r="101" spans="1:5" x14ac:dyDescent="0.2">
      <c r="A101" t="s">
        <v>1010</v>
      </c>
      <c r="B101" t="s">
        <v>18</v>
      </c>
      <c r="C101">
        <v>4</v>
      </c>
      <c r="D101">
        <v>1</v>
      </c>
      <c r="E101">
        <v>3.90625E-2</v>
      </c>
    </row>
    <row r="102" spans="1:5" x14ac:dyDescent="0.2">
      <c r="A102" t="s">
        <v>1010</v>
      </c>
      <c r="B102" t="s">
        <v>18</v>
      </c>
      <c r="C102">
        <v>5</v>
      </c>
      <c r="D102">
        <v>2</v>
      </c>
      <c r="E102">
        <v>7.8125E-2</v>
      </c>
    </row>
    <row r="103" spans="1:5" x14ac:dyDescent="0.2">
      <c r="A103" t="s">
        <v>1010</v>
      </c>
      <c r="B103" t="s">
        <v>18</v>
      </c>
      <c r="C103">
        <v>6</v>
      </c>
      <c r="D103">
        <v>2</v>
      </c>
      <c r="E103">
        <v>7.8125E-2</v>
      </c>
    </row>
    <row r="104" spans="1:5" x14ac:dyDescent="0.2">
      <c r="A104" t="s">
        <v>1011</v>
      </c>
      <c r="B104" t="s">
        <v>18</v>
      </c>
      <c r="C104">
        <v>1</v>
      </c>
      <c r="D104">
        <v>1</v>
      </c>
      <c r="E104">
        <v>1.5625</v>
      </c>
    </row>
    <row r="105" spans="1:5" x14ac:dyDescent="0.2">
      <c r="A105" t="s">
        <v>1011</v>
      </c>
      <c r="B105" t="s">
        <v>18</v>
      </c>
      <c r="C105">
        <v>2</v>
      </c>
      <c r="D105">
        <v>1</v>
      </c>
      <c r="E105">
        <v>1.5625</v>
      </c>
    </row>
    <row r="106" spans="1:5" x14ac:dyDescent="0.2">
      <c r="A106" t="s">
        <v>1011</v>
      </c>
      <c r="B106" t="s">
        <v>18</v>
      </c>
      <c r="C106">
        <v>3</v>
      </c>
      <c r="D106">
        <v>1</v>
      </c>
      <c r="E106">
        <v>1.5625</v>
      </c>
    </row>
    <row r="107" spans="1:5" x14ac:dyDescent="0.2">
      <c r="A107" t="s">
        <v>1011</v>
      </c>
      <c r="B107" t="s">
        <v>18</v>
      </c>
      <c r="C107">
        <v>4</v>
      </c>
      <c r="D107">
        <v>1</v>
      </c>
      <c r="E107">
        <v>1.5625</v>
      </c>
    </row>
    <row r="108" spans="1:5" x14ac:dyDescent="0.2">
      <c r="A108" t="s">
        <v>1011</v>
      </c>
      <c r="B108" t="s">
        <v>18</v>
      </c>
      <c r="C108">
        <v>5</v>
      </c>
      <c r="D108">
        <v>2</v>
      </c>
      <c r="E108">
        <v>6.25</v>
      </c>
    </row>
    <row r="109" spans="1:5" x14ac:dyDescent="0.2">
      <c r="A109" t="s">
        <v>1011</v>
      </c>
      <c r="B109" t="s">
        <v>18</v>
      </c>
      <c r="C109">
        <v>6</v>
      </c>
      <c r="D109">
        <v>2</v>
      </c>
      <c r="E109">
        <v>6.25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F24A-90FB-8B4C-899C-21EAA01857DA}">
  <dimension ref="A1:I248"/>
  <sheetViews>
    <sheetView workbookViewId="0">
      <selection activeCell="I2" sqref="I2"/>
    </sheetView>
  </sheetViews>
  <sheetFormatPr baseColWidth="10" defaultRowHeight="16" x14ac:dyDescent="0.2"/>
  <cols>
    <col min="5" max="5" width="14.6640625" bestFit="1" customWidth="1"/>
    <col min="8" max="8" width="12.83203125" bestFit="1" customWidth="1"/>
  </cols>
  <sheetData>
    <row r="1" spans="1:9" s="7" customFormat="1" x14ac:dyDescent="0.2">
      <c r="A1" s="7" t="s">
        <v>24</v>
      </c>
      <c r="B1" s="7" t="s">
        <v>1052</v>
      </c>
      <c r="C1" s="7" t="s">
        <v>1053</v>
      </c>
      <c r="D1" s="7" t="s">
        <v>1054</v>
      </c>
      <c r="E1" s="7" t="s">
        <v>1055</v>
      </c>
      <c r="F1" s="7" t="s">
        <v>1056</v>
      </c>
      <c r="G1" s="7" t="s">
        <v>1057</v>
      </c>
      <c r="H1" s="7" t="s">
        <v>1058</v>
      </c>
      <c r="I1" s="7" t="s">
        <v>1059</v>
      </c>
    </row>
    <row r="2" spans="1:9" x14ac:dyDescent="0.2">
      <c r="A2">
        <v>0</v>
      </c>
      <c r="B2">
        <v>215</v>
      </c>
      <c r="C2">
        <v>224</v>
      </c>
      <c r="D2">
        <v>224</v>
      </c>
      <c r="E2">
        <v>236</v>
      </c>
      <c r="F2">
        <v>110</v>
      </c>
      <c r="G2">
        <v>112</v>
      </c>
      <c r="H2">
        <v>112</v>
      </c>
      <c r="I2">
        <v>112</v>
      </c>
    </row>
    <row r="3" spans="1:9" x14ac:dyDescent="0.2">
      <c r="A3">
        <v>0.36480555999999997</v>
      </c>
      <c r="B3">
        <v>230</v>
      </c>
      <c r="C3">
        <v>237</v>
      </c>
      <c r="D3">
        <v>237</v>
      </c>
      <c r="E3">
        <v>251</v>
      </c>
      <c r="F3">
        <v>111</v>
      </c>
      <c r="G3">
        <v>111</v>
      </c>
      <c r="H3">
        <v>111</v>
      </c>
      <c r="I3">
        <v>114</v>
      </c>
    </row>
    <row r="4" spans="1:9" x14ac:dyDescent="0.2">
      <c r="A4">
        <v>0.72961111000000001</v>
      </c>
      <c r="B4">
        <v>210</v>
      </c>
      <c r="C4">
        <v>217</v>
      </c>
      <c r="D4">
        <v>219</v>
      </c>
      <c r="E4">
        <v>229</v>
      </c>
      <c r="F4">
        <v>105</v>
      </c>
      <c r="G4">
        <v>129</v>
      </c>
      <c r="H4">
        <v>127</v>
      </c>
      <c r="I4">
        <v>134</v>
      </c>
    </row>
    <row r="5" spans="1:9" x14ac:dyDescent="0.2">
      <c r="A5">
        <v>1.09441667</v>
      </c>
      <c r="B5">
        <v>197</v>
      </c>
      <c r="C5">
        <v>205</v>
      </c>
      <c r="D5">
        <v>204</v>
      </c>
      <c r="E5">
        <v>213</v>
      </c>
      <c r="F5">
        <v>114</v>
      </c>
      <c r="G5">
        <v>112</v>
      </c>
      <c r="H5">
        <v>114</v>
      </c>
      <c r="I5">
        <v>113</v>
      </c>
    </row>
    <row r="6" spans="1:9" x14ac:dyDescent="0.2">
      <c r="A6">
        <v>1.4592499999999999</v>
      </c>
      <c r="B6">
        <v>195</v>
      </c>
      <c r="C6">
        <v>196</v>
      </c>
      <c r="D6">
        <v>205</v>
      </c>
      <c r="E6">
        <v>208</v>
      </c>
      <c r="F6">
        <v>110</v>
      </c>
      <c r="G6">
        <v>113</v>
      </c>
      <c r="H6">
        <v>109</v>
      </c>
      <c r="I6">
        <v>113</v>
      </c>
    </row>
    <row r="7" spans="1:9" x14ac:dyDescent="0.2">
      <c r="A7">
        <v>1.82402778</v>
      </c>
      <c r="B7">
        <v>193</v>
      </c>
      <c r="C7">
        <v>204</v>
      </c>
      <c r="D7">
        <v>202</v>
      </c>
      <c r="E7">
        <v>212</v>
      </c>
      <c r="F7">
        <v>113</v>
      </c>
      <c r="G7">
        <v>113</v>
      </c>
      <c r="H7">
        <v>112</v>
      </c>
      <c r="I7">
        <v>111</v>
      </c>
    </row>
    <row r="8" spans="1:9" x14ac:dyDescent="0.2">
      <c r="A8">
        <v>2.1888611099999999</v>
      </c>
      <c r="B8">
        <v>195</v>
      </c>
      <c r="C8">
        <v>198</v>
      </c>
      <c r="D8">
        <v>201</v>
      </c>
      <c r="E8">
        <v>213</v>
      </c>
      <c r="F8">
        <v>113</v>
      </c>
      <c r="G8">
        <v>112</v>
      </c>
      <c r="H8">
        <v>111</v>
      </c>
      <c r="I8">
        <v>113</v>
      </c>
    </row>
    <row r="9" spans="1:9" x14ac:dyDescent="0.2">
      <c r="A9">
        <v>2.5536944400000001</v>
      </c>
      <c r="B9">
        <v>161</v>
      </c>
      <c r="C9">
        <v>168</v>
      </c>
      <c r="D9">
        <v>170</v>
      </c>
      <c r="E9">
        <v>180</v>
      </c>
      <c r="F9">
        <v>113</v>
      </c>
      <c r="G9">
        <v>110</v>
      </c>
      <c r="H9">
        <v>112</v>
      </c>
      <c r="I9">
        <v>114</v>
      </c>
    </row>
    <row r="10" spans="1:9" x14ac:dyDescent="0.2">
      <c r="A10">
        <v>2.9184999999999999</v>
      </c>
      <c r="B10">
        <v>163</v>
      </c>
      <c r="C10">
        <v>170</v>
      </c>
      <c r="D10">
        <v>173</v>
      </c>
      <c r="E10">
        <v>181</v>
      </c>
      <c r="F10">
        <v>111</v>
      </c>
      <c r="G10">
        <v>114</v>
      </c>
      <c r="H10">
        <v>112</v>
      </c>
      <c r="I10">
        <v>114</v>
      </c>
    </row>
    <row r="11" spans="1:9" x14ac:dyDescent="0.2">
      <c r="A11">
        <v>3.2833055600000001</v>
      </c>
      <c r="B11">
        <v>161</v>
      </c>
      <c r="C11">
        <v>166</v>
      </c>
      <c r="D11">
        <v>172</v>
      </c>
      <c r="E11">
        <v>178</v>
      </c>
      <c r="F11">
        <v>112</v>
      </c>
      <c r="G11">
        <v>114</v>
      </c>
      <c r="H11">
        <v>111</v>
      </c>
      <c r="I11">
        <v>114</v>
      </c>
    </row>
    <row r="12" spans="1:9" x14ac:dyDescent="0.2">
      <c r="A12">
        <v>3.6481388899999998</v>
      </c>
      <c r="B12">
        <v>160</v>
      </c>
      <c r="C12">
        <v>165</v>
      </c>
      <c r="D12">
        <v>169</v>
      </c>
      <c r="E12">
        <v>178</v>
      </c>
      <c r="F12">
        <v>114</v>
      </c>
      <c r="G12">
        <v>110</v>
      </c>
      <c r="H12">
        <v>111</v>
      </c>
      <c r="I12">
        <v>116</v>
      </c>
    </row>
    <row r="13" spans="1:9" x14ac:dyDescent="0.2">
      <c r="A13">
        <v>4.01297222</v>
      </c>
      <c r="B13">
        <v>162</v>
      </c>
      <c r="C13">
        <v>166</v>
      </c>
      <c r="D13">
        <v>166</v>
      </c>
      <c r="E13">
        <v>174</v>
      </c>
      <c r="F13">
        <v>112</v>
      </c>
      <c r="G13">
        <v>112</v>
      </c>
      <c r="H13">
        <v>111</v>
      </c>
      <c r="I13">
        <v>117</v>
      </c>
    </row>
    <row r="14" spans="1:9" x14ac:dyDescent="0.2">
      <c r="A14">
        <v>4.3777777799999997</v>
      </c>
      <c r="B14">
        <v>195</v>
      </c>
      <c r="C14">
        <v>204</v>
      </c>
      <c r="D14">
        <v>209</v>
      </c>
      <c r="E14">
        <v>215</v>
      </c>
      <c r="F14">
        <v>109</v>
      </c>
      <c r="G14">
        <v>115</v>
      </c>
      <c r="H14">
        <v>112</v>
      </c>
      <c r="I14">
        <v>114</v>
      </c>
    </row>
    <row r="15" spans="1:9" x14ac:dyDescent="0.2">
      <c r="A15">
        <v>4.7425833300000004</v>
      </c>
      <c r="B15">
        <v>197</v>
      </c>
      <c r="C15">
        <v>204</v>
      </c>
      <c r="D15">
        <v>206</v>
      </c>
      <c r="E15">
        <v>216</v>
      </c>
      <c r="F15">
        <v>112</v>
      </c>
      <c r="G15">
        <v>115</v>
      </c>
      <c r="H15">
        <v>115</v>
      </c>
      <c r="I15">
        <v>113</v>
      </c>
    </row>
    <row r="16" spans="1:9" x14ac:dyDescent="0.2">
      <c r="A16">
        <v>5.1073888900000002</v>
      </c>
      <c r="B16">
        <v>163</v>
      </c>
      <c r="C16">
        <v>170</v>
      </c>
      <c r="D16">
        <v>177</v>
      </c>
      <c r="E16">
        <v>182</v>
      </c>
      <c r="F16">
        <v>110</v>
      </c>
      <c r="G16">
        <v>115</v>
      </c>
      <c r="H16">
        <v>112</v>
      </c>
      <c r="I16">
        <v>115</v>
      </c>
    </row>
    <row r="17" spans="1:9" x14ac:dyDescent="0.2">
      <c r="A17">
        <v>5.4722222199999999</v>
      </c>
      <c r="B17">
        <v>172</v>
      </c>
      <c r="C17">
        <v>176</v>
      </c>
      <c r="D17">
        <v>178</v>
      </c>
      <c r="E17">
        <v>186</v>
      </c>
      <c r="F17">
        <v>112</v>
      </c>
      <c r="G17">
        <v>113</v>
      </c>
      <c r="H17">
        <v>114</v>
      </c>
      <c r="I17">
        <v>116</v>
      </c>
    </row>
    <row r="18" spans="1:9" x14ac:dyDescent="0.2">
      <c r="A18">
        <v>5.8370277799999997</v>
      </c>
      <c r="B18">
        <v>164</v>
      </c>
      <c r="C18">
        <v>169</v>
      </c>
      <c r="D18">
        <v>170</v>
      </c>
      <c r="E18">
        <v>178</v>
      </c>
      <c r="F18">
        <v>109</v>
      </c>
      <c r="G18">
        <v>114</v>
      </c>
      <c r="H18">
        <v>113</v>
      </c>
      <c r="I18">
        <v>114</v>
      </c>
    </row>
    <row r="19" spans="1:9" x14ac:dyDescent="0.2">
      <c r="A19">
        <v>6.2018611100000003</v>
      </c>
      <c r="B19">
        <v>161</v>
      </c>
      <c r="C19">
        <v>169</v>
      </c>
      <c r="D19">
        <v>167</v>
      </c>
      <c r="E19">
        <v>180</v>
      </c>
      <c r="F19">
        <v>108</v>
      </c>
      <c r="G19">
        <v>116</v>
      </c>
      <c r="H19">
        <v>113</v>
      </c>
      <c r="I19">
        <v>115</v>
      </c>
    </row>
    <row r="20" spans="1:9" x14ac:dyDescent="0.2">
      <c r="A20">
        <v>6.56666667</v>
      </c>
      <c r="B20">
        <v>165</v>
      </c>
      <c r="C20">
        <v>172</v>
      </c>
      <c r="D20">
        <v>172</v>
      </c>
      <c r="E20">
        <v>181</v>
      </c>
      <c r="F20">
        <v>112</v>
      </c>
      <c r="G20">
        <v>113</v>
      </c>
      <c r="H20">
        <v>113</v>
      </c>
      <c r="I20">
        <v>114</v>
      </c>
    </row>
    <row r="21" spans="1:9" x14ac:dyDescent="0.2">
      <c r="A21">
        <v>6.9314722199999999</v>
      </c>
      <c r="B21">
        <v>168</v>
      </c>
      <c r="C21">
        <v>171</v>
      </c>
      <c r="D21">
        <v>170</v>
      </c>
      <c r="E21">
        <v>182</v>
      </c>
      <c r="F21">
        <v>112</v>
      </c>
      <c r="G21">
        <v>112</v>
      </c>
      <c r="H21">
        <v>115</v>
      </c>
      <c r="I21">
        <v>115</v>
      </c>
    </row>
    <row r="22" spans="1:9" x14ac:dyDescent="0.2">
      <c r="A22">
        <v>7.2963055600000004</v>
      </c>
      <c r="B22">
        <v>167</v>
      </c>
      <c r="C22">
        <v>171</v>
      </c>
      <c r="D22">
        <v>171</v>
      </c>
      <c r="E22">
        <v>184</v>
      </c>
      <c r="F22">
        <v>112</v>
      </c>
      <c r="G22">
        <v>115</v>
      </c>
      <c r="H22">
        <v>113</v>
      </c>
      <c r="I22">
        <v>116</v>
      </c>
    </row>
    <row r="23" spans="1:9" x14ac:dyDescent="0.2">
      <c r="A23">
        <v>7.6611388900000001</v>
      </c>
      <c r="B23">
        <v>168</v>
      </c>
      <c r="C23">
        <v>174</v>
      </c>
      <c r="D23">
        <v>172</v>
      </c>
      <c r="E23">
        <v>190</v>
      </c>
      <c r="F23">
        <v>112</v>
      </c>
      <c r="G23">
        <v>113</v>
      </c>
      <c r="H23">
        <v>108</v>
      </c>
      <c r="I23">
        <v>118</v>
      </c>
    </row>
    <row r="24" spans="1:9" x14ac:dyDescent="0.2">
      <c r="A24">
        <v>8.02594444</v>
      </c>
      <c r="B24">
        <v>166</v>
      </c>
      <c r="C24">
        <v>177</v>
      </c>
      <c r="D24">
        <v>175</v>
      </c>
      <c r="E24">
        <v>191</v>
      </c>
      <c r="F24">
        <v>113</v>
      </c>
      <c r="G24">
        <v>114</v>
      </c>
      <c r="H24">
        <v>111</v>
      </c>
      <c r="I24">
        <v>116</v>
      </c>
    </row>
    <row r="25" spans="1:9" x14ac:dyDescent="0.2">
      <c r="A25">
        <v>8.3907500000000006</v>
      </c>
      <c r="B25">
        <v>172</v>
      </c>
      <c r="C25">
        <v>178</v>
      </c>
      <c r="D25">
        <v>172</v>
      </c>
      <c r="E25">
        <v>199</v>
      </c>
      <c r="F25">
        <v>111</v>
      </c>
      <c r="G25">
        <v>114</v>
      </c>
      <c r="H25">
        <v>114</v>
      </c>
      <c r="I25">
        <v>116</v>
      </c>
    </row>
    <row r="26" spans="1:9" x14ac:dyDescent="0.2">
      <c r="A26">
        <v>8.7555833300000003</v>
      </c>
      <c r="B26">
        <v>176</v>
      </c>
      <c r="C26">
        <v>182</v>
      </c>
      <c r="D26">
        <v>175</v>
      </c>
      <c r="E26">
        <v>203</v>
      </c>
      <c r="F26">
        <v>112</v>
      </c>
      <c r="G26">
        <v>113</v>
      </c>
      <c r="H26">
        <v>112</v>
      </c>
      <c r="I26">
        <v>113</v>
      </c>
    </row>
    <row r="27" spans="1:9" x14ac:dyDescent="0.2">
      <c r="A27">
        <v>9.1204166699999991</v>
      </c>
      <c r="B27">
        <v>181</v>
      </c>
      <c r="C27">
        <v>184</v>
      </c>
      <c r="D27">
        <v>177</v>
      </c>
      <c r="E27">
        <v>210</v>
      </c>
      <c r="F27">
        <v>111</v>
      </c>
      <c r="G27">
        <v>113</v>
      </c>
      <c r="H27">
        <v>118</v>
      </c>
      <c r="I27">
        <v>117</v>
      </c>
    </row>
    <row r="28" spans="1:9" x14ac:dyDescent="0.2">
      <c r="A28">
        <v>9.4852222200000007</v>
      </c>
      <c r="B28">
        <v>185</v>
      </c>
      <c r="C28">
        <v>188</v>
      </c>
      <c r="D28">
        <v>178</v>
      </c>
      <c r="E28">
        <v>213</v>
      </c>
      <c r="F28">
        <v>111</v>
      </c>
      <c r="G28">
        <v>114</v>
      </c>
      <c r="H28">
        <v>115</v>
      </c>
      <c r="I28">
        <v>119</v>
      </c>
    </row>
    <row r="29" spans="1:9" x14ac:dyDescent="0.2">
      <c r="A29">
        <v>9.8500277799999996</v>
      </c>
      <c r="B29">
        <v>195</v>
      </c>
      <c r="C29">
        <v>193</v>
      </c>
      <c r="D29">
        <v>184</v>
      </c>
      <c r="E29">
        <v>227</v>
      </c>
      <c r="F29">
        <v>112</v>
      </c>
      <c r="G29">
        <v>115</v>
      </c>
      <c r="H29">
        <v>114</v>
      </c>
      <c r="I29">
        <v>114</v>
      </c>
    </row>
    <row r="30" spans="1:9" x14ac:dyDescent="0.2">
      <c r="A30">
        <v>10.2148611</v>
      </c>
      <c r="B30">
        <v>240</v>
      </c>
      <c r="C30">
        <v>235</v>
      </c>
      <c r="D30">
        <v>230</v>
      </c>
      <c r="E30">
        <v>264</v>
      </c>
      <c r="F30">
        <v>110</v>
      </c>
      <c r="G30">
        <v>113</v>
      </c>
      <c r="H30">
        <v>112</v>
      </c>
      <c r="I30">
        <v>118</v>
      </c>
    </row>
    <row r="31" spans="1:9" x14ac:dyDescent="0.2">
      <c r="A31">
        <v>10.579666700000001</v>
      </c>
      <c r="B31">
        <v>243</v>
      </c>
      <c r="C31">
        <v>232</v>
      </c>
      <c r="D31">
        <v>228</v>
      </c>
      <c r="E31">
        <v>271</v>
      </c>
      <c r="F31">
        <v>110</v>
      </c>
      <c r="G31">
        <v>114</v>
      </c>
      <c r="H31">
        <v>115</v>
      </c>
      <c r="I31">
        <v>114</v>
      </c>
    </row>
    <row r="32" spans="1:9" x14ac:dyDescent="0.2">
      <c r="A32">
        <v>10.9445</v>
      </c>
      <c r="B32">
        <v>253</v>
      </c>
      <c r="C32">
        <v>240</v>
      </c>
      <c r="D32">
        <v>243</v>
      </c>
      <c r="E32">
        <v>277</v>
      </c>
      <c r="F32">
        <v>113</v>
      </c>
      <c r="G32">
        <v>114</v>
      </c>
      <c r="H32">
        <v>115</v>
      </c>
      <c r="I32">
        <v>115</v>
      </c>
    </row>
    <row r="33" spans="1:9" x14ac:dyDescent="0.2">
      <c r="A33">
        <v>11.3093056</v>
      </c>
      <c r="B33">
        <v>256</v>
      </c>
      <c r="C33">
        <v>236</v>
      </c>
      <c r="D33">
        <v>245</v>
      </c>
      <c r="E33">
        <v>279</v>
      </c>
      <c r="F33">
        <v>112</v>
      </c>
      <c r="G33">
        <v>114</v>
      </c>
      <c r="H33">
        <v>112</v>
      </c>
      <c r="I33">
        <v>117</v>
      </c>
    </row>
    <row r="34" spans="1:9" x14ac:dyDescent="0.2">
      <c r="A34">
        <v>11.674138900000001</v>
      </c>
      <c r="B34">
        <v>235</v>
      </c>
      <c r="C34">
        <v>209</v>
      </c>
      <c r="D34">
        <v>226</v>
      </c>
      <c r="E34">
        <v>247</v>
      </c>
      <c r="F34">
        <v>111</v>
      </c>
      <c r="G34">
        <v>113</v>
      </c>
      <c r="H34">
        <v>114</v>
      </c>
      <c r="I34">
        <v>115</v>
      </c>
    </row>
    <row r="35" spans="1:9" x14ac:dyDescent="0.2">
      <c r="A35">
        <v>12.0389444</v>
      </c>
      <c r="B35">
        <v>241</v>
      </c>
      <c r="C35">
        <v>216</v>
      </c>
      <c r="D35">
        <v>237</v>
      </c>
      <c r="E35">
        <v>263</v>
      </c>
      <c r="F35">
        <v>110</v>
      </c>
      <c r="G35">
        <v>114</v>
      </c>
      <c r="H35">
        <v>114</v>
      </c>
      <c r="I35">
        <v>116</v>
      </c>
    </row>
    <row r="36" spans="1:9" x14ac:dyDescent="0.2">
      <c r="A36">
        <v>12.4037778</v>
      </c>
      <c r="B36">
        <v>244</v>
      </c>
      <c r="C36">
        <v>212</v>
      </c>
      <c r="D36">
        <v>230</v>
      </c>
      <c r="E36">
        <v>255</v>
      </c>
      <c r="F36">
        <v>112</v>
      </c>
      <c r="G36">
        <v>114</v>
      </c>
      <c r="H36">
        <v>116</v>
      </c>
      <c r="I36">
        <v>116</v>
      </c>
    </row>
    <row r="37" spans="1:9" x14ac:dyDescent="0.2">
      <c r="A37">
        <v>12.7685833</v>
      </c>
      <c r="B37">
        <v>249</v>
      </c>
      <c r="C37">
        <v>205</v>
      </c>
      <c r="D37">
        <v>239</v>
      </c>
      <c r="E37">
        <v>259</v>
      </c>
      <c r="F37">
        <v>111</v>
      </c>
      <c r="G37">
        <v>113</v>
      </c>
      <c r="H37">
        <v>115</v>
      </c>
      <c r="I37">
        <v>114</v>
      </c>
    </row>
    <row r="38" spans="1:9" x14ac:dyDescent="0.2">
      <c r="A38">
        <v>13.1334167</v>
      </c>
      <c r="B38">
        <v>253</v>
      </c>
      <c r="C38">
        <v>206</v>
      </c>
      <c r="D38">
        <v>243</v>
      </c>
      <c r="E38">
        <v>260</v>
      </c>
      <c r="F38">
        <v>113</v>
      </c>
      <c r="G38">
        <v>113</v>
      </c>
      <c r="H38">
        <v>114</v>
      </c>
      <c r="I38">
        <v>115</v>
      </c>
    </row>
    <row r="39" spans="1:9" x14ac:dyDescent="0.2">
      <c r="A39">
        <v>13.498222200000001</v>
      </c>
      <c r="B39">
        <v>263</v>
      </c>
      <c r="C39">
        <v>210</v>
      </c>
      <c r="D39">
        <v>252</v>
      </c>
      <c r="E39">
        <v>262</v>
      </c>
      <c r="F39">
        <v>111</v>
      </c>
      <c r="G39">
        <v>114</v>
      </c>
      <c r="H39">
        <v>111</v>
      </c>
      <c r="I39">
        <v>114</v>
      </c>
    </row>
    <row r="40" spans="1:9" x14ac:dyDescent="0.2">
      <c r="A40">
        <v>13.863055599999999</v>
      </c>
      <c r="B40">
        <v>277</v>
      </c>
      <c r="C40">
        <v>214</v>
      </c>
      <c r="D40">
        <v>272</v>
      </c>
      <c r="E40">
        <v>278</v>
      </c>
      <c r="F40">
        <v>114</v>
      </c>
      <c r="G40">
        <v>114</v>
      </c>
      <c r="H40">
        <v>113</v>
      </c>
      <c r="I40">
        <v>113</v>
      </c>
    </row>
    <row r="41" spans="1:9" x14ac:dyDescent="0.2">
      <c r="A41">
        <v>14.2278611</v>
      </c>
      <c r="B41">
        <v>277</v>
      </c>
      <c r="C41">
        <v>213</v>
      </c>
      <c r="D41">
        <v>268</v>
      </c>
      <c r="E41">
        <v>275</v>
      </c>
      <c r="F41">
        <v>112</v>
      </c>
      <c r="G41">
        <v>115</v>
      </c>
      <c r="H41">
        <v>114</v>
      </c>
      <c r="I41">
        <v>114</v>
      </c>
    </row>
    <row r="42" spans="1:9" x14ac:dyDescent="0.2">
      <c r="A42">
        <v>14.592694399999999</v>
      </c>
      <c r="B42">
        <v>286</v>
      </c>
      <c r="C42">
        <v>215</v>
      </c>
      <c r="D42">
        <v>272</v>
      </c>
      <c r="E42">
        <v>273</v>
      </c>
      <c r="F42">
        <v>110</v>
      </c>
      <c r="G42">
        <v>115</v>
      </c>
      <c r="H42">
        <v>115</v>
      </c>
      <c r="I42">
        <v>118</v>
      </c>
    </row>
    <row r="43" spans="1:9" x14ac:dyDescent="0.2">
      <c r="A43">
        <v>14.9575</v>
      </c>
      <c r="B43">
        <v>295</v>
      </c>
      <c r="C43">
        <v>213</v>
      </c>
      <c r="D43">
        <v>275</v>
      </c>
      <c r="E43">
        <v>275</v>
      </c>
      <c r="F43">
        <v>111</v>
      </c>
      <c r="G43">
        <v>113</v>
      </c>
      <c r="H43">
        <v>114</v>
      </c>
      <c r="I43">
        <v>115</v>
      </c>
    </row>
    <row r="44" spans="1:9" x14ac:dyDescent="0.2">
      <c r="A44">
        <v>15.3223333</v>
      </c>
      <c r="B44">
        <v>301</v>
      </c>
      <c r="C44">
        <v>215</v>
      </c>
      <c r="D44">
        <v>284</v>
      </c>
      <c r="E44">
        <v>278</v>
      </c>
      <c r="F44">
        <v>109</v>
      </c>
      <c r="G44">
        <v>114</v>
      </c>
      <c r="H44">
        <v>113</v>
      </c>
      <c r="I44">
        <v>116</v>
      </c>
    </row>
    <row r="45" spans="1:9" x14ac:dyDescent="0.2">
      <c r="A45">
        <v>15.687138900000001</v>
      </c>
      <c r="B45">
        <v>310</v>
      </c>
      <c r="C45">
        <v>214</v>
      </c>
      <c r="D45">
        <v>291</v>
      </c>
      <c r="E45">
        <v>280</v>
      </c>
      <c r="F45">
        <v>114</v>
      </c>
      <c r="G45">
        <v>112</v>
      </c>
      <c r="H45">
        <v>112</v>
      </c>
      <c r="I45">
        <v>114</v>
      </c>
    </row>
    <row r="46" spans="1:9" x14ac:dyDescent="0.2">
      <c r="A46">
        <v>16.051972200000002</v>
      </c>
      <c r="B46">
        <v>320</v>
      </c>
      <c r="C46">
        <v>215</v>
      </c>
      <c r="D46">
        <v>305</v>
      </c>
      <c r="E46">
        <v>281</v>
      </c>
      <c r="F46">
        <v>112</v>
      </c>
      <c r="G46">
        <v>114</v>
      </c>
      <c r="H46">
        <v>114</v>
      </c>
      <c r="I46">
        <v>117</v>
      </c>
    </row>
    <row r="47" spans="1:9" x14ac:dyDescent="0.2">
      <c r="A47">
        <v>16.416777799999998</v>
      </c>
      <c r="B47">
        <v>332</v>
      </c>
      <c r="C47">
        <v>220</v>
      </c>
      <c r="D47">
        <v>312</v>
      </c>
      <c r="E47">
        <v>285</v>
      </c>
      <c r="F47">
        <v>111</v>
      </c>
      <c r="G47">
        <v>114</v>
      </c>
      <c r="H47">
        <v>115</v>
      </c>
      <c r="I47">
        <v>116</v>
      </c>
    </row>
    <row r="48" spans="1:9" x14ac:dyDescent="0.2">
      <c r="A48">
        <v>16.781611099999999</v>
      </c>
      <c r="B48">
        <v>339</v>
      </c>
      <c r="C48">
        <v>219</v>
      </c>
      <c r="D48">
        <v>321</v>
      </c>
      <c r="E48">
        <v>290</v>
      </c>
      <c r="F48">
        <v>108</v>
      </c>
      <c r="G48">
        <v>112</v>
      </c>
      <c r="H48">
        <v>114</v>
      </c>
      <c r="I48">
        <v>116</v>
      </c>
    </row>
    <row r="49" spans="1:9" x14ac:dyDescent="0.2">
      <c r="A49">
        <v>17.1464167</v>
      </c>
      <c r="B49">
        <v>351</v>
      </c>
      <c r="C49">
        <v>220</v>
      </c>
      <c r="D49">
        <v>329</v>
      </c>
      <c r="E49">
        <v>292</v>
      </c>
      <c r="F49">
        <v>111</v>
      </c>
      <c r="G49">
        <v>113</v>
      </c>
      <c r="H49">
        <v>113</v>
      </c>
      <c r="I49">
        <v>117</v>
      </c>
    </row>
    <row r="50" spans="1:9" x14ac:dyDescent="0.2">
      <c r="A50">
        <v>17.511222199999999</v>
      </c>
      <c r="B50">
        <v>360</v>
      </c>
      <c r="C50">
        <v>221</v>
      </c>
      <c r="D50">
        <v>336</v>
      </c>
      <c r="E50">
        <v>295</v>
      </c>
      <c r="F50">
        <v>112</v>
      </c>
      <c r="G50">
        <v>114</v>
      </c>
      <c r="H50">
        <v>111</v>
      </c>
      <c r="I50">
        <v>112</v>
      </c>
    </row>
    <row r="51" spans="1:9" x14ac:dyDescent="0.2">
      <c r="A51">
        <v>17.876055600000001</v>
      </c>
      <c r="B51">
        <v>377</v>
      </c>
      <c r="C51">
        <v>222</v>
      </c>
      <c r="D51">
        <v>351</v>
      </c>
      <c r="E51">
        <v>297</v>
      </c>
      <c r="F51">
        <v>110</v>
      </c>
      <c r="G51">
        <v>110</v>
      </c>
      <c r="H51">
        <v>113</v>
      </c>
      <c r="I51">
        <v>114</v>
      </c>
    </row>
    <row r="52" spans="1:9" x14ac:dyDescent="0.2">
      <c r="A52">
        <v>18.2408611</v>
      </c>
      <c r="B52">
        <v>391</v>
      </c>
      <c r="C52">
        <v>222</v>
      </c>
      <c r="D52">
        <v>360</v>
      </c>
      <c r="E52">
        <v>301</v>
      </c>
      <c r="F52">
        <v>110</v>
      </c>
      <c r="G52">
        <v>115</v>
      </c>
      <c r="H52">
        <v>111</v>
      </c>
      <c r="I52">
        <v>114</v>
      </c>
    </row>
    <row r="53" spans="1:9" x14ac:dyDescent="0.2">
      <c r="A53">
        <v>18.605694400000001</v>
      </c>
      <c r="B53">
        <v>412</v>
      </c>
      <c r="C53">
        <v>227</v>
      </c>
      <c r="D53">
        <v>376</v>
      </c>
      <c r="E53">
        <v>307</v>
      </c>
      <c r="F53">
        <v>109</v>
      </c>
      <c r="G53">
        <v>112</v>
      </c>
      <c r="H53">
        <v>114</v>
      </c>
      <c r="I53">
        <v>115</v>
      </c>
    </row>
    <row r="54" spans="1:9" x14ac:dyDescent="0.2">
      <c r="A54">
        <v>18.970527799999999</v>
      </c>
      <c r="B54">
        <v>423</v>
      </c>
      <c r="C54">
        <v>227</v>
      </c>
      <c r="D54">
        <v>391</v>
      </c>
      <c r="E54">
        <v>311</v>
      </c>
      <c r="F54">
        <v>107</v>
      </c>
      <c r="G54">
        <v>112</v>
      </c>
      <c r="H54">
        <v>114</v>
      </c>
      <c r="I54">
        <v>115</v>
      </c>
    </row>
    <row r="55" spans="1:9" x14ac:dyDescent="0.2">
      <c r="A55">
        <v>19.335333299999999</v>
      </c>
      <c r="B55">
        <v>457</v>
      </c>
      <c r="C55">
        <v>235</v>
      </c>
      <c r="D55">
        <v>414</v>
      </c>
      <c r="E55">
        <v>324</v>
      </c>
      <c r="F55">
        <v>110</v>
      </c>
      <c r="G55">
        <v>113</v>
      </c>
      <c r="H55">
        <v>112</v>
      </c>
      <c r="I55">
        <v>114</v>
      </c>
    </row>
    <row r="56" spans="1:9" x14ac:dyDescent="0.2">
      <c r="A56">
        <v>19.700138899999999</v>
      </c>
      <c r="B56">
        <v>462</v>
      </c>
      <c r="C56">
        <v>222</v>
      </c>
      <c r="D56">
        <v>426</v>
      </c>
      <c r="E56">
        <v>315</v>
      </c>
      <c r="F56">
        <v>107</v>
      </c>
      <c r="G56">
        <v>113</v>
      </c>
      <c r="H56">
        <v>114</v>
      </c>
      <c r="I56">
        <v>115</v>
      </c>
    </row>
    <row r="57" spans="1:9" x14ac:dyDescent="0.2">
      <c r="A57">
        <v>20.0649722</v>
      </c>
      <c r="B57">
        <v>489</v>
      </c>
      <c r="C57">
        <v>224</v>
      </c>
      <c r="D57">
        <v>443</v>
      </c>
      <c r="E57">
        <v>322</v>
      </c>
      <c r="F57">
        <v>110</v>
      </c>
      <c r="G57">
        <v>116</v>
      </c>
      <c r="H57">
        <v>113</v>
      </c>
      <c r="I57">
        <v>114</v>
      </c>
    </row>
    <row r="58" spans="1:9" x14ac:dyDescent="0.2">
      <c r="A58">
        <v>20.4297778</v>
      </c>
      <c r="B58">
        <v>509</v>
      </c>
      <c r="C58">
        <v>228</v>
      </c>
      <c r="D58">
        <v>468</v>
      </c>
      <c r="E58">
        <v>331</v>
      </c>
      <c r="F58">
        <v>111</v>
      </c>
      <c r="G58">
        <v>115</v>
      </c>
      <c r="H58">
        <v>114</v>
      </c>
      <c r="I58">
        <v>114</v>
      </c>
    </row>
    <row r="59" spans="1:9" x14ac:dyDescent="0.2">
      <c r="A59">
        <v>20.794611100000001</v>
      </c>
      <c r="B59">
        <v>539</v>
      </c>
      <c r="C59">
        <v>226</v>
      </c>
      <c r="D59">
        <v>481</v>
      </c>
      <c r="E59">
        <v>330</v>
      </c>
      <c r="F59">
        <v>112</v>
      </c>
      <c r="G59">
        <v>115</v>
      </c>
      <c r="H59">
        <v>114</v>
      </c>
      <c r="I59">
        <v>118</v>
      </c>
    </row>
    <row r="60" spans="1:9" x14ac:dyDescent="0.2">
      <c r="A60">
        <v>21.159416700000001</v>
      </c>
      <c r="B60">
        <v>573</v>
      </c>
      <c r="C60">
        <v>230</v>
      </c>
      <c r="D60">
        <v>505</v>
      </c>
      <c r="E60">
        <v>341</v>
      </c>
      <c r="F60">
        <v>111</v>
      </c>
      <c r="G60">
        <v>115</v>
      </c>
      <c r="H60">
        <v>115</v>
      </c>
      <c r="I60">
        <v>116</v>
      </c>
    </row>
    <row r="61" spans="1:9" x14ac:dyDescent="0.2">
      <c r="A61">
        <v>21.524333299999999</v>
      </c>
      <c r="B61">
        <v>609</v>
      </c>
      <c r="C61">
        <v>225</v>
      </c>
      <c r="D61">
        <v>535</v>
      </c>
      <c r="E61">
        <v>347</v>
      </c>
      <c r="F61">
        <v>107</v>
      </c>
      <c r="G61">
        <v>112</v>
      </c>
      <c r="H61">
        <v>117</v>
      </c>
      <c r="I61">
        <v>113</v>
      </c>
    </row>
    <row r="62" spans="1:9" x14ac:dyDescent="0.2">
      <c r="A62">
        <v>21.889166700000001</v>
      </c>
      <c r="B62">
        <v>646</v>
      </c>
      <c r="C62">
        <v>225</v>
      </c>
      <c r="D62">
        <v>554</v>
      </c>
      <c r="E62">
        <v>350</v>
      </c>
      <c r="F62">
        <v>112</v>
      </c>
      <c r="G62">
        <v>114</v>
      </c>
      <c r="H62">
        <v>114</v>
      </c>
      <c r="I62">
        <v>115</v>
      </c>
    </row>
    <row r="63" spans="1:9" x14ac:dyDescent="0.2">
      <c r="A63">
        <v>22.2539722</v>
      </c>
      <c r="B63">
        <v>678</v>
      </c>
      <c r="C63">
        <v>228</v>
      </c>
      <c r="D63">
        <v>591</v>
      </c>
      <c r="E63">
        <v>360</v>
      </c>
      <c r="F63">
        <v>110</v>
      </c>
      <c r="G63">
        <v>114</v>
      </c>
      <c r="H63">
        <v>114</v>
      </c>
      <c r="I63">
        <v>114</v>
      </c>
    </row>
    <row r="64" spans="1:9" x14ac:dyDescent="0.2">
      <c r="A64">
        <v>22.6187778</v>
      </c>
      <c r="B64">
        <v>728</v>
      </c>
      <c r="C64">
        <v>227</v>
      </c>
      <c r="D64">
        <v>620</v>
      </c>
      <c r="E64">
        <v>369</v>
      </c>
      <c r="F64">
        <v>100</v>
      </c>
      <c r="G64">
        <v>104</v>
      </c>
      <c r="H64">
        <v>101</v>
      </c>
      <c r="I64">
        <v>106</v>
      </c>
    </row>
    <row r="65" spans="1:9" x14ac:dyDescent="0.2">
      <c r="A65">
        <v>22.983611100000001</v>
      </c>
      <c r="B65">
        <v>784</v>
      </c>
      <c r="C65">
        <v>230</v>
      </c>
      <c r="D65">
        <v>654</v>
      </c>
      <c r="E65">
        <v>387</v>
      </c>
      <c r="F65">
        <v>109</v>
      </c>
      <c r="G65">
        <v>112</v>
      </c>
      <c r="H65">
        <v>113</v>
      </c>
      <c r="I65">
        <v>114</v>
      </c>
    </row>
    <row r="66" spans="1:9" x14ac:dyDescent="0.2">
      <c r="A66">
        <v>23.349916700000001</v>
      </c>
      <c r="B66">
        <v>833</v>
      </c>
      <c r="C66">
        <v>232</v>
      </c>
      <c r="D66">
        <v>696</v>
      </c>
      <c r="E66">
        <v>391</v>
      </c>
      <c r="F66">
        <v>111</v>
      </c>
      <c r="G66">
        <v>113</v>
      </c>
      <c r="H66">
        <v>113</v>
      </c>
      <c r="I66">
        <v>115</v>
      </c>
    </row>
    <row r="67" spans="1:9" x14ac:dyDescent="0.2">
      <c r="A67">
        <v>23.714722200000001</v>
      </c>
      <c r="B67">
        <v>897</v>
      </c>
      <c r="C67">
        <v>229</v>
      </c>
      <c r="D67">
        <v>733</v>
      </c>
      <c r="E67">
        <v>398</v>
      </c>
      <c r="F67">
        <v>109</v>
      </c>
      <c r="G67">
        <v>114</v>
      </c>
      <c r="H67">
        <v>112</v>
      </c>
      <c r="I67">
        <v>115</v>
      </c>
    </row>
    <row r="68" spans="1:9" x14ac:dyDescent="0.2">
      <c r="A68">
        <v>24.079555599999999</v>
      </c>
      <c r="B68">
        <v>957</v>
      </c>
      <c r="C68">
        <v>235</v>
      </c>
      <c r="D68">
        <v>779</v>
      </c>
      <c r="E68">
        <v>410</v>
      </c>
      <c r="F68">
        <v>108</v>
      </c>
      <c r="G68">
        <v>114</v>
      </c>
      <c r="H68">
        <v>114</v>
      </c>
      <c r="I68">
        <v>115</v>
      </c>
    </row>
    <row r="69" spans="1:9" x14ac:dyDescent="0.2">
      <c r="A69">
        <v>24.444888899999999</v>
      </c>
      <c r="B69">
        <v>1071</v>
      </c>
      <c r="C69">
        <v>265</v>
      </c>
      <c r="D69">
        <v>889</v>
      </c>
      <c r="E69">
        <v>463</v>
      </c>
      <c r="F69">
        <v>112</v>
      </c>
      <c r="G69">
        <v>113</v>
      </c>
      <c r="H69">
        <v>113</v>
      </c>
      <c r="I69">
        <v>114</v>
      </c>
    </row>
    <row r="70" spans="1:9" x14ac:dyDescent="0.2">
      <c r="A70">
        <v>24.809194399999999</v>
      </c>
      <c r="B70">
        <v>1123</v>
      </c>
      <c r="C70">
        <v>235</v>
      </c>
      <c r="D70">
        <v>904</v>
      </c>
      <c r="E70">
        <v>445</v>
      </c>
      <c r="F70">
        <v>108</v>
      </c>
      <c r="G70">
        <v>113</v>
      </c>
      <c r="H70">
        <v>113</v>
      </c>
      <c r="I70">
        <v>115</v>
      </c>
    </row>
    <row r="71" spans="1:9" x14ac:dyDescent="0.2">
      <c r="A71">
        <v>25.174027800000001</v>
      </c>
      <c r="B71">
        <v>1214</v>
      </c>
      <c r="C71">
        <v>233</v>
      </c>
      <c r="D71">
        <v>971</v>
      </c>
      <c r="E71">
        <v>458</v>
      </c>
      <c r="F71">
        <v>109</v>
      </c>
      <c r="G71">
        <v>117</v>
      </c>
      <c r="H71">
        <v>113</v>
      </c>
      <c r="I71">
        <v>115</v>
      </c>
    </row>
    <row r="72" spans="1:9" x14ac:dyDescent="0.2">
      <c r="A72">
        <v>25.5388333</v>
      </c>
      <c r="B72">
        <v>1326</v>
      </c>
      <c r="C72">
        <v>240</v>
      </c>
      <c r="D72">
        <v>1067</v>
      </c>
      <c r="E72">
        <v>484</v>
      </c>
      <c r="F72">
        <v>110</v>
      </c>
      <c r="G72">
        <v>115</v>
      </c>
      <c r="H72">
        <v>114</v>
      </c>
      <c r="I72">
        <v>115</v>
      </c>
    </row>
    <row r="73" spans="1:9" x14ac:dyDescent="0.2">
      <c r="A73">
        <v>25.903666699999999</v>
      </c>
      <c r="B73">
        <v>1422</v>
      </c>
      <c r="C73">
        <v>232</v>
      </c>
      <c r="D73">
        <v>1138</v>
      </c>
      <c r="E73">
        <v>503</v>
      </c>
      <c r="F73">
        <v>115</v>
      </c>
      <c r="G73">
        <v>113</v>
      </c>
      <c r="H73">
        <v>112</v>
      </c>
      <c r="I73">
        <v>117</v>
      </c>
    </row>
    <row r="74" spans="1:9" x14ac:dyDescent="0.2">
      <c r="A74">
        <v>26.268472200000001</v>
      </c>
      <c r="B74">
        <v>1526</v>
      </c>
      <c r="C74">
        <v>235</v>
      </c>
      <c r="D74">
        <v>1240</v>
      </c>
      <c r="E74">
        <v>524</v>
      </c>
      <c r="F74">
        <v>113</v>
      </c>
      <c r="G74">
        <v>113</v>
      </c>
      <c r="H74">
        <v>115</v>
      </c>
      <c r="I74">
        <v>117</v>
      </c>
    </row>
    <row r="75" spans="1:9" x14ac:dyDescent="0.2">
      <c r="A75">
        <v>26.6333056</v>
      </c>
      <c r="B75">
        <v>1622</v>
      </c>
      <c r="C75">
        <v>235</v>
      </c>
      <c r="D75">
        <v>1349</v>
      </c>
      <c r="E75">
        <v>556</v>
      </c>
      <c r="F75">
        <v>111</v>
      </c>
      <c r="G75">
        <v>114</v>
      </c>
      <c r="H75">
        <v>114</v>
      </c>
      <c r="I75">
        <v>115</v>
      </c>
    </row>
    <row r="76" spans="1:9" x14ac:dyDescent="0.2">
      <c r="A76">
        <v>26.998111099999999</v>
      </c>
      <c r="B76">
        <v>1584</v>
      </c>
      <c r="C76">
        <v>238</v>
      </c>
      <c r="D76">
        <v>1482</v>
      </c>
      <c r="E76">
        <v>598</v>
      </c>
      <c r="F76">
        <v>113</v>
      </c>
      <c r="G76">
        <v>114</v>
      </c>
      <c r="H76">
        <v>114</v>
      </c>
      <c r="I76">
        <v>115</v>
      </c>
    </row>
    <row r="77" spans="1:9" x14ac:dyDescent="0.2">
      <c r="A77">
        <v>27.3629444</v>
      </c>
      <c r="B77">
        <v>1601</v>
      </c>
      <c r="C77">
        <v>237</v>
      </c>
      <c r="D77">
        <v>1620</v>
      </c>
      <c r="E77">
        <v>638</v>
      </c>
      <c r="F77">
        <v>113</v>
      </c>
      <c r="G77">
        <v>114</v>
      </c>
      <c r="H77">
        <v>113</v>
      </c>
      <c r="I77">
        <v>118</v>
      </c>
    </row>
    <row r="78" spans="1:9" x14ac:dyDescent="0.2">
      <c r="A78">
        <v>27.72775</v>
      </c>
      <c r="B78">
        <v>1612</v>
      </c>
      <c r="C78">
        <v>234</v>
      </c>
      <c r="D78">
        <v>1790</v>
      </c>
      <c r="E78">
        <v>683</v>
      </c>
      <c r="F78">
        <v>117</v>
      </c>
      <c r="G78">
        <v>115</v>
      </c>
      <c r="H78">
        <v>116</v>
      </c>
      <c r="I78">
        <v>115</v>
      </c>
    </row>
    <row r="79" spans="1:9" x14ac:dyDescent="0.2">
      <c r="A79">
        <v>30.091833300000001</v>
      </c>
      <c r="B79">
        <v>1648</v>
      </c>
      <c r="C79">
        <v>250</v>
      </c>
      <c r="D79">
        <v>2045</v>
      </c>
      <c r="E79">
        <v>912</v>
      </c>
      <c r="F79">
        <v>116</v>
      </c>
      <c r="G79">
        <v>114</v>
      </c>
      <c r="H79">
        <v>115</v>
      </c>
      <c r="I79">
        <v>116</v>
      </c>
    </row>
    <row r="80" spans="1:9" x14ac:dyDescent="0.2">
      <c r="A80">
        <v>30.4566667</v>
      </c>
      <c r="B80">
        <v>1646</v>
      </c>
      <c r="C80">
        <v>245</v>
      </c>
      <c r="D80">
        <v>2483</v>
      </c>
      <c r="E80">
        <v>1156</v>
      </c>
      <c r="F80">
        <v>118</v>
      </c>
      <c r="G80">
        <v>115</v>
      </c>
      <c r="H80">
        <v>115</v>
      </c>
      <c r="I80">
        <v>116</v>
      </c>
    </row>
    <row r="81" spans="1:9" x14ac:dyDescent="0.2">
      <c r="A81">
        <v>30.821472199999999</v>
      </c>
      <c r="B81">
        <v>1609</v>
      </c>
      <c r="C81">
        <v>243</v>
      </c>
      <c r="D81">
        <v>2505</v>
      </c>
      <c r="E81">
        <v>1338</v>
      </c>
      <c r="F81">
        <v>120</v>
      </c>
      <c r="G81">
        <v>114</v>
      </c>
      <c r="H81">
        <v>116</v>
      </c>
      <c r="I81">
        <v>115</v>
      </c>
    </row>
    <row r="82" spans="1:9" x14ac:dyDescent="0.2">
      <c r="A82">
        <v>31.186305600000001</v>
      </c>
      <c r="B82">
        <v>1590</v>
      </c>
      <c r="C82">
        <v>246</v>
      </c>
      <c r="D82">
        <v>2544</v>
      </c>
      <c r="E82">
        <v>1551</v>
      </c>
      <c r="F82">
        <v>120</v>
      </c>
      <c r="G82">
        <v>115</v>
      </c>
      <c r="H82">
        <v>118</v>
      </c>
      <c r="I82">
        <v>113</v>
      </c>
    </row>
    <row r="83" spans="1:9" x14ac:dyDescent="0.2">
      <c r="A83">
        <v>31.5511111</v>
      </c>
      <c r="B83">
        <v>1601</v>
      </c>
      <c r="C83">
        <v>245</v>
      </c>
      <c r="D83">
        <v>2558</v>
      </c>
      <c r="E83">
        <v>1814</v>
      </c>
      <c r="F83">
        <v>125</v>
      </c>
      <c r="G83">
        <v>117</v>
      </c>
      <c r="H83">
        <v>116</v>
      </c>
      <c r="I83">
        <v>117</v>
      </c>
    </row>
    <row r="84" spans="1:9" x14ac:dyDescent="0.2">
      <c r="A84">
        <v>31.915944400000001</v>
      </c>
      <c r="B84">
        <v>1592</v>
      </c>
      <c r="C84">
        <v>246</v>
      </c>
      <c r="D84">
        <v>2559</v>
      </c>
      <c r="E84">
        <v>2122</v>
      </c>
      <c r="F84">
        <v>129</v>
      </c>
      <c r="G84">
        <v>115</v>
      </c>
      <c r="H84">
        <v>123</v>
      </c>
      <c r="I84">
        <v>116</v>
      </c>
    </row>
    <row r="85" spans="1:9" x14ac:dyDescent="0.2">
      <c r="A85">
        <v>32.280777800000003</v>
      </c>
      <c r="B85">
        <v>1597</v>
      </c>
      <c r="C85">
        <v>247</v>
      </c>
      <c r="D85">
        <v>2471</v>
      </c>
      <c r="E85">
        <v>2417</v>
      </c>
      <c r="F85">
        <v>134</v>
      </c>
      <c r="G85">
        <v>115</v>
      </c>
      <c r="H85">
        <v>120</v>
      </c>
      <c r="I85">
        <v>115</v>
      </c>
    </row>
    <row r="86" spans="1:9" x14ac:dyDescent="0.2">
      <c r="A86">
        <v>32.645583299999998</v>
      </c>
      <c r="B86">
        <v>1594</v>
      </c>
      <c r="C86">
        <v>250</v>
      </c>
      <c r="D86">
        <v>2448</v>
      </c>
      <c r="E86">
        <v>2676</v>
      </c>
      <c r="F86">
        <v>137</v>
      </c>
      <c r="G86">
        <v>117</v>
      </c>
      <c r="H86">
        <v>122</v>
      </c>
      <c r="I86">
        <v>117</v>
      </c>
    </row>
    <row r="87" spans="1:9" x14ac:dyDescent="0.2">
      <c r="A87">
        <v>33.0104167</v>
      </c>
      <c r="B87">
        <v>1588</v>
      </c>
      <c r="C87">
        <v>251</v>
      </c>
      <c r="D87">
        <v>2440</v>
      </c>
      <c r="E87">
        <v>2873</v>
      </c>
      <c r="F87">
        <v>144</v>
      </c>
      <c r="G87">
        <v>117</v>
      </c>
      <c r="H87">
        <v>125</v>
      </c>
      <c r="I87">
        <v>119</v>
      </c>
    </row>
    <row r="88" spans="1:9" x14ac:dyDescent="0.2">
      <c r="A88">
        <v>33.375222200000003</v>
      </c>
      <c r="B88">
        <v>1596</v>
      </c>
      <c r="C88">
        <v>249</v>
      </c>
      <c r="D88">
        <v>2430</v>
      </c>
      <c r="E88">
        <v>3028</v>
      </c>
      <c r="F88">
        <v>155</v>
      </c>
      <c r="G88">
        <v>117</v>
      </c>
      <c r="H88">
        <v>129</v>
      </c>
      <c r="I88">
        <v>116</v>
      </c>
    </row>
    <row r="89" spans="1:9" x14ac:dyDescent="0.2">
      <c r="A89">
        <v>33.7400278</v>
      </c>
      <c r="B89">
        <v>1598</v>
      </c>
      <c r="C89">
        <v>250</v>
      </c>
      <c r="D89">
        <v>2430</v>
      </c>
      <c r="E89">
        <v>2961</v>
      </c>
      <c r="F89">
        <v>160</v>
      </c>
      <c r="G89">
        <v>117</v>
      </c>
      <c r="H89">
        <v>129</v>
      </c>
      <c r="I89">
        <v>120</v>
      </c>
    </row>
    <row r="90" spans="1:9" x14ac:dyDescent="0.2">
      <c r="A90">
        <v>34.104861100000001</v>
      </c>
      <c r="B90">
        <v>1596</v>
      </c>
      <c r="C90">
        <v>251</v>
      </c>
      <c r="D90">
        <v>2430</v>
      </c>
      <c r="E90">
        <v>2918</v>
      </c>
      <c r="F90">
        <v>171</v>
      </c>
      <c r="G90">
        <v>117</v>
      </c>
      <c r="H90">
        <v>135</v>
      </c>
      <c r="I90">
        <v>119</v>
      </c>
    </row>
    <row r="91" spans="1:9" x14ac:dyDescent="0.2">
      <c r="A91">
        <v>34.469666699999998</v>
      </c>
      <c r="B91">
        <v>1610</v>
      </c>
      <c r="C91">
        <v>265</v>
      </c>
      <c r="D91">
        <v>2445</v>
      </c>
      <c r="E91">
        <v>2927</v>
      </c>
      <c r="F91">
        <v>182</v>
      </c>
      <c r="G91">
        <v>122</v>
      </c>
      <c r="H91">
        <v>140</v>
      </c>
      <c r="I91">
        <v>118</v>
      </c>
    </row>
    <row r="92" spans="1:9" x14ac:dyDescent="0.2">
      <c r="A92">
        <v>34.834499999999998</v>
      </c>
      <c r="B92">
        <v>1603</v>
      </c>
      <c r="C92">
        <v>253</v>
      </c>
      <c r="D92">
        <v>2439</v>
      </c>
      <c r="E92">
        <v>2889</v>
      </c>
      <c r="F92">
        <v>195</v>
      </c>
      <c r="G92">
        <v>118</v>
      </c>
      <c r="H92">
        <v>146</v>
      </c>
      <c r="I92">
        <v>123</v>
      </c>
    </row>
    <row r="93" spans="1:9" x14ac:dyDescent="0.2">
      <c r="A93">
        <v>35.199305600000002</v>
      </c>
      <c r="B93">
        <v>1594</v>
      </c>
      <c r="C93">
        <v>255</v>
      </c>
      <c r="D93">
        <v>2442</v>
      </c>
      <c r="E93">
        <v>2888</v>
      </c>
      <c r="F93">
        <v>212</v>
      </c>
      <c r="G93">
        <v>117</v>
      </c>
      <c r="H93">
        <v>148</v>
      </c>
      <c r="I93">
        <v>121</v>
      </c>
    </row>
    <row r="94" spans="1:9" x14ac:dyDescent="0.2">
      <c r="A94">
        <v>35.564111099999998</v>
      </c>
      <c r="B94">
        <v>1598</v>
      </c>
      <c r="C94">
        <v>256</v>
      </c>
      <c r="D94">
        <v>2434</v>
      </c>
      <c r="E94">
        <v>2863</v>
      </c>
      <c r="F94">
        <v>237</v>
      </c>
      <c r="G94">
        <v>122</v>
      </c>
      <c r="H94">
        <v>158</v>
      </c>
      <c r="I94">
        <v>120</v>
      </c>
    </row>
    <row r="95" spans="1:9" x14ac:dyDescent="0.2">
      <c r="A95">
        <v>35.928944399999999</v>
      </c>
      <c r="B95">
        <v>1600</v>
      </c>
      <c r="C95">
        <v>254</v>
      </c>
      <c r="D95">
        <v>2448</v>
      </c>
      <c r="E95">
        <v>2867</v>
      </c>
      <c r="F95">
        <v>264</v>
      </c>
      <c r="G95">
        <v>122</v>
      </c>
      <c r="H95">
        <v>165</v>
      </c>
      <c r="I95">
        <v>120</v>
      </c>
    </row>
    <row r="96" spans="1:9" x14ac:dyDescent="0.2">
      <c r="A96">
        <v>36.293750000000003</v>
      </c>
      <c r="B96">
        <v>1603</v>
      </c>
      <c r="C96">
        <v>263</v>
      </c>
      <c r="D96">
        <v>2450</v>
      </c>
      <c r="E96">
        <v>2884</v>
      </c>
      <c r="F96">
        <v>304</v>
      </c>
      <c r="G96">
        <v>121</v>
      </c>
      <c r="H96">
        <v>176</v>
      </c>
      <c r="I96">
        <v>120</v>
      </c>
    </row>
    <row r="97" spans="1:9" x14ac:dyDescent="0.2">
      <c r="A97">
        <v>36.658583299999997</v>
      </c>
      <c r="B97">
        <v>1599</v>
      </c>
      <c r="C97">
        <v>262</v>
      </c>
      <c r="D97">
        <v>2443</v>
      </c>
      <c r="E97">
        <v>2870</v>
      </c>
      <c r="F97">
        <v>345</v>
      </c>
      <c r="G97">
        <v>121</v>
      </c>
      <c r="H97">
        <v>185</v>
      </c>
      <c r="I97">
        <v>122</v>
      </c>
    </row>
    <row r="98" spans="1:9" x14ac:dyDescent="0.2">
      <c r="A98">
        <v>37.0233889</v>
      </c>
      <c r="B98">
        <v>1603</v>
      </c>
      <c r="C98">
        <v>263</v>
      </c>
      <c r="D98">
        <v>2456</v>
      </c>
      <c r="E98">
        <v>2882</v>
      </c>
      <c r="F98">
        <v>404</v>
      </c>
      <c r="G98">
        <v>123</v>
      </c>
      <c r="H98">
        <v>201</v>
      </c>
      <c r="I98">
        <v>123</v>
      </c>
    </row>
    <row r="99" spans="1:9" x14ac:dyDescent="0.2">
      <c r="A99">
        <v>37.388222200000001</v>
      </c>
      <c r="B99">
        <v>1601</v>
      </c>
      <c r="C99">
        <v>266</v>
      </c>
      <c r="D99">
        <v>2449</v>
      </c>
      <c r="E99">
        <v>2850</v>
      </c>
      <c r="F99">
        <v>467</v>
      </c>
      <c r="G99">
        <v>124</v>
      </c>
      <c r="H99">
        <v>225</v>
      </c>
      <c r="I99">
        <v>122</v>
      </c>
    </row>
    <row r="100" spans="1:9" x14ac:dyDescent="0.2">
      <c r="A100">
        <v>37.753055600000003</v>
      </c>
      <c r="B100">
        <v>1593</v>
      </c>
      <c r="C100">
        <v>269</v>
      </c>
      <c r="D100">
        <v>2435</v>
      </c>
      <c r="E100">
        <v>2871</v>
      </c>
      <c r="F100">
        <v>549</v>
      </c>
      <c r="G100">
        <v>124</v>
      </c>
      <c r="H100">
        <v>248</v>
      </c>
      <c r="I100">
        <v>124</v>
      </c>
    </row>
    <row r="101" spans="1:9" x14ac:dyDescent="0.2">
      <c r="A101">
        <v>38.117861099999999</v>
      </c>
      <c r="B101">
        <v>1597</v>
      </c>
      <c r="C101">
        <v>268</v>
      </c>
      <c r="D101">
        <v>2450</v>
      </c>
      <c r="E101">
        <v>2885</v>
      </c>
      <c r="F101">
        <v>660</v>
      </c>
      <c r="G101">
        <v>122</v>
      </c>
      <c r="H101">
        <v>278</v>
      </c>
      <c r="I101">
        <v>125</v>
      </c>
    </row>
    <row r="102" spans="1:9" x14ac:dyDescent="0.2">
      <c r="A102">
        <v>38.4826944</v>
      </c>
      <c r="B102">
        <v>1602</v>
      </c>
      <c r="C102">
        <v>271</v>
      </c>
      <c r="D102">
        <v>2449</v>
      </c>
      <c r="E102">
        <v>2883</v>
      </c>
      <c r="F102">
        <v>787</v>
      </c>
      <c r="G102">
        <v>121</v>
      </c>
      <c r="H102">
        <v>315</v>
      </c>
      <c r="I102">
        <v>123</v>
      </c>
    </row>
    <row r="103" spans="1:9" x14ac:dyDescent="0.2">
      <c r="A103">
        <v>38.847499999999997</v>
      </c>
      <c r="B103">
        <v>1598</v>
      </c>
      <c r="C103">
        <v>275</v>
      </c>
      <c r="D103">
        <v>2434</v>
      </c>
      <c r="E103">
        <v>2870</v>
      </c>
      <c r="F103">
        <v>952</v>
      </c>
      <c r="G103">
        <v>123</v>
      </c>
      <c r="H103">
        <v>359</v>
      </c>
      <c r="I103">
        <v>125</v>
      </c>
    </row>
    <row r="104" spans="1:9" x14ac:dyDescent="0.2">
      <c r="A104">
        <v>39.212305600000001</v>
      </c>
      <c r="B104">
        <v>1599</v>
      </c>
      <c r="C104">
        <v>273</v>
      </c>
      <c r="D104">
        <v>2422</v>
      </c>
      <c r="E104">
        <v>2881</v>
      </c>
      <c r="F104">
        <v>1173</v>
      </c>
      <c r="G104">
        <v>124</v>
      </c>
      <c r="H104">
        <v>410</v>
      </c>
      <c r="I104">
        <v>126</v>
      </c>
    </row>
    <row r="105" spans="1:9" x14ac:dyDescent="0.2">
      <c r="A105">
        <v>39.577138900000001</v>
      </c>
      <c r="B105">
        <v>1586</v>
      </c>
      <c r="C105">
        <v>280</v>
      </c>
      <c r="D105">
        <v>2428</v>
      </c>
      <c r="E105">
        <v>2872</v>
      </c>
      <c r="F105">
        <v>1426</v>
      </c>
      <c r="G105">
        <v>127</v>
      </c>
      <c r="H105">
        <v>487</v>
      </c>
      <c r="I105">
        <v>125</v>
      </c>
    </row>
    <row r="106" spans="1:9" x14ac:dyDescent="0.2">
      <c r="A106">
        <v>39.941944399999997</v>
      </c>
      <c r="B106">
        <v>1582</v>
      </c>
      <c r="C106">
        <v>285</v>
      </c>
      <c r="D106">
        <v>2443</v>
      </c>
      <c r="E106">
        <v>2873</v>
      </c>
      <c r="F106">
        <v>1756</v>
      </c>
      <c r="G106">
        <v>125</v>
      </c>
      <c r="H106">
        <v>574</v>
      </c>
      <c r="I106">
        <v>126</v>
      </c>
    </row>
    <row r="107" spans="1:9" x14ac:dyDescent="0.2">
      <c r="A107">
        <v>40.306777799999999</v>
      </c>
      <c r="B107">
        <v>1599</v>
      </c>
      <c r="C107">
        <v>287</v>
      </c>
      <c r="D107">
        <v>2420</v>
      </c>
      <c r="E107">
        <v>2878</v>
      </c>
      <c r="F107">
        <v>2158</v>
      </c>
      <c r="G107">
        <v>123</v>
      </c>
      <c r="H107">
        <v>688</v>
      </c>
      <c r="I107">
        <v>126</v>
      </c>
    </row>
    <row r="108" spans="1:9" x14ac:dyDescent="0.2">
      <c r="A108">
        <v>40.6716944</v>
      </c>
      <c r="B108">
        <v>1591</v>
      </c>
      <c r="C108">
        <v>289</v>
      </c>
      <c r="D108">
        <v>2427</v>
      </c>
      <c r="E108">
        <v>2871</v>
      </c>
      <c r="F108">
        <v>2625</v>
      </c>
      <c r="G108">
        <v>125</v>
      </c>
      <c r="H108">
        <v>816</v>
      </c>
      <c r="I108">
        <v>128</v>
      </c>
    </row>
    <row r="109" spans="1:9" x14ac:dyDescent="0.2">
      <c r="A109">
        <v>41.036499999999997</v>
      </c>
      <c r="B109">
        <v>1595</v>
      </c>
      <c r="C109">
        <v>293</v>
      </c>
      <c r="D109">
        <v>2414</v>
      </c>
      <c r="E109">
        <v>2881</v>
      </c>
      <c r="F109">
        <v>3272</v>
      </c>
      <c r="G109">
        <v>124</v>
      </c>
      <c r="H109">
        <v>993</v>
      </c>
      <c r="I109">
        <v>132</v>
      </c>
    </row>
    <row r="110" spans="1:9" x14ac:dyDescent="0.2">
      <c r="A110">
        <v>41.401333299999997</v>
      </c>
      <c r="B110">
        <v>1595</v>
      </c>
      <c r="C110">
        <v>300</v>
      </c>
      <c r="D110">
        <v>2426</v>
      </c>
      <c r="E110">
        <v>2883</v>
      </c>
      <c r="F110">
        <v>4015</v>
      </c>
      <c r="G110">
        <v>126</v>
      </c>
      <c r="H110">
        <v>1210</v>
      </c>
      <c r="I110">
        <v>130</v>
      </c>
    </row>
    <row r="111" spans="1:9" x14ac:dyDescent="0.2">
      <c r="A111">
        <v>41.766166699999999</v>
      </c>
      <c r="B111">
        <v>1590</v>
      </c>
      <c r="C111">
        <v>306</v>
      </c>
      <c r="D111">
        <v>2417</v>
      </c>
      <c r="E111">
        <v>2875</v>
      </c>
      <c r="F111">
        <v>4839</v>
      </c>
      <c r="G111">
        <v>127</v>
      </c>
      <c r="H111">
        <v>1467</v>
      </c>
      <c r="I111">
        <v>130</v>
      </c>
    </row>
    <row r="112" spans="1:9" x14ac:dyDescent="0.2">
      <c r="A112">
        <v>42.130972200000002</v>
      </c>
      <c r="B112">
        <v>1587</v>
      </c>
      <c r="C112">
        <v>311</v>
      </c>
      <c r="D112">
        <v>2418</v>
      </c>
      <c r="E112">
        <v>2858</v>
      </c>
      <c r="F112">
        <v>5801</v>
      </c>
      <c r="G112">
        <v>127</v>
      </c>
      <c r="H112">
        <v>1772</v>
      </c>
      <c r="I112">
        <v>130</v>
      </c>
    </row>
    <row r="113" spans="1:9" x14ac:dyDescent="0.2">
      <c r="A113">
        <v>42.495805599999997</v>
      </c>
      <c r="B113">
        <v>1572</v>
      </c>
      <c r="C113">
        <v>296</v>
      </c>
      <c r="D113">
        <v>2386</v>
      </c>
      <c r="E113">
        <v>2839</v>
      </c>
      <c r="F113">
        <v>6194</v>
      </c>
      <c r="G113">
        <v>127</v>
      </c>
      <c r="H113">
        <v>2178</v>
      </c>
      <c r="I113">
        <v>130</v>
      </c>
    </row>
    <row r="114" spans="1:9" x14ac:dyDescent="0.2">
      <c r="A114">
        <v>42.8606111</v>
      </c>
      <c r="B114">
        <v>1592</v>
      </c>
      <c r="C114">
        <v>320</v>
      </c>
      <c r="D114">
        <v>2422</v>
      </c>
      <c r="E114">
        <v>2862</v>
      </c>
      <c r="F114">
        <v>6381</v>
      </c>
      <c r="G114">
        <v>127</v>
      </c>
      <c r="H114">
        <v>2649</v>
      </c>
      <c r="I114">
        <v>132</v>
      </c>
    </row>
    <row r="115" spans="1:9" x14ac:dyDescent="0.2">
      <c r="A115">
        <v>43.225444400000001</v>
      </c>
      <c r="B115">
        <v>1589</v>
      </c>
      <c r="C115">
        <v>323</v>
      </c>
      <c r="D115">
        <v>2407</v>
      </c>
      <c r="E115">
        <v>2862</v>
      </c>
      <c r="F115">
        <v>6456</v>
      </c>
      <c r="G115">
        <v>127</v>
      </c>
      <c r="H115">
        <v>3264</v>
      </c>
      <c r="I115">
        <v>130</v>
      </c>
    </row>
    <row r="116" spans="1:9" x14ac:dyDescent="0.2">
      <c r="A116">
        <v>43.590277800000003</v>
      </c>
      <c r="B116">
        <v>1587</v>
      </c>
      <c r="C116">
        <v>333</v>
      </c>
      <c r="D116">
        <v>2405</v>
      </c>
      <c r="E116">
        <v>2841</v>
      </c>
      <c r="F116">
        <v>6541</v>
      </c>
      <c r="G116">
        <v>128</v>
      </c>
      <c r="H116">
        <v>3987</v>
      </c>
      <c r="I116">
        <v>132</v>
      </c>
    </row>
    <row r="117" spans="1:9" x14ac:dyDescent="0.2">
      <c r="A117">
        <v>43.955083299999998</v>
      </c>
      <c r="B117">
        <v>1591</v>
      </c>
      <c r="C117">
        <v>339</v>
      </c>
      <c r="D117">
        <v>2411</v>
      </c>
      <c r="E117">
        <v>2879</v>
      </c>
      <c r="F117">
        <v>6539</v>
      </c>
      <c r="G117">
        <v>127</v>
      </c>
      <c r="H117">
        <v>4749</v>
      </c>
      <c r="I117">
        <v>133</v>
      </c>
    </row>
    <row r="118" spans="1:9" x14ac:dyDescent="0.2">
      <c r="A118">
        <v>44.319888900000002</v>
      </c>
      <c r="B118">
        <v>1574</v>
      </c>
      <c r="C118">
        <v>341</v>
      </c>
      <c r="D118">
        <v>2403</v>
      </c>
      <c r="E118">
        <v>2869</v>
      </c>
      <c r="F118">
        <v>6069</v>
      </c>
      <c r="G118">
        <v>131</v>
      </c>
      <c r="H118">
        <v>5624</v>
      </c>
      <c r="I118">
        <v>134</v>
      </c>
    </row>
    <row r="119" spans="1:9" x14ac:dyDescent="0.2">
      <c r="A119">
        <v>44.684722200000003</v>
      </c>
      <c r="B119">
        <v>1585</v>
      </c>
      <c r="C119">
        <v>363</v>
      </c>
      <c r="D119">
        <v>2414</v>
      </c>
      <c r="E119">
        <v>2855</v>
      </c>
      <c r="F119">
        <v>5935</v>
      </c>
      <c r="G119">
        <v>129</v>
      </c>
      <c r="H119">
        <v>5992</v>
      </c>
      <c r="I119">
        <v>133</v>
      </c>
    </row>
    <row r="120" spans="1:9" x14ac:dyDescent="0.2">
      <c r="A120">
        <v>45.049194399999998</v>
      </c>
      <c r="B120">
        <v>1594</v>
      </c>
      <c r="C120">
        <v>361</v>
      </c>
      <c r="D120">
        <v>2401</v>
      </c>
      <c r="E120">
        <v>2859</v>
      </c>
      <c r="F120">
        <v>5805</v>
      </c>
      <c r="G120">
        <v>130</v>
      </c>
      <c r="H120">
        <v>6089</v>
      </c>
      <c r="I120">
        <v>135</v>
      </c>
    </row>
    <row r="121" spans="1:9" x14ac:dyDescent="0.2">
      <c r="A121">
        <v>45.4140278</v>
      </c>
      <c r="B121">
        <v>1589</v>
      </c>
      <c r="C121">
        <v>370</v>
      </c>
      <c r="D121">
        <v>2403</v>
      </c>
      <c r="E121">
        <v>2860</v>
      </c>
      <c r="F121">
        <v>5760</v>
      </c>
      <c r="G121">
        <v>128</v>
      </c>
      <c r="H121">
        <v>6226</v>
      </c>
      <c r="I121">
        <v>135</v>
      </c>
    </row>
    <row r="122" spans="1:9" x14ac:dyDescent="0.2">
      <c r="A122">
        <v>45.778833300000002</v>
      </c>
      <c r="B122">
        <v>1580</v>
      </c>
      <c r="C122">
        <v>382</v>
      </c>
      <c r="D122">
        <v>2381</v>
      </c>
      <c r="E122">
        <v>2859</v>
      </c>
      <c r="F122">
        <v>5774</v>
      </c>
      <c r="G122">
        <v>126</v>
      </c>
      <c r="H122">
        <v>6250</v>
      </c>
      <c r="I122">
        <v>135</v>
      </c>
    </row>
    <row r="123" spans="1:9" x14ac:dyDescent="0.2">
      <c r="A123">
        <v>46.143666699999997</v>
      </c>
      <c r="B123">
        <v>1595</v>
      </c>
      <c r="C123">
        <v>391</v>
      </c>
      <c r="D123">
        <v>2391</v>
      </c>
      <c r="E123">
        <v>2851</v>
      </c>
      <c r="F123">
        <v>5751</v>
      </c>
      <c r="G123">
        <v>130</v>
      </c>
      <c r="H123">
        <v>6307</v>
      </c>
      <c r="I123">
        <v>136</v>
      </c>
    </row>
    <row r="124" spans="1:9" x14ac:dyDescent="0.2">
      <c r="A124">
        <v>46.5084722</v>
      </c>
      <c r="B124">
        <v>1581</v>
      </c>
      <c r="C124">
        <v>398</v>
      </c>
      <c r="D124">
        <v>2385</v>
      </c>
      <c r="E124">
        <v>2851</v>
      </c>
      <c r="F124">
        <v>5797</v>
      </c>
      <c r="G124">
        <v>131</v>
      </c>
      <c r="H124">
        <v>6355</v>
      </c>
      <c r="I124">
        <v>134</v>
      </c>
    </row>
    <row r="125" spans="1:9" x14ac:dyDescent="0.2">
      <c r="A125">
        <v>46.873305600000002</v>
      </c>
      <c r="B125">
        <v>1581</v>
      </c>
      <c r="C125">
        <v>414</v>
      </c>
      <c r="D125">
        <v>2400</v>
      </c>
      <c r="E125">
        <v>2847</v>
      </c>
      <c r="F125">
        <v>5836</v>
      </c>
      <c r="G125">
        <v>129</v>
      </c>
      <c r="H125">
        <v>6049</v>
      </c>
      <c r="I125">
        <v>139</v>
      </c>
    </row>
    <row r="126" spans="1:9" x14ac:dyDescent="0.2">
      <c r="A126">
        <v>47.238111099999998</v>
      </c>
      <c r="B126">
        <v>1575</v>
      </c>
      <c r="C126">
        <v>434</v>
      </c>
      <c r="D126">
        <v>2391</v>
      </c>
      <c r="E126">
        <v>2867</v>
      </c>
      <c r="F126">
        <v>5864</v>
      </c>
      <c r="G126">
        <v>131</v>
      </c>
      <c r="H126">
        <v>5802</v>
      </c>
      <c r="I126">
        <v>136</v>
      </c>
    </row>
    <row r="127" spans="1:9" x14ac:dyDescent="0.2">
      <c r="A127">
        <v>47.602944399999998</v>
      </c>
      <c r="B127">
        <v>1587</v>
      </c>
      <c r="C127">
        <v>440</v>
      </c>
      <c r="D127">
        <v>2381</v>
      </c>
      <c r="E127">
        <v>2859</v>
      </c>
      <c r="F127">
        <v>5883</v>
      </c>
      <c r="G127">
        <v>131</v>
      </c>
      <c r="H127">
        <v>5725</v>
      </c>
      <c r="I127">
        <v>142</v>
      </c>
    </row>
    <row r="128" spans="1:9" x14ac:dyDescent="0.2">
      <c r="A128">
        <v>47.9677778</v>
      </c>
      <c r="B128">
        <v>1582</v>
      </c>
      <c r="C128">
        <v>455</v>
      </c>
      <c r="D128">
        <v>2395</v>
      </c>
      <c r="E128">
        <v>2865</v>
      </c>
      <c r="F128">
        <v>5918</v>
      </c>
      <c r="G128">
        <v>130</v>
      </c>
      <c r="H128">
        <v>5641</v>
      </c>
      <c r="I128">
        <v>138</v>
      </c>
    </row>
    <row r="129" spans="1:9" x14ac:dyDescent="0.2">
      <c r="A129">
        <v>48.332583300000003</v>
      </c>
      <c r="B129">
        <v>1583</v>
      </c>
      <c r="C129">
        <v>489</v>
      </c>
      <c r="D129">
        <v>2407</v>
      </c>
      <c r="E129">
        <v>2849</v>
      </c>
      <c r="F129">
        <v>5917</v>
      </c>
      <c r="G129">
        <v>129</v>
      </c>
      <c r="H129">
        <v>5644</v>
      </c>
      <c r="I129">
        <v>142</v>
      </c>
    </row>
    <row r="130" spans="1:9" x14ac:dyDescent="0.2">
      <c r="A130">
        <v>48.697416699999998</v>
      </c>
      <c r="B130">
        <v>1587</v>
      </c>
      <c r="C130">
        <v>500</v>
      </c>
      <c r="D130">
        <v>2381</v>
      </c>
      <c r="E130">
        <v>2833</v>
      </c>
      <c r="F130">
        <v>5953</v>
      </c>
      <c r="G130">
        <v>129</v>
      </c>
      <c r="H130">
        <v>5653</v>
      </c>
      <c r="I130">
        <v>141</v>
      </c>
    </row>
    <row r="131" spans="1:9" x14ac:dyDescent="0.2">
      <c r="A131">
        <v>49.062222200000001</v>
      </c>
      <c r="B131">
        <v>1582</v>
      </c>
      <c r="C131">
        <v>513</v>
      </c>
      <c r="D131">
        <v>2377</v>
      </c>
      <c r="E131">
        <v>2846</v>
      </c>
      <c r="F131">
        <v>5947</v>
      </c>
      <c r="G131">
        <v>128</v>
      </c>
      <c r="H131">
        <v>5623</v>
      </c>
      <c r="I131">
        <v>140</v>
      </c>
    </row>
    <row r="132" spans="1:9" x14ac:dyDescent="0.2">
      <c r="A132">
        <v>49.427055600000003</v>
      </c>
      <c r="B132">
        <v>1587</v>
      </c>
      <c r="C132">
        <v>534</v>
      </c>
      <c r="D132">
        <v>2371</v>
      </c>
      <c r="E132">
        <v>2849</v>
      </c>
      <c r="F132">
        <v>5979</v>
      </c>
      <c r="G132">
        <v>131</v>
      </c>
      <c r="H132">
        <v>5645</v>
      </c>
      <c r="I132">
        <v>142</v>
      </c>
    </row>
    <row r="133" spans="1:9" x14ac:dyDescent="0.2">
      <c r="A133">
        <v>49.791861099999998</v>
      </c>
      <c r="B133">
        <v>1598</v>
      </c>
      <c r="C133">
        <v>573</v>
      </c>
      <c r="D133">
        <v>2390</v>
      </c>
      <c r="E133">
        <v>2851</v>
      </c>
      <c r="F133">
        <v>6002</v>
      </c>
      <c r="G133">
        <v>129</v>
      </c>
      <c r="H133">
        <v>5653</v>
      </c>
      <c r="I133">
        <v>142</v>
      </c>
    </row>
    <row r="134" spans="1:9" x14ac:dyDescent="0.2">
      <c r="A134">
        <v>50.156694399999999</v>
      </c>
      <c r="B134">
        <v>1577</v>
      </c>
      <c r="C134">
        <v>592</v>
      </c>
      <c r="D134">
        <v>2376</v>
      </c>
      <c r="E134">
        <v>2841</v>
      </c>
      <c r="F134">
        <v>5999</v>
      </c>
      <c r="G134">
        <v>133</v>
      </c>
      <c r="H134">
        <v>5697</v>
      </c>
      <c r="I134">
        <v>143</v>
      </c>
    </row>
    <row r="135" spans="1:9" x14ac:dyDescent="0.2">
      <c r="A135">
        <v>50.521500000000003</v>
      </c>
      <c r="B135">
        <v>1592</v>
      </c>
      <c r="C135">
        <v>622</v>
      </c>
      <c r="D135">
        <v>2388</v>
      </c>
      <c r="E135">
        <v>2850</v>
      </c>
      <c r="F135">
        <v>6022</v>
      </c>
      <c r="G135">
        <v>133</v>
      </c>
      <c r="H135">
        <v>5726</v>
      </c>
      <c r="I135">
        <v>147</v>
      </c>
    </row>
    <row r="136" spans="1:9" x14ac:dyDescent="0.2">
      <c r="A136">
        <v>50.886333299999997</v>
      </c>
      <c r="B136">
        <v>1582</v>
      </c>
      <c r="C136">
        <v>645</v>
      </c>
      <c r="D136">
        <v>2367</v>
      </c>
      <c r="E136">
        <v>2840</v>
      </c>
      <c r="F136">
        <v>6045</v>
      </c>
      <c r="G136">
        <v>129</v>
      </c>
      <c r="H136">
        <v>5743</v>
      </c>
      <c r="I136">
        <v>146</v>
      </c>
    </row>
    <row r="137" spans="1:9" x14ac:dyDescent="0.2">
      <c r="A137">
        <v>51.251138900000001</v>
      </c>
      <c r="B137">
        <v>1596</v>
      </c>
      <c r="C137">
        <v>683</v>
      </c>
      <c r="D137">
        <v>2389</v>
      </c>
      <c r="E137">
        <v>2849</v>
      </c>
      <c r="F137">
        <v>6015</v>
      </c>
      <c r="G137">
        <v>135</v>
      </c>
      <c r="H137">
        <v>5757</v>
      </c>
      <c r="I137">
        <v>148</v>
      </c>
    </row>
    <row r="138" spans="1:9" x14ac:dyDescent="0.2">
      <c r="A138">
        <v>51.615972200000002</v>
      </c>
      <c r="B138">
        <v>1585</v>
      </c>
      <c r="C138">
        <v>705</v>
      </c>
      <c r="D138">
        <v>2368</v>
      </c>
      <c r="E138">
        <v>2853</v>
      </c>
      <c r="F138">
        <v>6030</v>
      </c>
      <c r="G138">
        <v>130</v>
      </c>
      <c r="H138">
        <v>5800</v>
      </c>
      <c r="I138">
        <v>148</v>
      </c>
    </row>
    <row r="139" spans="1:9" x14ac:dyDescent="0.2">
      <c r="A139">
        <v>51.980888899999997</v>
      </c>
      <c r="B139">
        <v>1580</v>
      </c>
      <c r="C139">
        <v>739</v>
      </c>
      <c r="D139">
        <v>2377</v>
      </c>
      <c r="E139">
        <v>2833</v>
      </c>
      <c r="F139">
        <v>6034</v>
      </c>
      <c r="G139">
        <v>132</v>
      </c>
      <c r="H139">
        <v>5800</v>
      </c>
      <c r="I139">
        <v>152</v>
      </c>
    </row>
    <row r="140" spans="1:9" x14ac:dyDescent="0.2">
      <c r="A140">
        <v>52.345694399999999</v>
      </c>
      <c r="B140">
        <v>1599</v>
      </c>
      <c r="C140">
        <v>787</v>
      </c>
      <c r="D140">
        <v>2365</v>
      </c>
      <c r="E140">
        <v>2847</v>
      </c>
      <c r="F140">
        <v>6049</v>
      </c>
      <c r="G140">
        <v>133</v>
      </c>
      <c r="H140">
        <v>5837</v>
      </c>
      <c r="I140">
        <v>152</v>
      </c>
    </row>
    <row r="141" spans="1:9" x14ac:dyDescent="0.2">
      <c r="A141">
        <v>52.710527800000001</v>
      </c>
      <c r="B141">
        <v>1573</v>
      </c>
      <c r="C141">
        <v>825</v>
      </c>
      <c r="D141">
        <v>2361</v>
      </c>
      <c r="E141">
        <v>2841</v>
      </c>
      <c r="F141">
        <v>6055</v>
      </c>
      <c r="G141">
        <v>130</v>
      </c>
      <c r="H141">
        <v>5836</v>
      </c>
      <c r="I141">
        <v>151</v>
      </c>
    </row>
    <row r="142" spans="1:9" x14ac:dyDescent="0.2">
      <c r="A142">
        <v>53.075333299999997</v>
      </c>
      <c r="B142">
        <v>1577</v>
      </c>
      <c r="C142">
        <v>873</v>
      </c>
      <c r="D142">
        <v>2349</v>
      </c>
      <c r="E142">
        <v>2837</v>
      </c>
      <c r="F142">
        <v>6048</v>
      </c>
      <c r="G142">
        <v>134</v>
      </c>
      <c r="H142">
        <v>5862</v>
      </c>
      <c r="I142">
        <v>155</v>
      </c>
    </row>
    <row r="143" spans="1:9" x14ac:dyDescent="0.2">
      <c r="A143">
        <v>53.440166699999999</v>
      </c>
      <c r="B143">
        <v>1581</v>
      </c>
      <c r="C143">
        <v>931</v>
      </c>
      <c r="D143">
        <v>2358</v>
      </c>
      <c r="E143">
        <v>2845</v>
      </c>
      <c r="F143">
        <v>6032</v>
      </c>
      <c r="G143">
        <v>134</v>
      </c>
      <c r="H143">
        <v>5903</v>
      </c>
      <c r="I143">
        <v>158</v>
      </c>
    </row>
    <row r="144" spans="1:9" x14ac:dyDescent="0.2">
      <c r="A144">
        <v>53.805</v>
      </c>
      <c r="B144">
        <v>1587</v>
      </c>
      <c r="C144">
        <v>999</v>
      </c>
      <c r="D144">
        <v>2355</v>
      </c>
      <c r="E144">
        <v>2835</v>
      </c>
      <c r="F144">
        <v>6050</v>
      </c>
      <c r="G144">
        <v>133</v>
      </c>
      <c r="H144">
        <v>5894</v>
      </c>
      <c r="I144">
        <v>158</v>
      </c>
    </row>
    <row r="145" spans="1:9" x14ac:dyDescent="0.2">
      <c r="A145">
        <v>54.169805599999997</v>
      </c>
      <c r="B145">
        <v>1582</v>
      </c>
      <c r="C145">
        <v>1076</v>
      </c>
      <c r="D145">
        <v>2360</v>
      </c>
      <c r="E145">
        <v>2834</v>
      </c>
      <c r="F145">
        <v>6060</v>
      </c>
      <c r="G145">
        <v>133</v>
      </c>
      <c r="H145">
        <v>5879</v>
      </c>
      <c r="I145">
        <v>159</v>
      </c>
    </row>
    <row r="146" spans="1:9" x14ac:dyDescent="0.2">
      <c r="A146">
        <v>54.534638899999997</v>
      </c>
      <c r="B146">
        <v>1578</v>
      </c>
      <c r="C146">
        <v>1136</v>
      </c>
      <c r="D146">
        <v>2354</v>
      </c>
      <c r="E146">
        <v>2814</v>
      </c>
      <c r="F146">
        <v>6039</v>
      </c>
      <c r="G146">
        <v>136</v>
      </c>
      <c r="H146">
        <v>5898</v>
      </c>
      <c r="I146">
        <v>162</v>
      </c>
    </row>
    <row r="147" spans="1:9" x14ac:dyDescent="0.2">
      <c r="A147">
        <v>54.8994444</v>
      </c>
      <c r="B147">
        <v>1579</v>
      </c>
      <c r="C147">
        <v>1215</v>
      </c>
      <c r="D147">
        <v>2335</v>
      </c>
      <c r="E147">
        <v>2829</v>
      </c>
      <c r="F147">
        <v>6048</v>
      </c>
      <c r="G147">
        <v>132</v>
      </c>
      <c r="H147">
        <v>5910</v>
      </c>
      <c r="I147">
        <v>167</v>
      </c>
    </row>
    <row r="148" spans="1:9" x14ac:dyDescent="0.2">
      <c r="A148">
        <v>55.264249999999997</v>
      </c>
      <c r="B148">
        <v>1581</v>
      </c>
      <c r="C148">
        <v>1295</v>
      </c>
      <c r="D148">
        <v>2346</v>
      </c>
      <c r="E148">
        <v>2821</v>
      </c>
      <c r="F148">
        <v>6053</v>
      </c>
      <c r="G148">
        <v>135</v>
      </c>
      <c r="H148">
        <v>5911</v>
      </c>
      <c r="I148">
        <v>168</v>
      </c>
    </row>
    <row r="149" spans="1:9" x14ac:dyDescent="0.2">
      <c r="A149">
        <v>55.629083299999998</v>
      </c>
      <c r="B149">
        <v>1580</v>
      </c>
      <c r="C149">
        <v>1381</v>
      </c>
      <c r="D149">
        <v>2330</v>
      </c>
      <c r="E149">
        <v>2833</v>
      </c>
      <c r="F149">
        <v>6041</v>
      </c>
      <c r="G149">
        <v>133</v>
      </c>
      <c r="H149">
        <v>5919</v>
      </c>
      <c r="I149">
        <v>168</v>
      </c>
    </row>
    <row r="150" spans="1:9" x14ac:dyDescent="0.2">
      <c r="A150">
        <v>55.993888900000002</v>
      </c>
      <c r="B150">
        <v>1590</v>
      </c>
      <c r="C150">
        <v>1439</v>
      </c>
      <c r="D150">
        <v>2342</v>
      </c>
      <c r="E150">
        <v>2820</v>
      </c>
      <c r="F150">
        <v>6025</v>
      </c>
      <c r="G150">
        <v>137</v>
      </c>
      <c r="H150">
        <v>5891</v>
      </c>
      <c r="I150">
        <v>170</v>
      </c>
    </row>
    <row r="151" spans="1:9" x14ac:dyDescent="0.2">
      <c r="A151">
        <v>56.358722200000003</v>
      </c>
      <c r="B151">
        <v>1585</v>
      </c>
      <c r="C151">
        <v>1471</v>
      </c>
      <c r="D151">
        <v>2335</v>
      </c>
      <c r="E151">
        <v>2821</v>
      </c>
      <c r="F151">
        <v>6058</v>
      </c>
      <c r="G151">
        <v>133</v>
      </c>
      <c r="H151">
        <v>5935</v>
      </c>
      <c r="I151">
        <v>177</v>
      </c>
    </row>
    <row r="152" spans="1:9" x14ac:dyDescent="0.2">
      <c r="A152">
        <v>56.723555599999997</v>
      </c>
      <c r="B152">
        <v>1593</v>
      </c>
      <c r="C152">
        <v>1455</v>
      </c>
      <c r="D152">
        <v>2357</v>
      </c>
      <c r="E152">
        <v>2826</v>
      </c>
      <c r="F152">
        <v>6029</v>
      </c>
      <c r="G152">
        <v>134</v>
      </c>
      <c r="H152">
        <v>5947</v>
      </c>
      <c r="I152">
        <v>177</v>
      </c>
    </row>
    <row r="153" spans="1:9" x14ac:dyDescent="0.2">
      <c r="A153">
        <v>57.0883611</v>
      </c>
      <c r="B153">
        <v>1582</v>
      </c>
      <c r="C153">
        <v>1446</v>
      </c>
      <c r="D153">
        <v>2342</v>
      </c>
      <c r="E153">
        <v>2810</v>
      </c>
      <c r="F153">
        <v>6015</v>
      </c>
      <c r="G153">
        <v>135</v>
      </c>
      <c r="H153">
        <v>5930</v>
      </c>
      <c r="I153">
        <v>178</v>
      </c>
    </row>
    <row r="154" spans="1:9" x14ac:dyDescent="0.2">
      <c r="A154">
        <v>57.453194400000001</v>
      </c>
      <c r="B154">
        <v>1583</v>
      </c>
      <c r="C154">
        <v>1446</v>
      </c>
      <c r="D154">
        <v>2337</v>
      </c>
      <c r="E154">
        <v>2798</v>
      </c>
      <c r="F154">
        <v>5997</v>
      </c>
      <c r="G154">
        <v>137</v>
      </c>
      <c r="H154">
        <v>5915</v>
      </c>
      <c r="I154">
        <v>182</v>
      </c>
    </row>
    <row r="155" spans="1:9" x14ac:dyDescent="0.2">
      <c r="A155">
        <v>57.817999999999998</v>
      </c>
      <c r="B155">
        <v>1597</v>
      </c>
      <c r="C155">
        <v>1422</v>
      </c>
      <c r="D155">
        <v>2331</v>
      </c>
      <c r="E155">
        <v>2811</v>
      </c>
      <c r="F155">
        <v>5970</v>
      </c>
      <c r="G155">
        <v>135</v>
      </c>
      <c r="H155">
        <v>5908</v>
      </c>
      <c r="I155">
        <v>185</v>
      </c>
    </row>
    <row r="156" spans="1:9" x14ac:dyDescent="0.2">
      <c r="A156">
        <v>58.182833299999999</v>
      </c>
      <c r="B156">
        <v>1581</v>
      </c>
      <c r="C156">
        <v>1409</v>
      </c>
      <c r="D156">
        <v>2334</v>
      </c>
      <c r="E156">
        <v>2814</v>
      </c>
      <c r="F156">
        <v>5957</v>
      </c>
      <c r="G156">
        <v>135</v>
      </c>
      <c r="H156">
        <v>5870</v>
      </c>
      <c r="I156">
        <v>186</v>
      </c>
    </row>
    <row r="157" spans="1:9" x14ac:dyDescent="0.2">
      <c r="A157">
        <v>58.547638900000003</v>
      </c>
      <c r="B157">
        <v>1593</v>
      </c>
      <c r="C157">
        <v>1405</v>
      </c>
      <c r="D157">
        <v>2323</v>
      </c>
      <c r="E157">
        <v>2818</v>
      </c>
      <c r="F157">
        <v>5924</v>
      </c>
      <c r="G157">
        <v>136</v>
      </c>
      <c r="H157">
        <v>5865</v>
      </c>
      <c r="I157">
        <v>188</v>
      </c>
    </row>
    <row r="158" spans="1:9" x14ac:dyDescent="0.2">
      <c r="A158">
        <v>58.912472200000003</v>
      </c>
      <c r="B158">
        <v>1590</v>
      </c>
      <c r="C158">
        <v>1396</v>
      </c>
      <c r="D158">
        <v>2331</v>
      </c>
      <c r="E158">
        <v>2820</v>
      </c>
      <c r="F158">
        <v>5944</v>
      </c>
      <c r="G158">
        <v>132</v>
      </c>
      <c r="H158">
        <v>5836</v>
      </c>
      <c r="I158">
        <v>196</v>
      </c>
    </row>
    <row r="159" spans="1:9" x14ac:dyDescent="0.2">
      <c r="A159">
        <v>59.2772778</v>
      </c>
      <c r="B159">
        <v>1600</v>
      </c>
      <c r="C159">
        <v>1401</v>
      </c>
      <c r="D159">
        <v>2347</v>
      </c>
      <c r="E159">
        <v>2814</v>
      </c>
      <c r="F159">
        <v>5938</v>
      </c>
      <c r="G159">
        <v>136</v>
      </c>
      <c r="H159">
        <v>5821</v>
      </c>
      <c r="I159">
        <v>195</v>
      </c>
    </row>
    <row r="160" spans="1:9" x14ac:dyDescent="0.2">
      <c r="A160">
        <v>59.642083300000003</v>
      </c>
      <c r="B160">
        <v>1592</v>
      </c>
      <c r="C160">
        <v>1393</v>
      </c>
      <c r="D160">
        <v>2325</v>
      </c>
      <c r="E160">
        <v>2803</v>
      </c>
      <c r="F160">
        <v>5923</v>
      </c>
      <c r="G160">
        <v>136</v>
      </c>
      <c r="H160">
        <v>5835</v>
      </c>
      <c r="I160">
        <v>201</v>
      </c>
    </row>
    <row r="161" spans="1:9" x14ac:dyDescent="0.2">
      <c r="A161">
        <v>60.0068889</v>
      </c>
      <c r="B161">
        <v>1584</v>
      </c>
      <c r="C161">
        <v>1377</v>
      </c>
      <c r="D161">
        <v>2316</v>
      </c>
      <c r="E161">
        <v>2797</v>
      </c>
      <c r="F161">
        <v>5892</v>
      </c>
      <c r="G161">
        <v>135</v>
      </c>
      <c r="H161">
        <v>5836</v>
      </c>
      <c r="I161">
        <v>208</v>
      </c>
    </row>
    <row r="162" spans="1:9" x14ac:dyDescent="0.2">
      <c r="A162">
        <v>60.371722200000001</v>
      </c>
      <c r="B162">
        <v>1578</v>
      </c>
      <c r="C162">
        <v>1375</v>
      </c>
      <c r="D162">
        <v>2320</v>
      </c>
      <c r="E162">
        <v>2831</v>
      </c>
      <c r="F162">
        <v>5891</v>
      </c>
      <c r="G162">
        <v>137</v>
      </c>
      <c r="H162">
        <v>5841</v>
      </c>
      <c r="I162">
        <v>213</v>
      </c>
    </row>
    <row r="163" spans="1:9" x14ac:dyDescent="0.2">
      <c r="A163">
        <v>60.736527799999998</v>
      </c>
      <c r="B163">
        <v>1590</v>
      </c>
      <c r="C163">
        <v>1370</v>
      </c>
      <c r="D163">
        <v>2315</v>
      </c>
      <c r="E163">
        <v>2798</v>
      </c>
      <c r="F163">
        <v>5856</v>
      </c>
      <c r="G163">
        <v>139</v>
      </c>
      <c r="H163">
        <v>5792</v>
      </c>
      <c r="I163">
        <v>217</v>
      </c>
    </row>
    <row r="164" spans="1:9" x14ac:dyDescent="0.2">
      <c r="A164">
        <v>61.1013333</v>
      </c>
      <c r="B164">
        <v>1593</v>
      </c>
      <c r="C164">
        <v>1378</v>
      </c>
      <c r="D164">
        <v>2298</v>
      </c>
      <c r="E164">
        <v>2829</v>
      </c>
      <c r="F164">
        <v>5837</v>
      </c>
      <c r="G164">
        <v>136</v>
      </c>
      <c r="H164">
        <v>5768</v>
      </c>
      <c r="I164">
        <v>224</v>
      </c>
    </row>
    <row r="165" spans="1:9" x14ac:dyDescent="0.2">
      <c r="A165">
        <v>61.466166700000002</v>
      </c>
      <c r="B165">
        <v>1583</v>
      </c>
      <c r="C165">
        <v>1370</v>
      </c>
      <c r="D165">
        <v>2297</v>
      </c>
      <c r="E165">
        <v>2809</v>
      </c>
      <c r="F165">
        <v>5819</v>
      </c>
      <c r="G165">
        <v>136</v>
      </c>
      <c r="H165">
        <v>5747</v>
      </c>
      <c r="I165">
        <v>227</v>
      </c>
    </row>
    <row r="166" spans="1:9" x14ac:dyDescent="0.2">
      <c r="A166">
        <v>61.830972199999998</v>
      </c>
      <c r="B166">
        <v>1598</v>
      </c>
      <c r="C166">
        <v>1374</v>
      </c>
      <c r="D166">
        <v>2295</v>
      </c>
      <c r="E166">
        <v>2823</v>
      </c>
      <c r="F166">
        <v>5791</v>
      </c>
      <c r="G166">
        <v>138</v>
      </c>
      <c r="H166">
        <v>5733</v>
      </c>
      <c r="I166">
        <v>230</v>
      </c>
    </row>
    <row r="167" spans="1:9" x14ac:dyDescent="0.2">
      <c r="A167">
        <v>62.1958056</v>
      </c>
      <c r="B167">
        <v>1581</v>
      </c>
      <c r="C167">
        <v>1368</v>
      </c>
      <c r="D167">
        <v>2304</v>
      </c>
      <c r="E167">
        <v>2790</v>
      </c>
      <c r="F167">
        <v>5754</v>
      </c>
      <c r="G167">
        <v>137</v>
      </c>
      <c r="H167">
        <v>5722</v>
      </c>
      <c r="I167">
        <v>240</v>
      </c>
    </row>
    <row r="168" spans="1:9" x14ac:dyDescent="0.2">
      <c r="A168">
        <v>62.560638900000001</v>
      </c>
      <c r="B168">
        <v>1585</v>
      </c>
      <c r="C168">
        <v>1362</v>
      </c>
      <c r="D168">
        <v>2287</v>
      </c>
      <c r="E168">
        <v>2807</v>
      </c>
      <c r="F168">
        <v>5770</v>
      </c>
      <c r="G168">
        <v>139</v>
      </c>
      <c r="H168">
        <v>5694</v>
      </c>
      <c r="I168">
        <v>247</v>
      </c>
    </row>
    <row r="169" spans="1:9" x14ac:dyDescent="0.2">
      <c r="A169">
        <v>62.925444400000003</v>
      </c>
      <c r="B169">
        <v>1587</v>
      </c>
      <c r="C169">
        <v>1366</v>
      </c>
      <c r="D169">
        <v>2287</v>
      </c>
      <c r="E169">
        <v>2800</v>
      </c>
      <c r="F169">
        <v>5755</v>
      </c>
      <c r="G169">
        <v>136</v>
      </c>
      <c r="H169">
        <v>5684</v>
      </c>
      <c r="I169">
        <v>257</v>
      </c>
    </row>
    <row r="170" spans="1:9" x14ac:dyDescent="0.2">
      <c r="A170">
        <v>63.29025</v>
      </c>
      <c r="B170">
        <v>1581</v>
      </c>
      <c r="C170">
        <v>1351</v>
      </c>
      <c r="D170">
        <v>2312</v>
      </c>
      <c r="E170">
        <v>2806</v>
      </c>
      <c r="F170">
        <v>5720</v>
      </c>
      <c r="G170">
        <v>139</v>
      </c>
      <c r="H170">
        <v>5695</v>
      </c>
      <c r="I170">
        <v>265</v>
      </c>
    </row>
    <row r="171" spans="1:9" x14ac:dyDescent="0.2">
      <c r="A171">
        <v>63.655083300000001</v>
      </c>
      <c r="B171">
        <v>1587</v>
      </c>
      <c r="C171">
        <v>1364</v>
      </c>
      <c r="D171">
        <v>2286</v>
      </c>
      <c r="E171">
        <v>2804</v>
      </c>
      <c r="F171">
        <v>5748</v>
      </c>
      <c r="G171">
        <v>140</v>
      </c>
      <c r="H171">
        <v>5670</v>
      </c>
      <c r="I171">
        <v>276</v>
      </c>
    </row>
    <row r="172" spans="1:9" x14ac:dyDescent="0.2">
      <c r="A172">
        <v>64.019888899999998</v>
      </c>
      <c r="B172">
        <v>1587</v>
      </c>
      <c r="C172">
        <v>1362</v>
      </c>
      <c r="D172">
        <v>2276</v>
      </c>
      <c r="E172">
        <v>2796</v>
      </c>
      <c r="F172">
        <v>5683</v>
      </c>
      <c r="G172">
        <v>143</v>
      </c>
      <c r="H172">
        <v>5640</v>
      </c>
      <c r="I172">
        <v>280</v>
      </c>
    </row>
    <row r="173" spans="1:9" x14ac:dyDescent="0.2">
      <c r="A173">
        <v>64.384694400000001</v>
      </c>
      <c r="B173">
        <v>1585</v>
      </c>
      <c r="C173">
        <v>1357</v>
      </c>
      <c r="D173">
        <v>2289</v>
      </c>
      <c r="E173">
        <v>2796</v>
      </c>
      <c r="F173">
        <v>5679</v>
      </c>
      <c r="G173">
        <v>142</v>
      </c>
      <c r="H173">
        <v>5637</v>
      </c>
      <c r="I173">
        <v>296</v>
      </c>
    </row>
    <row r="174" spans="1:9" x14ac:dyDescent="0.2">
      <c r="A174">
        <v>64.749527799999996</v>
      </c>
      <c r="B174">
        <v>1576</v>
      </c>
      <c r="C174">
        <v>1358</v>
      </c>
      <c r="D174">
        <v>2291</v>
      </c>
      <c r="E174">
        <v>2804</v>
      </c>
      <c r="F174">
        <v>5678</v>
      </c>
      <c r="G174">
        <v>140</v>
      </c>
      <c r="H174">
        <v>5647</v>
      </c>
      <c r="I174">
        <v>311</v>
      </c>
    </row>
    <row r="175" spans="1:9" x14ac:dyDescent="0.2">
      <c r="A175">
        <v>65.114333299999998</v>
      </c>
      <c r="B175">
        <v>1583</v>
      </c>
      <c r="C175">
        <v>1367</v>
      </c>
      <c r="D175">
        <v>2279</v>
      </c>
      <c r="E175">
        <v>2774</v>
      </c>
      <c r="F175">
        <v>5653</v>
      </c>
      <c r="G175">
        <v>139</v>
      </c>
      <c r="H175">
        <v>5610</v>
      </c>
      <c r="I175">
        <v>320</v>
      </c>
    </row>
    <row r="176" spans="1:9" x14ac:dyDescent="0.2">
      <c r="A176">
        <v>65.479166699999993</v>
      </c>
      <c r="B176">
        <v>1586</v>
      </c>
      <c r="C176">
        <v>1368</v>
      </c>
      <c r="D176">
        <v>2274</v>
      </c>
      <c r="E176">
        <v>2768</v>
      </c>
      <c r="F176">
        <v>5636</v>
      </c>
      <c r="G176">
        <v>144</v>
      </c>
      <c r="H176">
        <v>5597</v>
      </c>
      <c r="I176">
        <v>334</v>
      </c>
    </row>
    <row r="177" spans="1:9" x14ac:dyDescent="0.2">
      <c r="A177">
        <v>65.843999999999994</v>
      </c>
      <c r="B177">
        <v>1578</v>
      </c>
      <c r="C177">
        <v>1371</v>
      </c>
      <c r="D177">
        <v>2268</v>
      </c>
      <c r="E177">
        <v>2781</v>
      </c>
      <c r="F177">
        <v>5640</v>
      </c>
      <c r="G177">
        <v>142</v>
      </c>
      <c r="H177">
        <v>5606</v>
      </c>
      <c r="I177">
        <v>347</v>
      </c>
    </row>
    <row r="178" spans="1:9" x14ac:dyDescent="0.2">
      <c r="A178">
        <v>66.208805600000005</v>
      </c>
      <c r="B178">
        <v>1599</v>
      </c>
      <c r="C178">
        <v>1381</v>
      </c>
      <c r="D178">
        <v>2280</v>
      </c>
      <c r="E178">
        <v>2795</v>
      </c>
      <c r="F178">
        <v>5613</v>
      </c>
      <c r="G178">
        <v>143</v>
      </c>
      <c r="H178">
        <v>5562</v>
      </c>
      <c r="I178">
        <v>375</v>
      </c>
    </row>
    <row r="179" spans="1:9" x14ac:dyDescent="0.2">
      <c r="A179">
        <v>66.573611099999994</v>
      </c>
      <c r="B179">
        <v>1581</v>
      </c>
      <c r="C179">
        <v>1358</v>
      </c>
      <c r="D179">
        <v>2276</v>
      </c>
      <c r="E179">
        <v>2794</v>
      </c>
      <c r="F179">
        <v>5598</v>
      </c>
      <c r="G179">
        <v>138</v>
      </c>
      <c r="H179">
        <v>5568</v>
      </c>
      <c r="I179">
        <v>384</v>
      </c>
    </row>
    <row r="180" spans="1:9" x14ac:dyDescent="0.2">
      <c r="A180">
        <v>66.938444399999995</v>
      </c>
      <c r="B180">
        <v>1573</v>
      </c>
      <c r="C180">
        <v>1366</v>
      </c>
      <c r="D180">
        <v>2261</v>
      </c>
      <c r="E180">
        <v>2771</v>
      </c>
      <c r="F180">
        <v>5605</v>
      </c>
      <c r="G180">
        <v>141</v>
      </c>
      <c r="H180">
        <v>5556</v>
      </c>
      <c r="I180">
        <v>406</v>
      </c>
    </row>
    <row r="181" spans="1:9" x14ac:dyDescent="0.2">
      <c r="A181">
        <v>67.303250000000006</v>
      </c>
      <c r="B181">
        <v>1585</v>
      </c>
      <c r="C181">
        <v>1378</v>
      </c>
      <c r="D181">
        <v>2270</v>
      </c>
      <c r="E181">
        <v>2788</v>
      </c>
      <c r="F181">
        <v>5602</v>
      </c>
      <c r="G181">
        <v>144</v>
      </c>
      <c r="H181">
        <v>5581</v>
      </c>
      <c r="I181">
        <v>431</v>
      </c>
    </row>
    <row r="182" spans="1:9" x14ac:dyDescent="0.2">
      <c r="A182">
        <v>67.668083300000006</v>
      </c>
      <c r="B182">
        <v>1597</v>
      </c>
      <c r="C182">
        <v>1385</v>
      </c>
      <c r="D182">
        <v>2293</v>
      </c>
      <c r="E182">
        <v>2785</v>
      </c>
      <c r="F182">
        <v>5595</v>
      </c>
      <c r="G182">
        <v>145</v>
      </c>
      <c r="H182">
        <v>5530</v>
      </c>
      <c r="I182">
        <v>462</v>
      </c>
    </row>
    <row r="183" spans="1:9" x14ac:dyDescent="0.2">
      <c r="A183">
        <v>68.032888900000003</v>
      </c>
      <c r="B183">
        <v>1579</v>
      </c>
      <c r="C183">
        <v>1367</v>
      </c>
      <c r="D183">
        <v>2272</v>
      </c>
      <c r="E183">
        <v>2777</v>
      </c>
      <c r="F183">
        <v>5579</v>
      </c>
      <c r="G183">
        <v>144</v>
      </c>
      <c r="H183">
        <v>5524</v>
      </c>
      <c r="I183">
        <v>491</v>
      </c>
    </row>
    <row r="184" spans="1:9" x14ac:dyDescent="0.2">
      <c r="A184">
        <v>68.397722200000004</v>
      </c>
      <c r="B184">
        <v>1586</v>
      </c>
      <c r="C184">
        <v>1381</v>
      </c>
      <c r="D184">
        <v>2281</v>
      </c>
      <c r="E184">
        <v>2781</v>
      </c>
      <c r="F184">
        <v>5581</v>
      </c>
      <c r="G184">
        <v>147</v>
      </c>
      <c r="H184">
        <v>5554</v>
      </c>
      <c r="I184">
        <v>522</v>
      </c>
    </row>
    <row r="185" spans="1:9" x14ac:dyDescent="0.2">
      <c r="A185">
        <v>68.762527800000001</v>
      </c>
      <c r="B185">
        <v>1574</v>
      </c>
      <c r="C185">
        <v>1375</v>
      </c>
      <c r="D185">
        <v>2265</v>
      </c>
      <c r="E185">
        <v>2787</v>
      </c>
      <c r="F185">
        <v>5558</v>
      </c>
      <c r="G185">
        <v>146</v>
      </c>
      <c r="H185">
        <v>5541</v>
      </c>
      <c r="I185">
        <v>557</v>
      </c>
    </row>
    <row r="186" spans="1:9" x14ac:dyDescent="0.2">
      <c r="A186">
        <v>69.126861099999999</v>
      </c>
      <c r="B186">
        <v>1559</v>
      </c>
      <c r="C186">
        <v>1376</v>
      </c>
      <c r="D186">
        <v>2243</v>
      </c>
      <c r="E186">
        <v>2747</v>
      </c>
      <c r="F186">
        <v>5543</v>
      </c>
      <c r="G186">
        <v>149</v>
      </c>
      <c r="H186">
        <v>5540</v>
      </c>
      <c r="I186">
        <v>599</v>
      </c>
    </row>
    <row r="187" spans="1:9" x14ac:dyDescent="0.2">
      <c r="A187">
        <v>69.491666699999996</v>
      </c>
      <c r="B187">
        <v>1560</v>
      </c>
      <c r="C187">
        <v>1367</v>
      </c>
      <c r="D187">
        <v>2244</v>
      </c>
      <c r="E187">
        <v>2763</v>
      </c>
      <c r="F187">
        <v>5533</v>
      </c>
      <c r="G187">
        <v>147</v>
      </c>
      <c r="H187">
        <v>5488</v>
      </c>
      <c r="I187">
        <v>647</v>
      </c>
    </row>
    <row r="188" spans="1:9" x14ac:dyDescent="0.2">
      <c r="A188">
        <v>69.856499999999997</v>
      </c>
      <c r="B188">
        <v>1564</v>
      </c>
      <c r="C188">
        <v>1372</v>
      </c>
      <c r="D188">
        <v>2247</v>
      </c>
      <c r="E188">
        <v>2760</v>
      </c>
      <c r="F188">
        <v>5524</v>
      </c>
      <c r="G188">
        <v>149</v>
      </c>
      <c r="H188">
        <v>5519</v>
      </c>
      <c r="I188">
        <v>691</v>
      </c>
    </row>
    <row r="189" spans="1:9" x14ac:dyDescent="0.2">
      <c r="A189">
        <v>70.221305599999994</v>
      </c>
      <c r="B189">
        <v>1565</v>
      </c>
      <c r="C189">
        <v>1384</v>
      </c>
      <c r="D189">
        <v>2242</v>
      </c>
      <c r="E189">
        <v>2797</v>
      </c>
      <c r="F189">
        <v>5498</v>
      </c>
      <c r="G189">
        <v>150</v>
      </c>
      <c r="H189">
        <v>5474</v>
      </c>
      <c r="I189">
        <v>747</v>
      </c>
    </row>
    <row r="190" spans="1:9" x14ac:dyDescent="0.2">
      <c r="A190">
        <v>70.586138899999995</v>
      </c>
      <c r="B190">
        <v>1564</v>
      </c>
      <c r="C190">
        <v>1385</v>
      </c>
      <c r="D190">
        <v>2249</v>
      </c>
      <c r="E190">
        <v>2772</v>
      </c>
      <c r="F190">
        <v>5521</v>
      </c>
      <c r="G190">
        <v>148</v>
      </c>
      <c r="H190">
        <v>5470</v>
      </c>
      <c r="I190">
        <v>814</v>
      </c>
    </row>
    <row r="191" spans="1:9" x14ac:dyDescent="0.2">
      <c r="A191">
        <v>70.950972199999995</v>
      </c>
      <c r="B191">
        <v>1569</v>
      </c>
      <c r="C191">
        <v>1374</v>
      </c>
      <c r="D191">
        <v>2244</v>
      </c>
      <c r="E191">
        <v>2775</v>
      </c>
      <c r="F191">
        <v>5480</v>
      </c>
      <c r="G191">
        <v>146</v>
      </c>
      <c r="H191">
        <v>5461</v>
      </c>
      <c r="I191">
        <v>894</v>
      </c>
    </row>
    <row r="192" spans="1:9" x14ac:dyDescent="0.2">
      <c r="A192">
        <v>71.315777800000006</v>
      </c>
      <c r="B192">
        <v>1568</v>
      </c>
      <c r="C192">
        <v>1372</v>
      </c>
      <c r="D192">
        <v>2240</v>
      </c>
      <c r="E192">
        <v>2772</v>
      </c>
      <c r="F192">
        <v>5490</v>
      </c>
      <c r="G192">
        <v>150</v>
      </c>
      <c r="H192">
        <v>5485</v>
      </c>
      <c r="I192">
        <v>979</v>
      </c>
    </row>
    <row r="193" spans="1:9" x14ac:dyDescent="0.2">
      <c r="A193">
        <v>71.680611099999993</v>
      </c>
      <c r="B193">
        <v>1572</v>
      </c>
      <c r="C193">
        <v>1375</v>
      </c>
      <c r="D193">
        <v>2251</v>
      </c>
      <c r="E193">
        <v>2773</v>
      </c>
      <c r="F193">
        <v>5477</v>
      </c>
      <c r="G193">
        <v>154</v>
      </c>
      <c r="H193">
        <v>5468</v>
      </c>
      <c r="I193">
        <v>1066</v>
      </c>
    </row>
    <row r="194" spans="1:9" x14ac:dyDescent="0.2">
      <c r="A194">
        <v>72.045416700000004</v>
      </c>
      <c r="B194">
        <v>1574</v>
      </c>
      <c r="C194">
        <v>1381</v>
      </c>
      <c r="D194">
        <v>2251</v>
      </c>
      <c r="E194">
        <v>2773</v>
      </c>
      <c r="F194">
        <v>5487</v>
      </c>
      <c r="G194">
        <v>148</v>
      </c>
      <c r="H194">
        <v>5465</v>
      </c>
      <c r="I194">
        <v>1165</v>
      </c>
    </row>
    <row r="195" spans="1:9" x14ac:dyDescent="0.2">
      <c r="A195">
        <v>72.410277800000003</v>
      </c>
      <c r="B195">
        <v>1577</v>
      </c>
      <c r="C195">
        <v>1375</v>
      </c>
      <c r="D195">
        <v>2242</v>
      </c>
      <c r="E195">
        <v>2773</v>
      </c>
      <c r="F195">
        <v>5455</v>
      </c>
      <c r="G195">
        <v>151</v>
      </c>
      <c r="H195">
        <v>5439</v>
      </c>
      <c r="I195">
        <v>1296</v>
      </c>
    </row>
    <row r="196" spans="1:9" x14ac:dyDescent="0.2">
      <c r="A196">
        <v>72.775083300000006</v>
      </c>
      <c r="B196">
        <v>1551</v>
      </c>
      <c r="C196">
        <v>1363</v>
      </c>
      <c r="D196">
        <v>2234</v>
      </c>
      <c r="E196">
        <v>2752</v>
      </c>
      <c r="F196">
        <v>5457</v>
      </c>
      <c r="G196">
        <v>152</v>
      </c>
      <c r="H196">
        <v>5450</v>
      </c>
      <c r="I196">
        <v>1423</v>
      </c>
    </row>
    <row r="197" spans="1:9" x14ac:dyDescent="0.2">
      <c r="A197">
        <v>73.139916700000001</v>
      </c>
      <c r="B197">
        <v>1552</v>
      </c>
      <c r="C197">
        <v>1370</v>
      </c>
      <c r="D197">
        <v>2227</v>
      </c>
      <c r="E197">
        <v>2755</v>
      </c>
      <c r="F197">
        <v>5469</v>
      </c>
      <c r="G197">
        <v>158</v>
      </c>
      <c r="H197">
        <v>5444</v>
      </c>
      <c r="I197">
        <v>1592</v>
      </c>
    </row>
    <row r="198" spans="1:9" x14ac:dyDescent="0.2">
      <c r="A198">
        <v>73.504722200000003</v>
      </c>
      <c r="B198">
        <v>1563</v>
      </c>
      <c r="C198">
        <v>1369</v>
      </c>
      <c r="D198">
        <v>2243</v>
      </c>
      <c r="E198">
        <v>2767</v>
      </c>
      <c r="F198">
        <v>5471</v>
      </c>
      <c r="G198">
        <v>159</v>
      </c>
      <c r="H198">
        <v>5426</v>
      </c>
      <c r="I198">
        <v>1769</v>
      </c>
    </row>
    <row r="199" spans="1:9" x14ac:dyDescent="0.2">
      <c r="A199">
        <v>73.8695278</v>
      </c>
      <c r="B199">
        <v>1561</v>
      </c>
      <c r="C199">
        <v>1389</v>
      </c>
      <c r="D199">
        <v>2252</v>
      </c>
      <c r="E199">
        <v>2768</v>
      </c>
      <c r="F199">
        <v>5455</v>
      </c>
      <c r="G199">
        <v>156</v>
      </c>
      <c r="H199">
        <v>5418</v>
      </c>
      <c r="I199">
        <v>1977</v>
      </c>
    </row>
    <row r="200" spans="1:9" x14ac:dyDescent="0.2">
      <c r="A200">
        <v>74.234361100000001</v>
      </c>
      <c r="B200">
        <v>1565</v>
      </c>
      <c r="C200">
        <v>1375</v>
      </c>
      <c r="D200">
        <v>2242</v>
      </c>
      <c r="E200">
        <v>2758</v>
      </c>
      <c r="F200">
        <v>5449</v>
      </c>
      <c r="G200">
        <v>162</v>
      </c>
      <c r="H200">
        <v>5415</v>
      </c>
      <c r="I200">
        <v>2231</v>
      </c>
    </row>
    <row r="201" spans="1:9" x14ac:dyDescent="0.2">
      <c r="A201">
        <v>74.599166699999998</v>
      </c>
      <c r="B201">
        <v>1561</v>
      </c>
      <c r="C201">
        <v>1374</v>
      </c>
      <c r="D201">
        <v>2242</v>
      </c>
      <c r="E201">
        <v>2759</v>
      </c>
      <c r="F201">
        <v>5425</v>
      </c>
      <c r="G201">
        <v>162</v>
      </c>
      <c r="H201">
        <v>5422</v>
      </c>
      <c r="I201">
        <v>2492</v>
      </c>
    </row>
    <row r="202" spans="1:9" x14ac:dyDescent="0.2">
      <c r="A202">
        <v>74.963972200000001</v>
      </c>
      <c r="B202">
        <v>1572</v>
      </c>
      <c r="C202">
        <v>1386</v>
      </c>
      <c r="D202">
        <v>2237</v>
      </c>
      <c r="E202">
        <v>2774</v>
      </c>
      <c r="F202">
        <v>5442</v>
      </c>
      <c r="G202">
        <v>164</v>
      </c>
      <c r="H202">
        <v>5430</v>
      </c>
      <c r="I202">
        <v>2824</v>
      </c>
    </row>
    <row r="203" spans="1:9" x14ac:dyDescent="0.2">
      <c r="A203">
        <v>75.328805599999995</v>
      </c>
      <c r="B203">
        <v>1566</v>
      </c>
      <c r="C203">
        <v>1387</v>
      </c>
      <c r="D203">
        <v>2230</v>
      </c>
      <c r="E203">
        <v>2750</v>
      </c>
      <c r="F203">
        <v>5432</v>
      </c>
      <c r="G203">
        <v>165</v>
      </c>
      <c r="H203">
        <v>5416</v>
      </c>
      <c r="I203">
        <v>3217</v>
      </c>
    </row>
    <row r="204" spans="1:9" x14ac:dyDescent="0.2">
      <c r="A204">
        <v>75.693611099999998</v>
      </c>
      <c r="B204">
        <v>1563</v>
      </c>
      <c r="C204">
        <v>1374</v>
      </c>
      <c r="D204">
        <v>2219</v>
      </c>
      <c r="E204">
        <v>2766</v>
      </c>
      <c r="F204">
        <v>5421</v>
      </c>
      <c r="G204">
        <v>166</v>
      </c>
      <c r="H204">
        <v>5434</v>
      </c>
      <c r="I204">
        <v>3671</v>
      </c>
    </row>
    <row r="205" spans="1:9" x14ac:dyDescent="0.2">
      <c r="A205">
        <v>76.058444399999999</v>
      </c>
      <c r="B205">
        <v>1577</v>
      </c>
      <c r="C205">
        <v>1382</v>
      </c>
      <c r="D205">
        <v>2233</v>
      </c>
      <c r="E205">
        <v>2756</v>
      </c>
      <c r="F205">
        <v>5451</v>
      </c>
      <c r="G205">
        <v>171</v>
      </c>
      <c r="H205">
        <v>5415</v>
      </c>
      <c r="I205">
        <v>4181</v>
      </c>
    </row>
    <row r="206" spans="1:9" x14ac:dyDescent="0.2">
      <c r="A206">
        <v>76.423277799999994</v>
      </c>
      <c r="B206">
        <v>1556</v>
      </c>
      <c r="C206">
        <v>1365</v>
      </c>
      <c r="D206">
        <v>2241</v>
      </c>
      <c r="E206">
        <v>2763</v>
      </c>
      <c r="F206">
        <v>5416</v>
      </c>
      <c r="G206">
        <v>171</v>
      </c>
      <c r="H206">
        <v>5407</v>
      </c>
      <c r="I206">
        <v>4752</v>
      </c>
    </row>
    <row r="207" spans="1:9" x14ac:dyDescent="0.2">
      <c r="A207">
        <v>76.788083299999997</v>
      </c>
      <c r="B207">
        <v>1560</v>
      </c>
      <c r="C207">
        <v>1373</v>
      </c>
      <c r="D207">
        <v>2228</v>
      </c>
      <c r="E207">
        <v>2754</v>
      </c>
      <c r="F207">
        <v>5381</v>
      </c>
      <c r="G207">
        <v>164</v>
      </c>
      <c r="H207">
        <v>5365</v>
      </c>
      <c r="I207">
        <v>5372</v>
      </c>
    </row>
    <row r="208" spans="1:9" x14ac:dyDescent="0.2">
      <c r="A208">
        <v>77.152888899999994</v>
      </c>
      <c r="B208">
        <v>1566</v>
      </c>
      <c r="C208">
        <v>1387</v>
      </c>
      <c r="D208">
        <v>2231</v>
      </c>
      <c r="E208">
        <v>2775</v>
      </c>
      <c r="F208">
        <v>5398</v>
      </c>
      <c r="G208">
        <v>176</v>
      </c>
      <c r="H208">
        <v>5429</v>
      </c>
      <c r="I208">
        <v>5870</v>
      </c>
    </row>
    <row r="209" spans="1:9" x14ac:dyDescent="0.2">
      <c r="A209">
        <v>77.517722199999994</v>
      </c>
      <c r="B209">
        <v>1560</v>
      </c>
      <c r="C209">
        <v>1373</v>
      </c>
      <c r="D209">
        <v>2228</v>
      </c>
      <c r="E209">
        <v>2757</v>
      </c>
      <c r="F209">
        <v>5409</v>
      </c>
      <c r="G209">
        <v>178</v>
      </c>
      <c r="H209">
        <v>5437</v>
      </c>
      <c r="I209">
        <v>6030</v>
      </c>
    </row>
    <row r="210" spans="1:9" x14ac:dyDescent="0.2">
      <c r="A210">
        <v>77.882555600000003</v>
      </c>
      <c r="B210">
        <v>1561</v>
      </c>
      <c r="C210">
        <v>1375</v>
      </c>
      <c r="D210">
        <v>2222</v>
      </c>
      <c r="E210">
        <v>2740</v>
      </c>
      <c r="F210">
        <v>5416</v>
      </c>
      <c r="G210">
        <v>180</v>
      </c>
      <c r="H210">
        <v>5406</v>
      </c>
      <c r="I210">
        <v>6129</v>
      </c>
    </row>
    <row r="211" spans="1:9" x14ac:dyDescent="0.2">
      <c r="A211">
        <v>78.247361100000006</v>
      </c>
      <c r="B211">
        <v>1557</v>
      </c>
      <c r="C211">
        <v>1370</v>
      </c>
      <c r="D211">
        <v>2222</v>
      </c>
      <c r="E211">
        <v>2756</v>
      </c>
      <c r="F211">
        <v>5399</v>
      </c>
      <c r="G211">
        <v>184</v>
      </c>
      <c r="H211">
        <v>5404</v>
      </c>
      <c r="I211">
        <v>6190</v>
      </c>
    </row>
    <row r="212" spans="1:9" x14ac:dyDescent="0.2">
      <c r="A212">
        <v>78.612166700000003</v>
      </c>
      <c r="B212">
        <v>1554</v>
      </c>
      <c r="C212">
        <v>1386</v>
      </c>
      <c r="D212">
        <v>2246</v>
      </c>
      <c r="E212">
        <v>2750</v>
      </c>
      <c r="F212">
        <v>5399</v>
      </c>
      <c r="G212">
        <v>187</v>
      </c>
      <c r="H212">
        <v>5400</v>
      </c>
      <c r="I212">
        <v>6311</v>
      </c>
    </row>
    <row r="213" spans="1:9" x14ac:dyDescent="0.2">
      <c r="A213">
        <v>78.977000000000004</v>
      </c>
      <c r="B213">
        <v>1566</v>
      </c>
      <c r="C213">
        <v>1381</v>
      </c>
      <c r="D213">
        <v>2243</v>
      </c>
      <c r="E213">
        <v>2746</v>
      </c>
      <c r="F213">
        <v>5404</v>
      </c>
      <c r="G213">
        <v>194</v>
      </c>
      <c r="H213">
        <v>5394</v>
      </c>
      <c r="I213">
        <v>6324</v>
      </c>
    </row>
    <row r="214" spans="1:9" x14ac:dyDescent="0.2">
      <c r="A214">
        <v>79.341805600000001</v>
      </c>
      <c r="B214">
        <v>1570</v>
      </c>
      <c r="C214">
        <v>1375</v>
      </c>
      <c r="D214">
        <v>2221</v>
      </c>
      <c r="E214">
        <v>2758</v>
      </c>
      <c r="F214">
        <v>5372</v>
      </c>
      <c r="G214">
        <v>195</v>
      </c>
      <c r="H214">
        <v>5396</v>
      </c>
      <c r="I214">
        <v>6388</v>
      </c>
    </row>
    <row r="215" spans="1:9" x14ac:dyDescent="0.2">
      <c r="A215">
        <v>79.706638900000002</v>
      </c>
      <c r="B215">
        <v>1546</v>
      </c>
      <c r="C215">
        <v>1366</v>
      </c>
      <c r="D215">
        <v>2231</v>
      </c>
      <c r="E215">
        <v>2729</v>
      </c>
      <c r="F215">
        <v>5384</v>
      </c>
      <c r="G215">
        <v>197</v>
      </c>
      <c r="H215">
        <v>5383</v>
      </c>
      <c r="I215">
        <v>6043</v>
      </c>
    </row>
    <row r="216" spans="1:9" x14ac:dyDescent="0.2">
      <c r="A216">
        <v>80.071444400000004</v>
      </c>
      <c r="B216">
        <v>1550</v>
      </c>
      <c r="C216">
        <v>1371</v>
      </c>
      <c r="D216">
        <v>2225</v>
      </c>
      <c r="E216">
        <v>2736</v>
      </c>
      <c r="F216">
        <v>5351</v>
      </c>
      <c r="G216">
        <v>201</v>
      </c>
      <c r="H216">
        <v>5364</v>
      </c>
      <c r="I216">
        <v>5934</v>
      </c>
    </row>
    <row r="217" spans="1:9" x14ac:dyDescent="0.2">
      <c r="A217">
        <v>80.436250000000001</v>
      </c>
      <c r="B217">
        <v>1541</v>
      </c>
      <c r="C217">
        <v>1368</v>
      </c>
      <c r="D217">
        <v>2223</v>
      </c>
      <c r="E217">
        <v>2754</v>
      </c>
      <c r="F217">
        <v>5363</v>
      </c>
      <c r="G217">
        <v>203</v>
      </c>
      <c r="H217">
        <v>5376</v>
      </c>
      <c r="I217">
        <v>5918</v>
      </c>
    </row>
    <row r="218" spans="1:9" x14ac:dyDescent="0.2">
      <c r="A218">
        <v>80.801083300000002</v>
      </c>
      <c r="B218">
        <v>1558</v>
      </c>
      <c r="C218">
        <v>1371</v>
      </c>
      <c r="D218">
        <v>2221</v>
      </c>
      <c r="E218">
        <v>2748</v>
      </c>
      <c r="F218">
        <v>5362</v>
      </c>
      <c r="G218">
        <v>213</v>
      </c>
      <c r="H218">
        <v>5378</v>
      </c>
      <c r="I218">
        <v>5795</v>
      </c>
    </row>
    <row r="219" spans="1:9" x14ac:dyDescent="0.2">
      <c r="A219">
        <v>81.165888899999999</v>
      </c>
      <c r="B219">
        <v>1543</v>
      </c>
      <c r="C219">
        <v>1362</v>
      </c>
      <c r="D219">
        <v>2207</v>
      </c>
      <c r="E219">
        <v>2734</v>
      </c>
      <c r="F219">
        <v>5398</v>
      </c>
      <c r="G219">
        <v>222</v>
      </c>
      <c r="H219">
        <v>5349</v>
      </c>
      <c r="I219">
        <v>5702</v>
      </c>
    </row>
    <row r="220" spans="1:9" x14ac:dyDescent="0.2">
      <c r="A220">
        <v>81.5307222</v>
      </c>
      <c r="B220">
        <v>1560</v>
      </c>
      <c r="C220">
        <v>1365</v>
      </c>
      <c r="D220">
        <v>2209</v>
      </c>
      <c r="E220">
        <v>2752</v>
      </c>
      <c r="F220">
        <v>5354</v>
      </c>
      <c r="G220">
        <v>228</v>
      </c>
      <c r="H220">
        <v>5370</v>
      </c>
      <c r="I220">
        <v>5625</v>
      </c>
    </row>
    <row r="221" spans="1:9" x14ac:dyDescent="0.2">
      <c r="A221">
        <v>81.895555599999994</v>
      </c>
      <c r="B221">
        <v>1558</v>
      </c>
      <c r="C221">
        <v>1381</v>
      </c>
      <c r="D221">
        <v>2210</v>
      </c>
      <c r="E221">
        <v>2750</v>
      </c>
      <c r="F221">
        <v>5330</v>
      </c>
      <c r="G221">
        <v>232</v>
      </c>
      <c r="H221">
        <v>5338</v>
      </c>
      <c r="I221">
        <v>5573</v>
      </c>
    </row>
    <row r="222" spans="1:9" x14ac:dyDescent="0.2">
      <c r="A222">
        <v>82.260361099999997</v>
      </c>
      <c r="B222">
        <v>1568</v>
      </c>
      <c r="C222">
        <v>1366</v>
      </c>
      <c r="D222">
        <v>2221</v>
      </c>
      <c r="E222">
        <v>2748</v>
      </c>
      <c r="F222">
        <v>5332</v>
      </c>
      <c r="G222">
        <v>242</v>
      </c>
      <c r="H222">
        <v>5320</v>
      </c>
      <c r="I222">
        <v>5575</v>
      </c>
    </row>
    <row r="223" spans="1:9" x14ac:dyDescent="0.2">
      <c r="A223">
        <v>82.625194399999998</v>
      </c>
      <c r="B223">
        <v>1560</v>
      </c>
      <c r="C223">
        <v>1390</v>
      </c>
      <c r="D223">
        <v>2215</v>
      </c>
      <c r="E223">
        <v>2747</v>
      </c>
      <c r="F223">
        <v>5305</v>
      </c>
      <c r="G223">
        <v>250</v>
      </c>
      <c r="H223">
        <v>5330</v>
      </c>
      <c r="I223">
        <v>5535</v>
      </c>
    </row>
    <row r="224" spans="1:9" x14ac:dyDescent="0.2">
      <c r="A224">
        <v>82.99</v>
      </c>
      <c r="B224">
        <v>1547</v>
      </c>
      <c r="C224">
        <v>1364</v>
      </c>
      <c r="D224">
        <v>2216</v>
      </c>
      <c r="E224">
        <v>2721</v>
      </c>
      <c r="F224">
        <v>5320</v>
      </c>
      <c r="G224">
        <v>259</v>
      </c>
      <c r="H224">
        <v>5334</v>
      </c>
      <c r="I224">
        <v>5569</v>
      </c>
    </row>
    <row r="225" spans="1:9" x14ac:dyDescent="0.2">
      <c r="A225">
        <v>83.354805600000006</v>
      </c>
      <c r="B225">
        <v>1556</v>
      </c>
      <c r="C225">
        <v>1367</v>
      </c>
      <c r="D225">
        <v>2213</v>
      </c>
      <c r="E225">
        <v>2732</v>
      </c>
      <c r="F225">
        <v>5292</v>
      </c>
      <c r="G225">
        <v>268</v>
      </c>
      <c r="H225">
        <v>5286</v>
      </c>
      <c r="I225">
        <v>5544</v>
      </c>
    </row>
    <row r="226" spans="1:9" x14ac:dyDescent="0.2">
      <c r="A226">
        <v>83.719638900000007</v>
      </c>
      <c r="B226">
        <v>1546</v>
      </c>
      <c r="C226">
        <v>1365</v>
      </c>
      <c r="D226">
        <v>2222</v>
      </c>
      <c r="E226">
        <v>2723</v>
      </c>
      <c r="F226">
        <v>5279</v>
      </c>
      <c r="G226">
        <v>279</v>
      </c>
      <c r="H226">
        <v>5305</v>
      </c>
      <c r="I226">
        <v>5566</v>
      </c>
    </row>
    <row r="227" spans="1:9" x14ac:dyDescent="0.2">
      <c r="A227">
        <v>84.084472199999993</v>
      </c>
      <c r="B227">
        <v>1545</v>
      </c>
      <c r="C227">
        <v>1356</v>
      </c>
      <c r="D227">
        <v>2211</v>
      </c>
      <c r="E227">
        <v>2728</v>
      </c>
      <c r="F227">
        <v>5280</v>
      </c>
      <c r="G227">
        <v>293</v>
      </c>
      <c r="H227">
        <v>5322</v>
      </c>
      <c r="I227">
        <v>5588</v>
      </c>
    </row>
    <row r="228" spans="1:9" x14ac:dyDescent="0.2">
      <c r="A228">
        <v>84.449277800000004</v>
      </c>
      <c r="B228">
        <v>1552</v>
      </c>
      <c r="C228">
        <v>1355</v>
      </c>
      <c r="D228">
        <v>2212</v>
      </c>
      <c r="E228">
        <v>2723</v>
      </c>
      <c r="F228">
        <v>5291</v>
      </c>
      <c r="G228">
        <v>305</v>
      </c>
      <c r="H228">
        <v>5311</v>
      </c>
      <c r="I228">
        <v>5589</v>
      </c>
    </row>
    <row r="229" spans="1:9" x14ac:dyDescent="0.2">
      <c r="A229">
        <v>84.814111100000005</v>
      </c>
      <c r="B229">
        <v>1547</v>
      </c>
      <c r="C229">
        <v>1362</v>
      </c>
      <c r="D229">
        <v>2209</v>
      </c>
      <c r="E229">
        <v>2734</v>
      </c>
      <c r="F229">
        <v>5288</v>
      </c>
      <c r="G229">
        <v>318</v>
      </c>
      <c r="H229">
        <v>5311</v>
      </c>
      <c r="I229">
        <v>5620</v>
      </c>
    </row>
    <row r="230" spans="1:9" x14ac:dyDescent="0.2">
      <c r="A230">
        <v>85.178916700000002</v>
      </c>
      <c r="B230">
        <v>1551</v>
      </c>
      <c r="C230">
        <v>1361</v>
      </c>
      <c r="D230">
        <v>2196</v>
      </c>
      <c r="E230">
        <v>2717</v>
      </c>
      <c r="F230">
        <v>5284</v>
      </c>
      <c r="G230">
        <v>330</v>
      </c>
      <c r="H230">
        <v>5286</v>
      </c>
      <c r="I230">
        <v>5639</v>
      </c>
    </row>
    <row r="231" spans="1:9" x14ac:dyDescent="0.2">
      <c r="A231">
        <v>85.543750000000003</v>
      </c>
      <c r="B231">
        <v>1541</v>
      </c>
      <c r="C231">
        <v>1357</v>
      </c>
      <c r="D231">
        <v>2197</v>
      </c>
      <c r="E231">
        <v>2719</v>
      </c>
      <c r="F231">
        <v>5260</v>
      </c>
      <c r="G231">
        <v>348</v>
      </c>
      <c r="H231">
        <v>5279</v>
      </c>
      <c r="I231">
        <v>5673</v>
      </c>
    </row>
    <row r="232" spans="1:9" x14ac:dyDescent="0.2">
      <c r="A232">
        <v>85.9085556</v>
      </c>
      <c r="B232">
        <v>1559</v>
      </c>
      <c r="C232">
        <v>1373</v>
      </c>
      <c r="D232">
        <v>2214</v>
      </c>
      <c r="E232">
        <v>2722</v>
      </c>
      <c r="F232">
        <v>5249</v>
      </c>
      <c r="G232">
        <v>360</v>
      </c>
      <c r="H232">
        <v>5272</v>
      </c>
      <c r="I232">
        <v>5687</v>
      </c>
    </row>
    <row r="233" spans="1:9" x14ac:dyDescent="0.2">
      <c r="A233">
        <v>86.2733889</v>
      </c>
      <c r="B233">
        <v>1555</v>
      </c>
      <c r="C233">
        <v>1353</v>
      </c>
      <c r="D233">
        <v>2210</v>
      </c>
      <c r="E233">
        <v>2707</v>
      </c>
      <c r="F233">
        <v>5262</v>
      </c>
      <c r="G233">
        <v>373</v>
      </c>
      <c r="H233">
        <v>5297</v>
      </c>
      <c r="I233">
        <v>5694</v>
      </c>
    </row>
    <row r="234" spans="1:9" x14ac:dyDescent="0.2">
      <c r="A234">
        <v>86.638194400000003</v>
      </c>
      <c r="B234">
        <v>1542</v>
      </c>
      <c r="C234">
        <v>1353</v>
      </c>
      <c r="D234">
        <v>2206</v>
      </c>
      <c r="E234">
        <v>2729</v>
      </c>
      <c r="F234">
        <v>5251</v>
      </c>
      <c r="G234">
        <v>393</v>
      </c>
      <c r="H234">
        <v>5272</v>
      </c>
      <c r="I234">
        <v>5705</v>
      </c>
    </row>
    <row r="235" spans="1:9" x14ac:dyDescent="0.2">
      <c r="A235">
        <v>87.003</v>
      </c>
      <c r="B235">
        <v>1540</v>
      </c>
      <c r="C235">
        <v>1351</v>
      </c>
      <c r="D235">
        <v>2191</v>
      </c>
      <c r="E235">
        <v>2710</v>
      </c>
      <c r="F235">
        <v>5271</v>
      </c>
      <c r="G235">
        <v>411</v>
      </c>
      <c r="H235">
        <v>5304</v>
      </c>
      <c r="I235">
        <v>5727</v>
      </c>
    </row>
    <row r="236" spans="1:9" x14ac:dyDescent="0.2">
      <c r="A236">
        <v>87.367833300000001</v>
      </c>
      <c r="B236">
        <v>1543</v>
      </c>
      <c r="C236">
        <v>1367</v>
      </c>
      <c r="D236">
        <v>2213</v>
      </c>
      <c r="E236">
        <v>2720</v>
      </c>
      <c r="F236">
        <v>5232</v>
      </c>
      <c r="G236">
        <v>443</v>
      </c>
      <c r="H236">
        <v>5289</v>
      </c>
      <c r="I236">
        <v>5724</v>
      </c>
    </row>
    <row r="237" spans="1:9" x14ac:dyDescent="0.2">
      <c r="A237">
        <v>87.732638899999998</v>
      </c>
      <c r="B237">
        <v>1565</v>
      </c>
      <c r="C237">
        <v>1364</v>
      </c>
      <c r="D237">
        <v>2212</v>
      </c>
      <c r="E237">
        <v>2724</v>
      </c>
      <c r="F237">
        <v>5278</v>
      </c>
      <c r="G237">
        <v>469</v>
      </c>
      <c r="H237">
        <v>5293</v>
      </c>
      <c r="I237">
        <v>5761</v>
      </c>
    </row>
    <row r="238" spans="1:9" x14ac:dyDescent="0.2">
      <c r="A238">
        <v>88.097583299999997</v>
      </c>
      <c r="B238">
        <v>1535</v>
      </c>
      <c r="C238">
        <v>1343</v>
      </c>
      <c r="D238">
        <v>2206</v>
      </c>
      <c r="E238">
        <v>2704</v>
      </c>
      <c r="F238">
        <v>5253</v>
      </c>
      <c r="G238">
        <v>501</v>
      </c>
      <c r="H238">
        <v>5281</v>
      </c>
      <c r="I238">
        <v>5742</v>
      </c>
    </row>
    <row r="239" spans="1:9" x14ac:dyDescent="0.2">
      <c r="A239">
        <v>88.462388899999993</v>
      </c>
      <c r="B239">
        <v>1551</v>
      </c>
      <c r="C239">
        <v>1355</v>
      </c>
      <c r="D239">
        <v>2226</v>
      </c>
      <c r="E239">
        <v>2729</v>
      </c>
      <c r="F239">
        <v>5229</v>
      </c>
      <c r="G239">
        <v>546</v>
      </c>
      <c r="H239">
        <v>5299</v>
      </c>
      <c r="I239">
        <v>5743</v>
      </c>
    </row>
    <row r="240" spans="1:9" x14ac:dyDescent="0.2">
      <c r="A240">
        <v>88.827222199999994</v>
      </c>
      <c r="B240">
        <v>1534</v>
      </c>
      <c r="C240">
        <v>1359</v>
      </c>
      <c r="D240">
        <v>2214</v>
      </c>
      <c r="E240">
        <v>2698</v>
      </c>
      <c r="F240">
        <v>5233</v>
      </c>
      <c r="G240">
        <v>590</v>
      </c>
      <c r="H240">
        <v>5268</v>
      </c>
      <c r="I240">
        <v>5726</v>
      </c>
    </row>
    <row r="241" spans="1:9" x14ac:dyDescent="0.2">
      <c r="A241">
        <v>89.192027800000005</v>
      </c>
      <c r="B241">
        <v>1533</v>
      </c>
      <c r="C241">
        <v>1357</v>
      </c>
      <c r="D241">
        <v>2210</v>
      </c>
      <c r="E241">
        <v>2693</v>
      </c>
      <c r="F241">
        <v>5234</v>
      </c>
      <c r="G241">
        <v>640</v>
      </c>
      <c r="H241">
        <v>5279</v>
      </c>
      <c r="I241">
        <v>5757</v>
      </c>
    </row>
    <row r="242" spans="1:9" x14ac:dyDescent="0.2">
      <c r="A242">
        <v>89.556833299999994</v>
      </c>
      <c r="B242">
        <v>1533</v>
      </c>
      <c r="C242">
        <v>1358</v>
      </c>
      <c r="D242">
        <v>2197</v>
      </c>
      <c r="E242">
        <v>2703</v>
      </c>
      <c r="F242">
        <v>5220</v>
      </c>
      <c r="G242">
        <v>695</v>
      </c>
      <c r="H242">
        <v>5274</v>
      </c>
      <c r="I242">
        <v>5673</v>
      </c>
    </row>
    <row r="243" spans="1:9" x14ac:dyDescent="0.2">
      <c r="A243">
        <v>89.921666700000003</v>
      </c>
      <c r="B243">
        <v>1539</v>
      </c>
      <c r="C243">
        <v>1345</v>
      </c>
      <c r="D243">
        <v>2201</v>
      </c>
      <c r="E243">
        <v>2685</v>
      </c>
      <c r="F243">
        <v>5226</v>
      </c>
      <c r="G243">
        <v>776</v>
      </c>
      <c r="H243">
        <v>5276</v>
      </c>
      <c r="I243">
        <v>5686</v>
      </c>
    </row>
    <row r="244" spans="1:9" x14ac:dyDescent="0.2">
      <c r="A244">
        <v>90.286472200000006</v>
      </c>
      <c r="B244">
        <v>1562</v>
      </c>
      <c r="C244">
        <v>1356</v>
      </c>
      <c r="D244">
        <v>2206</v>
      </c>
      <c r="E244">
        <v>2713</v>
      </c>
      <c r="F244">
        <v>5200</v>
      </c>
      <c r="G244">
        <v>857</v>
      </c>
      <c r="H244">
        <v>5289</v>
      </c>
      <c r="I244">
        <v>5687</v>
      </c>
    </row>
    <row r="245" spans="1:9" x14ac:dyDescent="0.2">
      <c r="A245">
        <v>90.651305600000001</v>
      </c>
      <c r="B245">
        <v>1557</v>
      </c>
      <c r="C245">
        <v>1348</v>
      </c>
      <c r="D245">
        <v>2195</v>
      </c>
      <c r="E245">
        <v>2717</v>
      </c>
      <c r="F245">
        <v>5224</v>
      </c>
      <c r="G245">
        <v>949</v>
      </c>
      <c r="H245">
        <v>5274</v>
      </c>
      <c r="I245">
        <v>5660</v>
      </c>
    </row>
    <row r="246" spans="1:9" x14ac:dyDescent="0.2">
      <c r="A246">
        <v>91.016111100000003</v>
      </c>
      <c r="B246">
        <v>1544</v>
      </c>
      <c r="C246">
        <v>1344</v>
      </c>
      <c r="D246">
        <v>2194</v>
      </c>
      <c r="E246">
        <v>2688</v>
      </c>
      <c r="F246">
        <v>5231</v>
      </c>
      <c r="G246">
        <v>1058</v>
      </c>
      <c r="H246">
        <v>5282</v>
      </c>
      <c r="I246">
        <v>5667</v>
      </c>
    </row>
    <row r="247" spans="1:9" x14ac:dyDescent="0.2">
      <c r="A247">
        <v>91.381</v>
      </c>
      <c r="B247">
        <v>1541</v>
      </c>
      <c r="C247">
        <v>1361</v>
      </c>
      <c r="D247">
        <v>2194</v>
      </c>
      <c r="E247">
        <v>2690</v>
      </c>
      <c r="F247">
        <v>5212</v>
      </c>
      <c r="G247">
        <v>1184</v>
      </c>
      <c r="H247">
        <v>5277</v>
      </c>
      <c r="I247">
        <v>5652</v>
      </c>
    </row>
    <row r="248" spans="1:9" x14ac:dyDescent="0.2">
      <c r="A248">
        <v>91.745833300000001</v>
      </c>
      <c r="B248">
        <v>1551</v>
      </c>
      <c r="C248">
        <v>1360</v>
      </c>
      <c r="D248">
        <v>2198</v>
      </c>
      <c r="E248">
        <v>2720</v>
      </c>
      <c r="F248">
        <v>5218</v>
      </c>
      <c r="G248">
        <v>1330</v>
      </c>
      <c r="H248">
        <v>5296</v>
      </c>
      <c r="I248">
        <v>5620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061A-0446-1949-B2E8-36E9B621F900}">
  <dimension ref="A1:S109"/>
  <sheetViews>
    <sheetView workbookViewId="0">
      <selection activeCell="A8" sqref="A8"/>
    </sheetView>
  </sheetViews>
  <sheetFormatPr baseColWidth="10" defaultRowHeight="16" x14ac:dyDescent="0.2"/>
  <cols>
    <col min="2" max="2" width="12.6640625" bestFit="1" customWidth="1"/>
    <col min="3" max="3" width="13.5" bestFit="1" customWidth="1"/>
    <col min="5" max="5" width="14.83203125" bestFit="1" customWidth="1"/>
    <col min="6" max="6" width="23.83203125" bestFit="1" customWidth="1"/>
  </cols>
  <sheetData>
    <row r="1" spans="1:19" x14ac:dyDescent="0.2">
      <c r="A1" s="7" t="s">
        <v>37</v>
      </c>
      <c r="B1" s="7" t="s">
        <v>0</v>
      </c>
      <c r="C1" s="7" t="s">
        <v>29</v>
      </c>
      <c r="D1" s="7" t="s">
        <v>6</v>
      </c>
      <c r="E1" s="7" t="s">
        <v>1060</v>
      </c>
      <c r="F1" s="7" t="s">
        <v>1061</v>
      </c>
    </row>
    <row r="2" spans="1:19" x14ac:dyDescent="0.2">
      <c r="A2" t="s">
        <v>18</v>
      </c>
      <c r="B2" t="s">
        <v>1041</v>
      </c>
      <c r="C2" t="s">
        <v>25</v>
      </c>
      <c r="D2">
        <v>1</v>
      </c>
      <c r="E2">
        <v>1693</v>
      </c>
      <c r="F2" s="8">
        <v>0.11998422868285</v>
      </c>
    </row>
    <row r="3" spans="1:19" x14ac:dyDescent="0.2">
      <c r="A3" t="s">
        <v>18</v>
      </c>
      <c r="B3" t="s">
        <v>1041</v>
      </c>
      <c r="C3" t="s">
        <v>25</v>
      </c>
      <c r="D3">
        <v>2</v>
      </c>
      <c r="E3">
        <v>1558</v>
      </c>
      <c r="F3" s="8">
        <v>0.132129395894344</v>
      </c>
    </row>
    <row r="4" spans="1:19" x14ac:dyDescent="0.2">
      <c r="A4" t="s">
        <v>18</v>
      </c>
      <c r="B4" t="s">
        <v>1041</v>
      </c>
      <c r="C4" t="s">
        <v>25</v>
      </c>
      <c r="D4">
        <v>3</v>
      </c>
      <c r="E4">
        <v>1551</v>
      </c>
      <c r="F4" s="8">
        <v>0.119724051054881</v>
      </c>
      <c r="J4" s="5"/>
      <c r="K4" s="5"/>
      <c r="L4" s="5"/>
      <c r="M4" s="5"/>
      <c r="N4" s="5"/>
      <c r="O4" s="5"/>
      <c r="P4" s="5"/>
      <c r="Q4" s="5"/>
      <c r="R4" s="10"/>
      <c r="S4" s="5"/>
    </row>
    <row r="5" spans="1:19" x14ac:dyDescent="0.2">
      <c r="A5" t="s">
        <v>18</v>
      </c>
      <c r="B5" t="s">
        <v>1041</v>
      </c>
      <c r="C5" t="s">
        <v>25</v>
      </c>
      <c r="D5">
        <v>4</v>
      </c>
      <c r="E5">
        <v>1566</v>
      </c>
      <c r="F5" s="8">
        <v>0.11359542169008099</v>
      </c>
    </row>
    <row r="6" spans="1:19" x14ac:dyDescent="0.2">
      <c r="A6" t="s">
        <v>18</v>
      </c>
      <c r="B6" t="s">
        <v>1041</v>
      </c>
      <c r="C6" t="s">
        <v>25</v>
      </c>
      <c r="D6">
        <v>5</v>
      </c>
      <c r="E6" s="5">
        <v>1301</v>
      </c>
      <c r="F6" s="8">
        <v>0.14158698056442301</v>
      </c>
    </row>
    <row r="7" spans="1:19" x14ac:dyDescent="0.2">
      <c r="A7" t="s">
        <v>18</v>
      </c>
      <c r="B7" t="s">
        <v>1041</v>
      </c>
      <c r="C7" t="s">
        <v>25</v>
      </c>
      <c r="D7">
        <v>6</v>
      </c>
      <c r="E7">
        <v>1209</v>
      </c>
      <c r="F7" s="8">
        <v>0.129863269591246</v>
      </c>
    </row>
    <row r="8" spans="1:19" x14ac:dyDescent="0.2">
      <c r="A8" t="s">
        <v>18</v>
      </c>
      <c r="B8" t="s">
        <v>1041</v>
      </c>
      <c r="C8" t="s">
        <v>1006</v>
      </c>
      <c r="D8">
        <v>1</v>
      </c>
      <c r="E8">
        <v>1625</v>
      </c>
      <c r="F8" s="8">
        <v>9.1669265060637301E-2</v>
      </c>
    </row>
    <row r="9" spans="1:19" x14ac:dyDescent="0.2">
      <c r="A9" t="s">
        <v>18</v>
      </c>
      <c r="B9" t="s">
        <v>1041</v>
      </c>
      <c r="C9" t="s">
        <v>1006</v>
      </c>
      <c r="D9">
        <v>2</v>
      </c>
      <c r="E9">
        <v>1502</v>
      </c>
      <c r="F9" s="8">
        <v>9.1100021005178097E-2</v>
      </c>
    </row>
    <row r="10" spans="1:19" x14ac:dyDescent="0.2">
      <c r="A10" t="s">
        <v>18</v>
      </c>
      <c r="B10" t="s">
        <v>1041</v>
      </c>
      <c r="C10" t="s">
        <v>1006</v>
      </c>
      <c r="D10">
        <v>3</v>
      </c>
      <c r="E10">
        <v>1533</v>
      </c>
      <c r="F10" s="8">
        <v>6.5820214579951894E-2</v>
      </c>
    </row>
    <row r="11" spans="1:19" x14ac:dyDescent="0.2">
      <c r="A11" t="s">
        <v>18</v>
      </c>
      <c r="B11" t="s">
        <v>1041</v>
      </c>
      <c r="C11" t="s">
        <v>1006</v>
      </c>
      <c r="D11">
        <v>4</v>
      </c>
      <c r="E11" s="5">
        <v>1332</v>
      </c>
      <c r="F11" s="8">
        <v>0.13391321760858399</v>
      </c>
      <c r="G11" s="5"/>
      <c r="H11" s="5"/>
      <c r="I11" s="5"/>
      <c r="J11" s="5"/>
      <c r="K11" s="5"/>
      <c r="L11" s="5"/>
      <c r="M11" s="5"/>
      <c r="N11" s="5"/>
      <c r="O11" s="10"/>
      <c r="P11" s="5"/>
    </row>
    <row r="12" spans="1:19" x14ac:dyDescent="0.2">
      <c r="A12" t="s">
        <v>18</v>
      </c>
      <c r="B12" t="s">
        <v>1041</v>
      </c>
      <c r="C12" t="s">
        <v>1006</v>
      </c>
      <c r="D12">
        <v>5</v>
      </c>
      <c r="E12">
        <v>1214</v>
      </c>
      <c r="F12" s="8">
        <v>0.125388723072372</v>
      </c>
    </row>
    <row r="13" spans="1:19" x14ac:dyDescent="0.2">
      <c r="A13" t="s">
        <v>18</v>
      </c>
      <c r="B13" t="s">
        <v>1041</v>
      </c>
      <c r="C13" t="s">
        <v>1007</v>
      </c>
      <c r="D13">
        <v>1</v>
      </c>
      <c r="E13">
        <v>927</v>
      </c>
      <c r="F13" s="8">
        <v>8.6229854607816306E-2</v>
      </c>
    </row>
    <row r="14" spans="1:19" x14ac:dyDescent="0.2">
      <c r="A14" t="s">
        <v>18</v>
      </c>
      <c r="B14" t="s">
        <v>1041</v>
      </c>
      <c r="C14" t="s">
        <v>1007</v>
      </c>
      <c r="D14">
        <v>2</v>
      </c>
      <c r="E14">
        <v>936</v>
      </c>
      <c r="F14" s="8">
        <v>9.9044264523596007E-2</v>
      </c>
    </row>
    <row r="15" spans="1:19" x14ac:dyDescent="0.2">
      <c r="A15" t="s">
        <v>18</v>
      </c>
      <c r="B15" t="s">
        <v>1041</v>
      </c>
      <c r="C15" t="s">
        <v>1007</v>
      </c>
      <c r="D15">
        <v>3</v>
      </c>
      <c r="E15" s="5">
        <v>842</v>
      </c>
      <c r="F15" s="8">
        <v>8.6998219456786902E-2</v>
      </c>
    </row>
    <row r="16" spans="1:19" x14ac:dyDescent="0.2">
      <c r="A16" t="s">
        <v>18</v>
      </c>
      <c r="B16" t="s">
        <v>1041</v>
      </c>
      <c r="C16" t="s">
        <v>1007</v>
      </c>
      <c r="D16">
        <v>4</v>
      </c>
      <c r="E16">
        <v>791</v>
      </c>
      <c r="F16" s="8">
        <v>9.4234942335866906E-2</v>
      </c>
    </row>
    <row r="17" spans="1:6" x14ac:dyDescent="0.2">
      <c r="A17" t="s">
        <v>18</v>
      </c>
      <c r="B17" t="s">
        <v>1041</v>
      </c>
      <c r="C17" t="s">
        <v>26</v>
      </c>
      <c r="D17">
        <v>1</v>
      </c>
      <c r="E17">
        <v>1625</v>
      </c>
      <c r="F17" s="8">
        <v>0.12014235852596999</v>
      </c>
    </row>
    <row r="18" spans="1:6" x14ac:dyDescent="0.2">
      <c r="A18" t="s">
        <v>18</v>
      </c>
      <c r="B18" t="s">
        <v>1041</v>
      </c>
      <c r="C18" t="s">
        <v>26</v>
      </c>
      <c r="D18">
        <v>2</v>
      </c>
      <c r="E18">
        <v>1421</v>
      </c>
      <c r="F18" s="8">
        <v>0.109333836595009</v>
      </c>
    </row>
    <row r="19" spans="1:6" x14ac:dyDescent="0.2">
      <c r="A19" t="s">
        <v>18</v>
      </c>
      <c r="B19" t="s">
        <v>1041</v>
      </c>
      <c r="C19" t="s">
        <v>26</v>
      </c>
      <c r="D19">
        <v>3</v>
      </c>
      <c r="E19">
        <v>1360</v>
      </c>
      <c r="F19" s="8">
        <v>0.100811533625226</v>
      </c>
    </row>
    <row r="20" spans="1:6" x14ac:dyDescent="0.2">
      <c r="A20" t="s">
        <v>18</v>
      </c>
      <c r="B20" t="s">
        <v>1041</v>
      </c>
      <c r="C20" t="s">
        <v>26</v>
      </c>
      <c r="D20">
        <v>4</v>
      </c>
      <c r="E20">
        <v>1496</v>
      </c>
      <c r="F20" s="8">
        <v>7.8070118598861496E-2</v>
      </c>
    </row>
    <row r="21" spans="1:6" x14ac:dyDescent="0.2">
      <c r="A21" t="s">
        <v>18</v>
      </c>
      <c r="B21" t="s">
        <v>1041</v>
      </c>
      <c r="C21" t="s">
        <v>26</v>
      </c>
      <c r="D21">
        <v>5</v>
      </c>
      <c r="E21" s="5">
        <v>1366</v>
      </c>
      <c r="F21" s="8">
        <v>0.127197250301919</v>
      </c>
    </row>
    <row r="22" spans="1:6" x14ac:dyDescent="0.2">
      <c r="A22" t="s">
        <v>18</v>
      </c>
      <c r="B22" t="s">
        <v>1041</v>
      </c>
      <c r="C22" t="s">
        <v>26</v>
      </c>
      <c r="D22">
        <v>6</v>
      </c>
      <c r="E22">
        <v>1298</v>
      </c>
      <c r="F22" s="8">
        <v>0.116688333421802</v>
      </c>
    </row>
    <row r="23" spans="1:6" x14ac:dyDescent="0.2">
      <c r="A23" t="s">
        <v>18</v>
      </c>
      <c r="B23" t="s">
        <v>1041</v>
      </c>
      <c r="C23" t="s">
        <v>947</v>
      </c>
      <c r="D23">
        <v>1</v>
      </c>
      <c r="E23">
        <v>2345</v>
      </c>
      <c r="F23" s="8">
        <v>8.2062181845485693E-2</v>
      </c>
    </row>
    <row r="24" spans="1:6" x14ac:dyDescent="0.2">
      <c r="A24" t="s">
        <v>18</v>
      </c>
      <c r="B24" t="s">
        <v>1041</v>
      </c>
      <c r="C24" t="s">
        <v>947</v>
      </c>
      <c r="D24">
        <v>2</v>
      </c>
      <c r="E24">
        <v>1900</v>
      </c>
      <c r="F24" s="8">
        <v>8.7398027413384996E-2</v>
      </c>
    </row>
    <row r="25" spans="1:6" x14ac:dyDescent="0.2">
      <c r="A25" t="s">
        <v>18</v>
      </c>
      <c r="B25" t="s">
        <v>1041</v>
      </c>
      <c r="C25" t="s">
        <v>947</v>
      </c>
      <c r="D25">
        <v>3</v>
      </c>
      <c r="E25">
        <v>2156</v>
      </c>
      <c r="F25" s="8">
        <v>8.6124900232558296E-2</v>
      </c>
    </row>
    <row r="26" spans="1:6" x14ac:dyDescent="0.2">
      <c r="A26" t="s">
        <v>18</v>
      </c>
      <c r="B26" t="s">
        <v>1041</v>
      </c>
      <c r="C26" t="s">
        <v>947</v>
      </c>
      <c r="D26">
        <v>4</v>
      </c>
      <c r="E26">
        <v>2363</v>
      </c>
      <c r="F26" s="8">
        <v>8.4678087912625002E-2</v>
      </c>
    </row>
    <row r="27" spans="1:6" x14ac:dyDescent="0.2">
      <c r="A27" t="s">
        <v>18</v>
      </c>
      <c r="B27" t="s">
        <v>1041</v>
      </c>
      <c r="C27" t="s">
        <v>947</v>
      </c>
      <c r="D27">
        <v>5</v>
      </c>
      <c r="E27">
        <v>1777</v>
      </c>
      <c r="F27" s="8">
        <v>0.10042213582514101</v>
      </c>
    </row>
    <row r="28" spans="1:6" x14ac:dyDescent="0.2">
      <c r="A28" t="s">
        <v>18</v>
      </c>
      <c r="B28" t="s">
        <v>1041</v>
      </c>
      <c r="C28" t="s">
        <v>1008</v>
      </c>
      <c r="D28">
        <v>1</v>
      </c>
      <c r="E28">
        <v>1901</v>
      </c>
      <c r="F28" s="8">
        <v>8.0145251967084094E-2</v>
      </c>
    </row>
    <row r="29" spans="1:6" x14ac:dyDescent="0.2">
      <c r="A29" t="s">
        <v>18</v>
      </c>
      <c r="B29" t="s">
        <v>1041</v>
      </c>
      <c r="C29" t="s">
        <v>1008</v>
      </c>
      <c r="D29">
        <v>2</v>
      </c>
      <c r="E29">
        <v>1855</v>
      </c>
      <c r="F29" s="8">
        <v>0.10263010582125701</v>
      </c>
    </row>
    <row r="30" spans="1:6" x14ac:dyDescent="0.2">
      <c r="A30" t="s">
        <v>18</v>
      </c>
      <c r="B30" t="s">
        <v>1041</v>
      </c>
      <c r="C30" t="s">
        <v>1008</v>
      </c>
      <c r="D30">
        <v>3</v>
      </c>
      <c r="E30">
        <v>1562</v>
      </c>
      <c r="F30" s="8">
        <v>8.8456970729097903E-2</v>
      </c>
    </row>
    <row r="31" spans="1:6" x14ac:dyDescent="0.2">
      <c r="A31" t="s">
        <v>18</v>
      </c>
      <c r="B31" t="s">
        <v>1041</v>
      </c>
      <c r="C31" t="s">
        <v>1008</v>
      </c>
      <c r="D31">
        <v>4</v>
      </c>
      <c r="E31">
        <v>1930</v>
      </c>
      <c r="F31" s="8">
        <v>0.10594739809140601</v>
      </c>
    </row>
    <row r="32" spans="1:6" x14ac:dyDescent="0.2">
      <c r="A32" t="s">
        <v>18</v>
      </c>
      <c r="B32" t="s">
        <v>1041</v>
      </c>
      <c r="C32" t="s">
        <v>1008</v>
      </c>
      <c r="D32">
        <v>5</v>
      </c>
      <c r="E32" s="5">
        <v>1215</v>
      </c>
      <c r="F32" s="8">
        <v>5.8548452765253597E-2</v>
      </c>
    </row>
    <row r="33" spans="1:6" x14ac:dyDescent="0.2">
      <c r="A33" t="s">
        <v>18</v>
      </c>
      <c r="B33" t="s">
        <v>1041</v>
      </c>
      <c r="C33" t="s">
        <v>1008</v>
      </c>
      <c r="D33">
        <v>6</v>
      </c>
      <c r="E33">
        <v>1323</v>
      </c>
      <c r="F33" s="8">
        <v>0.115790141059832</v>
      </c>
    </row>
    <row r="34" spans="1:6" x14ac:dyDescent="0.2">
      <c r="A34" t="s">
        <v>18</v>
      </c>
      <c r="B34" t="s">
        <v>1041</v>
      </c>
      <c r="C34" t="s">
        <v>27</v>
      </c>
      <c r="D34">
        <v>1</v>
      </c>
      <c r="E34">
        <v>1914</v>
      </c>
      <c r="F34" s="8">
        <v>9.41345902088222E-2</v>
      </c>
    </row>
    <row r="35" spans="1:6" x14ac:dyDescent="0.2">
      <c r="A35" t="s">
        <v>18</v>
      </c>
      <c r="B35" t="s">
        <v>1041</v>
      </c>
      <c r="C35" t="s">
        <v>27</v>
      </c>
      <c r="D35">
        <v>2</v>
      </c>
      <c r="E35">
        <v>3756</v>
      </c>
      <c r="F35" s="8">
        <v>0.15141664838626401</v>
      </c>
    </row>
    <row r="36" spans="1:6" x14ac:dyDescent="0.2">
      <c r="A36" t="s">
        <v>18</v>
      </c>
      <c r="B36" t="s">
        <v>1041</v>
      </c>
      <c r="C36" t="s">
        <v>27</v>
      </c>
      <c r="D36">
        <v>3</v>
      </c>
      <c r="E36">
        <v>2198</v>
      </c>
      <c r="F36" s="8">
        <v>0.132812425922604</v>
      </c>
    </row>
    <row r="37" spans="1:6" x14ac:dyDescent="0.2">
      <c r="A37" t="s">
        <v>18</v>
      </c>
      <c r="B37" t="s">
        <v>1041</v>
      </c>
      <c r="C37" t="s">
        <v>27</v>
      </c>
      <c r="D37">
        <v>4</v>
      </c>
      <c r="E37">
        <v>2422</v>
      </c>
      <c r="F37" s="8">
        <v>0.122283216084314</v>
      </c>
    </row>
    <row r="38" spans="1:6" x14ac:dyDescent="0.2">
      <c r="A38" t="s">
        <v>18</v>
      </c>
      <c r="B38" t="s">
        <v>1041</v>
      </c>
      <c r="C38" t="s">
        <v>27</v>
      </c>
      <c r="D38">
        <v>5</v>
      </c>
      <c r="E38" s="5">
        <v>1527</v>
      </c>
      <c r="F38" s="8">
        <v>0.14371808406923001</v>
      </c>
    </row>
    <row r="39" spans="1:6" x14ac:dyDescent="0.2">
      <c r="A39" t="s">
        <v>18</v>
      </c>
      <c r="B39" t="s">
        <v>1041</v>
      </c>
      <c r="C39" t="s">
        <v>27</v>
      </c>
      <c r="D39">
        <v>6</v>
      </c>
      <c r="E39">
        <v>1786</v>
      </c>
      <c r="F39" s="8">
        <v>0.19889380340315199</v>
      </c>
    </row>
    <row r="40" spans="1:6" x14ac:dyDescent="0.2">
      <c r="A40" t="s">
        <v>18</v>
      </c>
      <c r="B40" t="s">
        <v>1041</v>
      </c>
      <c r="C40" t="s">
        <v>1009</v>
      </c>
      <c r="D40">
        <v>1</v>
      </c>
      <c r="E40">
        <v>1198</v>
      </c>
      <c r="F40" s="8">
        <v>7.8592693123785598E-2</v>
      </c>
    </row>
    <row r="41" spans="1:6" x14ac:dyDescent="0.2">
      <c r="A41" t="s">
        <v>18</v>
      </c>
      <c r="B41" t="s">
        <v>1041</v>
      </c>
      <c r="C41" t="s">
        <v>1009</v>
      </c>
      <c r="D41">
        <v>2</v>
      </c>
      <c r="E41">
        <v>1201</v>
      </c>
      <c r="F41" s="8">
        <v>7.6170727527742496E-2</v>
      </c>
    </row>
    <row r="42" spans="1:6" x14ac:dyDescent="0.2">
      <c r="A42" t="s">
        <v>18</v>
      </c>
      <c r="B42" t="s">
        <v>1041</v>
      </c>
      <c r="C42" t="s">
        <v>1009</v>
      </c>
      <c r="D42">
        <v>3</v>
      </c>
      <c r="E42">
        <v>1328</v>
      </c>
      <c r="F42" s="8">
        <v>9.3566106113402103E-2</v>
      </c>
    </row>
    <row r="43" spans="1:6" x14ac:dyDescent="0.2">
      <c r="A43" t="s">
        <v>18</v>
      </c>
      <c r="B43" t="s">
        <v>1041</v>
      </c>
      <c r="C43" t="s">
        <v>1009</v>
      </c>
      <c r="D43">
        <v>4</v>
      </c>
      <c r="E43">
        <v>1448</v>
      </c>
      <c r="F43" s="8">
        <v>0.101074651744556</v>
      </c>
    </row>
    <row r="44" spans="1:6" x14ac:dyDescent="0.2">
      <c r="A44" t="s">
        <v>18</v>
      </c>
      <c r="B44" t="s">
        <v>1041</v>
      </c>
      <c r="C44" t="s">
        <v>1009</v>
      </c>
      <c r="D44">
        <v>5</v>
      </c>
      <c r="E44" s="5">
        <v>1099</v>
      </c>
      <c r="F44" s="8">
        <v>7.9562321936113498E-2</v>
      </c>
    </row>
    <row r="45" spans="1:6" x14ac:dyDescent="0.2">
      <c r="A45" t="s">
        <v>18</v>
      </c>
      <c r="B45" t="s">
        <v>1041</v>
      </c>
      <c r="C45" t="s">
        <v>1009</v>
      </c>
      <c r="D45">
        <v>6</v>
      </c>
      <c r="E45">
        <v>1130</v>
      </c>
      <c r="F45" s="8">
        <v>8.4750505485611402E-2</v>
      </c>
    </row>
    <row r="46" spans="1:6" x14ac:dyDescent="0.2">
      <c r="A46" t="s">
        <v>18</v>
      </c>
      <c r="B46" t="s">
        <v>1041</v>
      </c>
      <c r="C46" t="s">
        <v>1010</v>
      </c>
      <c r="D46">
        <v>1</v>
      </c>
      <c r="E46">
        <v>1831</v>
      </c>
      <c r="F46" s="8">
        <v>9.7979867099656365E-2</v>
      </c>
    </row>
    <row r="47" spans="1:6" x14ac:dyDescent="0.2">
      <c r="A47" t="s">
        <v>18</v>
      </c>
      <c r="B47" t="s">
        <v>1041</v>
      </c>
      <c r="C47" t="s">
        <v>1010</v>
      </c>
      <c r="D47">
        <v>2</v>
      </c>
      <c r="E47">
        <v>1898</v>
      </c>
      <c r="F47" s="8">
        <v>0.121061836840994</v>
      </c>
    </row>
    <row r="48" spans="1:6" x14ac:dyDescent="0.2">
      <c r="A48" t="s">
        <v>18</v>
      </c>
      <c r="B48" t="s">
        <v>1041</v>
      </c>
      <c r="C48" t="s">
        <v>1010</v>
      </c>
      <c r="D48">
        <v>3</v>
      </c>
      <c r="E48">
        <v>1423</v>
      </c>
      <c r="F48" s="8">
        <v>8.9433788517208901E-2</v>
      </c>
    </row>
    <row r="49" spans="1:18" x14ac:dyDescent="0.2">
      <c r="A49" t="s">
        <v>18</v>
      </c>
      <c r="B49" t="s">
        <v>1041</v>
      </c>
      <c r="C49" t="s">
        <v>1010</v>
      </c>
      <c r="D49">
        <v>4</v>
      </c>
      <c r="E49">
        <v>1562</v>
      </c>
      <c r="F49" s="8">
        <v>8.6307221621004696E-2</v>
      </c>
    </row>
    <row r="50" spans="1:18" x14ac:dyDescent="0.2">
      <c r="A50" t="s">
        <v>18</v>
      </c>
      <c r="B50" t="s">
        <v>1041</v>
      </c>
      <c r="C50" t="s">
        <v>1010</v>
      </c>
      <c r="D50">
        <v>5</v>
      </c>
      <c r="E50" s="5">
        <v>1475</v>
      </c>
      <c r="F50" s="8">
        <v>8.3601209779822605E-2</v>
      </c>
    </row>
    <row r="51" spans="1:18" x14ac:dyDescent="0.2">
      <c r="A51" t="s">
        <v>18</v>
      </c>
      <c r="B51" t="s">
        <v>1041</v>
      </c>
      <c r="C51" t="s">
        <v>1011</v>
      </c>
      <c r="D51">
        <v>1</v>
      </c>
      <c r="E51">
        <v>2622</v>
      </c>
      <c r="F51" s="8">
        <v>0.126298092341176</v>
      </c>
    </row>
    <row r="52" spans="1:18" x14ac:dyDescent="0.2">
      <c r="A52" t="s">
        <v>18</v>
      </c>
      <c r="B52" t="s">
        <v>1041</v>
      </c>
      <c r="C52" t="s">
        <v>1011</v>
      </c>
      <c r="D52">
        <v>2</v>
      </c>
      <c r="E52">
        <v>2211</v>
      </c>
      <c r="F52" s="8">
        <v>0.14021777760534099</v>
      </c>
    </row>
    <row r="53" spans="1:18" x14ac:dyDescent="0.2">
      <c r="A53" t="s">
        <v>18</v>
      </c>
      <c r="B53" t="s">
        <v>1041</v>
      </c>
      <c r="C53" t="s">
        <v>1011</v>
      </c>
      <c r="D53">
        <v>3</v>
      </c>
      <c r="E53">
        <v>2854</v>
      </c>
      <c r="F53" s="8">
        <v>0.15855358228483901</v>
      </c>
    </row>
    <row r="54" spans="1:18" x14ac:dyDescent="0.2">
      <c r="A54" t="s">
        <v>18</v>
      </c>
      <c r="B54" t="s">
        <v>1041</v>
      </c>
      <c r="C54" t="s">
        <v>1011</v>
      </c>
      <c r="D54">
        <v>4</v>
      </c>
      <c r="E54">
        <v>2763</v>
      </c>
      <c r="F54" s="8">
        <v>0.112443055353994</v>
      </c>
    </row>
    <row r="55" spans="1:18" x14ac:dyDescent="0.2">
      <c r="A55" t="s">
        <v>18</v>
      </c>
      <c r="B55" t="s">
        <v>1041</v>
      </c>
      <c r="C55" t="s">
        <v>1011</v>
      </c>
      <c r="D55">
        <v>5</v>
      </c>
      <c r="E55">
        <v>1876</v>
      </c>
      <c r="F55" s="8">
        <v>0.18989939770474701</v>
      </c>
    </row>
    <row r="56" spans="1:18" x14ac:dyDescent="0.2">
      <c r="A56" t="s">
        <v>17</v>
      </c>
      <c r="B56" t="s">
        <v>1041</v>
      </c>
      <c r="C56" t="s">
        <v>25</v>
      </c>
      <c r="D56">
        <v>1</v>
      </c>
      <c r="E56">
        <v>2715</v>
      </c>
      <c r="F56" s="8">
        <v>0.26818504655883602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x14ac:dyDescent="0.2">
      <c r="A57" t="s">
        <v>17</v>
      </c>
      <c r="B57" t="s">
        <v>1041</v>
      </c>
      <c r="C57" t="s">
        <v>25</v>
      </c>
      <c r="D57">
        <v>2</v>
      </c>
      <c r="E57">
        <v>2961</v>
      </c>
      <c r="F57" s="8">
        <v>0.236492669912338</v>
      </c>
    </row>
    <row r="58" spans="1:18" x14ac:dyDescent="0.2">
      <c r="A58" t="s">
        <v>17</v>
      </c>
      <c r="B58" t="s">
        <v>1041</v>
      </c>
      <c r="C58" t="s">
        <v>25</v>
      </c>
      <c r="D58">
        <v>3</v>
      </c>
      <c r="E58">
        <v>2829</v>
      </c>
      <c r="F58" s="8">
        <v>0.25570875270580101</v>
      </c>
    </row>
    <row r="59" spans="1:18" x14ac:dyDescent="0.2">
      <c r="A59" t="s">
        <v>17</v>
      </c>
      <c r="B59" t="s">
        <v>1041</v>
      </c>
      <c r="C59" t="s">
        <v>25</v>
      </c>
      <c r="D59">
        <v>4</v>
      </c>
      <c r="E59">
        <v>2663</v>
      </c>
      <c r="F59" s="8">
        <v>0.24264463472068401</v>
      </c>
    </row>
    <row r="60" spans="1:18" x14ac:dyDescent="0.2">
      <c r="A60" t="s">
        <v>17</v>
      </c>
      <c r="B60" t="s">
        <v>1041</v>
      </c>
      <c r="C60" t="s">
        <v>25</v>
      </c>
      <c r="D60">
        <v>5</v>
      </c>
      <c r="E60">
        <v>2932</v>
      </c>
      <c r="F60" s="8">
        <v>0.2283</v>
      </c>
    </row>
    <row r="61" spans="1:18" x14ac:dyDescent="0.2">
      <c r="A61" t="s">
        <v>17</v>
      </c>
      <c r="B61" t="s">
        <v>1041</v>
      </c>
      <c r="C61" t="s">
        <v>25</v>
      </c>
      <c r="D61">
        <v>6</v>
      </c>
      <c r="E61">
        <v>2804</v>
      </c>
      <c r="F61" s="8">
        <v>0.21729999999999999</v>
      </c>
    </row>
    <row r="62" spans="1:18" x14ac:dyDescent="0.2">
      <c r="A62" t="s">
        <v>17</v>
      </c>
      <c r="B62" t="s">
        <v>1041</v>
      </c>
      <c r="C62" t="s">
        <v>1006</v>
      </c>
      <c r="D62">
        <v>1</v>
      </c>
      <c r="E62">
        <v>2709</v>
      </c>
      <c r="F62" s="8">
        <v>0.22012250125456501</v>
      </c>
    </row>
    <row r="63" spans="1:18" x14ac:dyDescent="0.2">
      <c r="A63" t="s">
        <v>17</v>
      </c>
      <c r="B63" t="s">
        <v>1041</v>
      </c>
      <c r="C63" t="s">
        <v>1006</v>
      </c>
      <c r="D63">
        <v>2</v>
      </c>
      <c r="E63">
        <v>2605</v>
      </c>
      <c r="F63" s="8">
        <v>0.23103895310095901</v>
      </c>
    </row>
    <row r="64" spans="1:18" x14ac:dyDescent="0.2">
      <c r="A64" t="s">
        <v>17</v>
      </c>
      <c r="B64" t="s">
        <v>1041</v>
      </c>
      <c r="C64" t="s">
        <v>1006</v>
      </c>
      <c r="D64">
        <v>3</v>
      </c>
      <c r="E64">
        <v>2613</v>
      </c>
      <c r="F64" s="8">
        <v>0.20065444009398301</v>
      </c>
    </row>
    <row r="65" spans="1:6" x14ac:dyDescent="0.2">
      <c r="A65" t="s">
        <v>17</v>
      </c>
      <c r="B65" t="s">
        <v>1041</v>
      </c>
      <c r="C65" t="s">
        <v>1006</v>
      </c>
      <c r="D65">
        <v>4</v>
      </c>
      <c r="E65">
        <v>2357</v>
      </c>
      <c r="F65" s="8">
        <v>0.155758221250303</v>
      </c>
    </row>
    <row r="66" spans="1:6" x14ac:dyDescent="0.2">
      <c r="A66" t="s">
        <v>17</v>
      </c>
      <c r="B66" t="s">
        <v>1041</v>
      </c>
      <c r="C66" t="s">
        <v>1006</v>
      </c>
      <c r="D66">
        <v>5</v>
      </c>
      <c r="E66">
        <v>2161</v>
      </c>
      <c r="F66" s="8">
        <v>0.2049</v>
      </c>
    </row>
    <row r="67" spans="1:6" x14ac:dyDescent="0.2">
      <c r="A67" t="s">
        <v>17</v>
      </c>
      <c r="B67" t="s">
        <v>1041</v>
      </c>
      <c r="C67" t="s">
        <v>1007</v>
      </c>
      <c r="D67">
        <v>1</v>
      </c>
      <c r="E67">
        <v>2243</v>
      </c>
      <c r="F67">
        <v>0.234615489038518</v>
      </c>
    </row>
    <row r="68" spans="1:6" x14ac:dyDescent="0.2">
      <c r="A68" t="s">
        <v>17</v>
      </c>
      <c r="B68" t="s">
        <v>1041</v>
      </c>
      <c r="C68" t="s">
        <v>1007</v>
      </c>
      <c r="D68">
        <v>2</v>
      </c>
      <c r="E68">
        <v>2449</v>
      </c>
      <c r="F68">
        <v>0.215975162316381</v>
      </c>
    </row>
    <row r="69" spans="1:6" x14ac:dyDescent="0.2">
      <c r="A69" t="s">
        <v>17</v>
      </c>
      <c r="B69" t="s">
        <v>1041</v>
      </c>
      <c r="C69" t="s">
        <v>1007</v>
      </c>
      <c r="D69">
        <v>3</v>
      </c>
      <c r="E69">
        <v>2360</v>
      </c>
      <c r="F69">
        <v>0.131227815462268</v>
      </c>
    </row>
    <row r="70" spans="1:6" x14ac:dyDescent="0.2">
      <c r="A70" t="s">
        <v>17</v>
      </c>
      <c r="B70" t="s">
        <v>1041</v>
      </c>
      <c r="C70" t="s">
        <v>1007</v>
      </c>
      <c r="D70">
        <v>4</v>
      </c>
      <c r="E70">
        <v>2197</v>
      </c>
      <c r="F70">
        <v>0.135550421930415</v>
      </c>
    </row>
    <row r="71" spans="1:6" x14ac:dyDescent="0.2">
      <c r="A71" t="s">
        <v>17</v>
      </c>
      <c r="B71" t="s">
        <v>1041</v>
      </c>
      <c r="C71" t="s">
        <v>26</v>
      </c>
      <c r="D71">
        <v>1</v>
      </c>
      <c r="E71">
        <v>3134</v>
      </c>
      <c r="F71">
        <v>0.15252061210971801</v>
      </c>
    </row>
    <row r="72" spans="1:6" x14ac:dyDescent="0.2">
      <c r="A72" t="s">
        <v>17</v>
      </c>
      <c r="B72" t="s">
        <v>1041</v>
      </c>
      <c r="C72" t="s">
        <v>26</v>
      </c>
      <c r="D72">
        <v>2</v>
      </c>
      <c r="E72">
        <v>3136</v>
      </c>
      <c r="F72">
        <v>0.107726828521942</v>
      </c>
    </row>
    <row r="73" spans="1:6" x14ac:dyDescent="0.2">
      <c r="A73" t="s">
        <v>17</v>
      </c>
      <c r="B73" t="s">
        <v>1041</v>
      </c>
      <c r="C73" t="s">
        <v>26</v>
      </c>
      <c r="D73">
        <v>3</v>
      </c>
      <c r="E73">
        <v>3122</v>
      </c>
      <c r="F73">
        <v>0.101473490657621</v>
      </c>
    </row>
    <row r="74" spans="1:6" x14ac:dyDescent="0.2">
      <c r="A74" t="s">
        <v>17</v>
      </c>
      <c r="B74" t="s">
        <v>1041</v>
      </c>
      <c r="C74" t="s">
        <v>26</v>
      </c>
      <c r="D74">
        <v>4</v>
      </c>
      <c r="E74">
        <v>2979</v>
      </c>
      <c r="F74">
        <v>0.12539663222653599</v>
      </c>
    </row>
    <row r="75" spans="1:6" x14ac:dyDescent="0.2">
      <c r="A75" t="s">
        <v>17</v>
      </c>
      <c r="B75" t="s">
        <v>1041</v>
      </c>
      <c r="C75" t="s">
        <v>26</v>
      </c>
      <c r="D75">
        <v>5</v>
      </c>
      <c r="E75">
        <v>2972</v>
      </c>
      <c r="F75">
        <v>0.14655817922966299</v>
      </c>
    </row>
    <row r="76" spans="1:6" x14ac:dyDescent="0.2">
      <c r="A76" t="s">
        <v>17</v>
      </c>
      <c r="B76" t="s">
        <v>1041</v>
      </c>
      <c r="C76" t="s">
        <v>26</v>
      </c>
      <c r="D76">
        <v>6</v>
      </c>
      <c r="E76">
        <v>2768</v>
      </c>
      <c r="F76">
        <v>0.122662982077289</v>
      </c>
    </row>
    <row r="77" spans="1:6" x14ac:dyDescent="0.2">
      <c r="A77" t="s">
        <v>17</v>
      </c>
      <c r="B77" t="s">
        <v>1041</v>
      </c>
      <c r="C77" t="s">
        <v>947</v>
      </c>
      <c r="D77">
        <v>1</v>
      </c>
      <c r="E77">
        <v>2403</v>
      </c>
      <c r="F77">
        <v>0.156983387694376</v>
      </c>
    </row>
    <row r="78" spans="1:6" x14ac:dyDescent="0.2">
      <c r="A78" t="s">
        <v>17</v>
      </c>
      <c r="B78" t="s">
        <v>1041</v>
      </c>
      <c r="C78" t="s">
        <v>947</v>
      </c>
      <c r="D78">
        <v>2</v>
      </c>
      <c r="E78">
        <v>2433</v>
      </c>
      <c r="F78">
        <v>0.130769987338055</v>
      </c>
    </row>
    <row r="79" spans="1:6" x14ac:dyDescent="0.2">
      <c r="A79" t="s">
        <v>17</v>
      </c>
      <c r="B79" t="s">
        <v>1041</v>
      </c>
      <c r="C79" t="s">
        <v>947</v>
      </c>
      <c r="D79">
        <v>3</v>
      </c>
      <c r="E79">
        <v>2267</v>
      </c>
      <c r="F79">
        <v>0.119811596614306</v>
      </c>
    </row>
    <row r="80" spans="1:6" x14ac:dyDescent="0.2">
      <c r="A80" t="s">
        <v>17</v>
      </c>
      <c r="B80" t="s">
        <v>1041</v>
      </c>
      <c r="C80" t="s">
        <v>947</v>
      </c>
      <c r="D80">
        <v>4</v>
      </c>
      <c r="E80">
        <v>2126</v>
      </c>
      <c r="F80">
        <v>0.113073487290741</v>
      </c>
    </row>
    <row r="81" spans="1:6" x14ac:dyDescent="0.2">
      <c r="A81" t="s">
        <v>17</v>
      </c>
      <c r="B81" t="s">
        <v>1041</v>
      </c>
      <c r="C81" t="s">
        <v>947</v>
      </c>
      <c r="D81">
        <v>5</v>
      </c>
      <c r="E81">
        <v>2051</v>
      </c>
      <c r="F81">
        <v>0.13340349494459799</v>
      </c>
    </row>
    <row r="82" spans="1:6" x14ac:dyDescent="0.2">
      <c r="A82" t="s">
        <v>17</v>
      </c>
      <c r="B82" t="s">
        <v>1041</v>
      </c>
      <c r="C82" t="s">
        <v>1008</v>
      </c>
      <c r="D82">
        <v>1</v>
      </c>
      <c r="E82">
        <v>2975</v>
      </c>
      <c r="F82">
        <v>0.172810415009962</v>
      </c>
    </row>
    <row r="83" spans="1:6" x14ac:dyDescent="0.2">
      <c r="A83" t="s">
        <v>17</v>
      </c>
      <c r="B83" t="s">
        <v>1041</v>
      </c>
      <c r="C83" t="s">
        <v>1008</v>
      </c>
      <c r="D83">
        <v>2</v>
      </c>
      <c r="E83">
        <v>3177</v>
      </c>
      <c r="F83">
        <v>0.17289272167713299</v>
      </c>
    </row>
    <row r="84" spans="1:6" x14ac:dyDescent="0.2">
      <c r="A84" t="s">
        <v>17</v>
      </c>
      <c r="B84" t="s">
        <v>1041</v>
      </c>
      <c r="C84" t="s">
        <v>1008</v>
      </c>
      <c r="D84">
        <v>3</v>
      </c>
      <c r="E84">
        <v>2801</v>
      </c>
      <c r="F84">
        <v>0.14068899288133299</v>
      </c>
    </row>
    <row r="85" spans="1:6" x14ac:dyDescent="0.2">
      <c r="A85" t="s">
        <v>17</v>
      </c>
      <c r="B85" t="s">
        <v>1041</v>
      </c>
      <c r="C85" t="s">
        <v>1008</v>
      </c>
      <c r="D85">
        <v>4</v>
      </c>
      <c r="E85">
        <v>2923</v>
      </c>
      <c r="F85">
        <v>0.19046197930637601</v>
      </c>
    </row>
    <row r="86" spans="1:6" x14ac:dyDescent="0.2">
      <c r="A86" t="s">
        <v>17</v>
      </c>
      <c r="B86" t="s">
        <v>1041</v>
      </c>
      <c r="C86" t="s">
        <v>1008</v>
      </c>
      <c r="D86">
        <v>5</v>
      </c>
      <c r="E86">
        <v>3026</v>
      </c>
      <c r="F86">
        <v>8.1976942554440199E-2</v>
      </c>
    </row>
    <row r="87" spans="1:6" x14ac:dyDescent="0.2">
      <c r="A87" t="s">
        <v>17</v>
      </c>
      <c r="B87" t="s">
        <v>1041</v>
      </c>
      <c r="C87" t="s">
        <v>1008</v>
      </c>
      <c r="D87">
        <v>6</v>
      </c>
      <c r="E87">
        <v>2832</v>
      </c>
      <c r="F87">
        <v>0.13963464555489999</v>
      </c>
    </row>
    <row r="88" spans="1:6" x14ac:dyDescent="0.2">
      <c r="A88" t="s">
        <v>17</v>
      </c>
      <c r="B88" t="s">
        <v>1041</v>
      </c>
      <c r="C88" t="s">
        <v>27</v>
      </c>
      <c r="D88">
        <v>1</v>
      </c>
      <c r="E88">
        <v>2748</v>
      </c>
      <c r="F88">
        <v>0.23995953366521799</v>
      </c>
    </row>
    <row r="89" spans="1:6" x14ac:dyDescent="0.2">
      <c r="A89" t="s">
        <v>17</v>
      </c>
      <c r="B89" t="s">
        <v>1041</v>
      </c>
      <c r="C89" t="s">
        <v>27</v>
      </c>
      <c r="D89">
        <v>2</v>
      </c>
      <c r="E89">
        <v>2294</v>
      </c>
      <c r="F89">
        <v>0.17246309640645699</v>
      </c>
    </row>
    <row r="90" spans="1:6" x14ac:dyDescent="0.2">
      <c r="A90" t="s">
        <v>17</v>
      </c>
      <c r="B90" t="s">
        <v>1041</v>
      </c>
      <c r="C90" t="s">
        <v>27</v>
      </c>
      <c r="D90">
        <v>3</v>
      </c>
      <c r="E90">
        <v>2383</v>
      </c>
      <c r="F90">
        <v>0.182099811956109</v>
      </c>
    </row>
    <row r="91" spans="1:6" x14ac:dyDescent="0.2">
      <c r="A91" t="s">
        <v>17</v>
      </c>
      <c r="B91" t="s">
        <v>1041</v>
      </c>
      <c r="C91" t="s">
        <v>27</v>
      </c>
      <c r="D91">
        <v>4</v>
      </c>
      <c r="E91">
        <v>2451</v>
      </c>
      <c r="F91">
        <v>0.19900202335637601</v>
      </c>
    </row>
    <row r="92" spans="1:6" x14ac:dyDescent="0.2">
      <c r="A92" t="s">
        <v>17</v>
      </c>
      <c r="B92" t="s">
        <v>1041</v>
      </c>
      <c r="C92" t="s">
        <v>27</v>
      </c>
      <c r="D92">
        <v>5</v>
      </c>
      <c r="E92">
        <v>3000</v>
      </c>
      <c r="F92">
        <v>0.16564372981373199</v>
      </c>
    </row>
    <row r="93" spans="1:6" x14ac:dyDescent="0.2">
      <c r="A93" t="s">
        <v>17</v>
      </c>
      <c r="B93" t="s">
        <v>1041</v>
      </c>
      <c r="C93" t="s">
        <v>27</v>
      </c>
      <c r="D93">
        <v>6</v>
      </c>
      <c r="E93">
        <v>2496</v>
      </c>
      <c r="F93">
        <v>0.22451632525614701</v>
      </c>
    </row>
    <row r="94" spans="1:6" x14ac:dyDescent="0.2">
      <c r="A94" t="s">
        <v>17</v>
      </c>
      <c r="B94" t="s">
        <v>1041</v>
      </c>
      <c r="C94" t="s">
        <v>1009</v>
      </c>
      <c r="D94">
        <v>1</v>
      </c>
      <c r="E94">
        <v>2951</v>
      </c>
      <c r="F94">
        <v>0.14607723863993999</v>
      </c>
    </row>
    <row r="95" spans="1:6" x14ac:dyDescent="0.2">
      <c r="A95" t="s">
        <v>17</v>
      </c>
      <c r="B95" t="s">
        <v>1041</v>
      </c>
      <c r="C95" t="s">
        <v>1009</v>
      </c>
      <c r="D95">
        <v>2</v>
      </c>
      <c r="E95">
        <v>3178</v>
      </c>
      <c r="F95">
        <v>0.121102701812958</v>
      </c>
    </row>
    <row r="96" spans="1:6" x14ac:dyDescent="0.2">
      <c r="A96" t="s">
        <v>17</v>
      </c>
      <c r="B96" t="s">
        <v>1041</v>
      </c>
      <c r="C96" t="s">
        <v>1009</v>
      </c>
      <c r="D96">
        <v>3</v>
      </c>
      <c r="E96">
        <v>3050</v>
      </c>
      <c r="F96">
        <v>0.150655172224646</v>
      </c>
    </row>
    <row r="97" spans="1:6" x14ac:dyDescent="0.2">
      <c r="A97" t="s">
        <v>17</v>
      </c>
      <c r="B97" t="s">
        <v>1041</v>
      </c>
      <c r="C97" t="s">
        <v>1009</v>
      </c>
      <c r="D97">
        <v>4</v>
      </c>
      <c r="E97">
        <v>2746</v>
      </c>
      <c r="F97">
        <v>0.18015922980895999</v>
      </c>
    </row>
    <row r="98" spans="1:6" x14ac:dyDescent="0.2">
      <c r="A98" t="s">
        <v>17</v>
      </c>
      <c r="B98" t="s">
        <v>1041</v>
      </c>
      <c r="C98" t="s">
        <v>1009</v>
      </c>
      <c r="D98">
        <v>5</v>
      </c>
      <c r="E98">
        <v>3024</v>
      </c>
      <c r="F98">
        <v>0.121046498712297</v>
      </c>
    </row>
    <row r="99" spans="1:6" x14ac:dyDescent="0.2">
      <c r="A99" t="s">
        <v>17</v>
      </c>
      <c r="B99" t="s">
        <v>1041</v>
      </c>
      <c r="C99" t="s">
        <v>1009</v>
      </c>
      <c r="D99">
        <v>6</v>
      </c>
      <c r="E99">
        <v>2872</v>
      </c>
      <c r="F99">
        <v>0.123678035917095</v>
      </c>
    </row>
    <row r="100" spans="1:6" x14ac:dyDescent="0.2">
      <c r="A100" t="s">
        <v>17</v>
      </c>
      <c r="B100" t="s">
        <v>1041</v>
      </c>
      <c r="C100" t="s">
        <v>1010</v>
      </c>
      <c r="D100">
        <v>1</v>
      </c>
      <c r="E100">
        <v>848</v>
      </c>
      <c r="F100">
        <v>6.7900000000000002E-2</v>
      </c>
    </row>
    <row r="101" spans="1:6" x14ac:dyDescent="0.2">
      <c r="A101" t="s">
        <v>17</v>
      </c>
      <c r="B101" t="s">
        <v>1041</v>
      </c>
      <c r="C101" t="s">
        <v>1010</v>
      </c>
      <c r="D101">
        <v>2</v>
      </c>
      <c r="E101">
        <v>2703</v>
      </c>
      <c r="F101">
        <v>0.130704469904177</v>
      </c>
    </row>
    <row r="102" spans="1:6" x14ac:dyDescent="0.2">
      <c r="A102" t="s">
        <v>17</v>
      </c>
      <c r="B102" t="s">
        <v>1041</v>
      </c>
      <c r="C102" t="s">
        <v>1010</v>
      </c>
      <c r="D102">
        <v>3</v>
      </c>
      <c r="E102">
        <v>2344</v>
      </c>
      <c r="F102">
        <v>9.1973191491263595E-2</v>
      </c>
    </row>
    <row r="103" spans="1:6" x14ac:dyDescent="0.2">
      <c r="A103" t="s">
        <v>17</v>
      </c>
      <c r="B103" t="s">
        <v>1041</v>
      </c>
      <c r="C103" t="s">
        <v>1010</v>
      </c>
      <c r="D103">
        <v>4</v>
      </c>
      <c r="E103">
        <v>2377</v>
      </c>
      <c r="F103">
        <v>0.132473110541759</v>
      </c>
    </row>
    <row r="104" spans="1:6" x14ac:dyDescent="0.2">
      <c r="A104" t="s">
        <v>17</v>
      </c>
      <c r="B104" t="s">
        <v>1041</v>
      </c>
      <c r="C104" t="s">
        <v>1010</v>
      </c>
      <c r="D104">
        <v>5</v>
      </c>
      <c r="E104">
        <v>2485</v>
      </c>
      <c r="F104">
        <v>8.8236884267895305E-2</v>
      </c>
    </row>
    <row r="105" spans="1:6" x14ac:dyDescent="0.2">
      <c r="A105" t="s">
        <v>17</v>
      </c>
      <c r="B105" t="s">
        <v>1041</v>
      </c>
      <c r="C105" t="s">
        <v>1011</v>
      </c>
      <c r="D105">
        <v>1</v>
      </c>
      <c r="E105">
        <v>1803</v>
      </c>
      <c r="F105">
        <v>0.19998146885161699</v>
      </c>
    </row>
    <row r="106" spans="1:6" x14ac:dyDescent="0.2">
      <c r="A106" t="s">
        <v>17</v>
      </c>
      <c r="B106" t="s">
        <v>1041</v>
      </c>
      <c r="C106" t="s">
        <v>1011</v>
      </c>
      <c r="D106">
        <v>2</v>
      </c>
      <c r="E106">
        <v>2171</v>
      </c>
      <c r="F106">
        <v>0.22817898087838401</v>
      </c>
    </row>
    <row r="107" spans="1:6" x14ac:dyDescent="0.2">
      <c r="A107" t="s">
        <v>17</v>
      </c>
      <c r="B107" t="s">
        <v>1041</v>
      </c>
      <c r="C107" t="s">
        <v>1011</v>
      </c>
      <c r="D107">
        <v>3</v>
      </c>
      <c r="E107">
        <v>1817</v>
      </c>
      <c r="F107">
        <v>0.180499881487002</v>
      </c>
    </row>
    <row r="108" spans="1:6" x14ac:dyDescent="0.2">
      <c r="A108" t="s">
        <v>17</v>
      </c>
      <c r="B108" t="s">
        <v>1041</v>
      </c>
      <c r="C108" t="s">
        <v>1011</v>
      </c>
      <c r="D108">
        <v>4</v>
      </c>
      <c r="E108">
        <v>1488</v>
      </c>
      <c r="F108">
        <v>0.17838176131299399</v>
      </c>
    </row>
    <row r="109" spans="1:6" x14ac:dyDescent="0.2">
      <c r="A109" t="s">
        <v>17</v>
      </c>
      <c r="B109" t="s">
        <v>1041</v>
      </c>
      <c r="C109" t="s">
        <v>1011</v>
      </c>
      <c r="D109">
        <v>5</v>
      </c>
      <c r="E109">
        <v>1997</v>
      </c>
      <c r="F109">
        <v>0.23846164086333799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3C78-BE4C-264C-9A1C-47C244FD394D}">
  <dimension ref="A1:F160"/>
  <sheetViews>
    <sheetView topLeftCell="A118" workbookViewId="0">
      <selection activeCell="D161" sqref="D161"/>
    </sheetView>
  </sheetViews>
  <sheetFormatPr baseColWidth="10" defaultRowHeight="16" x14ac:dyDescent="0.2"/>
  <cols>
    <col min="2" max="2" width="12.6640625" bestFit="1" customWidth="1"/>
    <col min="5" max="5" width="37.1640625" style="8" bestFit="1" customWidth="1"/>
    <col min="6" max="6" width="23.83203125" bestFit="1" customWidth="1"/>
  </cols>
  <sheetData>
    <row r="1" spans="1:6" x14ac:dyDescent="0.2">
      <c r="A1" s="7" t="s">
        <v>37</v>
      </c>
      <c r="B1" s="7" t="s">
        <v>0</v>
      </c>
      <c r="C1" s="7" t="s">
        <v>29</v>
      </c>
      <c r="D1" s="7" t="s">
        <v>6</v>
      </c>
      <c r="E1" s="20" t="s">
        <v>1062</v>
      </c>
      <c r="F1" s="7"/>
    </row>
    <row r="2" spans="1:6" x14ac:dyDescent="0.2">
      <c r="A2" t="s">
        <v>18</v>
      </c>
      <c r="B2" t="s">
        <v>1041</v>
      </c>
      <c r="C2" t="s">
        <v>1006</v>
      </c>
      <c r="D2">
        <v>1</v>
      </c>
      <c r="E2" s="8">
        <v>0.76401095433086774</v>
      </c>
      <c r="F2" s="8"/>
    </row>
    <row r="3" spans="1:6" x14ac:dyDescent="0.2">
      <c r="A3" t="s">
        <v>18</v>
      </c>
      <c r="B3" t="s">
        <v>1041</v>
      </c>
      <c r="C3" t="s">
        <v>1006</v>
      </c>
      <c r="D3">
        <v>2</v>
      </c>
      <c r="E3" s="8">
        <v>0.7609166262125413</v>
      </c>
      <c r="F3" s="8"/>
    </row>
    <row r="4" spans="1:6" x14ac:dyDescent="0.2">
      <c r="A4" t="s">
        <v>18</v>
      </c>
      <c r="B4" t="s">
        <v>1041</v>
      </c>
      <c r="C4" t="s">
        <v>1006</v>
      </c>
      <c r="D4">
        <v>3</v>
      </c>
      <c r="E4" s="8">
        <v>0.5794266494254251</v>
      </c>
      <c r="F4" s="8"/>
    </row>
    <row r="5" spans="1:6" x14ac:dyDescent="0.2">
      <c r="A5" t="s">
        <v>18</v>
      </c>
      <c r="B5" t="s">
        <v>1041</v>
      </c>
      <c r="C5" t="s">
        <v>1006</v>
      </c>
      <c r="D5">
        <v>4</v>
      </c>
      <c r="E5" s="8">
        <v>0.94580177552167366</v>
      </c>
      <c r="F5" s="8"/>
    </row>
    <row r="6" spans="1:6" x14ac:dyDescent="0.2">
      <c r="A6" t="s">
        <v>18</v>
      </c>
      <c r="B6" t="s">
        <v>1041</v>
      </c>
      <c r="C6" t="s">
        <v>1006</v>
      </c>
      <c r="D6">
        <v>5</v>
      </c>
      <c r="E6" s="8">
        <v>0.96554417170491735</v>
      </c>
      <c r="F6" s="8"/>
    </row>
    <row r="7" spans="1:6" x14ac:dyDescent="0.2">
      <c r="A7" t="s">
        <v>18</v>
      </c>
      <c r="B7" t="s">
        <v>1041</v>
      </c>
      <c r="C7" t="s">
        <v>1007</v>
      </c>
      <c r="D7">
        <v>1</v>
      </c>
      <c r="E7" s="8">
        <v>0.7186765757001663</v>
      </c>
      <c r="F7" s="8"/>
    </row>
    <row r="8" spans="1:6" x14ac:dyDescent="0.2">
      <c r="A8" t="s">
        <v>18</v>
      </c>
      <c r="B8" t="s">
        <v>1041</v>
      </c>
      <c r="C8" t="s">
        <v>1007</v>
      </c>
      <c r="D8">
        <v>2</v>
      </c>
      <c r="E8" s="8">
        <v>0.82727124292005905</v>
      </c>
      <c r="F8" s="8"/>
    </row>
    <row r="9" spans="1:6" x14ac:dyDescent="0.2">
      <c r="A9" t="s">
        <v>18</v>
      </c>
      <c r="B9" t="s">
        <v>1041</v>
      </c>
      <c r="C9" t="s">
        <v>1007</v>
      </c>
      <c r="D9">
        <v>3</v>
      </c>
      <c r="E9" s="8">
        <v>0.61445070097530707</v>
      </c>
      <c r="F9" s="8"/>
    </row>
    <row r="10" spans="1:6" x14ac:dyDescent="0.2">
      <c r="A10" t="s">
        <v>18</v>
      </c>
      <c r="B10" t="s">
        <v>1041</v>
      </c>
      <c r="C10" t="s">
        <v>1007</v>
      </c>
      <c r="D10">
        <v>4</v>
      </c>
      <c r="E10" s="8">
        <v>0.72564738769074721</v>
      </c>
      <c r="F10" s="8"/>
    </row>
    <row r="11" spans="1:6" x14ac:dyDescent="0.2">
      <c r="A11" t="s">
        <v>18</v>
      </c>
      <c r="B11" t="s">
        <v>1041</v>
      </c>
      <c r="C11" t="s">
        <v>26</v>
      </c>
      <c r="D11">
        <v>1</v>
      </c>
      <c r="E11" s="8">
        <v>1.001317921904036</v>
      </c>
      <c r="F11" s="8"/>
    </row>
    <row r="12" spans="1:6" x14ac:dyDescent="0.2">
      <c r="A12" t="s">
        <v>18</v>
      </c>
      <c r="B12" t="s">
        <v>1041</v>
      </c>
      <c r="C12" t="s">
        <v>26</v>
      </c>
      <c r="D12">
        <v>2</v>
      </c>
      <c r="E12" s="8">
        <v>0.82747548987839736</v>
      </c>
      <c r="F12" s="8"/>
    </row>
    <row r="13" spans="1:6" x14ac:dyDescent="0.2">
      <c r="A13" t="s">
        <v>18</v>
      </c>
      <c r="B13" t="s">
        <v>1041</v>
      </c>
      <c r="C13" t="s">
        <v>26</v>
      </c>
      <c r="D13">
        <v>3</v>
      </c>
      <c r="E13" s="8">
        <v>0.84203242988340266</v>
      </c>
      <c r="F13" s="8"/>
    </row>
    <row r="14" spans="1:6" x14ac:dyDescent="0.2">
      <c r="A14" t="s">
        <v>18</v>
      </c>
      <c r="B14" t="s">
        <v>1041</v>
      </c>
      <c r="C14" t="s">
        <v>26</v>
      </c>
      <c r="D14">
        <v>4</v>
      </c>
      <c r="E14" s="8">
        <v>0.68726465765370259</v>
      </c>
      <c r="F14" s="8"/>
    </row>
    <row r="15" spans="1:6" x14ac:dyDescent="0.2">
      <c r="A15" t="s">
        <v>18</v>
      </c>
      <c r="B15" t="s">
        <v>1041</v>
      </c>
      <c r="C15" t="s">
        <v>26</v>
      </c>
      <c r="D15">
        <v>5</v>
      </c>
      <c r="E15" s="8">
        <v>0.89836826659385827</v>
      </c>
      <c r="F15" s="8"/>
    </row>
    <row r="16" spans="1:6" x14ac:dyDescent="0.2">
      <c r="A16" t="s">
        <v>18</v>
      </c>
      <c r="B16" t="s">
        <v>1041</v>
      </c>
      <c r="C16" t="s">
        <v>26</v>
      </c>
      <c r="D16">
        <v>6</v>
      </c>
      <c r="E16" s="8">
        <v>0.89854763236045831</v>
      </c>
      <c r="F16" s="8"/>
    </row>
    <row r="17" spans="1:6" x14ac:dyDescent="0.2">
      <c r="A17" t="s">
        <v>18</v>
      </c>
      <c r="B17" t="s">
        <v>1041</v>
      </c>
      <c r="C17" t="s">
        <v>947</v>
      </c>
      <c r="D17">
        <v>1</v>
      </c>
      <c r="E17" s="8">
        <v>0.68394140418569271</v>
      </c>
      <c r="F17" s="8"/>
    </row>
    <row r="18" spans="1:6" x14ac:dyDescent="0.2">
      <c r="A18" t="s">
        <v>18</v>
      </c>
      <c r="B18" t="s">
        <v>1041</v>
      </c>
      <c r="C18" t="s">
        <v>947</v>
      </c>
      <c r="D18">
        <v>2</v>
      </c>
      <c r="E18" s="8">
        <v>0.66145785971255022</v>
      </c>
      <c r="F18" s="8"/>
    </row>
    <row r="19" spans="1:6" x14ac:dyDescent="0.2">
      <c r="A19" t="s">
        <v>18</v>
      </c>
      <c r="B19" t="s">
        <v>1041</v>
      </c>
      <c r="C19" t="s">
        <v>947</v>
      </c>
      <c r="D19">
        <v>3</v>
      </c>
      <c r="E19" s="8">
        <v>0.71936172785432229</v>
      </c>
      <c r="F19" s="8"/>
    </row>
    <row r="20" spans="1:6" x14ac:dyDescent="0.2">
      <c r="A20" t="s">
        <v>18</v>
      </c>
      <c r="B20" t="s">
        <v>1041</v>
      </c>
      <c r="C20" t="s">
        <v>947</v>
      </c>
      <c r="D20">
        <v>4</v>
      </c>
      <c r="E20" s="8">
        <v>0.74543574602548424</v>
      </c>
      <c r="F20" s="8"/>
    </row>
    <row r="21" spans="1:6" x14ac:dyDescent="0.2">
      <c r="A21" t="s">
        <v>18</v>
      </c>
      <c r="B21" t="s">
        <v>1041</v>
      </c>
      <c r="C21" t="s">
        <v>947</v>
      </c>
      <c r="D21">
        <v>5</v>
      </c>
      <c r="E21" s="8">
        <v>0.7732912943069038</v>
      </c>
      <c r="F21" s="8"/>
    </row>
    <row r="22" spans="1:6" x14ac:dyDescent="0.2">
      <c r="A22" t="s">
        <v>18</v>
      </c>
      <c r="B22" t="s">
        <v>1041</v>
      </c>
      <c r="C22" t="s">
        <v>1008</v>
      </c>
      <c r="D22">
        <v>1</v>
      </c>
      <c r="E22" s="8">
        <v>0.66796488877658378</v>
      </c>
      <c r="F22" s="8"/>
    </row>
    <row r="23" spans="1:6" x14ac:dyDescent="0.2">
      <c r="A23" t="s">
        <v>18</v>
      </c>
      <c r="B23" t="s">
        <v>1041</v>
      </c>
      <c r="C23" t="s">
        <v>1008</v>
      </c>
      <c r="D23">
        <v>2</v>
      </c>
      <c r="E23" s="8">
        <v>0.77673938586175162</v>
      </c>
      <c r="F23" s="8"/>
    </row>
    <row r="24" spans="1:6" x14ac:dyDescent="0.2">
      <c r="A24" t="s">
        <v>18</v>
      </c>
      <c r="B24" t="s">
        <v>1041</v>
      </c>
      <c r="C24" t="s">
        <v>1008</v>
      </c>
      <c r="D24">
        <v>3</v>
      </c>
      <c r="E24" s="8">
        <v>0.73884044141264149</v>
      </c>
      <c r="F24" s="8"/>
    </row>
    <row r="25" spans="1:6" x14ac:dyDescent="0.2">
      <c r="A25" t="s">
        <v>18</v>
      </c>
      <c r="B25" t="s">
        <v>1041</v>
      </c>
      <c r="C25" t="s">
        <v>1008</v>
      </c>
      <c r="D25">
        <v>4</v>
      </c>
      <c r="E25" s="8">
        <v>0.93267313519429629</v>
      </c>
      <c r="F25" s="8"/>
    </row>
    <row r="26" spans="1:6" x14ac:dyDescent="0.2">
      <c r="A26" t="s">
        <v>18</v>
      </c>
      <c r="B26" t="s">
        <v>1041</v>
      </c>
      <c r="C26" t="s">
        <v>1008</v>
      </c>
      <c r="D26">
        <v>5</v>
      </c>
      <c r="E26" s="8">
        <v>0.41351579454449672</v>
      </c>
      <c r="F26" s="8"/>
    </row>
    <row r="27" spans="1:6" x14ac:dyDescent="0.2">
      <c r="A27" t="s">
        <v>18</v>
      </c>
      <c r="B27" t="s">
        <v>1041</v>
      </c>
      <c r="C27" t="s">
        <v>1008</v>
      </c>
      <c r="D27">
        <v>6</v>
      </c>
      <c r="E27" s="8">
        <v>0.89163118581789769</v>
      </c>
      <c r="F27" s="8"/>
    </row>
    <row r="28" spans="1:6" x14ac:dyDescent="0.2">
      <c r="A28" t="s">
        <v>18</v>
      </c>
      <c r="B28" t="s">
        <v>1041</v>
      </c>
      <c r="C28" t="s">
        <v>27</v>
      </c>
      <c r="D28">
        <v>1</v>
      </c>
      <c r="E28" s="8">
        <v>0.78455803101959998</v>
      </c>
      <c r="F28" s="8"/>
    </row>
    <row r="29" spans="1:6" x14ac:dyDescent="0.2">
      <c r="A29" t="s">
        <v>18</v>
      </c>
      <c r="B29" t="s">
        <v>1041</v>
      </c>
      <c r="C29" t="s">
        <v>27</v>
      </c>
      <c r="D29">
        <v>2</v>
      </c>
      <c r="E29" s="8">
        <v>1.1459724564800318</v>
      </c>
      <c r="F29" s="8"/>
    </row>
    <row r="30" spans="1:6" x14ac:dyDescent="0.2">
      <c r="A30" t="s">
        <v>18</v>
      </c>
      <c r="B30" t="s">
        <v>1041</v>
      </c>
      <c r="C30" t="s">
        <v>27</v>
      </c>
      <c r="D30">
        <v>3</v>
      </c>
      <c r="E30" s="8">
        <v>1.109321182773237</v>
      </c>
      <c r="F30" s="8"/>
    </row>
    <row r="31" spans="1:6" x14ac:dyDescent="0.2">
      <c r="A31" t="s">
        <v>18</v>
      </c>
      <c r="B31" t="s">
        <v>1041</v>
      </c>
      <c r="C31" t="s">
        <v>27</v>
      </c>
      <c r="D31">
        <v>4</v>
      </c>
      <c r="E31" s="8">
        <v>1.0764801456341757</v>
      </c>
      <c r="F31" s="8"/>
    </row>
    <row r="32" spans="1:6" x14ac:dyDescent="0.2">
      <c r="A32" t="s">
        <v>18</v>
      </c>
      <c r="B32" t="s">
        <v>1041</v>
      </c>
      <c r="C32" t="s">
        <v>27</v>
      </c>
      <c r="D32">
        <v>5</v>
      </c>
      <c r="E32" s="8">
        <v>1.0150515499116626</v>
      </c>
      <c r="F32" s="8"/>
    </row>
    <row r="33" spans="1:6" x14ac:dyDescent="0.2">
      <c r="A33" t="s">
        <v>18</v>
      </c>
      <c r="B33" t="s">
        <v>1041</v>
      </c>
      <c r="C33" t="s">
        <v>27</v>
      </c>
      <c r="D33">
        <v>6</v>
      </c>
      <c r="E33" s="8">
        <v>1.5315631897239657</v>
      </c>
      <c r="F33" s="8"/>
    </row>
    <row r="34" spans="1:6" x14ac:dyDescent="0.2">
      <c r="A34" t="s">
        <v>18</v>
      </c>
      <c r="B34" t="s">
        <v>1041</v>
      </c>
      <c r="C34" t="s">
        <v>1009</v>
      </c>
      <c r="D34">
        <v>1</v>
      </c>
      <c r="E34" s="8">
        <v>0.65502519778267565</v>
      </c>
      <c r="F34" s="8"/>
    </row>
    <row r="35" spans="1:6" x14ac:dyDescent="0.2">
      <c r="A35" t="s">
        <v>18</v>
      </c>
      <c r="B35" t="s">
        <v>1041</v>
      </c>
      <c r="C35" t="s">
        <v>1009</v>
      </c>
      <c r="D35">
        <v>2</v>
      </c>
      <c r="E35" s="8">
        <v>0.57648585322112333</v>
      </c>
      <c r="F35" s="8"/>
    </row>
    <row r="36" spans="1:6" x14ac:dyDescent="0.2">
      <c r="A36" t="s">
        <v>18</v>
      </c>
      <c r="B36" t="s">
        <v>1041</v>
      </c>
      <c r="C36" t="s">
        <v>1009</v>
      </c>
      <c r="D36">
        <v>3</v>
      </c>
      <c r="E36" s="8">
        <v>0.78151470225904562</v>
      </c>
      <c r="F36" s="8"/>
    </row>
    <row r="37" spans="1:6" x14ac:dyDescent="0.2">
      <c r="A37" t="s">
        <v>18</v>
      </c>
      <c r="B37" t="s">
        <v>1041</v>
      </c>
      <c r="C37" t="s">
        <v>1009</v>
      </c>
      <c r="D37">
        <v>4</v>
      </c>
      <c r="E37" s="8">
        <v>0.88977751251555681</v>
      </c>
      <c r="F37" s="8"/>
    </row>
    <row r="38" spans="1:6" x14ac:dyDescent="0.2">
      <c r="A38" t="s">
        <v>18</v>
      </c>
      <c r="B38" t="s">
        <v>1041</v>
      </c>
      <c r="C38" t="s">
        <v>1009</v>
      </c>
      <c r="D38">
        <v>5</v>
      </c>
      <c r="E38" s="8">
        <v>0.56193247160823601</v>
      </c>
      <c r="F38" s="8"/>
    </row>
    <row r="39" spans="1:6" x14ac:dyDescent="0.2">
      <c r="A39" t="s">
        <v>18</v>
      </c>
      <c r="B39" t="s">
        <v>1041</v>
      </c>
      <c r="C39" t="s">
        <v>1009</v>
      </c>
      <c r="D39">
        <v>6</v>
      </c>
      <c r="E39" s="8">
        <v>0.65261336598385156</v>
      </c>
      <c r="F39" s="8"/>
    </row>
    <row r="40" spans="1:6" x14ac:dyDescent="0.2">
      <c r="A40" t="s">
        <v>18</v>
      </c>
      <c r="B40" t="s">
        <v>1041</v>
      </c>
      <c r="C40" t="s">
        <v>1010</v>
      </c>
      <c r="D40">
        <v>1</v>
      </c>
      <c r="E40" s="8">
        <v>0.81660621712744452</v>
      </c>
      <c r="F40" s="8"/>
    </row>
    <row r="41" spans="1:6" x14ac:dyDescent="0.2">
      <c r="A41" t="s">
        <v>18</v>
      </c>
      <c r="B41" t="s">
        <v>1041</v>
      </c>
      <c r="C41" t="s">
        <v>1010</v>
      </c>
      <c r="D41">
        <v>2</v>
      </c>
      <c r="E41" s="8">
        <v>0.91623696620697437</v>
      </c>
      <c r="F41" s="8"/>
    </row>
    <row r="42" spans="1:6" x14ac:dyDescent="0.2">
      <c r="A42" t="s">
        <v>18</v>
      </c>
      <c r="B42" t="s">
        <v>1041</v>
      </c>
      <c r="C42" t="s">
        <v>1010</v>
      </c>
      <c r="D42">
        <v>3</v>
      </c>
      <c r="E42" s="8">
        <v>0.74699935166922171</v>
      </c>
      <c r="F42" s="8"/>
    </row>
    <row r="43" spans="1:6" x14ac:dyDescent="0.2">
      <c r="A43" t="s">
        <v>18</v>
      </c>
      <c r="B43" t="s">
        <v>1041</v>
      </c>
      <c r="C43" t="s">
        <v>1010</v>
      </c>
      <c r="D43">
        <v>4</v>
      </c>
      <c r="E43" s="8">
        <v>0.75977728976150216</v>
      </c>
      <c r="F43" s="8"/>
    </row>
    <row r="44" spans="1:6" x14ac:dyDescent="0.2">
      <c r="A44" t="s">
        <v>18</v>
      </c>
      <c r="B44" t="s">
        <v>1041</v>
      </c>
      <c r="C44" t="s">
        <v>1010</v>
      </c>
      <c r="D44">
        <v>5</v>
      </c>
      <c r="E44" s="8">
        <v>0.5904583136567666</v>
      </c>
      <c r="F44" s="8"/>
    </row>
    <row r="45" spans="1:6" x14ac:dyDescent="0.2">
      <c r="A45" t="s">
        <v>18</v>
      </c>
      <c r="B45" t="s">
        <v>1041</v>
      </c>
      <c r="C45" t="s">
        <v>1011</v>
      </c>
      <c r="D45">
        <v>1</v>
      </c>
      <c r="E45" s="8">
        <v>1.0526224465301621</v>
      </c>
      <c r="F45" s="8"/>
    </row>
    <row r="46" spans="1:6" x14ac:dyDescent="0.2">
      <c r="A46" t="s">
        <v>18</v>
      </c>
      <c r="B46" t="s">
        <v>1041</v>
      </c>
      <c r="C46" t="s">
        <v>1011</v>
      </c>
      <c r="D46">
        <v>2</v>
      </c>
      <c r="E46" s="8">
        <v>1.06121561107768</v>
      </c>
      <c r="F46" s="8"/>
    </row>
    <row r="47" spans="1:6" x14ac:dyDescent="0.2">
      <c r="A47" t="s">
        <v>18</v>
      </c>
      <c r="B47" t="s">
        <v>1041</v>
      </c>
      <c r="C47" t="s">
        <v>1011</v>
      </c>
      <c r="D47">
        <v>3</v>
      </c>
      <c r="E47" s="8">
        <v>1.3243252369748058</v>
      </c>
      <c r="F47" s="8"/>
    </row>
    <row r="48" spans="1:6" x14ac:dyDescent="0.2">
      <c r="A48" t="s">
        <v>18</v>
      </c>
      <c r="B48" t="s">
        <v>1041</v>
      </c>
      <c r="C48" t="s">
        <v>1011</v>
      </c>
      <c r="D48">
        <v>4</v>
      </c>
      <c r="E48" s="8">
        <v>0.98985552129705578</v>
      </c>
      <c r="F48" s="8"/>
    </row>
    <row r="49" spans="1:6" x14ac:dyDescent="0.2">
      <c r="A49" t="s">
        <v>18</v>
      </c>
      <c r="B49" t="s">
        <v>1041</v>
      </c>
      <c r="C49" t="s">
        <v>1011</v>
      </c>
      <c r="D49">
        <v>5</v>
      </c>
      <c r="E49" s="8">
        <v>1.4623026072150274</v>
      </c>
      <c r="F49" s="8"/>
    </row>
    <row r="50" spans="1:6" x14ac:dyDescent="0.2">
      <c r="A50" t="s">
        <v>17</v>
      </c>
      <c r="B50" t="s">
        <v>1041</v>
      </c>
      <c r="C50" t="s">
        <v>1006</v>
      </c>
      <c r="D50">
        <v>1</v>
      </c>
      <c r="E50" s="8">
        <v>0.82078588675626718</v>
      </c>
      <c r="F50" s="8"/>
    </row>
    <row r="51" spans="1:6" x14ac:dyDescent="0.2">
      <c r="A51" t="s">
        <v>17</v>
      </c>
      <c r="B51" t="s">
        <v>1041</v>
      </c>
      <c r="C51" t="s">
        <v>1006</v>
      </c>
      <c r="D51">
        <v>2</v>
      </c>
      <c r="E51" s="8">
        <v>0.903523835833554</v>
      </c>
      <c r="F51" s="8"/>
    </row>
    <row r="52" spans="1:6" x14ac:dyDescent="0.2">
      <c r="A52" t="s">
        <v>17</v>
      </c>
      <c r="B52" t="s">
        <v>1041</v>
      </c>
      <c r="C52" t="s">
        <v>1006</v>
      </c>
      <c r="D52">
        <v>3</v>
      </c>
      <c r="E52" s="8">
        <v>0.82694777209874326</v>
      </c>
      <c r="F52" s="8"/>
    </row>
    <row r="53" spans="1:6" x14ac:dyDescent="0.2">
      <c r="A53" t="s">
        <v>17</v>
      </c>
      <c r="B53" t="s">
        <v>1041</v>
      </c>
      <c r="C53" t="s">
        <v>1006</v>
      </c>
      <c r="D53">
        <v>4</v>
      </c>
      <c r="E53" s="8">
        <v>0.68225239268639071</v>
      </c>
      <c r="F53" s="8"/>
    </row>
    <row r="54" spans="1:6" x14ac:dyDescent="0.2">
      <c r="A54" t="s">
        <v>17</v>
      </c>
      <c r="B54" t="s">
        <v>1041</v>
      </c>
      <c r="C54" t="s">
        <v>1006</v>
      </c>
      <c r="D54">
        <v>5</v>
      </c>
      <c r="E54" s="8">
        <v>0.94293603313391627</v>
      </c>
      <c r="F54" s="8"/>
    </row>
    <row r="55" spans="1:6" x14ac:dyDescent="0.2">
      <c r="A55" t="s">
        <v>17</v>
      </c>
      <c r="B55" t="s">
        <v>1041</v>
      </c>
      <c r="C55" t="s">
        <v>1007</v>
      </c>
      <c r="D55">
        <v>1</v>
      </c>
      <c r="E55" s="8">
        <v>0.87482688557375132</v>
      </c>
      <c r="F55" s="8"/>
    </row>
    <row r="56" spans="1:6" x14ac:dyDescent="0.2">
      <c r="A56" t="s">
        <v>17</v>
      </c>
      <c r="B56" t="s">
        <v>1041</v>
      </c>
      <c r="C56" t="s">
        <v>1007</v>
      </c>
      <c r="D56">
        <v>2</v>
      </c>
      <c r="E56" s="8">
        <v>0.84461388212575406</v>
      </c>
      <c r="F56" s="8"/>
    </row>
    <row r="57" spans="1:6" x14ac:dyDescent="0.2">
      <c r="A57" t="s">
        <v>17</v>
      </c>
      <c r="B57" t="s">
        <v>1041</v>
      </c>
      <c r="C57" t="s">
        <v>1007</v>
      </c>
      <c r="D57">
        <v>3</v>
      </c>
      <c r="E57" s="8">
        <v>0.57480427272127899</v>
      </c>
      <c r="F57" s="8"/>
    </row>
    <row r="58" spans="1:6" x14ac:dyDescent="0.2">
      <c r="A58" t="s">
        <v>17</v>
      </c>
      <c r="B58" t="s">
        <v>1041</v>
      </c>
      <c r="C58" t="s">
        <v>1007</v>
      </c>
      <c r="D58">
        <v>4</v>
      </c>
      <c r="E58" s="8">
        <v>0.62379393433232855</v>
      </c>
      <c r="F58" s="8"/>
    </row>
    <row r="59" spans="1:6" x14ac:dyDescent="0.2">
      <c r="A59" t="s">
        <v>17</v>
      </c>
      <c r="B59" t="s">
        <v>1041</v>
      </c>
      <c r="C59" t="s">
        <v>26</v>
      </c>
      <c r="D59">
        <v>1</v>
      </c>
      <c r="E59" s="8">
        <v>0.5687140803216153</v>
      </c>
      <c r="F59" s="8"/>
    </row>
    <row r="60" spans="1:6" x14ac:dyDescent="0.2">
      <c r="A60" t="s">
        <v>17</v>
      </c>
      <c r="B60" t="s">
        <v>1041</v>
      </c>
      <c r="C60" t="s">
        <v>26</v>
      </c>
      <c r="D60">
        <v>2</v>
      </c>
      <c r="E60" s="8">
        <v>0.45551867870523716</v>
      </c>
      <c r="F60" s="8"/>
    </row>
    <row r="61" spans="1:6" x14ac:dyDescent="0.2">
      <c r="A61" t="s">
        <v>17</v>
      </c>
      <c r="B61" t="s">
        <v>1041</v>
      </c>
      <c r="C61" t="s">
        <v>26</v>
      </c>
      <c r="D61">
        <v>3</v>
      </c>
      <c r="E61" s="8">
        <v>0.39683229292651023</v>
      </c>
      <c r="F61" s="8"/>
    </row>
    <row r="62" spans="1:6" x14ac:dyDescent="0.2">
      <c r="A62" t="s">
        <v>17</v>
      </c>
      <c r="B62" t="s">
        <v>1041</v>
      </c>
      <c r="C62" t="s">
        <v>26</v>
      </c>
      <c r="D62">
        <v>4</v>
      </c>
      <c r="E62" s="8">
        <v>0.5167912835611802</v>
      </c>
      <c r="F62" s="8"/>
    </row>
    <row r="63" spans="1:6" x14ac:dyDescent="0.2">
      <c r="A63" t="s">
        <v>17</v>
      </c>
      <c r="B63" t="s">
        <v>1041</v>
      </c>
      <c r="C63" t="s">
        <v>26</v>
      </c>
      <c r="D63">
        <v>5</v>
      </c>
      <c r="E63" s="8">
        <v>0.64195435492625053</v>
      </c>
      <c r="F63" s="8"/>
    </row>
    <row r="64" spans="1:6" x14ac:dyDescent="0.2">
      <c r="A64" t="s">
        <v>17</v>
      </c>
      <c r="B64" t="s">
        <v>1041</v>
      </c>
      <c r="C64" t="s">
        <v>26</v>
      </c>
      <c r="D64">
        <v>6</v>
      </c>
      <c r="E64" s="8">
        <v>0.56448680201237456</v>
      </c>
      <c r="F64" s="8"/>
    </row>
    <row r="65" spans="1:6" x14ac:dyDescent="0.2">
      <c r="A65" t="s">
        <v>17</v>
      </c>
      <c r="B65" t="s">
        <v>1041</v>
      </c>
      <c r="C65" t="s">
        <v>947</v>
      </c>
      <c r="D65">
        <v>1</v>
      </c>
      <c r="E65" s="8">
        <v>0.58535473811339467</v>
      </c>
      <c r="F65" s="8"/>
    </row>
    <row r="66" spans="1:6" x14ac:dyDescent="0.2">
      <c r="A66" t="s">
        <v>17</v>
      </c>
      <c r="B66" t="s">
        <v>1041</v>
      </c>
      <c r="C66" t="s">
        <v>947</v>
      </c>
      <c r="D66">
        <v>2</v>
      </c>
      <c r="E66" s="8">
        <v>0.55295577400571538</v>
      </c>
      <c r="F66" s="8"/>
    </row>
    <row r="67" spans="1:6" x14ac:dyDescent="0.2">
      <c r="A67" t="s">
        <v>17</v>
      </c>
      <c r="B67" t="s">
        <v>1041</v>
      </c>
      <c r="C67" t="s">
        <v>947</v>
      </c>
      <c r="D67">
        <v>3</v>
      </c>
      <c r="E67" s="8">
        <v>0.46854710817095918</v>
      </c>
    </row>
    <row r="68" spans="1:6" x14ac:dyDescent="0.2">
      <c r="A68" t="s">
        <v>17</v>
      </c>
      <c r="B68" t="s">
        <v>1041</v>
      </c>
      <c r="C68" t="s">
        <v>947</v>
      </c>
      <c r="D68">
        <v>4</v>
      </c>
      <c r="E68" s="8">
        <v>0.46600448190788768</v>
      </c>
    </row>
    <row r="69" spans="1:6" x14ac:dyDescent="0.2">
      <c r="A69" t="s">
        <v>17</v>
      </c>
      <c r="B69" t="s">
        <v>1041</v>
      </c>
      <c r="C69" t="s">
        <v>947</v>
      </c>
      <c r="D69">
        <v>5</v>
      </c>
      <c r="E69" s="8">
        <v>0.61391392059179939</v>
      </c>
    </row>
    <row r="70" spans="1:6" x14ac:dyDescent="0.2">
      <c r="A70" t="s">
        <v>17</v>
      </c>
      <c r="B70" t="s">
        <v>1041</v>
      </c>
      <c r="C70" t="s">
        <v>1008</v>
      </c>
      <c r="D70">
        <v>1</v>
      </c>
      <c r="E70" s="8">
        <v>0.64437006174410183</v>
      </c>
    </row>
    <row r="71" spans="1:6" x14ac:dyDescent="0.2">
      <c r="A71" t="s">
        <v>17</v>
      </c>
      <c r="B71" t="s">
        <v>1041</v>
      </c>
      <c r="C71" t="s">
        <v>1008</v>
      </c>
      <c r="D71">
        <v>2</v>
      </c>
      <c r="E71" s="8">
        <v>0.73107010775945003</v>
      </c>
    </row>
    <row r="72" spans="1:6" x14ac:dyDescent="0.2">
      <c r="A72" t="s">
        <v>17</v>
      </c>
      <c r="B72" t="s">
        <v>1041</v>
      </c>
      <c r="C72" t="s">
        <v>1008</v>
      </c>
      <c r="D72">
        <v>3</v>
      </c>
      <c r="E72" s="8">
        <v>0.55019232385525352</v>
      </c>
    </row>
    <row r="73" spans="1:6" x14ac:dyDescent="0.2">
      <c r="A73" t="s">
        <v>17</v>
      </c>
      <c r="B73" t="s">
        <v>1041</v>
      </c>
      <c r="C73" t="s">
        <v>1008</v>
      </c>
      <c r="D73">
        <v>4</v>
      </c>
      <c r="E73" s="8">
        <v>0.78494205950864271</v>
      </c>
    </row>
    <row r="74" spans="1:6" x14ac:dyDescent="0.2">
      <c r="A74" t="s">
        <v>17</v>
      </c>
      <c r="B74" t="s">
        <v>1041</v>
      </c>
      <c r="C74" t="s">
        <v>1008</v>
      </c>
      <c r="D74">
        <v>5</v>
      </c>
      <c r="E74" s="8">
        <v>0.35907552586263775</v>
      </c>
    </row>
    <row r="75" spans="1:6" x14ac:dyDescent="0.2">
      <c r="A75" t="s">
        <v>17</v>
      </c>
      <c r="B75" t="s">
        <v>1041</v>
      </c>
      <c r="C75" t="s">
        <v>1008</v>
      </c>
      <c r="D75">
        <v>6</v>
      </c>
      <c r="E75" s="8">
        <v>0.64258925704049696</v>
      </c>
    </row>
    <row r="76" spans="1:6" x14ac:dyDescent="0.2">
      <c r="A76" t="s">
        <v>17</v>
      </c>
      <c r="B76" t="s">
        <v>1041</v>
      </c>
      <c r="C76" t="s">
        <v>27</v>
      </c>
      <c r="D76">
        <v>1</v>
      </c>
      <c r="E76" s="8">
        <v>0.89475359176140445</v>
      </c>
    </row>
    <row r="77" spans="1:6" x14ac:dyDescent="0.2">
      <c r="A77" t="s">
        <v>17</v>
      </c>
      <c r="B77" t="s">
        <v>1041</v>
      </c>
      <c r="C77" t="s">
        <v>27</v>
      </c>
      <c r="D77">
        <v>2</v>
      </c>
      <c r="E77" s="8">
        <v>0.72925345411502529</v>
      </c>
    </row>
    <row r="78" spans="1:6" x14ac:dyDescent="0.2">
      <c r="A78" t="s">
        <v>17</v>
      </c>
      <c r="B78" t="s">
        <v>1041</v>
      </c>
      <c r="C78" t="s">
        <v>27</v>
      </c>
      <c r="D78">
        <v>3</v>
      </c>
      <c r="E78" s="8">
        <v>0.71213757851151527</v>
      </c>
    </row>
    <row r="79" spans="1:6" x14ac:dyDescent="0.2">
      <c r="A79" t="s">
        <v>17</v>
      </c>
      <c r="B79" t="s">
        <v>1041</v>
      </c>
      <c r="C79" t="s">
        <v>27</v>
      </c>
      <c r="D79">
        <v>4</v>
      </c>
      <c r="E79" s="8">
        <v>0.82013774417659635</v>
      </c>
    </row>
    <row r="80" spans="1:6" x14ac:dyDescent="0.2">
      <c r="A80" t="s">
        <v>17</v>
      </c>
      <c r="B80" t="s">
        <v>1041</v>
      </c>
      <c r="C80" t="s">
        <v>27</v>
      </c>
      <c r="D80">
        <v>5</v>
      </c>
      <c r="E80" s="8">
        <v>0.72555291201809891</v>
      </c>
    </row>
    <row r="81" spans="1:5" x14ac:dyDescent="0.2">
      <c r="A81" t="s">
        <v>17</v>
      </c>
      <c r="B81" t="s">
        <v>1041</v>
      </c>
      <c r="C81" t="s">
        <v>27</v>
      </c>
      <c r="D81">
        <v>6</v>
      </c>
      <c r="E81" s="8">
        <v>1.0332090439767465</v>
      </c>
    </row>
    <row r="82" spans="1:5" x14ac:dyDescent="0.2">
      <c r="A82" t="s">
        <v>17</v>
      </c>
      <c r="B82" t="s">
        <v>1041</v>
      </c>
      <c r="C82" t="s">
        <v>1009</v>
      </c>
      <c r="D82">
        <v>1</v>
      </c>
      <c r="E82" s="8">
        <v>0.54468823118328746</v>
      </c>
    </row>
    <row r="83" spans="1:5" x14ac:dyDescent="0.2">
      <c r="A83" t="s">
        <v>17</v>
      </c>
      <c r="B83" t="s">
        <v>1041</v>
      </c>
      <c r="C83" t="s">
        <v>1009</v>
      </c>
      <c r="D83">
        <v>2</v>
      </c>
      <c r="E83" s="8">
        <v>0.5120780354750436</v>
      </c>
    </row>
    <row r="84" spans="1:5" x14ac:dyDescent="0.2">
      <c r="A84" t="s">
        <v>17</v>
      </c>
      <c r="B84" t="s">
        <v>1041</v>
      </c>
      <c r="C84" t="s">
        <v>1009</v>
      </c>
      <c r="D84">
        <v>3</v>
      </c>
      <c r="E84" s="8">
        <v>0.58916705286963078</v>
      </c>
    </row>
    <row r="85" spans="1:5" x14ac:dyDescent="0.2">
      <c r="A85" t="s">
        <v>17</v>
      </c>
      <c r="B85" t="s">
        <v>1041</v>
      </c>
      <c r="C85" t="s">
        <v>1009</v>
      </c>
      <c r="D85">
        <v>4</v>
      </c>
      <c r="E85" s="8">
        <v>0.74248181921000245</v>
      </c>
    </row>
    <row r="86" spans="1:5" x14ac:dyDescent="0.2">
      <c r="A86" t="s">
        <v>17</v>
      </c>
      <c r="B86" t="s">
        <v>1041</v>
      </c>
      <c r="C86" t="s">
        <v>1009</v>
      </c>
      <c r="D86">
        <v>5</v>
      </c>
      <c r="E86" s="8">
        <v>0.53020805393034165</v>
      </c>
    </row>
    <row r="87" spans="1:5" x14ac:dyDescent="0.2">
      <c r="A87" t="s">
        <v>17</v>
      </c>
      <c r="B87" t="s">
        <v>1041</v>
      </c>
      <c r="C87" t="s">
        <v>1009</v>
      </c>
      <c r="D87">
        <v>6</v>
      </c>
      <c r="E87" s="8">
        <v>0.5691580115835021</v>
      </c>
    </row>
    <row r="88" spans="1:5" x14ac:dyDescent="0.2">
      <c r="A88" t="s">
        <v>17</v>
      </c>
      <c r="B88" t="s">
        <v>1041</v>
      </c>
      <c r="C88" t="s">
        <v>1010</v>
      </c>
      <c r="D88">
        <v>1</v>
      </c>
      <c r="E88" s="8">
        <v>0.25318339285223235</v>
      </c>
    </row>
    <row r="89" spans="1:5" x14ac:dyDescent="0.2">
      <c r="A89" t="s">
        <v>17</v>
      </c>
      <c r="B89" t="s">
        <v>1041</v>
      </c>
      <c r="C89" t="s">
        <v>1010</v>
      </c>
      <c r="D89">
        <v>2</v>
      </c>
      <c r="E89" s="8">
        <v>0.55267873610047158</v>
      </c>
    </row>
    <row r="90" spans="1:5" x14ac:dyDescent="0.2">
      <c r="A90" t="s">
        <v>17</v>
      </c>
      <c r="B90" t="s">
        <v>1041</v>
      </c>
      <c r="C90" t="s">
        <v>1010</v>
      </c>
      <c r="D90">
        <v>3</v>
      </c>
      <c r="E90" s="8">
        <v>0.35967948112077702</v>
      </c>
    </row>
    <row r="91" spans="1:5" x14ac:dyDescent="0.2">
      <c r="A91" t="s">
        <v>17</v>
      </c>
      <c r="B91" t="s">
        <v>1041</v>
      </c>
      <c r="C91" t="s">
        <v>1010</v>
      </c>
      <c r="D91">
        <v>4</v>
      </c>
      <c r="E91" s="8">
        <v>0.54595524312438659</v>
      </c>
    </row>
    <row r="92" spans="1:5" x14ac:dyDescent="0.2">
      <c r="A92" t="s">
        <v>17</v>
      </c>
      <c r="B92" t="s">
        <v>1041</v>
      </c>
      <c r="C92" t="s">
        <v>1010</v>
      </c>
      <c r="D92">
        <v>5</v>
      </c>
      <c r="E92" s="8">
        <v>0.38649533187864787</v>
      </c>
    </row>
    <row r="93" spans="1:5" x14ac:dyDescent="0.2">
      <c r="A93" t="s">
        <v>17</v>
      </c>
      <c r="B93" t="s">
        <v>1041</v>
      </c>
      <c r="C93" t="s">
        <v>1011</v>
      </c>
      <c r="D93">
        <v>1</v>
      </c>
      <c r="E93" s="8">
        <v>0.74568463610346702</v>
      </c>
    </row>
    <row r="94" spans="1:5" x14ac:dyDescent="0.2">
      <c r="A94" t="s">
        <v>17</v>
      </c>
      <c r="B94" t="s">
        <v>1041</v>
      </c>
      <c r="C94" t="s">
        <v>1011</v>
      </c>
      <c r="D94">
        <v>2</v>
      </c>
      <c r="E94" s="8">
        <v>0.96484589126151066</v>
      </c>
    </row>
    <row r="95" spans="1:5" x14ac:dyDescent="0.2">
      <c r="A95" t="s">
        <v>17</v>
      </c>
      <c r="B95" t="s">
        <v>1041</v>
      </c>
      <c r="C95" t="s">
        <v>1011</v>
      </c>
      <c r="D95">
        <v>3</v>
      </c>
      <c r="E95" s="8">
        <v>0.70588073179752042</v>
      </c>
    </row>
    <row r="96" spans="1:5" x14ac:dyDescent="0.2">
      <c r="A96" t="s">
        <v>17</v>
      </c>
      <c r="B96" t="s">
        <v>1041</v>
      </c>
      <c r="C96" t="s">
        <v>1011</v>
      </c>
      <c r="D96">
        <v>4</v>
      </c>
      <c r="E96" s="8">
        <v>0.73515642131685677</v>
      </c>
    </row>
    <row r="97" spans="1:5" x14ac:dyDescent="0.2">
      <c r="A97" t="s">
        <v>17</v>
      </c>
      <c r="B97" t="s">
        <v>1041</v>
      </c>
      <c r="C97" t="s">
        <v>1011</v>
      </c>
      <c r="D97">
        <v>5</v>
      </c>
      <c r="E97" s="8">
        <v>1.0973844494401197</v>
      </c>
    </row>
    <row r="98" spans="1:5" x14ac:dyDescent="0.2">
      <c r="A98" t="s">
        <v>18</v>
      </c>
      <c r="B98" t="s">
        <v>20</v>
      </c>
      <c r="C98" t="s">
        <v>1006</v>
      </c>
      <c r="D98">
        <v>1</v>
      </c>
      <c r="E98" s="8">
        <v>0.96453344415400422</v>
      </c>
    </row>
    <row r="99" spans="1:5" x14ac:dyDescent="0.2">
      <c r="A99" t="s">
        <v>18</v>
      </c>
      <c r="B99" t="s">
        <v>20</v>
      </c>
      <c r="C99" t="s">
        <v>1006</v>
      </c>
      <c r="D99">
        <v>2</v>
      </c>
      <c r="E99" s="8">
        <v>0.96796045066211756</v>
      </c>
    </row>
    <row r="100" spans="1:5" x14ac:dyDescent="0.2">
      <c r="A100" t="s">
        <v>18</v>
      </c>
      <c r="B100" t="s">
        <v>20</v>
      </c>
      <c r="C100" t="s">
        <v>1006</v>
      </c>
      <c r="D100">
        <v>3</v>
      </c>
      <c r="E100" s="8">
        <v>0.90267279935912548</v>
      </c>
    </row>
    <row r="101" spans="1:5" x14ac:dyDescent="0.2">
      <c r="A101" t="s">
        <v>18</v>
      </c>
      <c r="B101" t="s">
        <v>20</v>
      </c>
      <c r="C101" t="s">
        <v>1007</v>
      </c>
      <c r="D101">
        <v>1</v>
      </c>
      <c r="E101" s="8">
        <v>0.71774684320099902</v>
      </c>
    </row>
    <row r="102" spans="1:5" x14ac:dyDescent="0.2">
      <c r="A102" t="s">
        <v>18</v>
      </c>
      <c r="B102" t="s">
        <v>20</v>
      </c>
      <c r="C102" t="s">
        <v>1007</v>
      </c>
      <c r="D102">
        <v>2</v>
      </c>
      <c r="E102" s="8">
        <v>0.70301276894584974</v>
      </c>
    </row>
    <row r="103" spans="1:5" x14ac:dyDescent="0.2">
      <c r="A103" t="s">
        <v>18</v>
      </c>
      <c r="B103" t="s">
        <v>20</v>
      </c>
      <c r="C103" t="s">
        <v>1007</v>
      </c>
      <c r="D103">
        <v>3</v>
      </c>
      <c r="E103" s="8">
        <v>0.66773558230507546</v>
      </c>
    </row>
    <row r="104" spans="1:5" x14ac:dyDescent="0.2">
      <c r="A104" t="s">
        <v>18</v>
      </c>
      <c r="B104" t="s">
        <v>20</v>
      </c>
      <c r="C104" t="s">
        <v>26</v>
      </c>
      <c r="D104">
        <v>1</v>
      </c>
      <c r="E104" s="8">
        <v>0.49613169867814622</v>
      </c>
    </row>
    <row r="105" spans="1:5" x14ac:dyDescent="0.2">
      <c r="A105" t="s">
        <v>18</v>
      </c>
      <c r="B105" t="s">
        <v>20</v>
      </c>
      <c r="C105" t="s">
        <v>26</v>
      </c>
      <c r="D105">
        <v>2</v>
      </c>
      <c r="E105" s="8">
        <v>0.4767758698694643</v>
      </c>
    </row>
    <row r="106" spans="1:5" x14ac:dyDescent="0.2">
      <c r="A106" t="s">
        <v>18</v>
      </c>
      <c r="B106" t="s">
        <v>20</v>
      </c>
      <c r="C106" t="s">
        <v>26</v>
      </c>
      <c r="D106">
        <v>3</v>
      </c>
      <c r="E106" s="8">
        <v>0.52822605380732668</v>
      </c>
    </row>
    <row r="107" spans="1:5" x14ac:dyDescent="0.2">
      <c r="A107" t="s">
        <v>18</v>
      </c>
      <c r="B107" t="s">
        <v>20</v>
      </c>
      <c r="C107" t="s">
        <v>947</v>
      </c>
      <c r="D107">
        <v>1</v>
      </c>
      <c r="E107" s="8">
        <v>0.54970006599999999</v>
      </c>
    </row>
    <row r="108" spans="1:5" x14ac:dyDescent="0.2">
      <c r="A108" t="s">
        <v>18</v>
      </c>
      <c r="B108" t="s">
        <v>20</v>
      </c>
      <c r="C108" t="s">
        <v>947</v>
      </c>
      <c r="D108">
        <v>2</v>
      </c>
      <c r="E108" s="8">
        <v>0.6311201042845962</v>
      </c>
    </row>
    <row r="109" spans="1:5" x14ac:dyDescent="0.2">
      <c r="A109" t="s">
        <v>18</v>
      </c>
      <c r="B109" t="s">
        <v>20</v>
      </c>
      <c r="C109" t="s">
        <v>947</v>
      </c>
      <c r="D109">
        <v>3</v>
      </c>
      <c r="E109" s="8">
        <v>0.53868600002482159</v>
      </c>
    </row>
    <row r="110" spans="1:5" x14ac:dyDescent="0.2">
      <c r="A110" t="s">
        <v>18</v>
      </c>
      <c r="B110" t="s">
        <v>20</v>
      </c>
      <c r="C110" t="s">
        <v>1008</v>
      </c>
      <c r="D110">
        <v>1</v>
      </c>
      <c r="E110" s="8">
        <v>0.96937890383569603</v>
      </c>
    </row>
    <row r="111" spans="1:5" x14ac:dyDescent="0.2">
      <c r="A111" t="s">
        <v>18</v>
      </c>
      <c r="B111" t="s">
        <v>20</v>
      </c>
      <c r="C111" t="s">
        <v>1008</v>
      </c>
      <c r="D111">
        <v>2</v>
      </c>
      <c r="E111" s="8">
        <v>0.98953942134297579</v>
      </c>
    </row>
    <row r="112" spans="1:5" x14ac:dyDescent="0.2">
      <c r="A112" t="s">
        <v>18</v>
      </c>
      <c r="B112" t="s">
        <v>20</v>
      </c>
      <c r="C112" t="s">
        <v>1008</v>
      </c>
      <c r="D112">
        <v>3</v>
      </c>
      <c r="E112" s="8">
        <v>0.9441911278125299</v>
      </c>
    </row>
    <row r="113" spans="1:5" x14ac:dyDescent="0.2">
      <c r="A113" t="s">
        <v>18</v>
      </c>
      <c r="B113" t="s">
        <v>20</v>
      </c>
      <c r="C113" t="s">
        <v>27</v>
      </c>
      <c r="D113">
        <v>1</v>
      </c>
      <c r="E113" s="8">
        <v>0.96357654778579849</v>
      </c>
    </row>
    <row r="114" spans="1:5" x14ac:dyDescent="0.2">
      <c r="A114" t="s">
        <v>18</v>
      </c>
      <c r="B114" t="s">
        <v>20</v>
      </c>
      <c r="C114" t="s">
        <v>27</v>
      </c>
      <c r="D114">
        <v>2</v>
      </c>
      <c r="E114" s="8">
        <v>0.96089451656582958</v>
      </c>
    </row>
    <row r="115" spans="1:5" x14ac:dyDescent="0.2">
      <c r="A115" t="s">
        <v>18</v>
      </c>
      <c r="B115" t="s">
        <v>20</v>
      </c>
      <c r="C115" t="s">
        <v>27</v>
      </c>
      <c r="D115">
        <v>3</v>
      </c>
      <c r="E115" s="8">
        <v>0.93881374391486883</v>
      </c>
    </row>
    <row r="116" spans="1:5" x14ac:dyDescent="0.2">
      <c r="A116" t="s">
        <v>18</v>
      </c>
      <c r="B116" t="s">
        <v>20</v>
      </c>
      <c r="C116" t="s">
        <v>1009</v>
      </c>
      <c r="D116">
        <v>1</v>
      </c>
      <c r="E116" s="8">
        <v>0.87495352354920564</v>
      </c>
    </row>
    <row r="117" spans="1:5" x14ac:dyDescent="0.2">
      <c r="A117" t="s">
        <v>18</v>
      </c>
      <c r="B117" t="s">
        <v>20</v>
      </c>
      <c r="C117" t="s">
        <v>1009</v>
      </c>
      <c r="D117">
        <v>2</v>
      </c>
      <c r="E117" s="8">
        <v>0.54671718689899973</v>
      </c>
    </row>
    <row r="118" spans="1:5" x14ac:dyDescent="0.2">
      <c r="A118" t="s">
        <v>18</v>
      </c>
      <c r="B118" t="s">
        <v>20</v>
      </c>
      <c r="C118" t="s">
        <v>1009</v>
      </c>
      <c r="D118">
        <v>3</v>
      </c>
      <c r="E118" s="8">
        <v>0.27678796280466023</v>
      </c>
    </row>
    <row r="119" spans="1:5" x14ac:dyDescent="0.2">
      <c r="A119" t="s">
        <v>18</v>
      </c>
      <c r="B119" t="s">
        <v>20</v>
      </c>
      <c r="C119" t="s">
        <v>1010</v>
      </c>
      <c r="D119">
        <v>1</v>
      </c>
      <c r="E119" s="8">
        <v>0.19001652527149163</v>
      </c>
    </row>
    <row r="120" spans="1:5" x14ac:dyDescent="0.2">
      <c r="A120" t="s">
        <v>18</v>
      </c>
      <c r="B120" t="s">
        <v>20</v>
      </c>
      <c r="C120" t="s">
        <v>1010</v>
      </c>
      <c r="D120">
        <v>2</v>
      </c>
      <c r="E120" s="8">
        <v>0.29673833687845746</v>
      </c>
    </row>
    <row r="121" spans="1:5" x14ac:dyDescent="0.2">
      <c r="A121" t="s">
        <v>18</v>
      </c>
      <c r="B121" t="s">
        <v>20</v>
      </c>
      <c r="C121" t="s">
        <v>1010</v>
      </c>
      <c r="D121">
        <v>3</v>
      </c>
      <c r="E121" s="8">
        <v>0.22659129742229514</v>
      </c>
    </row>
    <row r="122" spans="1:5" x14ac:dyDescent="0.2">
      <c r="A122" t="s">
        <v>18</v>
      </c>
      <c r="B122" t="s">
        <v>20</v>
      </c>
      <c r="C122" t="s">
        <v>1011</v>
      </c>
      <c r="D122">
        <v>1</v>
      </c>
      <c r="E122" s="8">
        <v>1.0048156515559914</v>
      </c>
    </row>
    <row r="123" spans="1:5" x14ac:dyDescent="0.2">
      <c r="A123" t="s">
        <v>18</v>
      </c>
      <c r="B123" t="s">
        <v>20</v>
      </c>
      <c r="C123" t="s">
        <v>1011</v>
      </c>
      <c r="D123">
        <v>2</v>
      </c>
      <c r="E123" s="8">
        <v>0.98737403195568818</v>
      </c>
    </row>
    <row r="124" spans="1:5" x14ac:dyDescent="0.2">
      <c r="A124" t="s">
        <v>18</v>
      </c>
      <c r="B124" t="s">
        <v>20</v>
      </c>
      <c r="C124" t="s">
        <v>1011</v>
      </c>
      <c r="D124">
        <v>3</v>
      </c>
      <c r="E124" s="8">
        <v>0.97733273834102863</v>
      </c>
    </row>
    <row r="125" spans="1:5" x14ac:dyDescent="0.2">
      <c r="A125" t="s">
        <v>17</v>
      </c>
      <c r="B125" t="s">
        <v>20</v>
      </c>
      <c r="C125" t="s">
        <v>1006</v>
      </c>
      <c r="D125">
        <v>1</v>
      </c>
      <c r="E125" s="8">
        <v>0.96858376000000002</v>
      </c>
    </row>
    <row r="126" spans="1:5" x14ac:dyDescent="0.2">
      <c r="A126" t="s">
        <v>17</v>
      </c>
      <c r="B126" t="s">
        <v>20</v>
      </c>
      <c r="C126" t="s">
        <v>1006</v>
      </c>
      <c r="D126">
        <v>2</v>
      </c>
      <c r="E126" s="8">
        <v>0.90704476000000001</v>
      </c>
    </row>
    <row r="127" spans="1:5" x14ac:dyDescent="0.2">
      <c r="A127" t="s">
        <v>17</v>
      </c>
      <c r="B127" t="s">
        <v>20</v>
      </c>
      <c r="C127" t="s">
        <v>1006</v>
      </c>
      <c r="D127">
        <v>3</v>
      </c>
      <c r="E127" s="8">
        <v>0.88755653999999995</v>
      </c>
    </row>
    <row r="128" spans="1:5" x14ac:dyDescent="0.2">
      <c r="A128" t="s">
        <v>17</v>
      </c>
      <c r="B128" t="s">
        <v>20</v>
      </c>
      <c r="C128" t="s">
        <v>1006</v>
      </c>
      <c r="D128">
        <v>4</v>
      </c>
      <c r="E128" s="8">
        <v>0.97826358999999996</v>
      </c>
    </row>
    <row r="129" spans="1:5" x14ac:dyDescent="0.2">
      <c r="A129" t="s">
        <v>17</v>
      </c>
      <c r="B129" t="s">
        <v>20</v>
      </c>
      <c r="C129" t="s">
        <v>1007</v>
      </c>
      <c r="D129">
        <v>1</v>
      </c>
      <c r="E129" s="8">
        <v>0.79172443000000003</v>
      </c>
    </row>
    <row r="130" spans="1:5" x14ac:dyDescent="0.2">
      <c r="A130" t="s">
        <v>17</v>
      </c>
      <c r="B130" t="s">
        <v>20</v>
      </c>
      <c r="C130" t="s">
        <v>1007</v>
      </c>
      <c r="D130">
        <v>2</v>
      </c>
      <c r="E130" s="8">
        <v>0.75232911999999996</v>
      </c>
    </row>
    <row r="131" spans="1:5" x14ac:dyDescent="0.2">
      <c r="A131" t="s">
        <v>17</v>
      </c>
      <c r="B131" t="s">
        <v>20</v>
      </c>
      <c r="C131" t="s">
        <v>1007</v>
      </c>
      <c r="D131">
        <v>3</v>
      </c>
      <c r="E131" s="8">
        <v>0.76390910000000001</v>
      </c>
    </row>
    <row r="132" spans="1:5" x14ac:dyDescent="0.2">
      <c r="A132" t="s">
        <v>17</v>
      </c>
      <c r="B132" t="s">
        <v>20</v>
      </c>
      <c r="C132" t="s">
        <v>26</v>
      </c>
      <c r="D132">
        <v>1</v>
      </c>
      <c r="E132" s="8">
        <v>0.83310580000000001</v>
      </c>
    </row>
    <row r="133" spans="1:5" x14ac:dyDescent="0.2">
      <c r="A133" t="s">
        <v>17</v>
      </c>
      <c r="B133" t="s">
        <v>20</v>
      </c>
      <c r="C133" t="s">
        <v>26</v>
      </c>
      <c r="D133">
        <v>2</v>
      </c>
      <c r="E133" s="8">
        <v>0.85288273000000003</v>
      </c>
    </row>
    <row r="134" spans="1:5" x14ac:dyDescent="0.2">
      <c r="A134" t="s">
        <v>17</v>
      </c>
      <c r="B134" t="s">
        <v>20</v>
      </c>
      <c r="C134" t="s">
        <v>26</v>
      </c>
      <c r="D134">
        <v>3</v>
      </c>
      <c r="E134" s="8">
        <v>0.87970952000000002</v>
      </c>
    </row>
    <row r="135" spans="1:5" x14ac:dyDescent="0.2">
      <c r="A135" t="s">
        <v>17</v>
      </c>
      <c r="B135" t="s">
        <v>20</v>
      </c>
      <c r="C135" t="s">
        <v>26</v>
      </c>
      <c r="D135">
        <v>4</v>
      </c>
      <c r="E135" s="8">
        <v>0.69636911000000001</v>
      </c>
    </row>
    <row r="136" spans="1:5" x14ac:dyDescent="0.2">
      <c r="A136" t="s">
        <v>17</v>
      </c>
      <c r="B136" t="s">
        <v>20</v>
      </c>
      <c r="C136" t="s">
        <v>947</v>
      </c>
      <c r="D136">
        <v>1</v>
      </c>
      <c r="E136" s="8">
        <v>0.61998662000000004</v>
      </c>
    </row>
    <row r="137" spans="1:5" x14ac:dyDescent="0.2">
      <c r="A137" t="s">
        <v>17</v>
      </c>
      <c r="B137" t="s">
        <v>20</v>
      </c>
      <c r="C137" t="s">
        <v>947</v>
      </c>
      <c r="D137">
        <v>2</v>
      </c>
      <c r="E137" s="8">
        <v>0.55270686000000002</v>
      </c>
    </row>
    <row r="138" spans="1:5" x14ac:dyDescent="0.2">
      <c r="A138" t="s">
        <v>17</v>
      </c>
      <c r="B138" t="s">
        <v>20</v>
      </c>
      <c r="C138" t="s">
        <v>947</v>
      </c>
      <c r="D138">
        <v>3</v>
      </c>
      <c r="E138" s="8">
        <v>0.57542055000000003</v>
      </c>
    </row>
    <row r="139" spans="1:5" x14ac:dyDescent="0.2">
      <c r="A139" t="s">
        <v>17</v>
      </c>
      <c r="B139" t="s">
        <v>20</v>
      </c>
      <c r="C139" t="s">
        <v>947</v>
      </c>
      <c r="D139">
        <v>4</v>
      </c>
      <c r="E139" s="8">
        <v>0.58179689999999995</v>
      </c>
    </row>
    <row r="140" spans="1:5" x14ac:dyDescent="0.2">
      <c r="A140" t="s">
        <v>17</v>
      </c>
      <c r="B140" t="s">
        <v>20</v>
      </c>
      <c r="C140" t="s">
        <v>947</v>
      </c>
      <c r="D140">
        <v>5</v>
      </c>
      <c r="E140" s="8">
        <v>0.55254857999999996</v>
      </c>
    </row>
    <row r="141" spans="1:5" x14ac:dyDescent="0.2">
      <c r="A141" t="s">
        <v>17</v>
      </c>
      <c r="B141" t="s">
        <v>20</v>
      </c>
      <c r="C141" t="s">
        <v>1008</v>
      </c>
      <c r="D141">
        <v>1</v>
      </c>
      <c r="E141" s="8">
        <v>0.95308068000000001</v>
      </c>
    </row>
    <row r="142" spans="1:5" x14ac:dyDescent="0.2">
      <c r="A142" t="s">
        <v>17</v>
      </c>
      <c r="B142" t="s">
        <v>20</v>
      </c>
      <c r="C142" t="s">
        <v>1008</v>
      </c>
      <c r="D142">
        <v>2</v>
      </c>
      <c r="E142" s="8">
        <v>0.88823282999999997</v>
      </c>
    </row>
    <row r="143" spans="1:5" x14ac:dyDescent="0.2">
      <c r="A143" t="s">
        <v>17</v>
      </c>
      <c r="B143" t="s">
        <v>20</v>
      </c>
      <c r="C143" t="s">
        <v>1008</v>
      </c>
      <c r="D143">
        <v>3</v>
      </c>
      <c r="E143" s="8">
        <v>0.93435632999999996</v>
      </c>
    </row>
    <row r="144" spans="1:5" x14ac:dyDescent="0.2">
      <c r="A144" t="s">
        <v>17</v>
      </c>
      <c r="B144" t="s">
        <v>20</v>
      </c>
      <c r="C144" t="s">
        <v>1008</v>
      </c>
      <c r="D144">
        <v>4</v>
      </c>
      <c r="E144" s="8">
        <v>0.98001190000000005</v>
      </c>
    </row>
    <row r="145" spans="1:5" x14ac:dyDescent="0.2">
      <c r="A145" t="s">
        <v>17</v>
      </c>
      <c r="B145" t="s">
        <v>20</v>
      </c>
      <c r="C145" t="s">
        <v>27</v>
      </c>
      <c r="D145">
        <v>1</v>
      </c>
      <c r="E145" s="8">
        <v>0.77548826999999998</v>
      </c>
    </row>
    <row r="146" spans="1:5" x14ac:dyDescent="0.2">
      <c r="A146" t="s">
        <v>17</v>
      </c>
      <c r="B146" t="s">
        <v>20</v>
      </c>
      <c r="C146" t="s">
        <v>27</v>
      </c>
      <c r="D146">
        <v>2</v>
      </c>
      <c r="E146" s="8">
        <v>0.79803749000000002</v>
      </c>
    </row>
    <row r="147" spans="1:5" x14ac:dyDescent="0.2">
      <c r="A147" t="s">
        <v>17</v>
      </c>
      <c r="B147" t="s">
        <v>20</v>
      </c>
      <c r="C147" t="s">
        <v>27</v>
      </c>
      <c r="D147">
        <v>3</v>
      </c>
      <c r="E147" s="8">
        <v>0.82057701999999999</v>
      </c>
    </row>
    <row r="148" spans="1:5" x14ac:dyDescent="0.2">
      <c r="A148" t="s">
        <v>17</v>
      </c>
      <c r="B148" t="s">
        <v>20</v>
      </c>
      <c r="C148" t="s">
        <v>27</v>
      </c>
      <c r="D148">
        <v>4</v>
      </c>
      <c r="E148" s="8">
        <v>0.83528921</v>
      </c>
    </row>
    <row r="149" spans="1:5" x14ac:dyDescent="0.2">
      <c r="A149" t="s">
        <v>17</v>
      </c>
      <c r="B149" t="s">
        <v>20</v>
      </c>
      <c r="C149" t="s">
        <v>1009</v>
      </c>
      <c r="D149">
        <v>1</v>
      </c>
      <c r="E149" s="8">
        <v>0.78846098099999995</v>
      </c>
    </row>
    <row r="150" spans="1:5" x14ac:dyDescent="0.2">
      <c r="A150" t="s">
        <v>17</v>
      </c>
      <c r="B150" t="s">
        <v>20</v>
      </c>
      <c r="C150" t="s">
        <v>1009</v>
      </c>
      <c r="D150">
        <v>2</v>
      </c>
      <c r="E150" s="8">
        <v>0.94279599000000003</v>
      </c>
    </row>
    <row r="151" spans="1:5" x14ac:dyDescent="0.2">
      <c r="A151" t="s">
        <v>17</v>
      </c>
      <c r="B151" t="s">
        <v>20</v>
      </c>
      <c r="C151" t="s">
        <v>1009</v>
      </c>
      <c r="D151">
        <v>3</v>
      </c>
      <c r="E151" s="8">
        <v>0.95367528999999995</v>
      </c>
    </row>
    <row r="152" spans="1:5" x14ac:dyDescent="0.2">
      <c r="A152" t="s">
        <v>17</v>
      </c>
      <c r="B152" t="s">
        <v>20</v>
      </c>
      <c r="C152" t="s">
        <v>1010</v>
      </c>
      <c r="D152">
        <v>1</v>
      </c>
      <c r="E152" s="8">
        <v>0.63084612699999998</v>
      </c>
    </row>
    <row r="153" spans="1:5" x14ac:dyDescent="0.2">
      <c r="A153" t="s">
        <v>17</v>
      </c>
      <c r="B153" t="s">
        <v>20</v>
      </c>
      <c r="C153" t="s">
        <v>1010</v>
      </c>
      <c r="D153">
        <v>2</v>
      </c>
      <c r="E153" s="8">
        <v>0.58892798999999996</v>
      </c>
    </row>
    <row r="154" spans="1:5" x14ac:dyDescent="0.2">
      <c r="A154" t="s">
        <v>17</v>
      </c>
      <c r="B154" t="s">
        <v>20</v>
      </c>
      <c r="C154" t="s">
        <v>1010</v>
      </c>
      <c r="D154">
        <v>3</v>
      </c>
      <c r="E154" s="8">
        <v>0.54999549999999997</v>
      </c>
    </row>
    <row r="155" spans="1:5" x14ac:dyDescent="0.2">
      <c r="A155" t="s">
        <v>17</v>
      </c>
      <c r="B155" t="s">
        <v>20</v>
      </c>
      <c r="C155" t="s">
        <v>1010</v>
      </c>
      <c r="D155">
        <v>4</v>
      </c>
      <c r="E155" s="8">
        <v>0.42747147000000002</v>
      </c>
    </row>
    <row r="156" spans="1:5" x14ac:dyDescent="0.2">
      <c r="A156" t="s">
        <v>17</v>
      </c>
      <c r="B156" t="s">
        <v>20</v>
      </c>
      <c r="C156" t="s">
        <v>1010</v>
      </c>
      <c r="D156">
        <v>5</v>
      </c>
      <c r="E156" s="8">
        <v>0.59283034999999995</v>
      </c>
    </row>
    <row r="157" spans="1:5" x14ac:dyDescent="0.2">
      <c r="A157" t="s">
        <v>17</v>
      </c>
      <c r="B157" t="s">
        <v>20</v>
      </c>
      <c r="C157" t="s">
        <v>1011</v>
      </c>
      <c r="D157">
        <v>1</v>
      </c>
      <c r="E157" s="8">
        <v>0.93571700000000002</v>
      </c>
    </row>
    <row r="158" spans="1:5" x14ac:dyDescent="0.2">
      <c r="A158" t="s">
        <v>17</v>
      </c>
      <c r="B158" t="s">
        <v>20</v>
      </c>
      <c r="C158" t="s">
        <v>1011</v>
      </c>
      <c r="D158">
        <v>2</v>
      </c>
      <c r="E158" s="8">
        <v>0.97040506000000004</v>
      </c>
    </row>
    <row r="159" spans="1:5" x14ac:dyDescent="0.2">
      <c r="A159" t="s">
        <v>17</v>
      </c>
      <c r="B159" t="s">
        <v>20</v>
      </c>
      <c r="C159" t="s">
        <v>1011</v>
      </c>
      <c r="D159">
        <v>3</v>
      </c>
      <c r="E159" s="8">
        <v>0.95480714</v>
      </c>
    </row>
    <row r="160" spans="1:5" x14ac:dyDescent="0.2">
      <c r="A160" t="s">
        <v>17</v>
      </c>
      <c r="B160" t="s">
        <v>20</v>
      </c>
      <c r="C160" t="s">
        <v>1011</v>
      </c>
      <c r="D160">
        <v>4</v>
      </c>
      <c r="E160" s="8">
        <v>0.98045468999999996</v>
      </c>
    </row>
  </sheetData>
  <sortState xmlns:xlrd2="http://schemas.microsoft.com/office/spreadsheetml/2017/richdata2" ref="G100:H126">
    <sortCondition ref="G100:G126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BEF8-59BB-2545-B905-FDB241DAD109}">
  <dimension ref="A1:AG79"/>
  <sheetViews>
    <sheetView topLeftCell="A30" workbookViewId="0">
      <selection activeCell="S48" sqref="S48"/>
    </sheetView>
  </sheetViews>
  <sheetFormatPr baseColWidth="10" defaultRowHeight="16" x14ac:dyDescent="0.2"/>
  <cols>
    <col min="1" max="1" width="22.5" bestFit="1" customWidth="1"/>
    <col min="2" max="2" width="16.6640625" bestFit="1" customWidth="1"/>
    <col min="3" max="3" width="16" bestFit="1" customWidth="1"/>
    <col min="4" max="4" width="7.33203125" bestFit="1" customWidth="1"/>
    <col min="5" max="5" width="14.5" bestFit="1" customWidth="1"/>
    <col min="6" max="6" width="5.83203125" bestFit="1" customWidth="1"/>
  </cols>
  <sheetData>
    <row r="1" spans="1:33" x14ac:dyDescent="0.2">
      <c r="A1" t="s">
        <v>1071</v>
      </c>
      <c r="B1" t="s">
        <v>1063</v>
      </c>
      <c r="C1" t="s">
        <v>0</v>
      </c>
      <c r="D1" t="s">
        <v>1064</v>
      </c>
      <c r="E1" t="s">
        <v>1065</v>
      </c>
    </row>
    <row r="2" spans="1:33" x14ac:dyDescent="0.2">
      <c r="A2" t="s">
        <v>1073</v>
      </c>
      <c r="B2">
        <v>0</v>
      </c>
      <c r="C2" t="s">
        <v>1066</v>
      </c>
      <c r="D2" t="s">
        <v>1067</v>
      </c>
      <c r="E2">
        <v>9</v>
      </c>
    </row>
    <row r="3" spans="1:33" x14ac:dyDescent="0.2">
      <c r="A3" t="s">
        <v>1074</v>
      </c>
      <c r="B3">
        <v>0</v>
      </c>
      <c r="C3" t="s">
        <v>1066</v>
      </c>
      <c r="D3" t="s">
        <v>1068</v>
      </c>
      <c r="E3">
        <v>6</v>
      </c>
    </row>
    <row r="4" spans="1:33" x14ac:dyDescent="0.2">
      <c r="A4" t="s">
        <v>1075</v>
      </c>
      <c r="B4">
        <v>0</v>
      </c>
      <c r="C4" t="s">
        <v>1066</v>
      </c>
      <c r="D4" t="s">
        <v>1069</v>
      </c>
      <c r="E4">
        <v>21</v>
      </c>
    </row>
    <row r="5" spans="1:33" x14ac:dyDescent="0.2">
      <c r="A5" t="s">
        <v>1076</v>
      </c>
      <c r="B5">
        <v>0</v>
      </c>
      <c r="C5" t="s">
        <v>1070</v>
      </c>
      <c r="D5" t="s">
        <v>1067</v>
      </c>
      <c r="E5">
        <v>9</v>
      </c>
    </row>
    <row r="6" spans="1:33" x14ac:dyDescent="0.2">
      <c r="A6" t="s">
        <v>1077</v>
      </c>
      <c r="B6">
        <v>0</v>
      </c>
      <c r="C6" t="s">
        <v>1070</v>
      </c>
      <c r="D6" t="s">
        <v>1068</v>
      </c>
      <c r="E6">
        <v>2</v>
      </c>
    </row>
    <row r="7" spans="1:33" x14ac:dyDescent="0.2">
      <c r="A7" t="s">
        <v>1078</v>
      </c>
      <c r="B7">
        <v>0</v>
      </c>
      <c r="C7" t="s">
        <v>1070</v>
      </c>
      <c r="D7" t="s">
        <v>1069</v>
      </c>
      <c r="E7">
        <v>25</v>
      </c>
    </row>
    <row r="8" spans="1:33" x14ac:dyDescent="0.2">
      <c r="A8" t="s">
        <v>1079</v>
      </c>
      <c r="B8">
        <v>0.05</v>
      </c>
      <c r="C8" t="s">
        <v>1066</v>
      </c>
      <c r="D8" t="s">
        <v>1067</v>
      </c>
      <c r="E8">
        <v>3</v>
      </c>
    </row>
    <row r="9" spans="1:33" x14ac:dyDescent="0.2">
      <c r="A9" t="s">
        <v>1080</v>
      </c>
      <c r="B9">
        <v>0.05</v>
      </c>
      <c r="C9" t="s">
        <v>1066</v>
      </c>
      <c r="D9" t="s">
        <v>1068</v>
      </c>
      <c r="E9">
        <v>4</v>
      </c>
    </row>
    <row r="10" spans="1:33" x14ac:dyDescent="0.2">
      <c r="A10" t="s">
        <v>1081</v>
      </c>
      <c r="B10">
        <v>0.05</v>
      </c>
      <c r="C10" t="s">
        <v>1066</v>
      </c>
      <c r="D10" t="s">
        <v>1069</v>
      </c>
      <c r="E10">
        <v>29</v>
      </c>
    </row>
    <row r="11" spans="1:33" x14ac:dyDescent="0.2">
      <c r="A11" t="s">
        <v>1082</v>
      </c>
      <c r="B11">
        <v>0.05</v>
      </c>
      <c r="C11" t="s">
        <v>1070</v>
      </c>
      <c r="D11" t="s">
        <v>1067</v>
      </c>
      <c r="E11">
        <v>9</v>
      </c>
    </row>
    <row r="12" spans="1:33" x14ac:dyDescent="0.2">
      <c r="A12" t="s">
        <v>1083</v>
      </c>
      <c r="B12">
        <v>0.05</v>
      </c>
      <c r="C12" t="s">
        <v>1070</v>
      </c>
      <c r="D12" t="s">
        <v>1068</v>
      </c>
      <c r="E12">
        <v>2</v>
      </c>
    </row>
    <row r="13" spans="1:33" x14ac:dyDescent="0.2">
      <c r="A13" t="s">
        <v>1084</v>
      </c>
      <c r="B13">
        <v>0.05</v>
      </c>
      <c r="C13" t="s">
        <v>1070</v>
      </c>
      <c r="D13" t="s">
        <v>1069</v>
      </c>
      <c r="E13">
        <v>25</v>
      </c>
    </row>
    <row r="14" spans="1:33" x14ac:dyDescent="0.2">
      <c r="A14" t="s">
        <v>1085</v>
      </c>
      <c r="B14">
        <v>0.1</v>
      </c>
      <c r="C14" t="s">
        <v>1066</v>
      </c>
      <c r="D14" t="s">
        <v>1067</v>
      </c>
      <c r="E14">
        <v>2</v>
      </c>
      <c r="L14" s="5"/>
      <c r="M14" s="5"/>
      <c r="N14" s="5"/>
      <c r="O14" s="5"/>
      <c r="P14" s="5"/>
      <c r="Q14" s="5"/>
      <c r="R14" s="5"/>
      <c r="S14" s="5"/>
      <c r="T14" s="10"/>
      <c r="U14" s="5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x14ac:dyDescent="0.2">
      <c r="A15" t="s">
        <v>1086</v>
      </c>
      <c r="B15">
        <v>0.1</v>
      </c>
      <c r="C15" t="s">
        <v>1066</v>
      </c>
      <c r="D15" t="s">
        <v>1068</v>
      </c>
      <c r="E15">
        <v>1</v>
      </c>
    </row>
    <row r="16" spans="1:33" x14ac:dyDescent="0.2">
      <c r="A16" t="s">
        <v>1087</v>
      </c>
      <c r="B16">
        <v>0.1</v>
      </c>
      <c r="C16" t="s">
        <v>1066</v>
      </c>
      <c r="D16" t="s">
        <v>1069</v>
      </c>
      <c r="E16">
        <v>33</v>
      </c>
    </row>
    <row r="17" spans="1:5" x14ac:dyDescent="0.2">
      <c r="A17" t="s">
        <v>1088</v>
      </c>
      <c r="B17">
        <v>0.1</v>
      </c>
      <c r="C17" t="s">
        <v>1070</v>
      </c>
      <c r="D17" t="s">
        <v>1067</v>
      </c>
      <c r="E17">
        <v>7</v>
      </c>
    </row>
    <row r="18" spans="1:5" x14ac:dyDescent="0.2">
      <c r="A18" t="s">
        <v>1089</v>
      </c>
      <c r="B18">
        <v>0.1</v>
      </c>
      <c r="C18" t="s">
        <v>1070</v>
      </c>
      <c r="D18" t="s">
        <v>1068</v>
      </c>
      <c r="E18">
        <v>1</v>
      </c>
    </row>
    <row r="19" spans="1:5" x14ac:dyDescent="0.2">
      <c r="A19" t="s">
        <v>1090</v>
      </c>
      <c r="B19">
        <v>0.1</v>
      </c>
      <c r="C19" t="s">
        <v>1070</v>
      </c>
      <c r="D19" t="s">
        <v>1069</v>
      </c>
      <c r="E19">
        <v>28</v>
      </c>
    </row>
    <row r="20" spans="1:5" x14ac:dyDescent="0.2">
      <c r="A20" t="s">
        <v>1091</v>
      </c>
      <c r="B20">
        <v>0.15</v>
      </c>
      <c r="C20" t="s">
        <v>1066</v>
      </c>
      <c r="D20" t="s">
        <v>1067</v>
      </c>
      <c r="E20">
        <v>1</v>
      </c>
    </row>
    <row r="21" spans="1:5" x14ac:dyDescent="0.2">
      <c r="A21" t="s">
        <v>1092</v>
      </c>
      <c r="B21">
        <v>0.15</v>
      </c>
      <c r="C21" t="s">
        <v>1066</v>
      </c>
      <c r="D21" t="s">
        <v>1068</v>
      </c>
      <c r="E21">
        <v>1</v>
      </c>
    </row>
    <row r="22" spans="1:5" x14ac:dyDescent="0.2">
      <c r="A22" t="s">
        <v>1093</v>
      </c>
      <c r="B22">
        <v>0.15</v>
      </c>
      <c r="C22" t="s">
        <v>1066</v>
      </c>
      <c r="D22" t="s">
        <v>1069</v>
      </c>
      <c r="E22">
        <v>34</v>
      </c>
    </row>
    <row r="23" spans="1:5" x14ac:dyDescent="0.2">
      <c r="A23" t="s">
        <v>1094</v>
      </c>
      <c r="B23">
        <v>0.15</v>
      </c>
      <c r="C23" t="s">
        <v>1070</v>
      </c>
      <c r="D23" t="s">
        <v>1067</v>
      </c>
      <c r="E23">
        <v>4</v>
      </c>
    </row>
    <row r="24" spans="1:5" x14ac:dyDescent="0.2">
      <c r="A24" t="s">
        <v>1095</v>
      </c>
      <c r="B24">
        <v>0.15</v>
      </c>
      <c r="C24" t="s">
        <v>1070</v>
      </c>
      <c r="D24" t="s">
        <v>1068</v>
      </c>
      <c r="E24">
        <v>1</v>
      </c>
    </row>
    <row r="25" spans="1:5" x14ac:dyDescent="0.2">
      <c r="A25" t="s">
        <v>1096</v>
      </c>
      <c r="B25">
        <v>0.15</v>
      </c>
      <c r="C25" t="s">
        <v>1070</v>
      </c>
      <c r="D25" t="s">
        <v>1069</v>
      </c>
      <c r="E25">
        <v>31</v>
      </c>
    </row>
    <row r="26" spans="1:5" x14ac:dyDescent="0.2">
      <c r="A26" t="s">
        <v>1097</v>
      </c>
      <c r="B26">
        <v>0.2</v>
      </c>
      <c r="C26" t="s">
        <v>1066</v>
      </c>
      <c r="D26" t="s">
        <v>1067</v>
      </c>
      <c r="E26">
        <v>0</v>
      </c>
    </row>
    <row r="27" spans="1:5" x14ac:dyDescent="0.2">
      <c r="A27" t="s">
        <v>1098</v>
      </c>
      <c r="B27">
        <v>0.2</v>
      </c>
      <c r="C27" t="s">
        <v>1066</v>
      </c>
      <c r="D27" t="s">
        <v>1068</v>
      </c>
      <c r="E27">
        <v>1</v>
      </c>
    </row>
    <row r="28" spans="1:5" x14ac:dyDescent="0.2">
      <c r="A28" t="s">
        <v>1099</v>
      </c>
      <c r="B28">
        <v>0.2</v>
      </c>
      <c r="C28" t="s">
        <v>1066</v>
      </c>
      <c r="D28" t="s">
        <v>1069</v>
      </c>
      <c r="E28">
        <v>35</v>
      </c>
    </row>
    <row r="29" spans="1:5" x14ac:dyDescent="0.2">
      <c r="A29" t="s">
        <v>1100</v>
      </c>
      <c r="B29">
        <v>0.2</v>
      </c>
      <c r="C29" t="s">
        <v>1070</v>
      </c>
      <c r="D29" t="s">
        <v>1067</v>
      </c>
      <c r="E29">
        <v>2</v>
      </c>
    </row>
    <row r="30" spans="1:5" x14ac:dyDescent="0.2">
      <c r="A30" t="s">
        <v>1101</v>
      </c>
      <c r="B30">
        <v>0.2</v>
      </c>
      <c r="C30" t="s">
        <v>1070</v>
      </c>
      <c r="D30" t="s">
        <v>1068</v>
      </c>
      <c r="E30">
        <v>1</v>
      </c>
    </row>
    <row r="31" spans="1:5" x14ac:dyDescent="0.2">
      <c r="A31" t="s">
        <v>1102</v>
      </c>
      <c r="B31">
        <v>0.2</v>
      </c>
      <c r="C31" t="s">
        <v>1070</v>
      </c>
      <c r="D31" t="s">
        <v>1069</v>
      </c>
      <c r="E31">
        <v>33</v>
      </c>
    </row>
    <row r="32" spans="1:5" x14ac:dyDescent="0.2">
      <c r="A32" t="s">
        <v>1103</v>
      </c>
      <c r="B32">
        <v>0.25</v>
      </c>
      <c r="C32" t="s">
        <v>1066</v>
      </c>
      <c r="D32" t="s">
        <v>1067</v>
      </c>
      <c r="E32">
        <v>0</v>
      </c>
    </row>
    <row r="33" spans="1:5" x14ac:dyDescent="0.2">
      <c r="A33" t="s">
        <v>1104</v>
      </c>
      <c r="B33">
        <v>0.25</v>
      </c>
      <c r="C33" t="s">
        <v>1066</v>
      </c>
      <c r="D33" t="s">
        <v>1068</v>
      </c>
      <c r="E33">
        <v>1</v>
      </c>
    </row>
    <row r="34" spans="1:5" x14ac:dyDescent="0.2">
      <c r="A34" t="s">
        <v>1105</v>
      </c>
      <c r="B34">
        <v>0.25</v>
      </c>
      <c r="C34" t="s">
        <v>1066</v>
      </c>
      <c r="D34" t="s">
        <v>1069</v>
      </c>
      <c r="E34">
        <v>35</v>
      </c>
    </row>
    <row r="35" spans="1:5" x14ac:dyDescent="0.2">
      <c r="A35" t="s">
        <v>1106</v>
      </c>
      <c r="B35">
        <v>0.25</v>
      </c>
      <c r="C35" t="s">
        <v>1070</v>
      </c>
      <c r="D35" t="s">
        <v>1067</v>
      </c>
      <c r="E35">
        <v>2</v>
      </c>
    </row>
    <row r="36" spans="1:5" x14ac:dyDescent="0.2">
      <c r="A36" t="s">
        <v>1107</v>
      </c>
      <c r="B36">
        <v>0.25</v>
      </c>
      <c r="C36" t="s">
        <v>1070</v>
      </c>
      <c r="D36" t="s">
        <v>1068</v>
      </c>
      <c r="E36">
        <v>1</v>
      </c>
    </row>
    <row r="37" spans="1:5" x14ac:dyDescent="0.2">
      <c r="A37" t="s">
        <v>1108</v>
      </c>
      <c r="B37">
        <v>0.25</v>
      </c>
      <c r="C37" t="s">
        <v>1070</v>
      </c>
      <c r="D37" t="s">
        <v>1069</v>
      </c>
      <c r="E37">
        <v>33</v>
      </c>
    </row>
    <row r="38" spans="1:5" x14ac:dyDescent="0.2">
      <c r="A38" t="s">
        <v>1109</v>
      </c>
      <c r="B38">
        <v>0.3</v>
      </c>
      <c r="C38" t="s">
        <v>1066</v>
      </c>
      <c r="D38" t="s">
        <v>1067</v>
      </c>
      <c r="E38">
        <v>0</v>
      </c>
    </row>
    <row r="39" spans="1:5" x14ac:dyDescent="0.2">
      <c r="A39" t="s">
        <v>1110</v>
      </c>
      <c r="B39">
        <v>0.3</v>
      </c>
      <c r="C39" t="s">
        <v>1066</v>
      </c>
      <c r="D39" t="s">
        <v>1068</v>
      </c>
      <c r="E39">
        <v>1</v>
      </c>
    </row>
    <row r="40" spans="1:5" x14ac:dyDescent="0.2">
      <c r="A40" t="s">
        <v>1111</v>
      </c>
      <c r="B40">
        <v>0.3</v>
      </c>
      <c r="C40" t="s">
        <v>1066</v>
      </c>
      <c r="D40" t="s">
        <v>1069</v>
      </c>
      <c r="E40">
        <v>35</v>
      </c>
    </row>
    <row r="41" spans="1:5" x14ac:dyDescent="0.2">
      <c r="A41" t="s">
        <v>1112</v>
      </c>
      <c r="B41">
        <v>0.3</v>
      </c>
      <c r="C41" t="s">
        <v>1070</v>
      </c>
      <c r="D41" t="s">
        <v>1067</v>
      </c>
      <c r="E41">
        <v>2</v>
      </c>
    </row>
    <row r="42" spans="1:5" x14ac:dyDescent="0.2">
      <c r="A42" t="s">
        <v>1113</v>
      </c>
      <c r="B42">
        <v>0.3</v>
      </c>
      <c r="C42" t="s">
        <v>1070</v>
      </c>
      <c r="D42" t="s">
        <v>1068</v>
      </c>
      <c r="E42">
        <v>1</v>
      </c>
    </row>
    <row r="43" spans="1:5" x14ac:dyDescent="0.2">
      <c r="A43" t="s">
        <v>1114</v>
      </c>
      <c r="B43">
        <v>0.3</v>
      </c>
      <c r="C43" t="s">
        <v>1070</v>
      </c>
      <c r="D43" t="s">
        <v>1069</v>
      </c>
      <c r="E43">
        <v>33</v>
      </c>
    </row>
    <row r="44" spans="1:5" x14ac:dyDescent="0.2">
      <c r="A44" t="s">
        <v>1072</v>
      </c>
      <c r="B44">
        <v>0</v>
      </c>
      <c r="C44" t="s">
        <v>1066</v>
      </c>
      <c r="D44" t="s">
        <v>1067</v>
      </c>
      <c r="E44">
        <v>13</v>
      </c>
    </row>
    <row r="45" spans="1:5" x14ac:dyDescent="0.2">
      <c r="A45" t="s">
        <v>1072</v>
      </c>
      <c r="B45">
        <v>0</v>
      </c>
      <c r="C45" t="s">
        <v>1066</v>
      </c>
      <c r="D45" t="s">
        <v>1068</v>
      </c>
      <c r="E45">
        <v>8</v>
      </c>
    </row>
    <row r="46" spans="1:5" x14ac:dyDescent="0.2">
      <c r="A46" t="s">
        <v>1072</v>
      </c>
      <c r="B46">
        <v>0</v>
      </c>
      <c r="C46" t="s">
        <v>1066</v>
      </c>
      <c r="D46" t="s">
        <v>1069</v>
      </c>
      <c r="E46">
        <v>15</v>
      </c>
    </row>
    <row r="47" spans="1:5" x14ac:dyDescent="0.2">
      <c r="A47" t="s">
        <v>1072</v>
      </c>
      <c r="B47">
        <v>0</v>
      </c>
      <c r="C47" t="s">
        <v>1070</v>
      </c>
      <c r="D47" t="s">
        <v>1067</v>
      </c>
      <c r="E47">
        <v>15</v>
      </c>
    </row>
    <row r="48" spans="1:5" x14ac:dyDescent="0.2">
      <c r="A48" t="s">
        <v>1072</v>
      </c>
      <c r="B48">
        <v>0</v>
      </c>
      <c r="C48" t="s">
        <v>1070</v>
      </c>
      <c r="D48" t="s">
        <v>1068</v>
      </c>
      <c r="E48">
        <v>5</v>
      </c>
    </row>
    <row r="49" spans="1:5" x14ac:dyDescent="0.2">
      <c r="A49" t="s">
        <v>1072</v>
      </c>
      <c r="B49">
        <v>0</v>
      </c>
      <c r="C49" t="s">
        <v>1070</v>
      </c>
      <c r="D49" t="s">
        <v>1069</v>
      </c>
      <c r="E49">
        <v>16</v>
      </c>
    </row>
    <row r="50" spans="1:5" x14ac:dyDescent="0.2">
      <c r="A50" t="s">
        <v>1072</v>
      </c>
      <c r="B50">
        <v>0.05</v>
      </c>
      <c r="C50" t="s">
        <v>1066</v>
      </c>
      <c r="D50" t="s">
        <v>1067</v>
      </c>
      <c r="E50">
        <v>7</v>
      </c>
    </row>
    <row r="51" spans="1:5" x14ac:dyDescent="0.2">
      <c r="A51" t="s">
        <v>1072</v>
      </c>
      <c r="B51">
        <v>0.05</v>
      </c>
      <c r="C51" t="s">
        <v>1066</v>
      </c>
      <c r="D51" t="s">
        <v>1068</v>
      </c>
      <c r="E51">
        <v>5</v>
      </c>
    </row>
    <row r="52" spans="1:5" x14ac:dyDescent="0.2">
      <c r="A52" t="s">
        <v>1072</v>
      </c>
      <c r="B52">
        <v>0.05</v>
      </c>
      <c r="C52" t="s">
        <v>1066</v>
      </c>
      <c r="D52" t="s">
        <v>1069</v>
      </c>
      <c r="E52">
        <v>24</v>
      </c>
    </row>
    <row r="53" spans="1:5" x14ac:dyDescent="0.2">
      <c r="A53" t="s">
        <v>1072</v>
      </c>
      <c r="B53">
        <v>0.05</v>
      </c>
      <c r="C53" t="s">
        <v>1070</v>
      </c>
      <c r="D53" t="s">
        <v>1067</v>
      </c>
      <c r="E53">
        <v>15</v>
      </c>
    </row>
    <row r="54" spans="1:5" x14ac:dyDescent="0.2">
      <c r="A54" t="s">
        <v>1072</v>
      </c>
      <c r="B54">
        <v>0.05</v>
      </c>
      <c r="C54" t="s">
        <v>1070</v>
      </c>
      <c r="D54" t="s">
        <v>1068</v>
      </c>
      <c r="E54">
        <v>3</v>
      </c>
    </row>
    <row r="55" spans="1:5" x14ac:dyDescent="0.2">
      <c r="A55" t="s">
        <v>1072</v>
      </c>
      <c r="B55">
        <v>0.05</v>
      </c>
      <c r="C55" t="s">
        <v>1070</v>
      </c>
      <c r="D55" t="s">
        <v>1069</v>
      </c>
      <c r="E55">
        <v>18</v>
      </c>
    </row>
    <row r="56" spans="1:5" x14ac:dyDescent="0.2">
      <c r="A56" t="s">
        <v>1072</v>
      </c>
      <c r="B56">
        <v>0.1</v>
      </c>
      <c r="C56" t="s">
        <v>1066</v>
      </c>
      <c r="D56" t="s">
        <v>1067</v>
      </c>
      <c r="E56">
        <v>4</v>
      </c>
    </row>
    <row r="57" spans="1:5" x14ac:dyDescent="0.2">
      <c r="A57" t="s">
        <v>1072</v>
      </c>
      <c r="B57">
        <v>0.1</v>
      </c>
      <c r="C57" t="s">
        <v>1066</v>
      </c>
      <c r="D57" t="s">
        <v>1068</v>
      </c>
      <c r="E57">
        <v>4</v>
      </c>
    </row>
    <row r="58" spans="1:5" x14ac:dyDescent="0.2">
      <c r="A58" t="s">
        <v>1072</v>
      </c>
      <c r="B58">
        <v>0.1</v>
      </c>
      <c r="C58" t="s">
        <v>1066</v>
      </c>
      <c r="D58" t="s">
        <v>1069</v>
      </c>
      <c r="E58">
        <v>28</v>
      </c>
    </row>
    <row r="59" spans="1:5" x14ac:dyDescent="0.2">
      <c r="A59" t="s">
        <v>1072</v>
      </c>
      <c r="B59">
        <v>0.1</v>
      </c>
      <c r="C59" t="s">
        <v>1070</v>
      </c>
      <c r="D59" t="s">
        <v>1067</v>
      </c>
      <c r="E59">
        <v>12</v>
      </c>
    </row>
    <row r="60" spans="1:5" x14ac:dyDescent="0.2">
      <c r="A60" t="s">
        <v>1072</v>
      </c>
      <c r="B60">
        <v>0.1</v>
      </c>
      <c r="C60" t="s">
        <v>1070</v>
      </c>
      <c r="D60" t="s">
        <v>1068</v>
      </c>
      <c r="E60">
        <v>2</v>
      </c>
    </row>
    <row r="61" spans="1:5" x14ac:dyDescent="0.2">
      <c r="A61" t="s">
        <v>1072</v>
      </c>
      <c r="B61">
        <v>0.1</v>
      </c>
      <c r="C61" t="s">
        <v>1070</v>
      </c>
      <c r="D61" t="s">
        <v>1069</v>
      </c>
      <c r="E61">
        <v>22</v>
      </c>
    </row>
    <row r="62" spans="1:5" x14ac:dyDescent="0.2">
      <c r="A62" t="s">
        <v>1072</v>
      </c>
      <c r="B62">
        <v>0.15</v>
      </c>
      <c r="C62" t="s">
        <v>1066</v>
      </c>
      <c r="D62" t="s">
        <v>1067</v>
      </c>
      <c r="E62">
        <v>3</v>
      </c>
    </row>
    <row r="63" spans="1:5" x14ac:dyDescent="0.2">
      <c r="A63" t="s">
        <v>1072</v>
      </c>
      <c r="B63">
        <v>0.15</v>
      </c>
      <c r="C63" t="s">
        <v>1066</v>
      </c>
      <c r="D63" t="s">
        <v>1068</v>
      </c>
      <c r="E63">
        <v>1</v>
      </c>
    </row>
    <row r="64" spans="1:5" x14ac:dyDescent="0.2">
      <c r="A64" t="s">
        <v>1072</v>
      </c>
      <c r="B64">
        <v>0.15</v>
      </c>
      <c r="C64" t="s">
        <v>1066</v>
      </c>
      <c r="D64" t="s">
        <v>1069</v>
      </c>
      <c r="E64">
        <v>32</v>
      </c>
    </row>
    <row r="65" spans="1:5" x14ac:dyDescent="0.2">
      <c r="A65" t="s">
        <v>1072</v>
      </c>
      <c r="B65">
        <v>0.15</v>
      </c>
      <c r="C65" t="s">
        <v>1070</v>
      </c>
      <c r="D65" t="s">
        <v>1067</v>
      </c>
      <c r="E65">
        <v>11</v>
      </c>
    </row>
    <row r="66" spans="1:5" x14ac:dyDescent="0.2">
      <c r="A66" t="s">
        <v>1072</v>
      </c>
      <c r="B66">
        <v>0.15</v>
      </c>
      <c r="C66" t="s">
        <v>1070</v>
      </c>
      <c r="D66" t="s">
        <v>1068</v>
      </c>
      <c r="E66">
        <v>1</v>
      </c>
    </row>
    <row r="67" spans="1:5" x14ac:dyDescent="0.2">
      <c r="A67" t="s">
        <v>1072</v>
      </c>
      <c r="B67">
        <v>0.15</v>
      </c>
      <c r="C67" t="s">
        <v>1070</v>
      </c>
      <c r="D67" t="s">
        <v>1069</v>
      </c>
      <c r="E67">
        <v>24</v>
      </c>
    </row>
    <row r="68" spans="1:5" x14ac:dyDescent="0.2">
      <c r="A68" t="s">
        <v>1072</v>
      </c>
      <c r="B68">
        <v>0.2</v>
      </c>
      <c r="C68" t="s">
        <v>1066</v>
      </c>
      <c r="D68" t="s">
        <v>1067</v>
      </c>
      <c r="E68">
        <v>1</v>
      </c>
    </row>
    <row r="69" spans="1:5" x14ac:dyDescent="0.2">
      <c r="A69" t="s">
        <v>1072</v>
      </c>
      <c r="B69">
        <v>0.2</v>
      </c>
      <c r="C69" t="s">
        <v>1066</v>
      </c>
      <c r="D69" t="s">
        <v>1068</v>
      </c>
      <c r="E69">
        <v>1</v>
      </c>
    </row>
    <row r="70" spans="1:5" x14ac:dyDescent="0.2">
      <c r="A70" t="s">
        <v>1072</v>
      </c>
      <c r="B70">
        <v>0.2</v>
      </c>
      <c r="C70" t="s">
        <v>1066</v>
      </c>
      <c r="D70" t="s">
        <v>1069</v>
      </c>
      <c r="E70">
        <v>34</v>
      </c>
    </row>
    <row r="71" spans="1:5" x14ac:dyDescent="0.2">
      <c r="A71" t="s">
        <v>1072</v>
      </c>
      <c r="B71">
        <v>0.2</v>
      </c>
      <c r="C71" t="s">
        <v>1070</v>
      </c>
      <c r="D71" t="s">
        <v>1067</v>
      </c>
      <c r="E71">
        <v>7</v>
      </c>
    </row>
    <row r="72" spans="1:5" x14ac:dyDescent="0.2">
      <c r="A72" t="s">
        <v>1072</v>
      </c>
      <c r="B72">
        <v>0.2</v>
      </c>
      <c r="C72" t="s">
        <v>1070</v>
      </c>
      <c r="D72" t="s">
        <v>1068</v>
      </c>
      <c r="E72">
        <v>1</v>
      </c>
    </row>
    <row r="73" spans="1:5" x14ac:dyDescent="0.2">
      <c r="A73" t="s">
        <v>1072</v>
      </c>
      <c r="B73">
        <v>0.2</v>
      </c>
      <c r="C73" t="s">
        <v>1070</v>
      </c>
      <c r="D73" t="s">
        <v>1069</v>
      </c>
      <c r="E73">
        <v>28</v>
      </c>
    </row>
    <row r="74" spans="1:5" x14ac:dyDescent="0.2">
      <c r="A74" t="s">
        <v>1072</v>
      </c>
      <c r="B74">
        <v>0.25</v>
      </c>
      <c r="C74" t="s">
        <v>1066</v>
      </c>
      <c r="D74" t="s">
        <v>1067</v>
      </c>
      <c r="E74">
        <v>1</v>
      </c>
    </row>
    <row r="75" spans="1:5" x14ac:dyDescent="0.2">
      <c r="A75" t="s">
        <v>1072</v>
      </c>
      <c r="B75">
        <v>0.25</v>
      </c>
      <c r="C75" t="s">
        <v>1066</v>
      </c>
      <c r="D75" t="s">
        <v>1068</v>
      </c>
      <c r="E75">
        <v>1</v>
      </c>
    </row>
    <row r="76" spans="1:5" x14ac:dyDescent="0.2">
      <c r="A76" t="s">
        <v>1072</v>
      </c>
      <c r="B76">
        <v>0.25</v>
      </c>
      <c r="C76" t="s">
        <v>1066</v>
      </c>
      <c r="D76" t="s">
        <v>1069</v>
      </c>
      <c r="E76">
        <v>34</v>
      </c>
    </row>
    <row r="77" spans="1:5" x14ac:dyDescent="0.2">
      <c r="A77" t="s">
        <v>1072</v>
      </c>
      <c r="B77">
        <v>0.25</v>
      </c>
      <c r="C77" t="s">
        <v>1070</v>
      </c>
      <c r="D77" t="s">
        <v>1067</v>
      </c>
      <c r="E77">
        <v>6</v>
      </c>
    </row>
    <row r="78" spans="1:5" x14ac:dyDescent="0.2">
      <c r="A78" t="s">
        <v>1072</v>
      </c>
      <c r="B78">
        <v>0.25</v>
      </c>
      <c r="C78" t="s">
        <v>1070</v>
      </c>
      <c r="D78" t="s">
        <v>1068</v>
      </c>
      <c r="E78">
        <v>1</v>
      </c>
    </row>
    <row r="79" spans="1:5" x14ac:dyDescent="0.2">
      <c r="A79" t="s">
        <v>1072</v>
      </c>
      <c r="B79">
        <v>0.25</v>
      </c>
      <c r="C79" t="s">
        <v>1070</v>
      </c>
      <c r="D79" t="s">
        <v>1069</v>
      </c>
      <c r="E79">
        <v>29</v>
      </c>
    </row>
  </sheetData>
  <phoneticPr fontId="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07C6-F3DF-8B4C-8154-C9B09594DB41}">
  <dimension ref="A1:D85"/>
  <sheetViews>
    <sheetView topLeftCell="A42" zoomScale="92" workbookViewId="0">
      <selection activeCell="E25" sqref="E25"/>
    </sheetView>
  </sheetViews>
  <sheetFormatPr baseColWidth="10" defaultRowHeight="16" x14ac:dyDescent="0.2"/>
  <cols>
    <col min="1" max="1" width="24.5" bestFit="1" customWidth="1"/>
    <col min="2" max="2" width="14.5" bestFit="1" customWidth="1"/>
    <col min="4" max="4" width="16.6640625" bestFit="1" customWidth="1"/>
  </cols>
  <sheetData>
    <row r="1" spans="1:4" x14ac:dyDescent="0.2">
      <c r="A1" s="7" t="s">
        <v>1115</v>
      </c>
      <c r="B1" s="7" t="s">
        <v>1116</v>
      </c>
      <c r="C1" s="7" t="s">
        <v>6</v>
      </c>
      <c r="D1" s="7" t="s">
        <v>1117</v>
      </c>
    </row>
    <row r="2" spans="1:4" x14ac:dyDescent="0.2">
      <c r="A2" t="s">
        <v>85</v>
      </c>
      <c r="B2" t="s">
        <v>1008</v>
      </c>
      <c r="C2">
        <v>1</v>
      </c>
      <c r="D2">
        <v>3.125</v>
      </c>
    </row>
    <row r="3" spans="1:4" x14ac:dyDescent="0.2">
      <c r="A3" t="s">
        <v>85</v>
      </c>
      <c r="B3" t="s">
        <v>1008</v>
      </c>
      <c r="C3">
        <v>2</v>
      </c>
      <c r="D3">
        <v>6.25</v>
      </c>
    </row>
    <row r="4" spans="1:4" x14ac:dyDescent="0.2">
      <c r="A4" t="s">
        <v>85</v>
      </c>
      <c r="B4" t="s">
        <v>1008</v>
      </c>
      <c r="C4">
        <v>3</v>
      </c>
      <c r="D4">
        <v>3.125</v>
      </c>
    </row>
    <row r="5" spans="1:4" x14ac:dyDescent="0.2">
      <c r="A5" t="s">
        <v>21</v>
      </c>
      <c r="B5" t="s">
        <v>1008</v>
      </c>
      <c r="C5">
        <v>1</v>
      </c>
      <c r="D5">
        <v>3.125</v>
      </c>
    </row>
    <row r="6" spans="1:4" x14ac:dyDescent="0.2">
      <c r="A6" t="s">
        <v>21</v>
      </c>
      <c r="B6" t="s">
        <v>1008</v>
      </c>
      <c r="C6">
        <v>2</v>
      </c>
      <c r="D6">
        <v>3.125</v>
      </c>
    </row>
    <row r="7" spans="1:4" x14ac:dyDescent="0.2">
      <c r="A7" t="s">
        <v>21</v>
      </c>
      <c r="B7" t="s">
        <v>1008</v>
      </c>
      <c r="C7">
        <v>3</v>
      </c>
      <c r="D7">
        <v>3.125</v>
      </c>
    </row>
    <row r="8" spans="1:4" x14ac:dyDescent="0.2">
      <c r="A8" t="s">
        <v>40</v>
      </c>
      <c r="B8" t="s">
        <v>1008</v>
      </c>
      <c r="C8">
        <v>1</v>
      </c>
      <c r="D8">
        <v>3.125</v>
      </c>
    </row>
    <row r="9" spans="1:4" x14ac:dyDescent="0.2">
      <c r="A9" t="s">
        <v>40</v>
      </c>
      <c r="B9" t="s">
        <v>1008</v>
      </c>
      <c r="C9">
        <v>2</v>
      </c>
      <c r="D9">
        <v>3.125</v>
      </c>
    </row>
    <row r="10" spans="1:4" x14ac:dyDescent="0.2">
      <c r="A10" t="s">
        <v>40</v>
      </c>
      <c r="B10" t="s">
        <v>1008</v>
      </c>
      <c r="C10">
        <v>3</v>
      </c>
      <c r="D10">
        <v>3.125</v>
      </c>
    </row>
    <row r="11" spans="1:4" x14ac:dyDescent="0.2">
      <c r="A11" t="s">
        <v>10</v>
      </c>
      <c r="B11" t="s">
        <v>1008</v>
      </c>
      <c r="C11">
        <v>1</v>
      </c>
      <c r="D11">
        <v>3.125</v>
      </c>
    </row>
    <row r="12" spans="1:4" x14ac:dyDescent="0.2">
      <c r="A12" t="s">
        <v>10</v>
      </c>
      <c r="B12" t="s">
        <v>1008</v>
      </c>
      <c r="C12">
        <v>2</v>
      </c>
      <c r="D12">
        <v>3.125</v>
      </c>
    </row>
    <row r="13" spans="1:4" x14ac:dyDescent="0.2">
      <c r="A13" t="s">
        <v>10</v>
      </c>
      <c r="B13" t="s">
        <v>1008</v>
      </c>
      <c r="C13">
        <v>3</v>
      </c>
      <c r="D13">
        <v>3.125</v>
      </c>
    </row>
    <row r="14" spans="1:4" x14ac:dyDescent="0.2">
      <c r="A14" t="s">
        <v>71</v>
      </c>
      <c r="B14" t="s">
        <v>27</v>
      </c>
      <c r="C14">
        <v>1</v>
      </c>
      <c r="D14">
        <v>3.12</v>
      </c>
    </row>
    <row r="15" spans="1:4" x14ac:dyDescent="0.2">
      <c r="A15" t="s">
        <v>71</v>
      </c>
      <c r="B15" t="s">
        <v>27</v>
      </c>
      <c r="C15">
        <v>2</v>
      </c>
      <c r="D15">
        <v>1.56</v>
      </c>
    </row>
    <row r="16" spans="1:4" x14ac:dyDescent="0.2">
      <c r="A16" t="s">
        <v>71</v>
      </c>
      <c r="B16" t="s">
        <v>27</v>
      </c>
      <c r="C16">
        <v>3</v>
      </c>
      <c r="D16">
        <v>1.56</v>
      </c>
    </row>
    <row r="17" spans="1:4" x14ac:dyDescent="0.2">
      <c r="A17" t="s">
        <v>58</v>
      </c>
      <c r="B17" t="s">
        <v>27</v>
      </c>
      <c r="C17">
        <v>1</v>
      </c>
      <c r="D17">
        <v>1.56</v>
      </c>
    </row>
    <row r="18" spans="1:4" x14ac:dyDescent="0.2">
      <c r="A18" t="s">
        <v>58</v>
      </c>
      <c r="B18" t="s">
        <v>27</v>
      </c>
      <c r="C18">
        <v>2</v>
      </c>
      <c r="D18">
        <v>1.56</v>
      </c>
    </row>
    <row r="19" spans="1:4" x14ac:dyDescent="0.2">
      <c r="A19" t="s">
        <v>58</v>
      </c>
      <c r="B19" t="s">
        <v>27</v>
      </c>
      <c r="C19">
        <v>3</v>
      </c>
      <c r="D19">
        <v>1.56</v>
      </c>
    </row>
    <row r="20" spans="1:4" x14ac:dyDescent="0.2">
      <c r="A20" t="s">
        <v>4</v>
      </c>
      <c r="B20" t="s">
        <v>27</v>
      </c>
      <c r="C20">
        <v>1</v>
      </c>
      <c r="D20">
        <v>3.12</v>
      </c>
    </row>
    <row r="21" spans="1:4" x14ac:dyDescent="0.2">
      <c r="A21" t="s">
        <v>4</v>
      </c>
      <c r="B21" t="s">
        <v>27</v>
      </c>
      <c r="C21">
        <v>2</v>
      </c>
      <c r="D21">
        <v>1.56</v>
      </c>
    </row>
    <row r="22" spans="1:4" x14ac:dyDescent="0.2">
      <c r="A22" t="s">
        <v>4</v>
      </c>
      <c r="B22" t="s">
        <v>27</v>
      </c>
      <c r="C22">
        <v>3</v>
      </c>
      <c r="D22">
        <v>3.12</v>
      </c>
    </row>
    <row r="23" spans="1:4" x14ac:dyDescent="0.2">
      <c r="A23" t="s">
        <v>40</v>
      </c>
      <c r="B23" t="s">
        <v>27</v>
      </c>
      <c r="C23">
        <v>1</v>
      </c>
      <c r="D23">
        <v>3.12</v>
      </c>
    </row>
    <row r="24" spans="1:4" x14ac:dyDescent="0.2">
      <c r="A24" t="s">
        <v>40</v>
      </c>
      <c r="B24" t="s">
        <v>27</v>
      </c>
      <c r="C24">
        <v>2</v>
      </c>
      <c r="D24">
        <v>3.12</v>
      </c>
    </row>
    <row r="25" spans="1:4" x14ac:dyDescent="0.2">
      <c r="A25" t="s">
        <v>40</v>
      </c>
      <c r="B25" t="s">
        <v>27</v>
      </c>
      <c r="C25">
        <v>3</v>
      </c>
      <c r="D25">
        <v>3.12</v>
      </c>
    </row>
    <row r="26" spans="1:4" x14ac:dyDescent="0.2">
      <c r="A26" t="s">
        <v>11</v>
      </c>
      <c r="B26" t="s">
        <v>27</v>
      </c>
      <c r="C26">
        <v>1</v>
      </c>
      <c r="D26">
        <v>1.56</v>
      </c>
    </row>
    <row r="27" spans="1:4" x14ac:dyDescent="0.2">
      <c r="A27" t="s">
        <v>11</v>
      </c>
      <c r="B27" t="s">
        <v>27</v>
      </c>
      <c r="C27">
        <v>2</v>
      </c>
      <c r="D27">
        <v>1.56</v>
      </c>
    </row>
    <row r="28" spans="1:4" x14ac:dyDescent="0.2">
      <c r="A28" t="s">
        <v>11</v>
      </c>
      <c r="B28" t="s">
        <v>27</v>
      </c>
      <c r="C28">
        <v>3</v>
      </c>
      <c r="D28">
        <v>1.56</v>
      </c>
    </row>
    <row r="29" spans="1:4" x14ac:dyDescent="0.2">
      <c r="A29" t="s">
        <v>58</v>
      </c>
      <c r="B29" t="s">
        <v>1007</v>
      </c>
      <c r="C29">
        <v>1</v>
      </c>
      <c r="D29">
        <v>3.12</v>
      </c>
    </row>
    <row r="30" spans="1:4" x14ac:dyDescent="0.2">
      <c r="A30" t="s">
        <v>58</v>
      </c>
      <c r="B30" t="s">
        <v>1007</v>
      </c>
      <c r="C30">
        <v>2</v>
      </c>
      <c r="D30">
        <v>3.12</v>
      </c>
    </row>
    <row r="31" spans="1:4" x14ac:dyDescent="0.2">
      <c r="A31" t="s">
        <v>58</v>
      </c>
      <c r="B31" t="s">
        <v>1007</v>
      </c>
      <c r="C31">
        <v>3</v>
      </c>
      <c r="D31">
        <v>3.12</v>
      </c>
    </row>
    <row r="32" spans="1:4" x14ac:dyDescent="0.2">
      <c r="A32" t="s">
        <v>71</v>
      </c>
      <c r="B32" t="s">
        <v>1006</v>
      </c>
      <c r="C32">
        <v>1</v>
      </c>
      <c r="D32">
        <v>1.56</v>
      </c>
    </row>
    <row r="33" spans="1:4" x14ac:dyDescent="0.2">
      <c r="A33" t="s">
        <v>71</v>
      </c>
      <c r="B33" t="s">
        <v>1006</v>
      </c>
      <c r="C33">
        <v>2</v>
      </c>
      <c r="D33">
        <v>1.56</v>
      </c>
    </row>
    <row r="34" spans="1:4" x14ac:dyDescent="0.2">
      <c r="A34" t="s">
        <v>71</v>
      </c>
      <c r="B34" t="s">
        <v>1006</v>
      </c>
      <c r="C34">
        <v>3</v>
      </c>
      <c r="D34">
        <v>3.12</v>
      </c>
    </row>
    <row r="35" spans="1:4" x14ac:dyDescent="0.2">
      <c r="A35" t="s">
        <v>3</v>
      </c>
      <c r="B35" t="s">
        <v>1006</v>
      </c>
      <c r="C35">
        <v>1</v>
      </c>
      <c r="D35">
        <v>1.56</v>
      </c>
    </row>
    <row r="36" spans="1:4" x14ac:dyDescent="0.2">
      <c r="A36" t="s">
        <v>3</v>
      </c>
      <c r="B36" t="s">
        <v>1006</v>
      </c>
      <c r="C36">
        <v>2</v>
      </c>
      <c r="D36">
        <v>1.56</v>
      </c>
    </row>
    <row r="37" spans="1:4" x14ac:dyDescent="0.2">
      <c r="A37" t="s">
        <v>3</v>
      </c>
      <c r="B37" t="s">
        <v>1006</v>
      </c>
      <c r="C37">
        <v>3</v>
      </c>
      <c r="D37">
        <v>3.12</v>
      </c>
    </row>
    <row r="38" spans="1:4" x14ac:dyDescent="0.2">
      <c r="A38" t="s">
        <v>86</v>
      </c>
      <c r="B38" t="s">
        <v>1010</v>
      </c>
      <c r="C38">
        <v>1</v>
      </c>
      <c r="D38">
        <v>0.06</v>
      </c>
    </row>
    <row r="39" spans="1:4" x14ac:dyDescent="0.2">
      <c r="A39" t="s">
        <v>86</v>
      </c>
      <c r="B39" t="s">
        <v>1010</v>
      </c>
      <c r="C39">
        <v>2</v>
      </c>
      <c r="D39">
        <v>0.06</v>
      </c>
    </row>
    <row r="40" spans="1:4" x14ac:dyDescent="0.2">
      <c r="A40" t="s">
        <v>86</v>
      </c>
      <c r="B40" t="s">
        <v>1010</v>
      </c>
      <c r="C40">
        <v>3</v>
      </c>
      <c r="D40">
        <v>0.06</v>
      </c>
    </row>
    <row r="41" spans="1:4" x14ac:dyDescent="0.2">
      <c r="A41" t="s">
        <v>93</v>
      </c>
      <c r="B41" t="s">
        <v>1010</v>
      </c>
      <c r="C41">
        <v>1</v>
      </c>
      <c r="D41">
        <v>0.06</v>
      </c>
    </row>
    <row r="42" spans="1:4" x14ac:dyDescent="0.2">
      <c r="A42" t="s">
        <v>93</v>
      </c>
      <c r="B42" t="s">
        <v>1010</v>
      </c>
      <c r="C42">
        <v>2</v>
      </c>
      <c r="D42">
        <v>0.06</v>
      </c>
    </row>
    <row r="43" spans="1:4" x14ac:dyDescent="0.2">
      <c r="A43" t="s">
        <v>93</v>
      </c>
      <c r="B43" t="s">
        <v>1010</v>
      </c>
      <c r="C43">
        <v>3</v>
      </c>
      <c r="D43">
        <v>0.06</v>
      </c>
    </row>
    <row r="44" spans="1:4" x14ac:dyDescent="0.2">
      <c r="A44" t="s">
        <v>83</v>
      </c>
      <c r="B44" t="s">
        <v>1010</v>
      </c>
      <c r="C44">
        <v>1</v>
      </c>
      <c r="D44">
        <v>0.06</v>
      </c>
    </row>
    <row r="45" spans="1:4" x14ac:dyDescent="0.2">
      <c r="A45" t="s">
        <v>83</v>
      </c>
      <c r="B45" t="s">
        <v>1010</v>
      </c>
      <c r="C45">
        <v>2</v>
      </c>
      <c r="D45">
        <v>0.06</v>
      </c>
    </row>
    <row r="46" spans="1:4" x14ac:dyDescent="0.2">
      <c r="A46" t="s">
        <v>83</v>
      </c>
      <c r="B46" t="s">
        <v>1010</v>
      </c>
      <c r="C46">
        <v>3</v>
      </c>
      <c r="D46">
        <v>0.06</v>
      </c>
    </row>
    <row r="47" spans="1:4" x14ac:dyDescent="0.2">
      <c r="A47" t="s">
        <v>11</v>
      </c>
      <c r="B47" t="s">
        <v>1009</v>
      </c>
      <c r="C47">
        <v>1</v>
      </c>
      <c r="D47">
        <v>100</v>
      </c>
    </row>
    <row r="48" spans="1:4" x14ac:dyDescent="0.2">
      <c r="A48" t="s">
        <v>11</v>
      </c>
      <c r="B48" t="s">
        <v>1009</v>
      </c>
      <c r="C48">
        <v>2</v>
      </c>
      <c r="D48">
        <v>100</v>
      </c>
    </row>
    <row r="49" spans="1:4" x14ac:dyDescent="0.2">
      <c r="A49" t="s">
        <v>11</v>
      </c>
      <c r="B49" t="s">
        <v>1009</v>
      </c>
      <c r="C49">
        <v>3</v>
      </c>
      <c r="D49">
        <v>100</v>
      </c>
    </row>
    <row r="50" spans="1:4" x14ac:dyDescent="0.2">
      <c r="A50" t="s">
        <v>83</v>
      </c>
      <c r="B50" t="s">
        <v>1009</v>
      </c>
      <c r="C50">
        <v>1</v>
      </c>
      <c r="D50">
        <v>100</v>
      </c>
    </row>
    <row r="51" spans="1:4" x14ac:dyDescent="0.2">
      <c r="A51" t="s">
        <v>83</v>
      </c>
      <c r="B51" t="s">
        <v>1009</v>
      </c>
      <c r="C51">
        <v>2</v>
      </c>
      <c r="D51">
        <v>100</v>
      </c>
    </row>
    <row r="52" spans="1:4" x14ac:dyDescent="0.2">
      <c r="A52" t="s">
        <v>83</v>
      </c>
      <c r="B52" t="s">
        <v>1009</v>
      </c>
      <c r="C52">
        <v>3</v>
      </c>
      <c r="D52">
        <v>100</v>
      </c>
    </row>
    <row r="53" spans="1:4" x14ac:dyDescent="0.2">
      <c r="A53" t="s">
        <v>3</v>
      </c>
      <c r="B53" t="s">
        <v>1011</v>
      </c>
      <c r="C53">
        <v>1</v>
      </c>
      <c r="D53">
        <v>6.25</v>
      </c>
    </row>
    <row r="54" spans="1:4" x14ac:dyDescent="0.2">
      <c r="A54" t="s">
        <v>3</v>
      </c>
      <c r="B54" t="s">
        <v>1011</v>
      </c>
      <c r="C54">
        <v>2</v>
      </c>
      <c r="D54">
        <v>6.25</v>
      </c>
    </row>
    <row r="55" spans="1:4" x14ac:dyDescent="0.2">
      <c r="A55" t="s">
        <v>3</v>
      </c>
      <c r="B55" t="s">
        <v>1011</v>
      </c>
      <c r="C55">
        <v>3</v>
      </c>
      <c r="D55">
        <v>6.25</v>
      </c>
    </row>
    <row r="56" spans="1:4" x14ac:dyDescent="0.2">
      <c r="A56" t="s">
        <v>90</v>
      </c>
      <c r="B56" t="s">
        <v>1011</v>
      </c>
      <c r="C56">
        <v>1</v>
      </c>
      <c r="D56">
        <v>6.25</v>
      </c>
    </row>
    <row r="57" spans="1:4" x14ac:dyDescent="0.2">
      <c r="A57" t="s">
        <v>90</v>
      </c>
      <c r="B57" t="s">
        <v>1011</v>
      </c>
      <c r="C57">
        <v>2</v>
      </c>
      <c r="D57">
        <v>6.25</v>
      </c>
    </row>
    <row r="58" spans="1:4" x14ac:dyDescent="0.2">
      <c r="A58" t="s">
        <v>90</v>
      </c>
      <c r="B58" t="s">
        <v>1011</v>
      </c>
      <c r="C58">
        <v>3</v>
      </c>
      <c r="D58">
        <v>6.25</v>
      </c>
    </row>
    <row r="59" spans="1:4" x14ac:dyDescent="0.2">
      <c r="A59" t="s">
        <v>10</v>
      </c>
      <c r="B59" t="s">
        <v>1011</v>
      </c>
      <c r="C59">
        <v>1</v>
      </c>
      <c r="D59">
        <v>2.8</v>
      </c>
    </row>
    <row r="60" spans="1:4" x14ac:dyDescent="0.2">
      <c r="A60" t="s">
        <v>10</v>
      </c>
      <c r="B60" t="s">
        <v>1011</v>
      </c>
      <c r="C60">
        <v>2</v>
      </c>
      <c r="D60">
        <v>5.6</v>
      </c>
    </row>
    <row r="61" spans="1:4" x14ac:dyDescent="0.2">
      <c r="A61" t="s">
        <v>10</v>
      </c>
      <c r="B61" t="s">
        <v>1011</v>
      </c>
      <c r="C61">
        <v>3</v>
      </c>
      <c r="D61">
        <v>5.6</v>
      </c>
    </row>
    <row r="62" spans="1:4" x14ac:dyDescent="0.2">
      <c r="A62" t="s">
        <v>2</v>
      </c>
      <c r="B62" t="s">
        <v>26</v>
      </c>
      <c r="C62">
        <v>1</v>
      </c>
      <c r="D62">
        <v>0.6</v>
      </c>
    </row>
    <row r="63" spans="1:4" x14ac:dyDescent="0.2">
      <c r="A63" t="s">
        <v>2</v>
      </c>
      <c r="B63" t="s">
        <v>26</v>
      </c>
      <c r="C63">
        <v>2</v>
      </c>
      <c r="D63">
        <v>0.3</v>
      </c>
    </row>
    <row r="64" spans="1:4" x14ac:dyDescent="0.2">
      <c r="A64" t="s">
        <v>2</v>
      </c>
      <c r="B64" t="s">
        <v>26</v>
      </c>
      <c r="C64">
        <v>3</v>
      </c>
      <c r="D64">
        <v>0.6</v>
      </c>
    </row>
    <row r="65" spans="1:4" x14ac:dyDescent="0.2">
      <c r="A65" t="s">
        <v>85</v>
      </c>
      <c r="B65" t="s">
        <v>26</v>
      </c>
      <c r="C65">
        <v>1</v>
      </c>
      <c r="D65">
        <v>0.3</v>
      </c>
    </row>
    <row r="66" spans="1:4" x14ac:dyDescent="0.2">
      <c r="A66" t="s">
        <v>85</v>
      </c>
      <c r="B66" t="s">
        <v>26</v>
      </c>
      <c r="C66">
        <v>2</v>
      </c>
      <c r="D66">
        <v>0.6</v>
      </c>
    </row>
    <row r="67" spans="1:4" x14ac:dyDescent="0.2">
      <c r="A67" t="s">
        <v>85</v>
      </c>
      <c r="B67" t="s">
        <v>26</v>
      </c>
      <c r="C67">
        <v>3</v>
      </c>
      <c r="D67">
        <v>0.6</v>
      </c>
    </row>
    <row r="68" spans="1:4" x14ac:dyDescent="0.2">
      <c r="A68" t="s">
        <v>4</v>
      </c>
      <c r="B68" t="s">
        <v>26</v>
      </c>
      <c r="C68">
        <v>1</v>
      </c>
      <c r="D68">
        <v>0.3</v>
      </c>
    </row>
    <row r="69" spans="1:4" x14ac:dyDescent="0.2">
      <c r="A69" t="s">
        <v>4</v>
      </c>
      <c r="B69" t="s">
        <v>26</v>
      </c>
      <c r="C69">
        <v>2</v>
      </c>
      <c r="D69">
        <v>0.6</v>
      </c>
    </row>
    <row r="70" spans="1:4" x14ac:dyDescent="0.2">
      <c r="A70" t="s">
        <v>4</v>
      </c>
      <c r="B70" t="s">
        <v>26</v>
      </c>
      <c r="C70">
        <v>3</v>
      </c>
      <c r="D70">
        <v>0.6</v>
      </c>
    </row>
    <row r="71" spans="1:4" x14ac:dyDescent="0.2">
      <c r="A71" t="s">
        <v>86</v>
      </c>
      <c r="B71" t="s">
        <v>26</v>
      </c>
      <c r="C71">
        <v>1</v>
      </c>
      <c r="D71">
        <v>0.6</v>
      </c>
    </row>
    <row r="72" spans="1:4" x14ac:dyDescent="0.2">
      <c r="A72" t="s">
        <v>86</v>
      </c>
      <c r="B72" t="s">
        <v>26</v>
      </c>
      <c r="C72">
        <v>2</v>
      </c>
      <c r="D72">
        <v>0.3</v>
      </c>
    </row>
    <row r="73" spans="1:4" x14ac:dyDescent="0.2">
      <c r="A73" t="s">
        <v>86</v>
      </c>
      <c r="B73" t="s">
        <v>26</v>
      </c>
      <c r="C73">
        <v>3</v>
      </c>
      <c r="D73">
        <v>0.6</v>
      </c>
    </row>
    <row r="74" spans="1:4" x14ac:dyDescent="0.2">
      <c r="A74" t="s">
        <v>90</v>
      </c>
      <c r="B74" t="s">
        <v>26</v>
      </c>
      <c r="C74">
        <v>1</v>
      </c>
      <c r="D74">
        <v>0.6</v>
      </c>
    </row>
    <row r="75" spans="1:4" x14ac:dyDescent="0.2">
      <c r="A75" t="s">
        <v>90</v>
      </c>
      <c r="B75" t="s">
        <v>26</v>
      </c>
      <c r="C75">
        <v>2</v>
      </c>
      <c r="D75">
        <v>0.6</v>
      </c>
    </row>
    <row r="76" spans="1:4" x14ac:dyDescent="0.2">
      <c r="A76" t="s">
        <v>90</v>
      </c>
      <c r="B76" t="s">
        <v>26</v>
      </c>
      <c r="C76">
        <v>3</v>
      </c>
      <c r="D76">
        <v>0.3</v>
      </c>
    </row>
    <row r="77" spans="1:4" x14ac:dyDescent="0.2">
      <c r="A77" t="s">
        <v>2</v>
      </c>
      <c r="B77" t="s">
        <v>947</v>
      </c>
      <c r="C77">
        <v>1</v>
      </c>
      <c r="D77">
        <v>0.78</v>
      </c>
    </row>
    <row r="78" spans="1:4" x14ac:dyDescent="0.2">
      <c r="A78" t="s">
        <v>2</v>
      </c>
      <c r="B78" t="s">
        <v>947</v>
      </c>
      <c r="C78">
        <v>2</v>
      </c>
      <c r="D78">
        <v>0.78</v>
      </c>
    </row>
    <row r="79" spans="1:4" x14ac:dyDescent="0.2">
      <c r="A79" t="s">
        <v>2</v>
      </c>
      <c r="B79" t="s">
        <v>947</v>
      </c>
      <c r="C79">
        <v>3</v>
      </c>
      <c r="D79">
        <v>0.78</v>
      </c>
    </row>
    <row r="80" spans="1:4" x14ac:dyDescent="0.2">
      <c r="A80" t="s">
        <v>21</v>
      </c>
      <c r="B80" t="s">
        <v>947</v>
      </c>
      <c r="C80">
        <v>1</v>
      </c>
      <c r="D80">
        <v>0.78</v>
      </c>
    </row>
    <row r="81" spans="1:4" x14ac:dyDescent="0.2">
      <c r="A81" t="s">
        <v>21</v>
      </c>
      <c r="B81" t="s">
        <v>947</v>
      </c>
      <c r="C81">
        <v>2</v>
      </c>
      <c r="D81">
        <v>0.78</v>
      </c>
    </row>
    <row r="82" spans="1:4" x14ac:dyDescent="0.2">
      <c r="A82" t="s">
        <v>21</v>
      </c>
      <c r="B82" t="s">
        <v>947</v>
      </c>
      <c r="C82">
        <v>3</v>
      </c>
      <c r="D82">
        <v>0.78</v>
      </c>
    </row>
    <row r="83" spans="1:4" x14ac:dyDescent="0.2">
      <c r="A83" t="s">
        <v>93</v>
      </c>
      <c r="B83" t="s">
        <v>947</v>
      </c>
      <c r="C83">
        <v>1</v>
      </c>
      <c r="D83">
        <v>0.78</v>
      </c>
    </row>
    <row r="84" spans="1:4" x14ac:dyDescent="0.2">
      <c r="A84" t="s">
        <v>93</v>
      </c>
      <c r="B84" t="s">
        <v>947</v>
      </c>
      <c r="C84">
        <v>2</v>
      </c>
      <c r="D84">
        <v>0.78</v>
      </c>
    </row>
    <row r="85" spans="1:4" x14ac:dyDescent="0.2">
      <c r="A85" t="s">
        <v>93</v>
      </c>
      <c r="B85" t="s">
        <v>947</v>
      </c>
      <c r="C85">
        <v>3</v>
      </c>
      <c r="D85">
        <v>0.78</v>
      </c>
    </row>
  </sheetData>
  <sortState xmlns:xlrd2="http://schemas.microsoft.com/office/spreadsheetml/2017/richdata2" ref="A2:D85">
    <sortCondition ref="B2:B85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CB3C-8E2A-3843-8508-E97931AD10F1}">
  <dimension ref="A1:Q235"/>
  <sheetViews>
    <sheetView topLeftCell="E1" zoomScale="150" workbookViewId="0">
      <selection activeCell="Q2" sqref="Q2"/>
    </sheetView>
  </sheetViews>
  <sheetFormatPr baseColWidth="10" defaultRowHeight="16" x14ac:dyDescent="0.2"/>
  <cols>
    <col min="2" max="2" width="11.6640625" bestFit="1" customWidth="1"/>
    <col min="3" max="3" width="13.1640625" bestFit="1" customWidth="1"/>
    <col min="4" max="4" width="12.5" bestFit="1" customWidth="1"/>
    <col min="5" max="5" width="17.6640625" bestFit="1" customWidth="1"/>
    <col min="9" max="9" width="14.1640625" bestFit="1" customWidth="1"/>
    <col min="13" max="13" width="14.1640625" bestFit="1" customWidth="1"/>
    <col min="14" max="14" width="11.6640625" bestFit="1" customWidth="1"/>
    <col min="15" max="15" width="13.1640625" bestFit="1" customWidth="1"/>
    <col min="16" max="16" width="12.5" bestFit="1" customWidth="1"/>
    <col min="17" max="17" width="17.6640625" bestFit="1" customWidth="1"/>
  </cols>
  <sheetData>
    <row r="1" spans="1:17" s="7" customFormat="1" x14ac:dyDescent="0.2">
      <c r="A1" s="7" t="s">
        <v>24</v>
      </c>
      <c r="B1" s="7" t="s">
        <v>1118</v>
      </c>
      <c r="C1" s="7" t="s">
        <v>1119</v>
      </c>
      <c r="D1" s="7" t="s">
        <v>1120</v>
      </c>
      <c r="E1" s="7" t="s">
        <v>1121</v>
      </c>
      <c r="F1" s="7" t="s">
        <v>1122</v>
      </c>
      <c r="G1" s="7" t="s">
        <v>1123</v>
      </c>
      <c r="H1" s="7" t="s">
        <v>1124</v>
      </c>
      <c r="I1" s="7" t="s">
        <v>1125</v>
      </c>
      <c r="J1" s="7" t="s">
        <v>1126</v>
      </c>
      <c r="K1" s="7" t="s">
        <v>1127</v>
      </c>
      <c r="L1" s="7" t="s">
        <v>1128</v>
      </c>
      <c r="M1" s="7" t="s">
        <v>1129</v>
      </c>
      <c r="N1" s="7" t="s">
        <v>1130</v>
      </c>
      <c r="O1" s="7" t="s">
        <v>1131</v>
      </c>
      <c r="P1" s="7" t="s">
        <v>1132</v>
      </c>
      <c r="Q1" s="7" t="s">
        <v>1133</v>
      </c>
    </row>
    <row r="2" spans="1:17" x14ac:dyDescent="0.2">
      <c r="A2">
        <v>0</v>
      </c>
      <c r="B2">
        <v>5.4116460499999999</v>
      </c>
      <c r="C2">
        <v>5.3936275499999997</v>
      </c>
      <c r="D2">
        <v>5.4071717699999997</v>
      </c>
      <c r="E2">
        <v>5.4116460499999999</v>
      </c>
      <c r="F2">
        <v>5.43807931</v>
      </c>
      <c r="G2">
        <v>5.44241771</v>
      </c>
      <c r="H2">
        <v>5.4467373700000001</v>
      </c>
      <c r="I2">
        <v>5.4638318100000003</v>
      </c>
      <c r="J2">
        <v>5.44241771</v>
      </c>
      <c r="K2">
        <v>5.4205350000000001</v>
      </c>
      <c r="L2">
        <v>5.4071717699999997</v>
      </c>
      <c r="M2">
        <v>5.4722706700000003</v>
      </c>
      <c r="N2">
        <v>4.7004803700000002</v>
      </c>
      <c r="O2">
        <v>4.7184988700000003</v>
      </c>
      <c r="P2">
        <v>4.7184988700000003</v>
      </c>
      <c r="Q2">
        <v>4.7273878199999997</v>
      </c>
    </row>
    <row r="3" spans="1:17" x14ac:dyDescent="0.2">
      <c r="A3">
        <v>0.37958333</v>
      </c>
      <c r="B3">
        <v>5.37527841</v>
      </c>
      <c r="C3">
        <v>5.37527841</v>
      </c>
      <c r="D3">
        <v>5.3936275499999997</v>
      </c>
      <c r="E3">
        <v>5.37527841</v>
      </c>
      <c r="F3">
        <v>5.4116460499999999</v>
      </c>
      <c r="G3">
        <v>5.3890717300000004</v>
      </c>
      <c r="H3">
        <v>5.4116460499999999</v>
      </c>
      <c r="I3">
        <v>5.43807931</v>
      </c>
      <c r="J3">
        <v>5.1474944799999998</v>
      </c>
      <c r="K3">
        <v>5.1474944799999998</v>
      </c>
      <c r="L3">
        <v>5.1532915900000003</v>
      </c>
      <c r="M3">
        <v>5.2203558299999999</v>
      </c>
      <c r="N3">
        <v>4.7095301999999997</v>
      </c>
      <c r="O3">
        <v>4.7095301999999997</v>
      </c>
      <c r="P3">
        <v>4.7273878199999997</v>
      </c>
      <c r="Q3">
        <v>4.7449321299999996</v>
      </c>
    </row>
    <row r="4" spans="1:17" x14ac:dyDescent="0.2">
      <c r="A4">
        <v>0.75916667000000004</v>
      </c>
      <c r="B4">
        <v>5.3612921699999996</v>
      </c>
      <c r="C4">
        <v>5.37527841</v>
      </c>
      <c r="D4">
        <v>5.3798973500000002</v>
      </c>
      <c r="E4">
        <v>5.3981627000000003</v>
      </c>
      <c r="F4">
        <v>5.4116460499999999</v>
      </c>
      <c r="G4">
        <v>5.37527841</v>
      </c>
      <c r="H4">
        <v>5.4116460499999999</v>
      </c>
      <c r="I4">
        <v>5.4249500199999998</v>
      </c>
      <c r="J4">
        <v>5.1532915900000003</v>
      </c>
      <c r="K4">
        <v>5.1474944799999998</v>
      </c>
      <c r="L4">
        <v>5.1704840000000001</v>
      </c>
      <c r="M4">
        <v>5.1817835499999996</v>
      </c>
      <c r="N4">
        <v>4.6539603500000002</v>
      </c>
      <c r="O4">
        <v>4.8441870900000001</v>
      </c>
      <c r="P4">
        <v>4.8520302600000003</v>
      </c>
      <c r="Q4">
        <v>4.9199809300000004</v>
      </c>
    </row>
    <row r="5" spans="1:17" x14ac:dyDescent="0.2">
      <c r="A5">
        <v>1.1387499999999999</v>
      </c>
      <c r="B5">
        <v>5.3659760199999997</v>
      </c>
      <c r="C5">
        <v>5.3612921699999996</v>
      </c>
      <c r="D5">
        <v>5.3706380300000003</v>
      </c>
      <c r="E5">
        <v>5.3706380300000003</v>
      </c>
      <c r="F5">
        <v>5.3844950599999999</v>
      </c>
      <c r="G5">
        <v>5.3890717300000004</v>
      </c>
      <c r="H5">
        <v>5.4071717699999997</v>
      </c>
      <c r="I5">
        <v>5.4337220000000004</v>
      </c>
      <c r="J5">
        <v>5.1474944799999998</v>
      </c>
      <c r="K5">
        <v>5.1532915900000003</v>
      </c>
      <c r="L5">
        <v>5.1590553000000003</v>
      </c>
      <c r="M5">
        <v>5.2149357600000004</v>
      </c>
      <c r="N5">
        <v>4.7361984499999998</v>
      </c>
      <c r="O5">
        <v>4.7361984499999998</v>
      </c>
      <c r="P5">
        <v>4.7361984499999998</v>
      </c>
      <c r="Q5">
        <v>4.7273878199999997</v>
      </c>
    </row>
    <row r="6" spans="1:17" x14ac:dyDescent="0.2">
      <c r="A6">
        <v>1.5183055599999999</v>
      </c>
      <c r="B6">
        <v>5.3518581300000001</v>
      </c>
      <c r="C6">
        <v>5.37527841</v>
      </c>
      <c r="D6">
        <v>5.37527841</v>
      </c>
      <c r="E6">
        <v>5.3844950599999999</v>
      </c>
      <c r="F6">
        <v>5.3936275499999997</v>
      </c>
      <c r="G6">
        <v>5.3936275499999997</v>
      </c>
      <c r="H6">
        <v>5.4293456300000003</v>
      </c>
      <c r="I6">
        <v>5.4337220000000004</v>
      </c>
      <c r="J6">
        <v>5.1590553000000003</v>
      </c>
      <c r="K6">
        <v>5.1416635599999996</v>
      </c>
      <c r="L6">
        <v>5.1532915900000003</v>
      </c>
      <c r="M6">
        <v>5.20948615</v>
      </c>
      <c r="N6">
        <v>4.7004803700000002</v>
      </c>
      <c r="O6">
        <v>4.6913478800000004</v>
      </c>
      <c r="P6">
        <v>4.7004803700000002</v>
      </c>
      <c r="Q6">
        <v>4.7535901899999997</v>
      </c>
    </row>
    <row r="7" spans="1:17" x14ac:dyDescent="0.2">
      <c r="A7">
        <v>1.8983055600000001</v>
      </c>
      <c r="B7">
        <v>5.3565862700000002</v>
      </c>
      <c r="C7">
        <v>5.3518581300000001</v>
      </c>
      <c r="D7">
        <v>5.3844950599999999</v>
      </c>
      <c r="E7">
        <v>5.3612921699999996</v>
      </c>
      <c r="F7">
        <v>5.4026773800000001</v>
      </c>
      <c r="G7">
        <v>5.3798973500000002</v>
      </c>
      <c r="H7">
        <v>5.4026773800000001</v>
      </c>
      <c r="I7">
        <v>5.43807931</v>
      </c>
      <c r="J7">
        <v>5.1590553000000003</v>
      </c>
      <c r="K7">
        <v>5.1704840000000001</v>
      </c>
      <c r="L7">
        <v>5.1704840000000001</v>
      </c>
      <c r="M7">
        <v>5.2257466700000004</v>
      </c>
      <c r="N7">
        <v>4.7273878199999997</v>
      </c>
      <c r="O7">
        <v>4.7184988700000003</v>
      </c>
      <c r="P7">
        <v>4.7184988700000003</v>
      </c>
      <c r="Q7">
        <v>4.7535901899999997</v>
      </c>
    </row>
    <row r="8" spans="1:17" x14ac:dyDescent="0.2">
      <c r="A8">
        <v>2.2778611099999999</v>
      </c>
      <c r="B8">
        <v>5.3565862700000002</v>
      </c>
      <c r="C8">
        <v>5.3612921699999996</v>
      </c>
      <c r="D8">
        <v>5.37527841</v>
      </c>
      <c r="E8">
        <v>5.37527841</v>
      </c>
      <c r="F8">
        <v>5.3936275499999997</v>
      </c>
      <c r="G8">
        <v>5.3936275499999997</v>
      </c>
      <c r="H8">
        <v>5.3936275499999997</v>
      </c>
      <c r="I8">
        <v>5.44241771</v>
      </c>
      <c r="J8">
        <v>5.1704840000000001</v>
      </c>
      <c r="K8">
        <v>5.1647859699999996</v>
      </c>
      <c r="L8">
        <v>5.1590553000000003</v>
      </c>
      <c r="M8">
        <v>5.2257466700000004</v>
      </c>
      <c r="N8">
        <v>4.7273878199999997</v>
      </c>
      <c r="O8">
        <v>4.7095301999999997</v>
      </c>
      <c r="P8">
        <v>4.7273878199999997</v>
      </c>
      <c r="Q8">
        <v>4.7621739300000003</v>
      </c>
    </row>
    <row r="9" spans="1:17" x14ac:dyDescent="0.2">
      <c r="A9">
        <v>2.6574444399999999</v>
      </c>
      <c r="B9">
        <v>5.3612921699999996</v>
      </c>
      <c r="C9">
        <v>5.3706380300000003</v>
      </c>
      <c r="D9">
        <v>5.3798973500000002</v>
      </c>
      <c r="E9">
        <v>5.3659760199999997</v>
      </c>
      <c r="F9">
        <v>5.4026773800000001</v>
      </c>
      <c r="G9">
        <v>5.3612921699999996</v>
      </c>
      <c r="H9">
        <v>5.3981627000000003</v>
      </c>
      <c r="I9">
        <v>5.43807931</v>
      </c>
      <c r="J9">
        <v>5.1647859699999996</v>
      </c>
      <c r="K9">
        <v>5.1647859699999996</v>
      </c>
      <c r="L9">
        <v>5.1704840000000001</v>
      </c>
      <c r="M9">
        <v>5.2149357600000004</v>
      </c>
      <c r="N9">
        <v>4.7273878199999997</v>
      </c>
      <c r="O9">
        <v>4.7184988700000003</v>
      </c>
      <c r="P9">
        <v>4.7184988700000003</v>
      </c>
      <c r="Q9">
        <v>4.7874917400000001</v>
      </c>
    </row>
    <row r="10" spans="1:17" x14ac:dyDescent="0.2">
      <c r="A10">
        <v>3.0370277799999998</v>
      </c>
      <c r="B10">
        <v>5.3659760199999997</v>
      </c>
      <c r="C10">
        <v>5.3565862700000002</v>
      </c>
      <c r="D10">
        <v>5.3844950599999999</v>
      </c>
      <c r="E10">
        <v>5.3659760199999997</v>
      </c>
      <c r="F10">
        <v>5.4293456300000003</v>
      </c>
      <c r="G10">
        <v>5.3844950599999999</v>
      </c>
      <c r="H10">
        <v>5.3936275499999997</v>
      </c>
      <c r="I10">
        <v>5.4467373700000001</v>
      </c>
      <c r="J10">
        <v>5.1817835499999996</v>
      </c>
      <c r="K10">
        <v>5.1474944799999998</v>
      </c>
      <c r="L10">
        <v>5.1532915900000003</v>
      </c>
      <c r="M10">
        <v>5.2203558299999999</v>
      </c>
      <c r="N10">
        <v>4.7095301999999997</v>
      </c>
      <c r="O10">
        <v>4.7184988700000003</v>
      </c>
      <c r="P10">
        <v>4.7449321299999996</v>
      </c>
      <c r="Q10">
        <v>4.7706846199999999</v>
      </c>
    </row>
    <row r="11" spans="1:17" x14ac:dyDescent="0.2">
      <c r="A11">
        <v>3.4166111099999998</v>
      </c>
      <c r="B11">
        <v>5.3659760199999997</v>
      </c>
      <c r="C11">
        <v>5.3659760199999997</v>
      </c>
      <c r="D11">
        <v>5.37527841</v>
      </c>
      <c r="E11">
        <v>5.3706380300000003</v>
      </c>
      <c r="F11">
        <v>5.4026773800000001</v>
      </c>
      <c r="G11">
        <v>5.3798973500000002</v>
      </c>
      <c r="H11">
        <v>5.3936275499999997</v>
      </c>
      <c r="I11">
        <v>5.4293456300000003</v>
      </c>
      <c r="J11">
        <v>5.1647859699999996</v>
      </c>
      <c r="K11">
        <v>5.1761497299999997</v>
      </c>
      <c r="L11">
        <v>5.1704840000000001</v>
      </c>
      <c r="M11">
        <v>5.2203558299999999</v>
      </c>
      <c r="N11">
        <v>4.7184988700000003</v>
      </c>
      <c r="O11">
        <v>4.7095301999999997</v>
      </c>
      <c r="P11">
        <v>4.7273878199999997</v>
      </c>
      <c r="Q11">
        <v>4.7449321299999996</v>
      </c>
    </row>
    <row r="12" spans="1:17" x14ac:dyDescent="0.2">
      <c r="A12">
        <v>3.7961666699999999</v>
      </c>
      <c r="B12">
        <v>5.3612921699999996</v>
      </c>
      <c r="C12">
        <v>5.3612921699999996</v>
      </c>
      <c r="D12">
        <v>5.3844950599999999</v>
      </c>
      <c r="E12">
        <v>5.3612921699999996</v>
      </c>
      <c r="F12">
        <v>5.4026773800000001</v>
      </c>
      <c r="G12">
        <v>5.4161004000000004</v>
      </c>
      <c r="H12">
        <v>5.4161004000000004</v>
      </c>
      <c r="I12">
        <v>5.4293456300000003</v>
      </c>
      <c r="J12">
        <v>5.1647859699999996</v>
      </c>
      <c r="K12">
        <v>5.1704840000000001</v>
      </c>
      <c r="L12">
        <v>5.1590553000000003</v>
      </c>
      <c r="M12">
        <v>5.20948615</v>
      </c>
      <c r="N12">
        <v>4.7361984499999998</v>
      </c>
      <c r="O12">
        <v>4.7095301999999997</v>
      </c>
      <c r="P12">
        <v>4.7361984499999998</v>
      </c>
      <c r="Q12">
        <v>4.7706846199999999</v>
      </c>
    </row>
    <row r="13" spans="1:17" x14ac:dyDescent="0.2">
      <c r="A13">
        <v>4.1759722200000002</v>
      </c>
      <c r="B13">
        <v>5.3518581300000001</v>
      </c>
      <c r="C13">
        <v>5.3612921699999996</v>
      </c>
      <c r="D13">
        <v>5.3659760199999997</v>
      </c>
      <c r="E13">
        <v>5.3844950599999999</v>
      </c>
      <c r="F13">
        <v>5.3981627000000003</v>
      </c>
      <c r="G13">
        <v>5.4071717699999997</v>
      </c>
      <c r="H13">
        <v>5.4026773800000001</v>
      </c>
      <c r="I13">
        <v>5.4293456300000003</v>
      </c>
      <c r="J13">
        <v>5.1590553000000003</v>
      </c>
      <c r="K13">
        <v>5.1474944799999998</v>
      </c>
      <c r="L13">
        <v>5.1704840000000001</v>
      </c>
      <c r="M13">
        <v>5.2149357600000004</v>
      </c>
      <c r="N13">
        <v>4.7184988700000003</v>
      </c>
      <c r="O13">
        <v>4.7095301999999997</v>
      </c>
      <c r="P13">
        <v>4.7535901899999997</v>
      </c>
      <c r="Q13">
        <v>4.7621739300000003</v>
      </c>
    </row>
    <row r="14" spans="1:17" x14ac:dyDescent="0.2">
      <c r="A14">
        <v>4.5555555600000002</v>
      </c>
      <c r="B14">
        <v>5.3278761699999997</v>
      </c>
      <c r="C14">
        <v>5.3565862700000002</v>
      </c>
      <c r="D14">
        <v>5.3844950599999999</v>
      </c>
      <c r="E14">
        <v>5.3798973500000002</v>
      </c>
      <c r="F14">
        <v>5.4205350000000001</v>
      </c>
      <c r="G14">
        <v>5.4026773800000001</v>
      </c>
      <c r="H14">
        <v>5.4205350000000001</v>
      </c>
      <c r="I14">
        <v>5.43807931</v>
      </c>
      <c r="J14">
        <v>5.1704840000000001</v>
      </c>
      <c r="K14">
        <v>5.1817835499999996</v>
      </c>
      <c r="L14">
        <v>5.1929568499999998</v>
      </c>
      <c r="M14">
        <v>5.2311086199999997</v>
      </c>
      <c r="N14">
        <v>4.6913478800000004</v>
      </c>
      <c r="O14">
        <v>4.7184988700000003</v>
      </c>
      <c r="P14">
        <v>4.7361984499999998</v>
      </c>
      <c r="Q14">
        <v>4.7535901899999997</v>
      </c>
    </row>
    <row r="15" spans="1:17" x14ac:dyDescent="0.2">
      <c r="A15">
        <v>4.9351111100000002</v>
      </c>
      <c r="B15">
        <v>5.3518581300000001</v>
      </c>
      <c r="C15">
        <v>5.3565862700000002</v>
      </c>
      <c r="D15">
        <v>5.3798973500000002</v>
      </c>
      <c r="E15">
        <v>5.3706380300000003</v>
      </c>
      <c r="F15">
        <v>5.4116460499999999</v>
      </c>
      <c r="G15">
        <v>5.3798973500000002</v>
      </c>
      <c r="H15">
        <v>5.3844950599999999</v>
      </c>
      <c r="I15">
        <v>5.44241771</v>
      </c>
      <c r="J15">
        <v>5.1590553000000003</v>
      </c>
      <c r="K15">
        <v>5.1647859699999996</v>
      </c>
      <c r="L15">
        <v>5.1984970300000004</v>
      </c>
      <c r="M15">
        <v>5.2311086199999997</v>
      </c>
      <c r="N15">
        <v>4.7184988700000003</v>
      </c>
      <c r="O15">
        <v>4.7449321299999996</v>
      </c>
      <c r="P15">
        <v>4.7449321299999996</v>
      </c>
      <c r="Q15">
        <v>4.7874917400000001</v>
      </c>
    </row>
    <row r="16" spans="1:17" x14ac:dyDescent="0.2">
      <c r="A16">
        <v>5.3146944400000002</v>
      </c>
      <c r="B16">
        <v>5.3471075299999997</v>
      </c>
      <c r="C16">
        <v>5.3706380300000003</v>
      </c>
      <c r="D16">
        <v>5.3890717300000004</v>
      </c>
      <c r="E16">
        <v>5.37527841</v>
      </c>
      <c r="F16">
        <v>5.4205350000000001</v>
      </c>
      <c r="G16">
        <v>5.3890717300000004</v>
      </c>
      <c r="H16">
        <v>5.4026773800000001</v>
      </c>
      <c r="I16">
        <v>5.4293456300000003</v>
      </c>
      <c r="J16">
        <v>5.1704840000000001</v>
      </c>
      <c r="K16">
        <v>5.1704840000000001</v>
      </c>
      <c r="L16">
        <v>5.1817835499999996</v>
      </c>
      <c r="M16">
        <v>5.2311086199999997</v>
      </c>
      <c r="N16">
        <v>4.7004803700000002</v>
      </c>
      <c r="O16">
        <v>4.7184988700000003</v>
      </c>
      <c r="P16">
        <v>4.7273878199999997</v>
      </c>
      <c r="Q16">
        <v>4.7535901899999997</v>
      </c>
    </row>
    <row r="17" spans="1:17" x14ac:dyDescent="0.2">
      <c r="A17">
        <v>5.6942777800000002</v>
      </c>
      <c r="B17">
        <v>5.3612921699999996</v>
      </c>
      <c r="C17">
        <v>5.3612921699999996</v>
      </c>
      <c r="D17">
        <v>5.3844950599999999</v>
      </c>
      <c r="E17">
        <v>5.3798973500000002</v>
      </c>
      <c r="F17">
        <v>5.4071717699999997</v>
      </c>
      <c r="G17">
        <v>5.3844950599999999</v>
      </c>
      <c r="H17">
        <v>5.4026773800000001</v>
      </c>
      <c r="I17">
        <v>5.4293456300000003</v>
      </c>
      <c r="J17">
        <v>5.1590553000000003</v>
      </c>
      <c r="K17">
        <v>5.1704840000000001</v>
      </c>
      <c r="L17">
        <v>5.1817835499999996</v>
      </c>
      <c r="M17">
        <v>5.24174702</v>
      </c>
      <c r="N17">
        <v>4.7184988700000003</v>
      </c>
      <c r="O17">
        <v>4.7361984499999998</v>
      </c>
      <c r="P17">
        <v>4.7621739300000003</v>
      </c>
      <c r="Q17">
        <v>4.7535901899999997</v>
      </c>
    </row>
    <row r="18" spans="1:17" x14ac:dyDescent="0.2">
      <c r="A18">
        <v>6.0738333300000003</v>
      </c>
      <c r="B18">
        <v>5.3518581300000001</v>
      </c>
      <c r="C18">
        <v>5.3565862700000002</v>
      </c>
      <c r="D18">
        <v>5.3659760199999997</v>
      </c>
      <c r="E18">
        <v>5.37527841</v>
      </c>
      <c r="F18">
        <v>5.4116460499999999</v>
      </c>
      <c r="G18">
        <v>5.3936275499999997</v>
      </c>
      <c r="H18">
        <v>5.3936275499999997</v>
      </c>
      <c r="I18">
        <v>5.44241771</v>
      </c>
      <c r="J18">
        <v>5.1873858100000003</v>
      </c>
      <c r="K18">
        <v>5.1817835499999996</v>
      </c>
      <c r="L18">
        <v>5.1873858100000003</v>
      </c>
      <c r="M18">
        <v>5.2470240700000002</v>
      </c>
      <c r="N18">
        <v>4.6913478800000004</v>
      </c>
      <c r="O18">
        <v>4.7273878199999997</v>
      </c>
      <c r="P18">
        <v>4.7095301999999997</v>
      </c>
      <c r="Q18">
        <v>4.7621739300000003</v>
      </c>
    </row>
    <row r="19" spans="1:17" x14ac:dyDescent="0.2">
      <c r="A19">
        <v>6.4534166700000002</v>
      </c>
      <c r="B19">
        <v>5.3798973500000002</v>
      </c>
      <c r="C19">
        <v>5.3706380300000003</v>
      </c>
      <c r="D19">
        <v>5.3844950599999999</v>
      </c>
      <c r="E19">
        <v>5.3706380300000003</v>
      </c>
      <c r="F19">
        <v>5.3981627000000003</v>
      </c>
      <c r="G19">
        <v>5.3844950599999999</v>
      </c>
      <c r="H19">
        <v>5.3890717300000004</v>
      </c>
      <c r="I19">
        <v>5.44241771</v>
      </c>
      <c r="J19">
        <v>5.1761497299999997</v>
      </c>
      <c r="K19">
        <v>5.1761497299999997</v>
      </c>
      <c r="L19">
        <v>5.1873858100000003</v>
      </c>
      <c r="M19">
        <v>5.2522734299999998</v>
      </c>
      <c r="N19">
        <v>4.6821312300000004</v>
      </c>
      <c r="O19">
        <v>4.7273878199999997</v>
      </c>
      <c r="P19">
        <v>4.7449321299999996</v>
      </c>
      <c r="Q19">
        <v>4.7621739300000003</v>
      </c>
    </row>
    <row r="20" spans="1:17" x14ac:dyDescent="0.2">
      <c r="A20">
        <v>6.8330000000000002</v>
      </c>
      <c r="B20">
        <v>5.3659760199999997</v>
      </c>
      <c r="C20">
        <v>5.3518581300000001</v>
      </c>
      <c r="D20">
        <v>5.3890717300000004</v>
      </c>
      <c r="E20">
        <v>5.3844950599999999</v>
      </c>
      <c r="F20">
        <v>5.4205350000000001</v>
      </c>
      <c r="G20">
        <v>5.3890717300000004</v>
      </c>
      <c r="H20">
        <v>5.4205350000000001</v>
      </c>
      <c r="I20">
        <v>5.43807931</v>
      </c>
      <c r="J20">
        <v>5.1817835499999996</v>
      </c>
      <c r="K20">
        <v>5.1761497299999997</v>
      </c>
      <c r="L20">
        <v>5.1873858100000003</v>
      </c>
      <c r="M20">
        <v>5.2364419599999996</v>
      </c>
      <c r="N20">
        <v>4.7184988700000003</v>
      </c>
      <c r="O20">
        <v>4.7273878199999997</v>
      </c>
      <c r="P20">
        <v>4.7535901899999997</v>
      </c>
      <c r="Q20">
        <v>4.7621739300000003</v>
      </c>
    </row>
    <row r="21" spans="1:17" x14ac:dyDescent="0.2">
      <c r="A21">
        <v>7.2125833300000002</v>
      </c>
      <c r="B21">
        <v>5.3565862700000002</v>
      </c>
      <c r="C21">
        <v>5.3612921699999996</v>
      </c>
      <c r="D21">
        <v>5.3844950599999999</v>
      </c>
      <c r="E21">
        <v>5.3706380300000003</v>
      </c>
      <c r="F21">
        <v>5.4205350000000001</v>
      </c>
      <c r="G21">
        <v>5.3844950599999999</v>
      </c>
      <c r="H21">
        <v>5.4116460499999999</v>
      </c>
      <c r="I21">
        <v>5.4467373700000001</v>
      </c>
      <c r="J21">
        <v>5.1929568499999998</v>
      </c>
      <c r="K21">
        <v>5.1761497299999997</v>
      </c>
      <c r="L21">
        <v>5.1929568499999998</v>
      </c>
      <c r="M21">
        <v>5.2729995599999997</v>
      </c>
      <c r="N21">
        <v>4.7184988700000003</v>
      </c>
      <c r="O21">
        <v>4.7449321299999996</v>
      </c>
      <c r="P21">
        <v>4.7449321299999996</v>
      </c>
      <c r="Q21">
        <v>4.7957905500000004</v>
      </c>
    </row>
    <row r="22" spans="1:17" x14ac:dyDescent="0.2">
      <c r="A22">
        <v>7.5921388900000002</v>
      </c>
      <c r="B22">
        <v>5.3706380300000003</v>
      </c>
      <c r="C22">
        <v>5.37527841</v>
      </c>
      <c r="D22">
        <v>5.3890717300000004</v>
      </c>
      <c r="E22">
        <v>5.3890717300000004</v>
      </c>
      <c r="F22">
        <v>5.4249500199999998</v>
      </c>
      <c r="G22">
        <v>5.4026773800000001</v>
      </c>
      <c r="H22">
        <v>5.3981627000000003</v>
      </c>
      <c r="I22">
        <v>5.4467373700000001</v>
      </c>
      <c r="J22">
        <v>5.2040066899999999</v>
      </c>
      <c r="K22">
        <v>5.1817835499999996</v>
      </c>
      <c r="L22">
        <v>5.2149357600000004</v>
      </c>
      <c r="M22">
        <v>5.2832037300000003</v>
      </c>
      <c r="N22">
        <v>4.7184988700000003</v>
      </c>
      <c r="O22">
        <v>4.7273878199999997</v>
      </c>
      <c r="P22">
        <v>4.7449321299999996</v>
      </c>
      <c r="Q22">
        <v>4.7706846199999999</v>
      </c>
    </row>
    <row r="23" spans="1:17" x14ac:dyDescent="0.2">
      <c r="A23">
        <v>7.9717222200000002</v>
      </c>
      <c r="B23">
        <v>5.3612921699999996</v>
      </c>
      <c r="C23">
        <v>5.3565862700000002</v>
      </c>
      <c r="D23">
        <v>5.3844950599999999</v>
      </c>
      <c r="E23">
        <v>5.3706380300000003</v>
      </c>
      <c r="F23">
        <v>5.4293456300000003</v>
      </c>
      <c r="G23">
        <v>5.3981627000000003</v>
      </c>
      <c r="H23">
        <v>5.3798973500000002</v>
      </c>
      <c r="I23">
        <v>5.4510384500000004</v>
      </c>
      <c r="J23">
        <v>5.2149357600000004</v>
      </c>
      <c r="K23">
        <v>5.20948615</v>
      </c>
      <c r="L23">
        <v>5.2203558299999999</v>
      </c>
      <c r="M23">
        <v>5.2882670300000001</v>
      </c>
      <c r="N23">
        <v>4.7184988700000003</v>
      </c>
      <c r="O23">
        <v>4.6821312300000004</v>
      </c>
      <c r="P23">
        <v>4.7361984499999998</v>
      </c>
      <c r="Q23">
        <v>4.7791234899999999</v>
      </c>
    </row>
    <row r="24" spans="1:17" x14ac:dyDescent="0.2">
      <c r="A24">
        <v>8.3516944399999993</v>
      </c>
      <c r="B24">
        <v>5.3471075299999997</v>
      </c>
      <c r="C24">
        <v>5.3565862700000002</v>
      </c>
      <c r="D24">
        <v>5.3890717300000004</v>
      </c>
      <c r="E24">
        <v>5.3798973500000002</v>
      </c>
      <c r="F24">
        <v>5.4249500199999998</v>
      </c>
      <c r="G24">
        <v>5.4026773800000001</v>
      </c>
      <c r="H24">
        <v>5.4116460499999999</v>
      </c>
      <c r="I24">
        <v>5.4467373700000001</v>
      </c>
      <c r="J24">
        <v>5.20948615</v>
      </c>
      <c r="K24">
        <v>5.2257466700000004</v>
      </c>
      <c r="L24">
        <v>5.24174702</v>
      </c>
      <c r="M24">
        <v>5.3181199899999996</v>
      </c>
      <c r="N24">
        <v>4.7273878199999997</v>
      </c>
      <c r="O24">
        <v>4.7095301999999997</v>
      </c>
      <c r="P24">
        <v>4.7535901899999997</v>
      </c>
      <c r="Q24">
        <v>4.7706846199999999</v>
      </c>
    </row>
    <row r="25" spans="1:17" x14ac:dyDescent="0.2">
      <c r="A25">
        <v>8.7312777799999992</v>
      </c>
      <c r="B25">
        <v>5.3612921699999996</v>
      </c>
      <c r="C25">
        <v>5.3565862700000002</v>
      </c>
      <c r="D25">
        <v>5.37527841</v>
      </c>
      <c r="E25">
        <v>5.3844950599999999</v>
      </c>
      <c r="F25">
        <v>5.4293456300000003</v>
      </c>
      <c r="G25">
        <v>5.3844950599999999</v>
      </c>
      <c r="H25">
        <v>5.4026773800000001</v>
      </c>
      <c r="I25">
        <v>5.4467373700000001</v>
      </c>
      <c r="J25">
        <v>5.2522734299999998</v>
      </c>
      <c r="K25">
        <v>5.2257466700000004</v>
      </c>
      <c r="L25">
        <v>5.2149357600000004</v>
      </c>
      <c r="M25">
        <v>5.3423342500000004</v>
      </c>
      <c r="N25">
        <v>4.7095301999999997</v>
      </c>
      <c r="O25">
        <v>4.7361984499999998</v>
      </c>
      <c r="P25">
        <v>4.7535901899999997</v>
      </c>
      <c r="Q25">
        <v>4.7706846199999999</v>
      </c>
    </row>
    <row r="26" spans="1:17" x14ac:dyDescent="0.2">
      <c r="A26">
        <v>9.1108333300000002</v>
      </c>
      <c r="B26">
        <v>5.3706380300000003</v>
      </c>
      <c r="C26">
        <v>5.3659760199999997</v>
      </c>
      <c r="D26">
        <v>5.3936275499999997</v>
      </c>
      <c r="E26">
        <v>5.4026773800000001</v>
      </c>
      <c r="F26">
        <v>5.44241771</v>
      </c>
      <c r="G26">
        <v>5.3890717300000004</v>
      </c>
      <c r="H26">
        <v>5.4249500199999998</v>
      </c>
      <c r="I26">
        <v>5.44241771</v>
      </c>
      <c r="J26">
        <v>5.3033049099999996</v>
      </c>
      <c r="K26">
        <v>5.3132059800000002</v>
      </c>
      <c r="L26">
        <v>5.2983173700000004</v>
      </c>
      <c r="M26">
        <v>5.4293456300000003</v>
      </c>
      <c r="N26">
        <v>4.7184988700000003</v>
      </c>
      <c r="O26">
        <v>4.7184988700000003</v>
      </c>
      <c r="P26">
        <v>4.7449321299999996</v>
      </c>
      <c r="Q26">
        <v>4.7535901899999997</v>
      </c>
    </row>
    <row r="27" spans="1:17" x14ac:dyDescent="0.2">
      <c r="A27">
        <v>9.4904444399999992</v>
      </c>
      <c r="B27">
        <v>5.37527841</v>
      </c>
      <c r="C27">
        <v>5.3659760199999997</v>
      </c>
      <c r="D27">
        <v>5.3798973500000002</v>
      </c>
      <c r="E27">
        <v>5.3844950599999999</v>
      </c>
      <c r="F27">
        <v>5.4510384500000004</v>
      </c>
      <c r="G27">
        <v>5.3981627000000003</v>
      </c>
      <c r="H27">
        <v>5.4205350000000001</v>
      </c>
      <c r="I27">
        <v>5.4595855100000001</v>
      </c>
      <c r="J27">
        <v>5.2933048200000004</v>
      </c>
      <c r="K27">
        <v>5.2678581600000003</v>
      </c>
      <c r="L27">
        <v>5.25749537</v>
      </c>
      <c r="M27">
        <v>5.4161004000000004</v>
      </c>
      <c r="N27">
        <v>4.7095301999999997</v>
      </c>
      <c r="O27">
        <v>4.7706846199999999</v>
      </c>
      <c r="P27">
        <v>4.7535901899999997</v>
      </c>
      <c r="Q27">
        <v>4.7706846199999999</v>
      </c>
    </row>
    <row r="28" spans="1:17" x14ac:dyDescent="0.2">
      <c r="A28">
        <v>9.8699999999999992</v>
      </c>
      <c r="B28">
        <v>5.3706380300000003</v>
      </c>
      <c r="C28">
        <v>5.3612921699999996</v>
      </c>
      <c r="D28">
        <v>5.3798973500000002</v>
      </c>
      <c r="E28">
        <v>5.4116460499999999</v>
      </c>
      <c r="F28">
        <v>5.4467373700000001</v>
      </c>
      <c r="G28">
        <v>5.3890717300000004</v>
      </c>
      <c r="H28">
        <v>5.4161004000000004</v>
      </c>
      <c r="I28">
        <v>5.44241771</v>
      </c>
      <c r="J28">
        <v>5.3132059800000002</v>
      </c>
      <c r="K28">
        <v>5.3082677</v>
      </c>
      <c r="L28">
        <v>5.2678581600000003</v>
      </c>
      <c r="M28">
        <v>5.4337220000000004</v>
      </c>
      <c r="N28">
        <v>4.7095301999999997</v>
      </c>
      <c r="O28">
        <v>4.7449321299999996</v>
      </c>
      <c r="P28">
        <v>4.7449321299999996</v>
      </c>
      <c r="Q28">
        <v>4.8040210400000003</v>
      </c>
    </row>
    <row r="29" spans="1:17" x14ac:dyDescent="0.2">
      <c r="A29">
        <v>10.249583299999999</v>
      </c>
      <c r="B29">
        <v>5.3844950599999999</v>
      </c>
      <c r="C29">
        <v>5.37527841</v>
      </c>
      <c r="D29">
        <v>5.3798973500000002</v>
      </c>
      <c r="E29">
        <v>5.4116460499999999</v>
      </c>
      <c r="F29">
        <v>5.43807931</v>
      </c>
      <c r="G29">
        <v>5.4071717699999997</v>
      </c>
      <c r="H29">
        <v>5.4337220000000004</v>
      </c>
      <c r="I29">
        <v>5.4680601400000004</v>
      </c>
      <c r="J29">
        <v>5.3565862700000002</v>
      </c>
      <c r="K29">
        <v>5.3612921699999996</v>
      </c>
      <c r="L29">
        <v>5.2933048200000004</v>
      </c>
      <c r="M29">
        <v>5.4722706700000003</v>
      </c>
      <c r="N29">
        <v>4.7184988700000003</v>
      </c>
      <c r="O29">
        <v>4.7361984499999998</v>
      </c>
      <c r="P29">
        <v>4.7449321299999996</v>
      </c>
      <c r="Q29">
        <v>4.8121843599999998</v>
      </c>
    </row>
    <row r="30" spans="1:17" x14ac:dyDescent="0.2">
      <c r="A30">
        <v>10.629138899999999</v>
      </c>
      <c r="B30">
        <v>5.3565862700000002</v>
      </c>
      <c r="C30">
        <v>5.3518581300000001</v>
      </c>
      <c r="D30">
        <v>5.3844950599999999</v>
      </c>
      <c r="E30">
        <v>5.4205350000000001</v>
      </c>
      <c r="F30">
        <v>5.44241771</v>
      </c>
      <c r="G30">
        <v>5.3890717300000004</v>
      </c>
      <c r="H30">
        <v>5.4293456300000003</v>
      </c>
      <c r="I30">
        <v>5.4680601400000004</v>
      </c>
      <c r="J30">
        <v>5.4026773800000001</v>
      </c>
      <c r="K30">
        <v>5.3981627000000003</v>
      </c>
      <c r="L30">
        <v>5.3132059800000002</v>
      </c>
      <c r="M30">
        <v>5.4764635500000001</v>
      </c>
      <c r="N30">
        <v>4.7004803700000002</v>
      </c>
      <c r="O30">
        <v>4.7184988700000003</v>
      </c>
      <c r="P30">
        <v>4.7621739300000003</v>
      </c>
      <c r="Q30">
        <v>4.7791234899999999</v>
      </c>
    </row>
    <row r="31" spans="1:17" x14ac:dyDescent="0.2">
      <c r="A31">
        <v>11.008722199999999</v>
      </c>
      <c r="B31">
        <v>5.3981627000000003</v>
      </c>
      <c r="C31">
        <v>5.3612921699999996</v>
      </c>
      <c r="D31">
        <v>5.3844950599999999</v>
      </c>
      <c r="E31">
        <v>5.44241771</v>
      </c>
      <c r="F31">
        <v>5.44241771</v>
      </c>
      <c r="G31">
        <v>5.3890717300000004</v>
      </c>
      <c r="H31">
        <v>5.4161004000000004</v>
      </c>
      <c r="I31">
        <v>5.4680601400000004</v>
      </c>
      <c r="J31">
        <v>5.4116460499999999</v>
      </c>
      <c r="K31">
        <v>5.4161004000000004</v>
      </c>
      <c r="L31">
        <v>5.3327187900000004</v>
      </c>
      <c r="M31">
        <v>5.5053315400000002</v>
      </c>
      <c r="N31">
        <v>4.7004803700000002</v>
      </c>
      <c r="O31">
        <v>4.7449321299999996</v>
      </c>
      <c r="P31">
        <v>4.7449321299999996</v>
      </c>
      <c r="Q31">
        <v>4.7706846199999999</v>
      </c>
    </row>
    <row r="32" spans="1:17" x14ac:dyDescent="0.2">
      <c r="A32">
        <v>11.388305600000001</v>
      </c>
      <c r="B32">
        <v>5.3844950599999999</v>
      </c>
      <c r="C32">
        <v>5.3936275499999997</v>
      </c>
      <c r="D32">
        <v>5.3844950599999999</v>
      </c>
      <c r="E32">
        <v>5.4249500199999998</v>
      </c>
      <c r="F32">
        <v>5.4638318100000003</v>
      </c>
      <c r="G32">
        <v>5.3936275499999997</v>
      </c>
      <c r="H32">
        <v>5.44241771</v>
      </c>
      <c r="I32">
        <v>5.4680601400000004</v>
      </c>
      <c r="J32">
        <v>5.4467373700000001</v>
      </c>
      <c r="K32">
        <v>5.4553211199999998</v>
      </c>
      <c r="L32">
        <v>5.3471075299999997</v>
      </c>
      <c r="M32">
        <v>5.5333894900000002</v>
      </c>
      <c r="N32">
        <v>4.7273878199999997</v>
      </c>
      <c r="O32">
        <v>4.7449321299999996</v>
      </c>
      <c r="P32">
        <v>4.7535901899999997</v>
      </c>
      <c r="Q32">
        <v>4.7706846199999999</v>
      </c>
    </row>
    <row r="33" spans="1:17" x14ac:dyDescent="0.2">
      <c r="A33">
        <v>11.767861099999999</v>
      </c>
      <c r="B33">
        <v>5.3936275499999997</v>
      </c>
      <c r="C33">
        <v>5.3890717300000004</v>
      </c>
      <c r="D33">
        <v>5.3936275499999997</v>
      </c>
      <c r="E33">
        <v>5.44241771</v>
      </c>
      <c r="F33">
        <v>5.4638318100000003</v>
      </c>
      <c r="G33">
        <v>5.3936275499999997</v>
      </c>
      <c r="H33">
        <v>5.4510384500000004</v>
      </c>
      <c r="I33">
        <v>5.4806389199999996</v>
      </c>
      <c r="J33">
        <v>5.5294290899999998</v>
      </c>
      <c r="K33">
        <v>5.5174529000000003</v>
      </c>
      <c r="L33">
        <v>5.4161004000000004</v>
      </c>
      <c r="M33">
        <v>5.5984219599999996</v>
      </c>
      <c r="N33">
        <v>4.7184988700000003</v>
      </c>
      <c r="O33">
        <v>4.7184988700000003</v>
      </c>
      <c r="P33">
        <v>4.7184988700000003</v>
      </c>
      <c r="Q33">
        <v>4.7706846199999999</v>
      </c>
    </row>
    <row r="34" spans="1:17" x14ac:dyDescent="0.2">
      <c r="A34">
        <v>12.147444399999999</v>
      </c>
      <c r="B34">
        <v>5.4161004000000004</v>
      </c>
      <c r="C34">
        <v>5.3981627000000003</v>
      </c>
      <c r="D34">
        <v>5.3981627000000003</v>
      </c>
      <c r="E34">
        <v>5.4467373700000001</v>
      </c>
      <c r="F34">
        <v>5.4638318100000003</v>
      </c>
      <c r="G34">
        <v>5.4116460499999999</v>
      </c>
      <c r="H34">
        <v>5.4595855100000001</v>
      </c>
      <c r="I34">
        <v>5.4806389199999996</v>
      </c>
      <c r="J34">
        <v>5.52146092</v>
      </c>
      <c r="K34">
        <v>5.5294290899999998</v>
      </c>
      <c r="L34">
        <v>5.43807931</v>
      </c>
      <c r="M34">
        <v>5.6131281099999999</v>
      </c>
      <c r="N34">
        <v>4.7095301999999997</v>
      </c>
      <c r="O34">
        <v>4.7361984499999998</v>
      </c>
      <c r="P34">
        <v>4.7361984499999998</v>
      </c>
      <c r="Q34">
        <v>4.7535901899999997</v>
      </c>
    </row>
    <row r="35" spans="1:17" x14ac:dyDescent="0.2">
      <c r="A35">
        <v>12.526999999999999</v>
      </c>
      <c r="B35">
        <v>5.4249500199999998</v>
      </c>
      <c r="C35">
        <v>5.3936275499999997</v>
      </c>
      <c r="D35">
        <v>5.3936275499999997</v>
      </c>
      <c r="E35">
        <v>5.4638318100000003</v>
      </c>
      <c r="F35">
        <v>5.4847969299999999</v>
      </c>
      <c r="G35">
        <v>5.4249500199999998</v>
      </c>
      <c r="H35">
        <v>5.4680601400000004</v>
      </c>
      <c r="I35">
        <v>5.4764635500000001</v>
      </c>
      <c r="J35">
        <v>5.5093883400000001</v>
      </c>
      <c r="K35">
        <v>5.5134287500000001</v>
      </c>
      <c r="L35">
        <v>5.37527841</v>
      </c>
      <c r="M35">
        <v>5.6131281099999999</v>
      </c>
      <c r="N35">
        <v>4.7004803700000002</v>
      </c>
      <c r="O35">
        <v>4.7361984499999998</v>
      </c>
      <c r="P35">
        <v>4.7361984499999998</v>
      </c>
      <c r="Q35">
        <v>4.7706846199999999</v>
      </c>
    </row>
    <row r="36" spans="1:17" x14ac:dyDescent="0.2">
      <c r="A36">
        <v>12.906583299999999</v>
      </c>
      <c r="B36">
        <v>5.43807931</v>
      </c>
      <c r="C36">
        <v>5.3890717300000004</v>
      </c>
      <c r="D36">
        <v>5.4071717699999997</v>
      </c>
      <c r="E36">
        <v>5.4764635500000001</v>
      </c>
      <c r="F36">
        <v>5.5093883400000001</v>
      </c>
      <c r="G36">
        <v>5.4161004000000004</v>
      </c>
      <c r="H36">
        <v>5.4847969299999999</v>
      </c>
      <c r="I36">
        <v>5.4971682299999998</v>
      </c>
      <c r="J36">
        <v>5.5451774399999998</v>
      </c>
      <c r="K36">
        <v>5.5529595799999996</v>
      </c>
      <c r="L36">
        <v>5.4249500199999998</v>
      </c>
      <c r="M36">
        <v>5.6419070700000002</v>
      </c>
      <c r="N36">
        <v>4.7184988700000003</v>
      </c>
      <c r="O36">
        <v>4.7535901899999997</v>
      </c>
      <c r="P36">
        <v>4.7273878199999997</v>
      </c>
      <c r="Q36">
        <v>4.7449321299999996</v>
      </c>
    </row>
    <row r="37" spans="1:17" x14ac:dyDescent="0.2">
      <c r="A37">
        <v>13.2865</v>
      </c>
      <c r="B37">
        <v>5.4510384500000004</v>
      </c>
      <c r="C37">
        <v>5.4116460499999999</v>
      </c>
      <c r="D37">
        <v>5.4026773800000001</v>
      </c>
      <c r="E37">
        <v>5.4971682299999998</v>
      </c>
      <c r="F37">
        <v>5.52146092</v>
      </c>
      <c r="G37">
        <v>5.4116460499999999</v>
      </c>
      <c r="H37">
        <v>5.5053315400000002</v>
      </c>
      <c r="I37">
        <v>5.5254529400000001</v>
      </c>
      <c r="J37">
        <v>5.5683445000000003</v>
      </c>
      <c r="K37">
        <v>5.5683445000000003</v>
      </c>
      <c r="L37">
        <v>5.4467373700000001</v>
      </c>
      <c r="M37">
        <v>5.6489742400000003</v>
      </c>
      <c r="N37">
        <v>4.7095301999999997</v>
      </c>
      <c r="O37">
        <v>4.7449321299999996</v>
      </c>
      <c r="P37">
        <v>4.7361984499999998</v>
      </c>
      <c r="Q37">
        <v>4.7535901899999997</v>
      </c>
    </row>
    <row r="38" spans="1:17" x14ac:dyDescent="0.2">
      <c r="A38">
        <v>13.6661389</v>
      </c>
      <c r="B38">
        <v>5.4722706700000003</v>
      </c>
      <c r="C38">
        <v>5.4116460499999999</v>
      </c>
      <c r="D38">
        <v>5.3890717300000004</v>
      </c>
      <c r="E38">
        <v>5.52146092</v>
      </c>
      <c r="F38">
        <v>5.5174529000000003</v>
      </c>
      <c r="G38">
        <v>5.4026773800000001</v>
      </c>
      <c r="H38">
        <v>5.5134287500000001</v>
      </c>
      <c r="I38">
        <v>5.5174529000000003</v>
      </c>
      <c r="J38">
        <v>5.5797298299999998</v>
      </c>
      <c r="K38">
        <v>5.5645204100000001</v>
      </c>
      <c r="L38">
        <v>5.4638318100000003</v>
      </c>
      <c r="M38">
        <v>5.6903594499999999</v>
      </c>
      <c r="N38">
        <v>4.7273878199999997</v>
      </c>
      <c r="O38">
        <v>4.7361984499999998</v>
      </c>
      <c r="P38">
        <v>4.7535901899999997</v>
      </c>
      <c r="Q38">
        <v>4.7706846199999999</v>
      </c>
    </row>
    <row r="39" spans="1:17" x14ac:dyDescent="0.2">
      <c r="A39">
        <v>14.0458056</v>
      </c>
      <c r="B39">
        <v>5.48893773</v>
      </c>
      <c r="C39">
        <v>5.4249500199999998</v>
      </c>
      <c r="D39">
        <v>5.4071717699999997</v>
      </c>
      <c r="E39">
        <v>5.5294290899999998</v>
      </c>
      <c r="F39">
        <v>5.5451774399999998</v>
      </c>
      <c r="G39">
        <v>5.4161004000000004</v>
      </c>
      <c r="H39">
        <v>5.5529595799999996</v>
      </c>
      <c r="I39">
        <v>5.5053315400000002</v>
      </c>
      <c r="J39">
        <v>5.6240175099999998</v>
      </c>
      <c r="K39">
        <v>5.5947113799999997</v>
      </c>
      <c r="L39">
        <v>5.49306144</v>
      </c>
      <c r="M39">
        <v>5.7203117800000003</v>
      </c>
      <c r="N39">
        <v>4.7095301999999997</v>
      </c>
      <c r="O39">
        <v>4.7095301999999997</v>
      </c>
      <c r="P39">
        <v>4.7706846199999999</v>
      </c>
      <c r="Q39">
        <v>4.7706846199999999</v>
      </c>
    </row>
    <row r="40" spans="1:17" x14ac:dyDescent="0.2">
      <c r="A40">
        <v>14.4253889</v>
      </c>
      <c r="B40">
        <v>5.5053315400000002</v>
      </c>
      <c r="C40">
        <v>5.4161004000000004</v>
      </c>
      <c r="D40">
        <v>5.4161004000000004</v>
      </c>
      <c r="E40">
        <v>5.5645204100000001</v>
      </c>
      <c r="F40">
        <v>5.5606816300000004</v>
      </c>
      <c r="G40">
        <v>5.4337220000000004</v>
      </c>
      <c r="H40">
        <v>5.5451774399999998</v>
      </c>
      <c r="I40">
        <v>5.5373342699999997</v>
      </c>
      <c r="J40">
        <v>5.6489742400000003</v>
      </c>
      <c r="K40">
        <v>5.6240175099999998</v>
      </c>
      <c r="L40">
        <v>5.4971682299999998</v>
      </c>
      <c r="M40">
        <v>5.7203117800000003</v>
      </c>
      <c r="N40">
        <v>4.7361984499999998</v>
      </c>
      <c r="O40">
        <v>4.7273878199999997</v>
      </c>
      <c r="P40">
        <v>4.7184988700000003</v>
      </c>
      <c r="Q40">
        <v>4.7791234899999999</v>
      </c>
    </row>
    <row r="41" spans="1:17" x14ac:dyDescent="0.2">
      <c r="A41">
        <v>14.8049444</v>
      </c>
      <c r="B41">
        <v>5.5294290899999998</v>
      </c>
      <c r="C41">
        <v>5.44241771</v>
      </c>
      <c r="D41">
        <v>5.4249500199999998</v>
      </c>
      <c r="E41">
        <v>5.6021188200000003</v>
      </c>
      <c r="F41">
        <v>5.5947113799999997</v>
      </c>
      <c r="G41">
        <v>5.44241771</v>
      </c>
      <c r="H41">
        <v>5.5834963100000001</v>
      </c>
      <c r="I41">
        <v>5.54126355</v>
      </c>
      <c r="J41">
        <v>5.6594822200000001</v>
      </c>
      <c r="K41">
        <v>5.6276211099999998</v>
      </c>
      <c r="L41">
        <v>5.4971682299999998</v>
      </c>
      <c r="M41">
        <v>5.7620513799999999</v>
      </c>
      <c r="N41">
        <v>4.7184988700000003</v>
      </c>
      <c r="O41">
        <v>4.7361984499999998</v>
      </c>
      <c r="P41">
        <v>4.7449321299999996</v>
      </c>
      <c r="Q41">
        <v>4.7621739300000003</v>
      </c>
    </row>
    <row r="42" spans="1:17" x14ac:dyDescent="0.2">
      <c r="A42">
        <v>15.1845278</v>
      </c>
      <c r="B42">
        <v>5.5490760799999999</v>
      </c>
      <c r="C42">
        <v>5.4595855100000001</v>
      </c>
      <c r="D42">
        <v>5.4467373700000001</v>
      </c>
      <c r="E42">
        <v>5.6312117800000001</v>
      </c>
      <c r="F42">
        <v>5.6131281099999999</v>
      </c>
      <c r="G42">
        <v>5.44241771</v>
      </c>
      <c r="H42">
        <v>5.5947113799999997</v>
      </c>
      <c r="I42">
        <v>5.5645204100000001</v>
      </c>
      <c r="J42">
        <v>5.6903594499999999</v>
      </c>
      <c r="K42">
        <v>5.6524891799999999</v>
      </c>
      <c r="L42">
        <v>5.54126355</v>
      </c>
      <c r="M42">
        <v>5.8111409900000002</v>
      </c>
      <c r="N42">
        <v>4.7004803700000002</v>
      </c>
      <c r="O42">
        <v>4.7449321299999996</v>
      </c>
      <c r="P42">
        <v>4.7449321299999996</v>
      </c>
      <c r="Q42">
        <v>4.7706846199999999</v>
      </c>
    </row>
    <row r="43" spans="1:17" x14ac:dyDescent="0.2">
      <c r="A43">
        <v>15.5640833</v>
      </c>
      <c r="B43">
        <v>5.5909869800000003</v>
      </c>
      <c r="C43">
        <v>5.4722706700000003</v>
      </c>
      <c r="D43">
        <v>5.4467373700000001</v>
      </c>
      <c r="E43">
        <v>5.6698809199999998</v>
      </c>
      <c r="F43">
        <v>5.6312117800000001</v>
      </c>
      <c r="G43">
        <v>5.4467373700000001</v>
      </c>
      <c r="H43">
        <v>5.6131281099999999</v>
      </c>
      <c r="I43">
        <v>5.5834963100000001</v>
      </c>
      <c r="J43">
        <v>5.7333412800000003</v>
      </c>
      <c r="K43">
        <v>5.6869753599999999</v>
      </c>
      <c r="L43">
        <v>5.5683445000000003</v>
      </c>
      <c r="M43">
        <v>5.8260001099999998</v>
      </c>
      <c r="N43">
        <v>4.7095301999999997</v>
      </c>
      <c r="O43">
        <v>4.7361984499999998</v>
      </c>
      <c r="P43">
        <v>4.7273878199999997</v>
      </c>
      <c r="Q43">
        <v>4.7621739300000003</v>
      </c>
    </row>
    <row r="44" spans="1:17" x14ac:dyDescent="0.2">
      <c r="A44">
        <v>15.9436667</v>
      </c>
      <c r="B44">
        <v>5.6312117800000001</v>
      </c>
      <c r="C44">
        <v>5.48893773</v>
      </c>
      <c r="D44">
        <v>5.4638318100000003</v>
      </c>
      <c r="E44">
        <v>5.7037824700000002</v>
      </c>
      <c r="F44">
        <v>5.6698809199999998</v>
      </c>
      <c r="G44">
        <v>5.4553211199999998</v>
      </c>
      <c r="H44">
        <v>5.6559918099999997</v>
      </c>
      <c r="I44">
        <v>5.5984219599999996</v>
      </c>
      <c r="J44">
        <v>5.7557422100000002</v>
      </c>
      <c r="K44">
        <v>5.6970934900000003</v>
      </c>
      <c r="L44">
        <v>5.5645204100000001</v>
      </c>
      <c r="M44">
        <v>5.8522024799999999</v>
      </c>
      <c r="N44">
        <v>4.6913478800000004</v>
      </c>
      <c r="O44">
        <v>4.7273878199999997</v>
      </c>
      <c r="P44">
        <v>4.7273878199999997</v>
      </c>
      <c r="Q44">
        <v>4.7535901899999997</v>
      </c>
    </row>
    <row r="45" spans="1:17" x14ac:dyDescent="0.2">
      <c r="A45">
        <v>16.3232222</v>
      </c>
      <c r="B45">
        <v>5.6801726099999996</v>
      </c>
      <c r="C45">
        <v>5.5174529000000003</v>
      </c>
      <c r="D45">
        <v>5.4764635500000001</v>
      </c>
      <c r="E45">
        <v>5.7683210000000003</v>
      </c>
      <c r="F45">
        <v>5.7037824700000002</v>
      </c>
      <c r="G45">
        <v>5.4764635500000001</v>
      </c>
      <c r="H45">
        <v>5.6903594499999999</v>
      </c>
      <c r="I45">
        <v>5.6094717999999997</v>
      </c>
      <c r="J45">
        <v>5.8021183799999996</v>
      </c>
      <c r="K45">
        <v>5.7203117800000003</v>
      </c>
      <c r="L45">
        <v>5.5834963100000001</v>
      </c>
      <c r="M45">
        <v>5.8805329899999998</v>
      </c>
      <c r="N45">
        <v>4.7361984499999998</v>
      </c>
      <c r="O45">
        <v>4.7184988700000003</v>
      </c>
      <c r="P45">
        <v>4.7184988700000003</v>
      </c>
      <c r="Q45">
        <v>4.7957905500000004</v>
      </c>
    </row>
    <row r="46" spans="1:17" x14ac:dyDescent="0.2">
      <c r="A46">
        <v>16.702805600000001</v>
      </c>
      <c r="B46">
        <v>5.71042702</v>
      </c>
      <c r="C46">
        <v>5.5254529400000001</v>
      </c>
      <c r="D46">
        <v>5.49306144</v>
      </c>
      <c r="E46">
        <v>5.7990926500000004</v>
      </c>
      <c r="F46">
        <v>5.7333412800000003</v>
      </c>
      <c r="G46">
        <v>5.4722706700000003</v>
      </c>
      <c r="H46">
        <v>5.7203117800000003</v>
      </c>
      <c r="I46">
        <v>5.6312117800000001</v>
      </c>
      <c r="J46">
        <v>5.8406416600000002</v>
      </c>
      <c r="K46">
        <v>5.7333412800000003</v>
      </c>
      <c r="L46">
        <v>5.5834963100000001</v>
      </c>
      <c r="M46">
        <v>5.92958914</v>
      </c>
      <c r="N46">
        <v>4.7184988700000003</v>
      </c>
      <c r="O46">
        <v>4.7361984499999998</v>
      </c>
      <c r="P46">
        <v>4.7449321299999996</v>
      </c>
      <c r="Q46">
        <v>4.7706846199999999</v>
      </c>
    </row>
    <row r="47" spans="1:17" x14ac:dyDescent="0.2">
      <c r="A47">
        <v>17.082388900000002</v>
      </c>
      <c r="B47">
        <v>5.7620513799999999</v>
      </c>
      <c r="C47">
        <v>5.5645204100000001</v>
      </c>
      <c r="D47">
        <v>5.5053315400000002</v>
      </c>
      <c r="E47">
        <v>5.8805329899999998</v>
      </c>
      <c r="F47">
        <v>5.8051349700000001</v>
      </c>
      <c r="G47">
        <v>5.4806389199999996</v>
      </c>
      <c r="H47">
        <v>5.7620513799999999</v>
      </c>
      <c r="I47">
        <v>5.6559918099999997</v>
      </c>
      <c r="J47">
        <v>5.8464387799999997</v>
      </c>
      <c r="K47">
        <v>5.7557422100000002</v>
      </c>
      <c r="L47">
        <v>5.6131281099999999</v>
      </c>
      <c r="M47">
        <v>5.9635793399999999</v>
      </c>
      <c r="N47">
        <v>4.7095301999999997</v>
      </c>
      <c r="O47">
        <v>4.7449321299999996</v>
      </c>
      <c r="P47">
        <v>4.7184988700000003</v>
      </c>
      <c r="Q47">
        <v>4.7621739300000003</v>
      </c>
    </row>
    <row r="48" spans="1:17" x14ac:dyDescent="0.2">
      <c r="A48">
        <v>17.4619444</v>
      </c>
      <c r="B48">
        <v>5.83481074</v>
      </c>
      <c r="C48">
        <v>5.6021188200000003</v>
      </c>
      <c r="D48">
        <v>5.5254529400000001</v>
      </c>
      <c r="E48">
        <v>5.9322451899999997</v>
      </c>
      <c r="F48">
        <v>5.8435444199999997</v>
      </c>
      <c r="G48">
        <v>5.4806389199999996</v>
      </c>
      <c r="H48">
        <v>5.7990926500000004</v>
      </c>
      <c r="I48">
        <v>5.6767538000000002</v>
      </c>
      <c r="J48">
        <v>5.8888779600000003</v>
      </c>
      <c r="K48">
        <v>5.78382518</v>
      </c>
      <c r="L48">
        <v>5.6131281099999999</v>
      </c>
      <c r="M48">
        <v>6.0014148799999996</v>
      </c>
      <c r="N48">
        <v>4.6821312300000004</v>
      </c>
      <c r="O48">
        <v>4.7361984499999998</v>
      </c>
      <c r="P48">
        <v>4.7535901899999997</v>
      </c>
      <c r="Q48">
        <v>4.7535901899999997</v>
      </c>
    </row>
    <row r="49" spans="1:17" x14ac:dyDescent="0.2">
      <c r="A49">
        <v>17.841527800000001</v>
      </c>
      <c r="B49">
        <v>5.8971538700000004</v>
      </c>
      <c r="C49">
        <v>5.6347896000000004</v>
      </c>
      <c r="D49">
        <v>5.5529595799999996</v>
      </c>
      <c r="E49">
        <v>5.99645209</v>
      </c>
      <c r="F49">
        <v>5.8777357800000001</v>
      </c>
      <c r="G49">
        <v>5.48893773</v>
      </c>
      <c r="H49">
        <v>5.8171111599999996</v>
      </c>
      <c r="I49">
        <v>5.71042702</v>
      </c>
      <c r="J49">
        <v>5.9348941999999996</v>
      </c>
      <c r="K49">
        <v>5.8141305299999999</v>
      </c>
      <c r="L49">
        <v>5.6347896000000004</v>
      </c>
      <c r="M49">
        <v>6.0258659699999999</v>
      </c>
      <c r="N49">
        <v>4.7095301999999997</v>
      </c>
      <c r="O49">
        <v>4.7273878199999997</v>
      </c>
      <c r="P49">
        <v>4.7449321299999996</v>
      </c>
      <c r="Q49">
        <v>4.7621739300000003</v>
      </c>
    </row>
    <row r="50" spans="1:17" x14ac:dyDescent="0.2">
      <c r="A50">
        <v>18.221194400000002</v>
      </c>
      <c r="B50">
        <v>5.9610053399999998</v>
      </c>
      <c r="C50">
        <v>5.6664266899999998</v>
      </c>
      <c r="D50">
        <v>5.5721540300000001</v>
      </c>
      <c r="E50">
        <v>6.0684255900000004</v>
      </c>
      <c r="F50">
        <v>5.9558373700000002</v>
      </c>
      <c r="G50">
        <v>5.5093883400000001</v>
      </c>
      <c r="H50">
        <v>5.8636311799999996</v>
      </c>
      <c r="I50">
        <v>5.71042702</v>
      </c>
      <c r="J50">
        <v>5.9687075600000004</v>
      </c>
      <c r="K50">
        <v>5.8260001099999998</v>
      </c>
      <c r="L50">
        <v>5.6419070700000002</v>
      </c>
      <c r="M50">
        <v>6.0844994100000003</v>
      </c>
      <c r="N50">
        <v>4.7184988700000003</v>
      </c>
      <c r="O50">
        <v>4.7095301999999997</v>
      </c>
      <c r="P50">
        <v>4.7184988700000003</v>
      </c>
      <c r="Q50">
        <v>4.7706846199999999</v>
      </c>
    </row>
    <row r="51" spans="1:17" x14ac:dyDescent="0.2">
      <c r="A51">
        <v>18.600750000000001</v>
      </c>
      <c r="B51">
        <v>6.0497334599999997</v>
      </c>
      <c r="C51">
        <v>5.7037824700000002</v>
      </c>
      <c r="D51">
        <v>5.6204008700000001</v>
      </c>
      <c r="E51">
        <v>6.1548580900000003</v>
      </c>
      <c r="F51">
        <v>6.0258659699999999</v>
      </c>
      <c r="G51">
        <v>5.5174529000000003</v>
      </c>
      <c r="H51">
        <v>5.87493073</v>
      </c>
      <c r="I51">
        <v>5.7620513799999999</v>
      </c>
      <c r="J51">
        <v>6.01126717</v>
      </c>
      <c r="K51">
        <v>5.87493073</v>
      </c>
      <c r="L51">
        <v>5.6767538000000002</v>
      </c>
      <c r="M51">
        <v>6.1355648900000004</v>
      </c>
      <c r="N51">
        <v>4.7004803700000002</v>
      </c>
      <c r="O51">
        <v>4.7273878199999997</v>
      </c>
      <c r="P51">
        <v>4.7184988700000003</v>
      </c>
      <c r="Q51">
        <v>4.7706846199999999</v>
      </c>
    </row>
    <row r="52" spans="1:17" x14ac:dyDescent="0.2">
      <c r="A52">
        <v>18.980333300000002</v>
      </c>
      <c r="B52">
        <v>6.1246833900000004</v>
      </c>
      <c r="C52">
        <v>5.7557422100000002</v>
      </c>
      <c r="D52">
        <v>5.6489742400000003</v>
      </c>
      <c r="E52">
        <v>6.2245584300000001</v>
      </c>
      <c r="F52">
        <v>6.0799332000000001</v>
      </c>
      <c r="G52">
        <v>5.5451774399999998</v>
      </c>
      <c r="H52">
        <v>5.9135030100000003</v>
      </c>
      <c r="I52">
        <v>5.7899601699999996</v>
      </c>
      <c r="J52">
        <v>6.0822189099999999</v>
      </c>
      <c r="K52">
        <v>5.92958914</v>
      </c>
      <c r="L52">
        <v>5.7170277</v>
      </c>
      <c r="M52">
        <v>6.1862086200000004</v>
      </c>
      <c r="N52">
        <v>4.7004803700000002</v>
      </c>
      <c r="O52">
        <v>4.7095301999999997</v>
      </c>
      <c r="P52">
        <v>4.7621739300000003</v>
      </c>
      <c r="Q52">
        <v>4.7449321299999996</v>
      </c>
    </row>
    <row r="53" spans="1:17" x14ac:dyDescent="0.2">
      <c r="A53">
        <v>19.359888900000001</v>
      </c>
      <c r="B53">
        <v>6.2265366699999998</v>
      </c>
      <c r="C53">
        <v>5.8111409900000002</v>
      </c>
      <c r="D53">
        <v>5.6903594499999999</v>
      </c>
      <c r="E53">
        <v>6.3207682900000002</v>
      </c>
      <c r="F53">
        <v>6.14418563</v>
      </c>
      <c r="G53">
        <v>5.5529595799999996</v>
      </c>
      <c r="H53">
        <v>5.9506425500000004</v>
      </c>
      <c r="I53">
        <v>5.8081424899999998</v>
      </c>
      <c r="J53">
        <v>6.1047932300000003</v>
      </c>
      <c r="K53">
        <v>5.9558373700000002</v>
      </c>
      <c r="L53">
        <v>5.7037824700000002</v>
      </c>
      <c r="M53">
        <v>6.2166060999999999</v>
      </c>
      <c r="N53">
        <v>4.6913478800000004</v>
      </c>
      <c r="O53">
        <v>4.7361984499999998</v>
      </c>
      <c r="P53">
        <v>4.7273878199999997</v>
      </c>
      <c r="Q53">
        <v>4.7706846199999999</v>
      </c>
    </row>
    <row r="54" spans="1:17" x14ac:dyDescent="0.2">
      <c r="A54">
        <v>19.739472200000002</v>
      </c>
      <c r="B54">
        <v>6.3189681100000001</v>
      </c>
      <c r="C54">
        <v>5.8664680599999999</v>
      </c>
      <c r="D54">
        <v>5.7620513799999999</v>
      </c>
      <c r="E54">
        <v>6.4035742000000004</v>
      </c>
      <c r="F54">
        <v>6.2324480199999996</v>
      </c>
      <c r="G54">
        <v>5.55682806</v>
      </c>
      <c r="H54">
        <v>5.99645209</v>
      </c>
      <c r="I54">
        <v>5.8464387799999997</v>
      </c>
      <c r="J54">
        <v>6.1569789899999998</v>
      </c>
      <c r="K54">
        <v>5.9610053399999998</v>
      </c>
      <c r="L54">
        <v>5.7365722999999997</v>
      </c>
      <c r="M54">
        <v>6.2690962800000003</v>
      </c>
      <c r="N54">
        <v>4.6728288300000003</v>
      </c>
      <c r="O54">
        <v>4.7361984499999998</v>
      </c>
      <c r="P54">
        <v>4.7449321299999996</v>
      </c>
      <c r="Q54">
        <v>4.7361984499999998</v>
      </c>
    </row>
    <row r="55" spans="1:17" x14ac:dyDescent="0.2">
      <c r="A55">
        <v>20.119055599999999</v>
      </c>
      <c r="B55">
        <v>6.4393503699999997</v>
      </c>
      <c r="C55">
        <v>5.9135030100000003</v>
      </c>
      <c r="D55">
        <v>5.8081424899999998</v>
      </c>
      <c r="E55">
        <v>6.5206211300000003</v>
      </c>
      <c r="F55">
        <v>6.3117348099999999</v>
      </c>
      <c r="G55">
        <v>5.5834963100000001</v>
      </c>
      <c r="H55">
        <v>6.0258659699999999</v>
      </c>
      <c r="I55">
        <v>5.8636311799999996</v>
      </c>
      <c r="J55">
        <v>6.1964441299999997</v>
      </c>
      <c r="K55">
        <v>5.9788857599999998</v>
      </c>
      <c r="L55">
        <v>5.7557422100000002</v>
      </c>
      <c r="M55">
        <v>6.3171646900000002</v>
      </c>
      <c r="N55">
        <v>4.7004803700000002</v>
      </c>
      <c r="O55">
        <v>4.7184988700000003</v>
      </c>
      <c r="P55">
        <v>4.7361984499999998</v>
      </c>
      <c r="Q55">
        <v>4.7621739300000003</v>
      </c>
    </row>
    <row r="56" spans="1:17" x14ac:dyDescent="0.2">
      <c r="A56">
        <v>20.498611100000002</v>
      </c>
      <c r="B56">
        <v>6.5694814199999998</v>
      </c>
      <c r="C56">
        <v>6.0038870700000002</v>
      </c>
      <c r="D56">
        <v>5.8721177899999999</v>
      </c>
      <c r="E56">
        <v>6.6080006300000003</v>
      </c>
      <c r="F56">
        <v>6.4150969599999996</v>
      </c>
      <c r="G56">
        <v>5.6167711000000002</v>
      </c>
      <c r="H56">
        <v>6.0661080900000002</v>
      </c>
      <c r="I56">
        <v>5.9215784200000003</v>
      </c>
      <c r="J56">
        <v>6.2653012099999996</v>
      </c>
      <c r="K56">
        <v>6.0210233500000001</v>
      </c>
      <c r="L56">
        <v>5.7776523199999996</v>
      </c>
      <c r="M56">
        <v>6.3818160199999996</v>
      </c>
      <c r="N56">
        <v>4.6728288300000003</v>
      </c>
      <c r="O56">
        <v>4.7361984499999998</v>
      </c>
      <c r="P56">
        <v>4.7361984499999998</v>
      </c>
      <c r="Q56">
        <v>4.7621739300000003</v>
      </c>
    </row>
    <row r="57" spans="1:17" x14ac:dyDescent="0.2">
      <c r="A57">
        <v>20.878194400000002</v>
      </c>
      <c r="B57">
        <v>6.7093043400000001</v>
      </c>
      <c r="C57">
        <v>6.0684255900000004</v>
      </c>
      <c r="D57">
        <v>5.9427993800000003</v>
      </c>
      <c r="E57">
        <v>6.7105231099999996</v>
      </c>
      <c r="F57">
        <v>6.5323342899999997</v>
      </c>
      <c r="G57">
        <v>5.6347896000000004</v>
      </c>
      <c r="H57">
        <v>6.0935697700000002</v>
      </c>
      <c r="I57">
        <v>5.9454206100000002</v>
      </c>
      <c r="J57">
        <v>6.3062752900000003</v>
      </c>
      <c r="K57">
        <v>6.0637852099999998</v>
      </c>
      <c r="L57">
        <v>5.8051349700000001</v>
      </c>
      <c r="M57">
        <v>6.4297194800000002</v>
      </c>
      <c r="N57">
        <v>4.7004803700000002</v>
      </c>
      <c r="O57">
        <v>4.7273878199999997</v>
      </c>
      <c r="P57">
        <v>4.7361984499999998</v>
      </c>
      <c r="Q57">
        <v>4.7706846199999999</v>
      </c>
    </row>
    <row r="58" spans="1:17" x14ac:dyDescent="0.2">
      <c r="A58">
        <v>21.257750000000001</v>
      </c>
      <c r="B58">
        <v>6.8606636700000001</v>
      </c>
      <c r="C58">
        <v>6.1484683000000002</v>
      </c>
      <c r="D58">
        <v>6.02344759</v>
      </c>
      <c r="E58">
        <v>6.8112443799999998</v>
      </c>
      <c r="F58">
        <v>6.6437897299999999</v>
      </c>
      <c r="G58">
        <v>5.6559918099999997</v>
      </c>
      <c r="H58">
        <v>6.1333980400000003</v>
      </c>
      <c r="I58">
        <v>5.99645209</v>
      </c>
      <c r="J58">
        <v>6.3885614100000003</v>
      </c>
      <c r="K58">
        <v>6.0958245599999996</v>
      </c>
      <c r="L58">
        <v>5.8200829299999999</v>
      </c>
      <c r="M58">
        <v>6.4754327199999997</v>
      </c>
      <c r="N58">
        <v>4.7095301999999997</v>
      </c>
      <c r="O58">
        <v>4.7361984499999998</v>
      </c>
      <c r="P58">
        <v>4.7621739300000003</v>
      </c>
      <c r="Q58">
        <v>4.7361984499999998</v>
      </c>
    </row>
    <row r="59" spans="1:17" x14ac:dyDescent="0.2">
      <c r="A59">
        <v>21.637333300000002</v>
      </c>
      <c r="B59">
        <v>7.0057890199999999</v>
      </c>
      <c r="C59">
        <v>6.2265366699999998</v>
      </c>
      <c r="D59">
        <v>6.0844994100000003</v>
      </c>
      <c r="E59">
        <v>6.9255952000000001</v>
      </c>
      <c r="F59">
        <v>6.7522703799999997</v>
      </c>
      <c r="G59">
        <v>5.6970934900000003</v>
      </c>
      <c r="H59">
        <v>6.1633148000000002</v>
      </c>
      <c r="I59">
        <v>6.0354814299999999</v>
      </c>
      <c r="J59">
        <v>6.4393503699999997</v>
      </c>
      <c r="K59">
        <v>6.1398845499999997</v>
      </c>
      <c r="L59">
        <v>5.85793315</v>
      </c>
      <c r="M59">
        <v>6.54678541</v>
      </c>
      <c r="N59">
        <v>4.7184988700000003</v>
      </c>
      <c r="O59">
        <v>4.7361984499999998</v>
      </c>
      <c r="P59">
        <v>4.7184988700000003</v>
      </c>
      <c r="Q59">
        <v>4.7273878199999997</v>
      </c>
    </row>
    <row r="60" spans="1:17" x14ac:dyDescent="0.2">
      <c r="A60">
        <v>22.016888900000001</v>
      </c>
      <c r="B60">
        <v>7.1693500200000004</v>
      </c>
      <c r="C60">
        <v>6.3189681100000001</v>
      </c>
      <c r="D60">
        <v>6.1964441299999997</v>
      </c>
      <c r="E60">
        <v>7.0299729099999997</v>
      </c>
      <c r="F60">
        <v>6.8617113400000003</v>
      </c>
      <c r="G60">
        <v>5.6970934900000003</v>
      </c>
      <c r="H60">
        <v>6.2106000799999999</v>
      </c>
      <c r="I60">
        <v>6.0730445299999998</v>
      </c>
      <c r="J60">
        <v>6.5042881699999997</v>
      </c>
      <c r="K60">
        <v>6.1862086200000004</v>
      </c>
      <c r="L60">
        <v>5.8861040300000003</v>
      </c>
      <c r="M60">
        <v>6.6025878899999997</v>
      </c>
      <c r="N60">
        <v>4.7095301999999997</v>
      </c>
      <c r="O60">
        <v>4.7449321299999996</v>
      </c>
      <c r="P60">
        <v>4.7621739300000003</v>
      </c>
      <c r="Q60">
        <v>4.7706846199999999</v>
      </c>
    </row>
    <row r="61" spans="1:17" x14ac:dyDescent="0.2">
      <c r="A61">
        <v>22.396472200000002</v>
      </c>
      <c r="B61">
        <v>7.33888813</v>
      </c>
      <c r="C61">
        <v>6.4118182700000004</v>
      </c>
      <c r="D61">
        <v>6.2934192800000002</v>
      </c>
      <c r="E61">
        <v>7.1364832099999997</v>
      </c>
      <c r="F61">
        <v>6.9772813400000002</v>
      </c>
      <c r="G61">
        <v>5.7525726400000003</v>
      </c>
      <c r="H61">
        <v>6.2595814599999997</v>
      </c>
      <c r="I61">
        <v>6.1136821799999996</v>
      </c>
      <c r="J61">
        <v>6.5736801700000003</v>
      </c>
      <c r="K61">
        <v>6.2285110000000001</v>
      </c>
      <c r="L61">
        <v>5.9162020599999998</v>
      </c>
      <c r="M61">
        <v>6.6758232199999998</v>
      </c>
      <c r="N61">
        <v>4.6728288300000003</v>
      </c>
      <c r="O61">
        <v>4.7621739300000003</v>
      </c>
      <c r="P61">
        <v>4.7535901899999997</v>
      </c>
      <c r="Q61">
        <v>4.7791234899999999</v>
      </c>
    </row>
    <row r="62" spans="1:17" x14ac:dyDescent="0.2">
      <c r="A62">
        <v>22.776027800000001</v>
      </c>
      <c r="B62">
        <v>7.5175208500000004</v>
      </c>
      <c r="C62">
        <v>6.5132301100000003</v>
      </c>
      <c r="D62">
        <v>6.4134589599999998</v>
      </c>
      <c r="E62">
        <v>7.2470805800000004</v>
      </c>
      <c r="F62">
        <v>7.08673793</v>
      </c>
      <c r="G62">
        <v>5.7651911</v>
      </c>
      <c r="H62">
        <v>6.2934192800000002</v>
      </c>
      <c r="I62">
        <v>6.1612073199999999</v>
      </c>
      <c r="J62">
        <v>6.6437897299999999</v>
      </c>
      <c r="K62">
        <v>6.2672005500000001</v>
      </c>
      <c r="L62">
        <v>5.9427993800000003</v>
      </c>
      <c r="M62">
        <v>6.7440591899999998</v>
      </c>
      <c r="N62">
        <v>4.7184988700000003</v>
      </c>
      <c r="O62">
        <v>4.7361984499999998</v>
      </c>
      <c r="P62">
        <v>4.7184988700000003</v>
      </c>
      <c r="Q62">
        <v>4.7791234899999999</v>
      </c>
    </row>
    <row r="63" spans="1:17" x14ac:dyDescent="0.2">
      <c r="A63">
        <v>23.155611100000002</v>
      </c>
      <c r="B63">
        <v>7.6962126399999997</v>
      </c>
      <c r="C63">
        <v>6.6346333599999996</v>
      </c>
      <c r="D63">
        <v>6.52356231</v>
      </c>
      <c r="E63">
        <v>7.3485875299999996</v>
      </c>
      <c r="F63">
        <v>7.17319174</v>
      </c>
      <c r="G63">
        <v>5.8021183799999996</v>
      </c>
      <c r="H63">
        <v>6.33859408</v>
      </c>
      <c r="I63">
        <v>6.2106000799999999</v>
      </c>
      <c r="J63">
        <v>6.7238324399999998</v>
      </c>
      <c r="K63">
        <v>6.3044488000000003</v>
      </c>
      <c r="L63">
        <v>5.9687075600000004</v>
      </c>
      <c r="M63">
        <v>6.8112443799999998</v>
      </c>
      <c r="N63">
        <v>4.7004803700000002</v>
      </c>
      <c r="O63">
        <v>4.7361984499999998</v>
      </c>
      <c r="P63">
        <v>4.7361984499999998</v>
      </c>
      <c r="Q63">
        <v>4.7449321299999996</v>
      </c>
    </row>
    <row r="64" spans="1:17" x14ac:dyDescent="0.2">
      <c r="A64">
        <v>23.535194400000002</v>
      </c>
      <c r="B64">
        <v>7.8789129100000004</v>
      </c>
      <c r="C64">
        <v>6.75110147</v>
      </c>
      <c r="D64">
        <v>6.6770834600000004</v>
      </c>
      <c r="E64">
        <v>7.4552984899999997</v>
      </c>
      <c r="F64">
        <v>7.2703128899999996</v>
      </c>
      <c r="G64">
        <v>5.8435444199999997</v>
      </c>
      <c r="H64">
        <v>6.3851943999999996</v>
      </c>
      <c r="I64">
        <v>6.2653012099999996</v>
      </c>
      <c r="J64">
        <v>6.8001700700000001</v>
      </c>
      <c r="K64">
        <v>6.35088572</v>
      </c>
      <c r="L64">
        <v>6.0014148799999996</v>
      </c>
      <c r="M64">
        <v>6.8895913100000001</v>
      </c>
      <c r="N64">
        <v>4.6051701899999999</v>
      </c>
      <c r="O64">
        <v>4.6151205199999996</v>
      </c>
      <c r="P64">
        <v>4.6443909000000003</v>
      </c>
      <c r="Q64">
        <v>4.6821312300000004</v>
      </c>
    </row>
    <row r="65" spans="1:17" x14ac:dyDescent="0.2">
      <c r="A65">
        <v>23.914750000000002</v>
      </c>
      <c r="B65">
        <v>7.9631120600000003</v>
      </c>
      <c r="C65">
        <v>6.8669332799999996</v>
      </c>
      <c r="D65">
        <v>6.8156399900000002</v>
      </c>
      <c r="E65">
        <v>7.5579949600000003</v>
      </c>
      <c r="F65">
        <v>7.3588309000000001</v>
      </c>
      <c r="G65">
        <v>5.8861040300000003</v>
      </c>
      <c r="H65">
        <v>6.41836494</v>
      </c>
      <c r="I65">
        <v>6.3080984400000002</v>
      </c>
      <c r="J65">
        <v>6.8834625899999997</v>
      </c>
      <c r="K65">
        <v>6.4068799900000002</v>
      </c>
      <c r="L65">
        <v>6.0282785199999998</v>
      </c>
      <c r="M65">
        <v>6.9641356099999996</v>
      </c>
      <c r="N65">
        <v>4.6913478800000004</v>
      </c>
      <c r="O65">
        <v>4.7273878199999997</v>
      </c>
      <c r="P65">
        <v>4.7449321299999996</v>
      </c>
      <c r="Q65">
        <v>4.7535901899999997</v>
      </c>
    </row>
    <row r="66" spans="1:17" x14ac:dyDescent="0.2">
      <c r="A66">
        <v>24.294333300000002</v>
      </c>
      <c r="B66">
        <v>8.0003495000000004</v>
      </c>
      <c r="C66">
        <v>6.9920964300000001</v>
      </c>
      <c r="D66">
        <v>6.9660241899999997</v>
      </c>
      <c r="E66">
        <v>7.6662219299999999</v>
      </c>
      <c r="F66">
        <v>7.4547199500000003</v>
      </c>
      <c r="G66">
        <v>5.9242558000000001</v>
      </c>
      <c r="H66">
        <v>6.4723462899999999</v>
      </c>
      <c r="I66">
        <v>6.3647507599999997</v>
      </c>
      <c r="J66">
        <v>6.9754139300000002</v>
      </c>
      <c r="K66">
        <v>6.4614681799999998</v>
      </c>
      <c r="L66">
        <v>6.0707377300000003</v>
      </c>
      <c r="M66">
        <v>7.0379059599999998</v>
      </c>
      <c r="N66">
        <v>4.7095301999999997</v>
      </c>
      <c r="O66">
        <v>4.7273878199999997</v>
      </c>
      <c r="P66">
        <v>4.7361984499999998</v>
      </c>
      <c r="Q66">
        <v>4.7621739300000003</v>
      </c>
    </row>
    <row r="67" spans="1:17" x14ac:dyDescent="0.2">
      <c r="A67">
        <v>24.673888900000001</v>
      </c>
      <c r="B67">
        <v>8.0116867299999992</v>
      </c>
      <c r="C67">
        <v>7.1041440900000001</v>
      </c>
      <c r="D67">
        <v>7.1292975500000004</v>
      </c>
      <c r="E67">
        <v>7.7782114699999996</v>
      </c>
      <c r="F67">
        <v>7.5490827100000004</v>
      </c>
      <c r="G67">
        <v>5.9661467400000001</v>
      </c>
      <c r="H67">
        <v>6.5147126899999996</v>
      </c>
      <c r="I67">
        <v>6.4134589599999998</v>
      </c>
      <c r="J67">
        <v>7.0587581500000001</v>
      </c>
      <c r="K67">
        <v>6.4997870400000002</v>
      </c>
      <c r="L67">
        <v>6.1136821799999996</v>
      </c>
      <c r="M67">
        <v>7.1180161999999996</v>
      </c>
      <c r="N67">
        <v>4.6913478800000004</v>
      </c>
      <c r="O67">
        <v>4.7184988700000003</v>
      </c>
      <c r="P67">
        <v>4.7361984499999998</v>
      </c>
      <c r="Q67">
        <v>4.7535901899999997</v>
      </c>
    </row>
    <row r="68" spans="1:17" x14ac:dyDescent="0.2">
      <c r="A68">
        <v>25.053472200000002</v>
      </c>
      <c r="B68">
        <v>8.0053670700000001</v>
      </c>
      <c r="C68">
        <v>7.2334554200000003</v>
      </c>
      <c r="D68">
        <v>7.2957350700000001</v>
      </c>
      <c r="E68">
        <v>7.9568271199999998</v>
      </c>
      <c r="F68">
        <v>7.6396422900000003</v>
      </c>
      <c r="G68">
        <v>6.0063531599999997</v>
      </c>
      <c r="H68">
        <v>6.5553568899999997</v>
      </c>
      <c r="I68">
        <v>6.4785096400000004</v>
      </c>
      <c r="J68">
        <v>7.1483457399999999</v>
      </c>
      <c r="K68">
        <v>6.5624440899999996</v>
      </c>
      <c r="L68">
        <v>6.1527326899999997</v>
      </c>
      <c r="M68">
        <v>7.2034055199999996</v>
      </c>
      <c r="N68">
        <v>4.6821312300000004</v>
      </c>
      <c r="O68">
        <v>4.7361984499999998</v>
      </c>
      <c r="P68">
        <v>4.7361984499999998</v>
      </c>
      <c r="Q68">
        <v>4.7535901899999997</v>
      </c>
    </row>
    <row r="69" spans="1:17" x14ac:dyDescent="0.2">
      <c r="A69">
        <v>25.433027800000001</v>
      </c>
      <c r="B69">
        <v>7.9963172299999998</v>
      </c>
      <c r="C69">
        <v>7.3550019200000003</v>
      </c>
      <c r="D69">
        <v>7.4650827399999997</v>
      </c>
      <c r="E69">
        <v>8.00936308</v>
      </c>
      <c r="F69">
        <v>7.7332456499999997</v>
      </c>
      <c r="G69">
        <v>6.0426328299999996</v>
      </c>
      <c r="H69">
        <v>6.6039438199999996</v>
      </c>
      <c r="I69">
        <v>6.5381398199999996</v>
      </c>
      <c r="J69">
        <v>7.2406496899999997</v>
      </c>
      <c r="K69">
        <v>6.6187389799999998</v>
      </c>
      <c r="L69">
        <v>6.2005091700000001</v>
      </c>
      <c r="M69">
        <v>7.2936977199999999</v>
      </c>
      <c r="N69">
        <v>4.7184988700000003</v>
      </c>
      <c r="O69">
        <v>4.7273878199999997</v>
      </c>
      <c r="P69">
        <v>4.7273878199999997</v>
      </c>
      <c r="Q69">
        <v>4.7874917400000001</v>
      </c>
    </row>
    <row r="70" spans="1:17" x14ac:dyDescent="0.2">
      <c r="A70">
        <v>25.812611100000002</v>
      </c>
      <c r="B70">
        <v>7.9959804700000001</v>
      </c>
      <c r="C70">
        <v>7.4736371100000003</v>
      </c>
      <c r="D70">
        <v>7.6348206799999998</v>
      </c>
      <c r="E70">
        <v>8.0398023399999996</v>
      </c>
      <c r="F70">
        <v>7.8200379900000003</v>
      </c>
      <c r="G70">
        <v>6.0958245599999996</v>
      </c>
      <c r="H70">
        <v>6.6669567900000004</v>
      </c>
      <c r="I70">
        <v>6.6052979199999999</v>
      </c>
      <c r="J70">
        <v>7.3138868300000004</v>
      </c>
      <c r="K70">
        <v>6.6858609500000004</v>
      </c>
      <c r="L70">
        <v>6.2205901700000004</v>
      </c>
      <c r="M70">
        <v>7.38709024</v>
      </c>
      <c r="N70">
        <v>4.6821312300000004</v>
      </c>
      <c r="O70">
        <v>4.7273878199999997</v>
      </c>
      <c r="P70">
        <v>4.7273878199999997</v>
      </c>
      <c r="Q70">
        <v>4.7621739300000003</v>
      </c>
    </row>
    <row r="71" spans="1:17" x14ac:dyDescent="0.2">
      <c r="A71">
        <v>26.192166700000001</v>
      </c>
      <c r="B71">
        <v>7.9892214099999999</v>
      </c>
      <c r="C71">
        <v>7.5918617099999999</v>
      </c>
      <c r="D71">
        <v>7.8196363</v>
      </c>
      <c r="E71">
        <v>8.0802374199999996</v>
      </c>
      <c r="F71">
        <v>7.9017475199999998</v>
      </c>
      <c r="G71">
        <v>6.1463292599999999</v>
      </c>
      <c r="H71">
        <v>6.7068623399999998</v>
      </c>
      <c r="I71">
        <v>6.67456139</v>
      </c>
      <c r="J71">
        <v>7.3883278600000004</v>
      </c>
      <c r="K71">
        <v>6.7475865300000004</v>
      </c>
      <c r="L71">
        <v>6.2480428699999999</v>
      </c>
      <c r="M71">
        <v>7.4809921599999996</v>
      </c>
      <c r="N71">
        <v>4.6913478800000004</v>
      </c>
      <c r="O71">
        <v>4.7273878199999997</v>
      </c>
      <c r="P71">
        <v>4.7449321299999996</v>
      </c>
      <c r="Q71">
        <v>4.7706846199999999</v>
      </c>
    </row>
    <row r="72" spans="1:17" x14ac:dyDescent="0.2">
      <c r="A72">
        <v>26.571750000000002</v>
      </c>
      <c r="B72">
        <v>7.9878641000000004</v>
      </c>
      <c r="C72">
        <v>7.7128909600000002</v>
      </c>
      <c r="D72">
        <v>7.9620673100000001</v>
      </c>
      <c r="E72">
        <v>8.09620827</v>
      </c>
      <c r="F72">
        <v>7.9529667899999996</v>
      </c>
      <c r="G72">
        <v>6.1984787199999998</v>
      </c>
      <c r="H72">
        <v>6.7546040999999999</v>
      </c>
      <c r="I72">
        <v>6.7440591899999998</v>
      </c>
      <c r="J72">
        <v>7.42833319</v>
      </c>
      <c r="K72">
        <v>6.8287120699999999</v>
      </c>
      <c r="L72">
        <v>6.2971093199999997</v>
      </c>
      <c r="M72">
        <v>7.5745584800000003</v>
      </c>
      <c r="N72">
        <v>4.7004803700000002</v>
      </c>
      <c r="O72">
        <v>4.7361984499999998</v>
      </c>
      <c r="P72">
        <v>4.7449321299999996</v>
      </c>
      <c r="Q72">
        <v>4.7706846199999999</v>
      </c>
    </row>
    <row r="73" spans="1:17" x14ac:dyDescent="0.2">
      <c r="A73">
        <v>26.951305600000001</v>
      </c>
      <c r="B73">
        <v>7.9783109699999999</v>
      </c>
      <c r="C73">
        <v>7.8465899800000001</v>
      </c>
      <c r="D73">
        <v>8.0159878100000004</v>
      </c>
      <c r="E73">
        <v>8.0864102800000008</v>
      </c>
      <c r="F73">
        <v>7.9827576999999996</v>
      </c>
      <c r="G73">
        <v>6.2653012099999996</v>
      </c>
      <c r="H73">
        <v>6.8090393100000002</v>
      </c>
      <c r="I73">
        <v>6.8134446000000004</v>
      </c>
      <c r="J73">
        <v>7.4121603299999999</v>
      </c>
      <c r="K73">
        <v>6.8936563499999997</v>
      </c>
      <c r="L73">
        <v>6.3350542499999998</v>
      </c>
      <c r="M73">
        <v>7.6638772599999996</v>
      </c>
      <c r="N73">
        <v>4.7449321299999996</v>
      </c>
      <c r="O73">
        <v>4.7184988700000003</v>
      </c>
      <c r="P73">
        <v>4.7361984499999998</v>
      </c>
      <c r="Q73">
        <v>4.7791234899999999</v>
      </c>
    </row>
    <row r="74" spans="1:17" x14ac:dyDescent="0.2">
      <c r="A74">
        <v>27.330888900000001</v>
      </c>
      <c r="B74">
        <v>7.97625194</v>
      </c>
      <c r="C74">
        <v>7.9700493000000003</v>
      </c>
      <c r="D74">
        <v>8.0356026899999993</v>
      </c>
      <c r="E74">
        <v>8.0891756800000003</v>
      </c>
      <c r="F74">
        <v>8.0053670700000001</v>
      </c>
      <c r="G74">
        <v>6.3153579999999998</v>
      </c>
      <c r="H74">
        <v>6.86589107</v>
      </c>
      <c r="I74">
        <v>6.8956827000000001</v>
      </c>
      <c r="J74">
        <v>7.4109518799999998</v>
      </c>
      <c r="K74">
        <v>6.9622434599999998</v>
      </c>
      <c r="L74">
        <v>6.3835066300000003</v>
      </c>
      <c r="M74">
        <v>7.7600406800000004</v>
      </c>
      <c r="N74">
        <v>4.7273878199999997</v>
      </c>
      <c r="O74">
        <v>4.7449321299999996</v>
      </c>
      <c r="P74">
        <v>4.7535901899999997</v>
      </c>
      <c r="Q74">
        <v>4.7621739300000003</v>
      </c>
    </row>
    <row r="75" spans="1:17" x14ac:dyDescent="0.2">
      <c r="A75">
        <v>27.709777800000001</v>
      </c>
      <c r="B75">
        <v>7.9769387600000004</v>
      </c>
      <c r="C75">
        <v>8.0110233799999992</v>
      </c>
      <c r="D75">
        <v>8.0459087399999998</v>
      </c>
      <c r="E75">
        <v>8.0900957800000004</v>
      </c>
      <c r="F75">
        <v>8.0146663700000005</v>
      </c>
      <c r="G75">
        <v>6.3767269500000001</v>
      </c>
      <c r="H75">
        <v>6.9117473</v>
      </c>
      <c r="I75">
        <v>6.9697906700000001</v>
      </c>
      <c r="J75">
        <v>7.4181808199999999</v>
      </c>
      <c r="K75">
        <v>7.0387835399999998</v>
      </c>
      <c r="L75">
        <v>6.4150969599999996</v>
      </c>
      <c r="M75">
        <v>7.8574807900000003</v>
      </c>
      <c r="N75">
        <v>4.7095301999999997</v>
      </c>
      <c r="O75">
        <v>4.7361984499999998</v>
      </c>
      <c r="P75">
        <v>4.7535901899999997</v>
      </c>
      <c r="Q75">
        <v>4.7957905500000004</v>
      </c>
    </row>
    <row r="76" spans="1:17" x14ac:dyDescent="0.2">
      <c r="A76">
        <v>28.089388899999999</v>
      </c>
      <c r="B76">
        <v>7.9662397800000004</v>
      </c>
      <c r="C76">
        <v>8.0542049000000002</v>
      </c>
      <c r="D76">
        <v>8.0359263700000003</v>
      </c>
      <c r="E76">
        <v>8.0873329300000005</v>
      </c>
      <c r="F76">
        <v>8.0228968700000003</v>
      </c>
      <c r="G76">
        <v>6.4488893899999997</v>
      </c>
      <c r="H76">
        <v>6.9697906700000001</v>
      </c>
      <c r="I76">
        <v>7.0570369800000003</v>
      </c>
      <c r="J76">
        <v>7.4121603299999999</v>
      </c>
      <c r="K76">
        <v>7.1131421100000001</v>
      </c>
      <c r="L76">
        <v>6.4488893899999997</v>
      </c>
      <c r="M76">
        <v>7.9554250900000003</v>
      </c>
      <c r="N76">
        <v>4.7273878199999997</v>
      </c>
      <c r="O76">
        <v>4.7361984499999998</v>
      </c>
      <c r="P76">
        <v>4.7874917400000001</v>
      </c>
      <c r="Q76">
        <v>4.7621739300000003</v>
      </c>
    </row>
    <row r="77" spans="1:17" x14ac:dyDescent="0.2">
      <c r="A77">
        <v>28.468916700000001</v>
      </c>
      <c r="B77">
        <v>7.9603236300000004</v>
      </c>
      <c r="C77">
        <v>8.0702808899999994</v>
      </c>
      <c r="D77">
        <v>8.0330095000000004</v>
      </c>
      <c r="E77">
        <v>8.0789982600000005</v>
      </c>
      <c r="F77">
        <v>8.0313853300000009</v>
      </c>
      <c r="G77">
        <v>6.5072777100000003</v>
      </c>
      <c r="H77">
        <v>7.0228680900000002</v>
      </c>
      <c r="I77">
        <v>7.15148546</v>
      </c>
      <c r="J77">
        <v>7.4079243200000002</v>
      </c>
      <c r="K77">
        <v>7.1959372300000002</v>
      </c>
      <c r="L77">
        <v>6.4707995</v>
      </c>
      <c r="M77">
        <v>8.0494270599999993</v>
      </c>
      <c r="N77">
        <v>4.7273878199999997</v>
      </c>
      <c r="O77">
        <v>4.7273878199999997</v>
      </c>
      <c r="P77">
        <v>4.7361984499999998</v>
      </c>
      <c r="Q77">
        <v>4.7706846199999999</v>
      </c>
    </row>
    <row r="78" spans="1:17" x14ac:dyDescent="0.2">
      <c r="A78">
        <v>28.848500000000001</v>
      </c>
      <c r="B78">
        <v>7.9550742699999999</v>
      </c>
      <c r="C78">
        <v>8.0721553099999994</v>
      </c>
      <c r="D78">
        <v>8.0310601800000008</v>
      </c>
      <c r="E78">
        <v>8.0820932800000005</v>
      </c>
      <c r="F78">
        <v>8.04012466</v>
      </c>
      <c r="G78">
        <v>6.5875500100000002</v>
      </c>
      <c r="H78">
        <v>7.0808679000000003</v>
      </c>
      <c r="I78">
        <v>7.2399325899999996</v>
      </c>
      <c r="J78">
        <v>7.4024515199999996</v>
      </c>
      <c r="K78">
        <v>7.2751723200000002</v>
      </c>
      <c r="L78">
        <v>6.5072777100000003</v>
      </c>
      <c r="M78">
        <v>8.1435174099999994</v>
      </c>
      <c r="N78">
        <v>4.7621739300000003</v>
      </c>
      <c r="O78">
        <v>4.7535901899999997</v>
      </c>
      <c r="P78">
        <v>4.7621739300000003</v>
      </c>
      <c r="Q78">
        <v>4.7874917400000001</v>
      </c>
    </row>
    <row r="79" spans="1:17" x14ac:dyDescent="0.2">
      <c r="A79">
        <v>29.228083300000002</v>
      </c>
      <c r="B79">
        <v>7.95261511</v>
      </c>
      <c r="C79">
        <v>8.0665214899999995</v>
      </c>
      <c r="D79">
        <v>8.0281290599999995</v>
      </c>
      <c r="E79">
        <v>8.0771366400000009</v>
      </c>
      <c r="F79">
        <v>8.0468695100000005</v>
      </c>
      <c r="G79">
        <v>6.6567265200000003</v>
      </c>
      <c r="H79">
        <v>7.1348908499999997</v>
      </c>
      <c r="I79">
        <v>7.3369369100000004</v>
      </c>
      <c r="J79">
        <v>7.39387829</v>
      </c>
      <c r="K79">
        <v>7.3708601700000003</v>
      </c>
      <c r="L79">
        <v>6.5453496600000003</v>
      </c>
      <c r="M79">
        <v>8.2106680300000008</v>
      </c>
      <c r="N79">
        <v>4.7535901899999997</v>
      </c>
      <c r="O79">
        <v>4.7449321299999996</v>
      </c>
      <c r="P79">
        <v>4.7791234899999999</v>
      </c>
      <c r="Q79">
        <v>4.7706846199999999</v>
      </c>
    </row>
    <row r="80" spans="1:17" x14ac:dyDescent="0.2">
      <c r="A80">
        <v>29.607666699999999</v>
      </c>
      <c r="B80">
        <v>7.9455554299999998</v>
      </c>
      <c r="C80">
        <v>8.0674626699999994</v>
      </c>
      <c r="D80">
        <v>8.0235523900000008</v>
      </c>
      <c r="E80">
        <v>8.0758936299999995</v>
      </c>
      <c r="F80">
        <v>8.0526148200000005</v>
      </c>
      <c r="G80">
        <v>6.7298240700000003</v>
      </c>
      <c r="H80">
        <v>7.1831117000000004</v>
      </c>
      <c r="I80">
        <v>7.4401466799999998</v>
      </c>
      <c r="J80">
        <v>7.3993980800000001</v>
      </c>
      <c r="K80">
        <v>7.4581861600000003</v>
      </c>
      <c r="L80">
        <v>6.5903010499999999</v>
      </c>
      <c r="M80">
        <v>8.2563477699999996</v>
      </c>
      <c r="N80">
        <v>4.7706846199999999</v>
      </c>
      <c r="O80">
        <v>4.7449321299999996</v>
      </c>
      <c r="P80">
        <v>4.8040210400000003</v>
      </c>
      <c r="Q80">
        <v>4.8121843599999998</v>
      </c>
    </row>
    <row r="81" spans="1:17" x14ac:dyDescent="0.2">
      <c r="A81">
        <v>29.987222200000001</v>
      </c>
      <c r="B81">
        <v>7.9388022500000002</v>
      </c>
      <c r="C81">
        <v>8.0519780799999996</v>
      </c>
      <c r="D81">
        <v>8.0166478800000007</v>
      </c>
      <c r="E81">
        <v>8.0693423699999993</v>
      </c>
      <c r="F81">
        <v>8.0535691699999994</v>
      </c>
      <c r="G81">
        <v>6.8211074700000003</v>
      </c>
      <c r="H81">
        <v>7.2413662800000003</v>
      </c>
      <c r="I81">
        <v>7.5469741199999998</v>
      </c>
      <c r="J81">
        <v>7.39449311</v>
      </c>
      <c r="K81">
        <v>7.5532866099999998</v>
      </c>
      <c r="L81">
        <v>6.6093492400000002</v>
      </c>
      <c r="M81">
        <v>8.2832414399999994</v>
      </c>
      <c r="N81">
        <v>4.7874917400000001</v>
      </c>
      <c r="O81">
        <v>4.7535901899999997</v>
      </c>
      <c r="P81">
        <v>4.7957905500000004</v>
      </c>
      <c r="Q81">
        <v>4.7957905500000004</v>
      </c>
    </row>
    <row r="82" spans="1:17" x14ac:dyDescent="0.2">
      <c r="A82">
        <v>30.366805599999999</v>
      </c>
      <c r="B82">
        <v>7.9412955700000003</v>
      </c>
      <c r="C82">
        <v>8.0557924500000002</v>
      </c>
      <c r="D82">
        <v>8.0060341800000003</v>
      </c>
      <c r="E82">
        <v>8.0665214899999995</v>
      </c>
      <c r="F82">
        <v>8.0576941899999994</v>
      </c>
      <c r="G82">
        <v>6.9097532800000003</v>
      </c>
      <c r="H82">
        <v>7.2977682799999997</v>
      </c>
      <c r="I82">
        <v>7.6386798200000001</v>
      </c>
      <c r="J82">
        <v>7.3877092400000004</v>
      </c>
      <c r="K82">
        <v>7.6463537199999996</v>
      </c>
      <c r="L82">
        <v>6.6528630299999998</v>
      </c>
      <c r="M82">
        <v>8.2967958700000004</v>
      </c>
      <c r="N82">
        <v>4.7874917400000001</v>
      </c>
      <c r="O82">
        <v>4.7706846199999999</v>
      </c>
      <c r="P82">
        <v>4.7791234899999999</v>
      </c>
      <c r="Q82">
        <v>4.8202815699999997</v>
      </c>
    </row>
    <row r="83" spans="1:17" x14ac:dyDescent="0.2">
      <c r="A83">
        <v>30.746361100000001</v>
      </c>
      <c r="B83">
        <v>7.9388022500000002</v>
      </c>
      <c r="C83">
        <v>8.0497462899999999</v>
      </c>
      <c r="D83">
        <v>8.0057006800000003</v>
      </c>
      <c r="E83">
        <v>8.0599083300000007</v>
      </c>
      <c r="F83">
        <v>8.0561096600000006</v>
      </c>
      <c r="G83">
        <v>6.9920964300000001</v>
      </c>
      <c r="H83">
        <v>7.3466551600000001</v>
      </c>
      <c r="I83">
        <v>7.6907431600000002</v>
      </c>
      <c r="J83">
        <v>7.3920315700000003</v>
      </c>
      <c r="K83">
        <v>7.7475968399999999</v>
      </c>
      <c r="L83">
        <v>6.69456206</v>
      </c>
      <c r="M83">
        <v>8.2692445200000009</v>
      </c>
      <c r="N83">
        <v>4.8283137399999996</v>
      </c>
      <c r="O83">
        <v>4.7535901899999997</v>
      </c>
      <c r="P83">
        <v>4.8121843599999998</v>
      </c>
      <c r="Q83">
        <v>4.8202815699999997</v>
      </c>
    </row>
    <row r="84" spans="1:17" x14ac:dyDescent="0.2">
      <c r="A84">
        <v>31.125944400000002</v>
      </c>
      <c r="B84">
        <v>7.93415523</v>
      </c>
      <c r="C84">
        <v>8.0494270599999993</v>
      </c>
      <c r="D84">
        <v>8.0077000100000006</v>
      </c>
      <c r="E84">
        <v>8.0668353100000001</v>
      </c>
      <c r="F84">
        <v>8.0567437700000006</v>
      </c>
      <c r="G84">
        <v>7.0909098200000003</v>
      </c>
      <c r="H84">
        <v>7.3975615399999999</v>
      </c>
      <c r="I84">
        <v>7.7043611700000003</v>
      </c>
      <c r="J84">
        <v>7.3932630899999996</v>
      </c>
      <c r="K84">
        <v>7.8536048100000002</v>
      </c>
      <c r="L84">
        <v>6.7428806400000001</v>
      </c>
      <c r="M84">
        <v>8.2718040300000002</v>
      </c>
      <c r="N84">
        <v>4.8598124</v>
      </c>
      <c r="O84">
        <v>4.8121843599999998</v>
      </c>
      <c r="P84">
        <v>4.8121843599999998</v>
      </c>
      <c r="Q84">
        <v>4.8283137399999996</v>
      </c>
    </row>
    <row r="85" spans="1:17" x14ac:dyDescent="0.2">
      <c r="A85">
        <v>31.505500000000001</v>
      </c>
      <c r="B85">
        <v>7.93415523</v>
      </c>
      <c r="C85">
        <v>8.0417347100000001</v>
      </c>
      <c r="D85">
        <v>7.9990072100000003</v>
      </c>
      <c r="E85">
        <v>8.0605400500000002</v>
      </c>
      <c r="F85">
        <v>8.0573774900000004</v>
      </c>
      <c r="G85">
        <v>7.1861442999999996</v>
      </c>
      <c r="H85">
        <v>7.4494980100000001</v>
      </c>
      <c r="I85">
        <v>7.7262126499999999</v>
      </c>
      <c r="J85">
        <v>7.3920315700000003</v>
      </c>
      <c r="K85">
        <v>7.9557757799999997</v>
      </c>
      <c r="L85">
        <v>6.7776465899999998</v>
      </c>
      <c r="M85">
        <v>8.2589404599999998</v>
      </c>
      <c r="N85">
        <v>4.8978397999999999</v>
      </c>
      <c r="O85">
        <v>4.7874917400000001</v>
      </c>
      <c r="P85">
        <v>4.8751973199999998</v>
      </c>
      <c r="Q85">
        <v>4.8362819100000003</v>
      </c>
    </row>
    <row r="86" spans="1:17" x14ac:dyDescent="0.2">
      <c r="A86">
        <v>31.885083300000002</v>
      </c>
      <c r="B86">
        <v>7.9294865200000002</v>
      </c>
      <c r="C86">
        <v>8.0462290999999997</v>
      </c>
      <c r="D86">
        <v>7.9929445499999998</v>
      </c>
      <c r="E86">
        <v>8.0602242400000002</v>
      </c>
      <c r="F86">
        <v>8.0548402200000009</v>
      </c>
      <c r="G86">
        <v>7.2882444</v>
      </c>
      <c r="H86">
        <v>7.5131635499999998</v>
      </c>
      <c r="I86">
        <v>7.7389237599999996</v>
      </c>
      <c r="J86">
        <v>7.3981740900000004</v>
      </c>
      <c r="K86">
        <v>8.06871619</v>
      </c>
      <c r="L86">
        <v>6.8178305699999999</v>
      </c>
      <c r="M86">
        <v>8.2653929300000009</v>
      </c>
      <c r="N86">
        <v>4.9199809300000004</v>
      </c>
      <c r="O86">
        <v>4.8040210400000003</v>
      </c>
      <c r="P86">
        <v>4.8751973199999998</v>
      </c>
      <c r="Q86">
        <v>4.8520302600000003</v>
      </c>
    </row>
    <row r="87" spans="1:17" x14ac:dyDescent="0.2">
      <c r="A87">
        <v>32.264638900000001</v>
      </c>
      <c r="B87">
        <v>7.9255189799999997</v>
      </c>
      <c r="C87">
        <v>8.0468695100000005</v>
      </c>
      <c r="D87">
        <v>7.9942949900000002</v>
      </c>
      <c r="E87">
        <v>8.06085575</v>
      </c>
      <c r="F87">
        <v>8.0580107999999999</v>
      </c>
      <c r="G87">
        <v>7.3833681499999999</v>
      </c>
      <c r="H87">
        <v>7.5673456799999999</v>
      </c>
      <c r="I87">
        <v>7.7454356100000004</v>
      </c>
      <c r="J87">
        <v>7.3957216099999998</v>
      </c>
      <c r="K87">
        <v>8.1761103399999993</v>
      </c>
      <c r="L87">
        <v>6.8532990900000001</v>
      </c>
      <c r="M87">
        <v>8.2482674500000002</v>
      </c>
      <c r="N87">
        <v>4.9698133000000002</v>
      </c>
      <c r="O87">
        <v>4.8283137399999996</v>
      </c>
      <c r="P87">
        <v>4.9052747800000001</v>
      </c>
      <c r="Q87">
        <v>4.86753445</v>
      </c>
    </row>
    <row r="88" spans="1:17" x14ac:dyDescent="0.2">
      <c r="A88">
        <v>32.644222200000002</v>
      </c>
      <c r="B88">
        <v>7.9298464299999996</v>
      </c>
      <c r="C88">
        <v>8.0398023399999996</v>
      </c>
      <c r="D88">
        <v>7.9882036000000003</v>
      </c>
      <c r="E88">
        <v>8.0542049000000002</v>
      </c>
      <c r="F88">
        <v>8.0484687400000006</v>
      </c>
      <c r="G88">
        <v>7.4977616999999999</v>
      </c>
      <c r="H88">
        <v>7.6093665399999999</v>
      </c>
      <c r="I88">
        <v>7.7467329100000004</v>
      </c>
      <c r="J88">
        <v>7.3901814300000002</v>
      </c>
      <c r="K88">
        <v>8.2617846799999999</v>
      </c>
      <c r="L88">
        <v>6.8966943299999999</v>
      </c>
      <c r="M88">
        <v>8.2558284299999993</v>
      </c>
      <c r="N88">
        <v>5.0434251200000002</v>
      </c>
      <c r="O88">
        <v>4.8598124</v>
      </c>
      <c r="P88">
        <v>4.9344739300000002</v>
      </c>
      <c r="Q88">
        <v>4.8903491299999997</v>
      </c>
    </row>
    <row r="89" spans="1:17" x14ac:dyDescent="0.2">
      <c r="A89">
        <v>33.023777799999998</v>
      </c>
      <c r="B89">
        <v>7.9215356300000002</v>
      </c>
      <c r="C89">
        <v>8.0426994999999994</v>
      </c>
      <c r="D89">
        <v>7.9844627299999997</v>
      </c>
      <c r="E89">
        <v>8.0538870800000009</v>
      </c>
      <c r="F89">
        <v>8.0538870800000009</v>
      </c>
      <c r="G89">
        <v>7.6024013400000001</v>
      </c>
      <c r="H89">
        <v>7.6662219299999999</v>
      </c>
      <c r="I89">
        <v>7.7579062099999998</v>
      </c>
      <c r="J89">
        <v>7.3993980800000001</v>
      </c>
      <c r="K89">
        <v>8.3079525499999995</v>
      </c>
      <c r="L89">
        <v>6.9546388600000002</v>
      </c>
      <c r="M89">
        <v>8.2419665599999998</v>
      </c>
      <c r="N89">
        <v>5.0751738199999998</v>
      </c>
      <c r="O89">
        <v>4.8598124</v>
      </c>
      <c r="P89">
        <v>4.9836066199999998</v>
      </c>
      <c r="Q89">
        <v>4.9272536899999997</v>
      </c>
    </row>
    <row r="90" spans="1:17" x14ac:dyDescent="0.2">
      <c r="A90">
        <v>33.403361099999998</v>
      </c>
      <c r="B90">
        <v>7.9284060299999997</v>
      </c>
      <c r="C90">
        <v>8.0372200300000003</v>
      </c>
      <c r="D90">
        <v>7.9824163500000003</v>
      </c>
      <c r="E90">
        <v>8.0532511499999995</v>
      </c>
      <c r="F90">
        <v>8.0519780799999996</v>
      </c>
      <c r="G90">
        <v>7.6685611099999997</v>
      </c>
      <c r="H90">
        <v>7.7209052500000004</v>
      </c>
      <c r="I90">
        <v>7.7480285200000001</v>
      </c>
      <c r="J90">
        <v>7.3926475199999997</v>
      </c>
      <c r="K90">
        <v>8.2927988599999996</v>
      </c>
      <c r="L90">
        <v>6.9819346800000002</v>
      </c>
      <c r="M90">
        <v>8.2411761499999994</v>
      </c>
      <c r="N90">
        <v>5.1416635599999996</v>
      </c>
      <c r="O90">
        <v>4.9052747800000001</v>
      </c>
      <c r="P90">
        <v>5.0039463099999999</v>
      </c>
      <c r="Q90">
        <v>4.9836066199999998</v>
      </c>
    </row>
    <row r="91" spans="1:17" x14ac:dyDescent="0.2">
      <c r="A91">
        <v>33.782944399999998</v>
      </c>
      <c r="B91">
        <v>7.9142522800000004</v>
      </c>
      <c r="C91">
        <v>8.0352789100000006</v>
      </c>
      <c r="D91">
        <v>7.9793389000000001</v>
      </c>
      <c r="E91">
        <v>8.0551577299999995</v>
      </c>
      <c r="F91">
        <v>8.0532511499999995</v>
      </c>
      <c r="G91">
        <v>7.6810989999999997</v>
      </c>
      <c r="H91">
        <v>7.7668405399999996</v>
      </c>
      <c r="I91">
        <v>7.7557671700000004</v>
      </c>
      <c r="J91">
        <v>7.3920315700000003</v>
      </c>
      <c r="K91">
        <v>8.2870250300000006</v>
      </c>
      <c r="L91">
        <v>6.9939329800000003</v>
      </c>
      <c r="M91">
        <v>8.23827262</v>
      </c>
      <c r="N91">
        <v>5.2040066899999999</v>
      </c>
      <c r="O91">
        <v>4.94164242</v>
      </c>
      <c r="P91">
        <v>5.0751738199999998</v>
      </c>
      <c r="Q91">
        <v>4.9767337400000002</v>
      </c>
    </row>
    <row r="92" spans="1:17" x14ac:dyDescent="0.2">
      <c r="A92">
        <v>34.162500000000001</v>
      </c>
      <c r="B92">
        <v>7.92696354</v>
      </c>
      <c r="C92">
        <v>8.0291070500000004</v>
      </c>
      <c r="D92">
        <v>7.9803657699999997</v>
      </c>
      <c r="E92">
        <v>8.0519780799999996</v>
      </c>
      <c r="F92">
        <v>8.0484687400000006</v>
      </c>
      <c r="G92">
        <v>7.6975753500000001</v>
      </c>
      <c r="H92">
        <v>7.8256447299999996</v>
      </c>
      <c r="I92">
        <v>7.75662333</v>
      </c>
      <c r="J92">
        <v>7.3932630899999996</v>
      </c>
      <c r="K92">
        <v>8.2817239899999997</v>
      </c>
      <c r="L92">
        <v>7.0219764199999997</v>
      </c>
      <c r="M92">
        <v>8.2335031399999998</v>
      </c>
      <c r="N92">
        <v>5.2729995599999997</v>
      </c>
      <c r="O92">
        <v>4.9836066199999998</v>
      </c>
      <c r="P92">
        <v>5.0998664299999996</v>
      </c>
      <c r="Q92">
        <v>5.0106352899999997</v>
      </c>
    </row>
    <row r="93" spans="1:17" x14ac:dyDescent="0.2">
      <c r="A93">
        <v>34.542055599999998</v>
      </c>
      <c r="B93">
        <v>7.9229859600000001</v>
      </c>
      <c r="C93">
        <v>8.0359263700000003</v>
      </c>
      <c r="D93">
        <v>7.9803657699999997</v>
      </c>
      <c r="E93">
        <v>8.0542049000000002</v>
      </c>
      <c r="F93">
        <v>8.0503844499999992</v>
      </c>
      <c r="G93">
        <v>7.7088596000000003</v>
      </c>
      <c r="H93">
        <v>7.8648040000000004</v>
      </c>
      <c r="I93">
        <v>7.7583334700000002</v>
      </c>
      <c r="J93">
        <v>7.3889461000000001</v>
      </c>
      <c r="K93">
        <v>8.2748668199999997</v>
      </c>
      <c r="L93">
        <v>7.0264268100000002</v>
      </c>
      <c r="M93">
        <v>8.2249674800000001</v>
      </c>
      <c r="N93">
        <v>5.3565862700000002</v>
      </c>
      <c r="O93">
        <v>4.9972122700000003</v>
      </c>
      <c r="P93">
        <v>5.1416635599999996</v>
      </c>
      <c r="Q93">
        <v>5.0689042000000004</v>
      </c>
    </row>
    <row r="94" spans="1:17" x14ac:dyDescent="0.2">
      <c r="A94">
        <v>34.921638899999998</v>
      </c>
      <c r="B94">
        <v>7.9226235699999998</v>
      </c>
      <c r="C94">
        <v>8.0313853300000009</v>
      </c>
      <c r="D94">
        <v>7.9738443800000001</v>
      </c>
      <c r="E94">
        <v>8.0491077200000003</v>
      </c>
      <c r="F94">
        <v>8.0513409300000003</v>
      </c>
      <c r="G94">
        <v>7.7111012499999996</v>
      </c>
      <c r="H94">
        <v>7.9069154900000003</v>
      </c>
      <c r="I94">
        <v>7.7651449000000001</v>
      </c>
      <c r="J94">
        <v>7.3914152299999998</v>
      </c>
      <c r="K94">
        <v>8.2707810100000003</v>
      </c>
      <c r="L94">
        <v>7.0422861699999997</v>
      </c>
      <c r="M94">
        <v>8.2185175800000003</v>
      </c>
      <c r="N94">
        <v>5.4680601400000004</v>
      </c>
      <c r="O94">
        <v>5.0625950299999998</v>
      </c>
      <c r="P94">
        <v>5.1873858100000003</v>
      </c>
      <c r="Q94">
        <v>5.1416635599999996</v>
      </c>
    </row>
    <row r="95" spans="1:17" x14ac:dyDescent="0.2">
      <c r="A95">
        <v>35.301222199999998</v>
      </c>
      <c r="B95">
        <v>7.9179005900000003</v>
      </c>
      <c r="C95">
        <v>8.0310601800000008</v>
      </c>
      <c r="D95">
        <v>7.97590836</v>
      </c>
      <c r="E95">
        <v>8.0478293599999997</v>
      </c>
      <c r="F95">
        <v>8.0494270599999993</v>
      </c>
      <c r="G95">
        <v>7.7106533199999996</v>
      </c>
      <c r="H95">
        <v>7.93844555</v>
      </c>
      <c r="I95">
        <v>7.7668405399999996</v>
      </c>
      <c r="J95">
        <v>7.3914152299999998</v>
      </c>
      <c r="K95">
        <v>8.2705251000000004</v>
      </c>
      <c r="L95">
        <v>7.0509894500000003</v>
      </c>
      <c r="M95">
        <v>8.2177084100000002</v>
      </c>
      <c r="N95">
        <v>5.5759490999999999</v>
      </c>
      <c r="O95">
        <v>5.10594547</v>
      </c>
      <c r="P95">
        <v>5.2626901899999998</v>
      </c>
      <c r="Q95">
        <v>5.1590553000000003</v>
      </c>
    </row>
    <row r="96" spans="1:17" x14ac:dyDescent="0.2">
      <c r="A96">
        <v>35.680805599999999</v>
      </c>
      <c r="B96">
        <v>7.9179005900000003</v>
      </c>
      <c r="C96">
        <v>8.0271501099999991</v>
      </c>
      <c r="D96">
        <v>7.96762674</v>
      </c>
      <c r="E96">
        <v>8.0484687400000006</v>
      </c>
      <c r="F96">
        <v>8.0459087399999998</v>
      </c>
      <c r="G96">
        <v>7.7204616899999996</v>
      </c>
      <c r="H96">
        <v>7.9683194999999998</v>
      </c>
      <c r="I96">
        <v>7.7710670899999998</v>
      </c>
      <c r="J96">
        <v>7.3914152299999998</v>
      </c>
      <c r="K96">
        <v>8.2653929300000009</v>
      </c>
      <c r="L96">
        <v>7.0527210499999997</v>
      </c>
      <c r="M96">
        <v>8.2166284899999997</v>
      </c>
      <c r="N96">
        <v>5.7170277</v>
      </c>
      <c r="O96">
        <v>5.1704840000000001</v>
      </c>
      <c r="P96">
        <v>5.3327187900000004</v>
      </c>
      <c r="Q96">
        <v>5.2311086199999997</v>
      </c>
    </row>
    <row r="97" spans="1:17" x14ac:dyDescent="0.2">
      <c r="A97">
        <v>36.060361100000001</v>
      </c>
      <c r="B97">
        <v>7.9160781</v>
      </c>
      <c r="C97">
        <v>8.0310601800000008</v>
      </c>
      <c r="D97">
        <v>7.9724660199999997</v>
      </c>
      <c r="E97">
        <v>8.0475095099999994</v>
      </c>
      <c r="F97">
        <v>8.0497462899999999</v>
      </c>
      <c r="G97">
        <v>7.7231200900000001</v>
      </c>
      <c r="H97">
        <v>8.0043655600000001</v>
      </c>
      <c r="I97">
        <v>7.7672639999999999</v>
      </c>
      <c r="J97">
        <v>7.3858510800000001</v>
      </c>
      <c r="K97">
        <v>8.2679623099999997</v>
      </c>
      <c r="L97">
        <v>7.0715733600000004</v>
      </c>
      <c r="M97">
        <v>8.2052184300000004</v>
      </c>
      <c r="N97">
        <v>5.8435444199999997</v>
      </c>
      <c r="O97">
        <v>5.2203558299999999</v>
      </c>
      <c r="P97">
        <v>5.3936275499999997</v>
      </c>
      <c r="Q97">
        <v>5.2729995599999997</v>
      </c>
    </row>
    <row r="98" spans="1:17" x14ac:dyDescent="0.2">
      <c r="A98">
        <v>36.439944400000002</v>
      </c>
      <c r="B98">
        <v>7.9135210200000001</v>
      </c>
      <c r="C98">
        <v>8.0219127799999992</v>
      </c>
      <c r="D98">
        <v>7.9686656999999999</v>
      </c>
      <c r="E98">
        <v>8.0372200300000003</v>
      </c>
      <c r="F98">
        <v>8.0443054099999998</v>
      </c>
      <c r="G98">
        <v>7.7253300400000002</v>
      </c>
      <c r="H98">
        <v>8.0420564100000007</v>
      </c>
      <c r="I98">
        <v>7.7811385099999999</v>
      </c>
      <c r="J98">
        <v>7.3993980800000001</v>
      </c>
      <c r="K98">
        <v>8.2581633599999993</v>
      </c>
      <c r="L98">
        <v>7.0817085899999999</v>
      </c>
      <c r="M98">
        <v>8.2255030999999992</v>
      </c>
      <c r="N98">
        <v>6.0014148799999996</v>
      </c>
      <c r="O98">
        <v>5.3033049099999996</v>
      </c>
      <c r="P98">
        <v>5.4806389199999996</v>
      </c>
      <c r="Q98">
        <v>5.3327187900000004</v>
      </c>
    </row>
    <row r="99" spans="1:17" x14ac:dyDescent="0.2">
      <c r="A99">
        <v>36.819499999999998</v>
      </c>
      <c r="B99">
        <v>7.9153481699999997</v>
      </c>
      <c r="C99">
        <v>8.0310601800000008</v>
      </c>
      <c r="D99">
        <v>7.9731554300000003</v>
      </c>
      <c r="E99">
        <v>8.0455882800000005</v>
      </c>
      <c r="F99">
        <v>8.0449470499999993</v>
      </c>
      <c r="G99">
        <v>7.72444665</v>
      </c>
      <c r="H99">
        <v>8.07620453</v>
      </c>
      <c r="I99">
        <v>7.7748557700000003</v>
      </c>
      <c r="J99">
        <v>7.39449311</v>
      </c>
      <c r="K99">
        <v>8.2692445200000009</v>
      </c>
      <c r="L99">
        <v>7.07749805</v>
      </c>
      <c r="M99">
        <v>8.2204031000000004</v>
      </c>
      <c r="N99">
        <v>6.1463292599999999</v>
      </c>
      <c r="O99">
        <v>5.4161004000000004</v>
      </c>
      <c r="P99">
        <v>5.5606816300000004</v>
      </c>
      <c r="Q99">
        <v>5.4071717699999997</v>
      </c>
    </row>
    <row r="100" spans="1:17" x14ac:dyDescent="0.2">
      <c r="A100">
        <v>37.199083299999998</v>
      </c>
      <c r="B100">
        <v>7.9131551900000003</v>
      </c>
      <c r="C100">
        <v>8.0274765299999995</v>
      </c>
      <c r="D100">
        <v>7.9662397800000004</v>
      </c>
      <c r="E100">
        <v>8.0487882800000001</v>
      </c>
      <c r="F100">
        <v>8.0430208899999993</v>
      </c>
      <c r="G100">
        <v>7.7284157799999997</v>
      </c>
      <c r="H100">
        <v>8.0885618099999999</v>
      </c>
      <c r="I100">
        <v>7.7828072600000002</v>
      </c>
      <c r="J100">
        <v>7.40427912</v>
      </c>
      <c r="K100">
        <v>8.2695007700000005</v>
      </c>
      <c r="L100">
        <v>7.08840878</v>
      </c>
      <c r="M100">
        <v>8.2297777500000002</v>
      </c>
      <c r="N100">
        <v>6.3080984400000002</v>
      </c>
      <c r="O100">
        <v>5.5134287500000001</v>
      </c>
      <c r="P100">
        <v>5.6276211099999998</v>
      </c>
      <c r="Q100">
        <v>5.5012582099999996</v>
      </c>
    </row>
    <row r="101" spans="1:17" x14ac:dyDescent="0.2">
      <c r="A101">
        <v>37.578638900000001</v>
      </c>
      <c r="B101">
        <v>7.9039656300000001</v>
      </c>
      <c r="C101">
        <v>8.0251893200000008</v>
      </c>
      <c r="D101">
        <v>7.9624156800000003</v>
      </c>
      <c r="E101">
        <v>8.0391573899999997</v>
      </c>
      <c r="F101">
        <v>8.0455882800000005</v>
      </c>
      <c r="G101">
        <v>7.7349961900000004</v>
      </c>
      <c r="H101">
        <v>8.0959035299999993</v>
      </c>
      <c r="I101">
        <v>7.7832240199999996</v>
      </c>
      <c r="J101">
        <v>7.3951075499999996</v>
      </c>
      <c r="K101">
        <v>8.2707810100000003</v>
      </c>
      <c r="L101">
        <v>7.0604763699999999</v>
      </c>
      <c r="M101">
        <v>8.2292444200000006</v>
      </c>
      <c r="N101">
        <v>6.4922398399999999</v>
      </c>
      <c r="O101">
        <v>5.6276211099999998</v>
      </c>
      <c r="P101">
        <v>5.7397929100000002</v>
      </c>
      <c r="Q101">
        <v>5.5834963100000001</v>
      </c>
    </row>
    <row r="102" spans="1:17" x14ac:dyDescent="0.2">
      <c r="A102">
        <v>37.958222200000002</v>
      </c>
      <c r="B102">
        <v>7.9120568899999997</v>
      </c>
      <c r="C102">
        <v>8.0258433399999998</v>
      </c>
      <c r="D102">
        <v>7.96519829</v>
      </c>
      <c r="E102">
        <v>8.0538870800000009</v>
      </c>
      <c r="F102">
        <v>8.0446262799999992</v>
      </c>
      <c r="G102">
        <v>7.7314920300000001</v>
      </c>
      <c r="H102">
        <v>8.0968174699999995</v>
      </c>
      <c r="I102">
        <v>7.7894545700000002</v>
      </c>
      <c r="J102">
        <v>7.3907985199999997</v>
      </c>
      <c r="K102">
        <v>8.2625589700000006</v>
      </c>
      <c r="L102">
        <v>7.0621916300000001</v>
      </c>
      <c r="M102">
        <v>8.2305772200000007</v>
      </c>
      <c r="N102">
        <v>6.6682282500000003</v>
      </c>
      <c r="O102">
        <v>5.7525726400000003</v>
      </c>
      <c r="P102">
        <v>5.8435444199999997</v>
      </c>
      <c r="Q102">
        <v>5.6801726099999996</v>
      </c>
    </row>
    <row r="103" spans="1:17" x14ac:dyDescent="0.2">
      <c r="A103">
        <v>38.337805600000003</v>
      </c>
      <c r="B103">
        <v>7.9131551900000003</v>
      </c>
      <c r="C103">
        <v>8.0307349200000004</v>
      </c>
      <c r="D103">
        <v>7.9641557199999999</v>
      </c>
      <c r="E103">
        <v>8.0500654199999992</v>
      </c>
      <c r="F103">
        <v>8.0433421700000007</v>
      </c>
      <c r="G103">
        <v>7.73674368</v>
      </c>
      <c r="H103">
        <v>8.1025864300000006</v>
      </c>
      <c r="I103">
        <v>7.7890404000000002</v>
      </c>
      <c r="J103">
        <v>7.3889461000000001</v>
      </c>
      <c r="K103">
        <v>8.2671921899999994</v>
      </c>
      <c r="L103">
        <v>7.06133437</v>
      </c>
      <c r="M103">
        <v>8.2324401599999995</v>
      </c>
      <c r="N103">
        <v>6.8585650300000003</v>
      </c>
      <c r="O103">
        <v>5.88332239</v>
      </c>
      <c r="P103">
        <v>5.92958914</v>
      </c>
      <c r="Q103">
        <v>5.7776523199999996</v>
      </c>
    </row>
    <row r="104" spans="1:17" x14ac:dyDescent="0.2">
      <c r="A104">
        <v>38.717444399999998</v>
      </c>
      <c r="B104">
        <v>7.9028571899999998</v>
      </c>
      <c r="C104">
        <v>8.0278028500000005</v>
      </c>
      <c r="D104">
        <v>7.9638079499999996</v>
      </c>
      <c r="E104">
        <v>8.0532511499999995</v>
      </c>
      <c r="F104">
        <v>8.0443054099999998</v>
      </c>
      <c r="G104">
        <v>7.7389237599999996</v>
      </c>
      <c r="H104">
        <v>8.1074188100000004</v>
      </c>
      <c r="I104">
        <v>7.7898685600000004</v>
      </c>
      <c r="J104">
        <v>7.3963352899999997</v>
      </c>
      <c r="K104">
        <v>8.2594581999999992</v>
      </c>
      <c r="L104">
        <v>7.0509894500000003</v>
      </c>
      <c r="M104">
        <v>8.2228221300000008</v>
      </c>
      <c r="N104">
        <v>7.0673198499999996</v>
      </c>
      <c r="O104">
        <v>6.0161571599999997</v>
      </c>
      <c r="P104">
        <v>6.05443935</v>
      </c>
      <c r="Q104">
        <v>5.8944028299999998</v>
      </c>
    </row>
    <row r="105" spans="1:17" x14ac:dyDescent="0.2">
      <c r="A105">
        <v>39.097027799999999</v>
      </c>
      <c r="B105">
        <v>7.9072836100000004</v>
      </c>
      <c r="C105">
        <v>8.0271501099999991</v>
      </c>
      <c r="D105">
        <v>7.9620673100000001</v>
      </c>
      <c r="E105">
        <v>8.0557924500000002</v>
      </c>
      <c r="F105">
        <v>8.0343069400000005</v>
      </c>
      <c r="G105">
        <v>7.7402295199999998</v>
      </c>
      <c r="H105">
        <v>8.1037967099999992</v>
      </c>
      <c r="I105">
        <v>7.7890404000000002</v>
      </c>
      <c r="J105">
        <v>7.3895639500000003</v>
      </c>
      <c r="K105">
        <v>8.2607513499999996</v>
      </c>
      <c r="L105">
        <v>7.0570369800000003</v>
      </c>
      <c r="M105">
        <v>8.2220164400000009</v>
      </c>
      <c r="N105">
        <v>7.2626286000000002</v>
      </c>
      <c r="O105">
        <v>6.1882641200000004</v>
      </c>
      <c r="P105">
        <v>6.1633148000000002</v>
      </c>
      <c r="Q105">
        <v>6.01126717</v>
      </c>
    </row>
    <row r="106" spans="1:17" x14ac:dyDescent="0.2">
      <c r="A106">
        <v>39.478416699999997</v>
      </c>
      <c r="B106">
        <v>7.8991534799999998</v>
      </c>
      <c r="C106">
        <v>8.0356026899999993</v>
      </c>
      <c r="D106">
        <v>7.9596253099999998</v>
      </c>
      <c r="E106">
        <v>8.0462290999999997</v>
      </c>
      <c r="F106">
        <v>8.03398273</v>
      </c>
      <c r="G106">
        <v>7.7441366299999999</v>
      </c>
      <c r="H106">
        <v>8.1116280799999991</v>
      </c>
      <c r="I106">
        <v>7.7960579699999997</v>
      </c>
      <c r="J106">
        <v>7.3846103799999998</v>
      </c>
      <c r="K106">
        <v>8.2635904300000007</v>
      </c>
      <c r="L106">
        <v>7.0518556200000004</v>
      </c>
      <c r="M106">
        <v>8.2225536399999992</v>
      </c>
      <c r="N106">
        <v>7.4707937700000002</v>
      </c>
      <c r="O106">
        <v>6.3526293999999996</v>
      </c>
      <c r="P106">
        <v>6.2461067699999999</v>
      </c>
      <c r="Q106">
        <v>6.1290502099999999</v>
      </c>
    </row>
    <row r="107" spans="1:17" x14ac:dyDescent="0.2">
      <c r="A107">
        <v>39.860083299999999</v>
      </c>
      <c r="B107">
        <v>7.9017475199999998</v>
      </c>
      <c r="C107">
        <v>8.0398023399999996</v>
      </c>
      <c r="D107">
        <v>7.9564767999999999</v>
      </c>
      <c r="E107">
        <v>8.0507033799999999</v>
      </c>
      <c r="F107">
        <v>8.0356026899999993</v>
      </c>
      <c r="G107">
        <v>7.7371800799999999</v>
      </c>
      <c r="H107">
        <v>8.1047034700000005</v>
      </c>
      <c r="I107">
        <v>7.7997533199999998</v>
      </c>
      <c r="J107">
        <v>7.3951075499999996</v>
      </c>
      <c r="K107">
        <v>8.2630748399999998</v>
      </c>
      <c r="L107">
        <v>7.05531284</v>
      </c>
      <c r="M107">
        <v>8.2198647400000002</v>
      </c>
      <c r="N107">
        <v>7.6769371499999997</v>
      </c>
      <c r="O107">
        <v>6.5337888399999997</v>
      </c>
      <c r="P107">
        <v>6.3421214199999998</v>
      </c>
      <c r="Q107">
        <v>6.2557500399999997</v>
      </c>
    </row>
    <row r="108" spans="1:17" x14ac:dyDescent="0.2">
      <c r="A108">
        <v>40.239666700000001</v>
      </c>
      <c r="B108">
        <v>7.8998953199999997</v>
      </c>
      <c r="C108">
        <v>8.0235523900000008</v>
      </c>
      <c r="D108">
        <v>7.9540210900000003</v>
      </c>
      <c r="E108">
        <v>8.0398023399999996</v>
      </c>
      <c r="F108">
        <v>8.0310601800000008</v>
      </c>
      <c r="G108">
        <v>7.7397944599999997</v>
      </c>
      <c r="H108">
        <v>8.1140254400000007</v>
      </c>
      <c r="I108">
        <v>7.7923489200000002</v>
      </c>
      <c r="J108">
        <v>7.3926475199999997</v>
      </c>
      <c r="K108">
        <v>8.2615264499999999</v>
      </c>
      <c r="L108">
        <v>7.0561752799999997</v>
      </c>
      <c r="M108">
        <v>8.2166284899999997</v>
      </c>
      <c r="N108">
        <v>7.8728361800000002</v>
      </c>
      <c r="O108">
        <v>6.7044143500000004</v>
      </c>
      <c r="P108">
        <v>6.4488893899999997</v>
      </c>
      <c r="Q108">
        <v>6.3784261799999999</v>
      </c>
    </row>
    <row r="109" spans="1:17" x14ac:dyDescent="0.2">
      <c r="A109">
        <v>40.619250000000001</v>
      </c>
      <c r="B109">
        <v>7.9054416500000002</v>
      </c>
      <c r="C109">
        <v>8.0375431899999992</v>
      </c>
      <c r="D109">
        <v>7.9536697800000002</v>
      </c>
      <c r="E109">
        <v>8.0475095099999994</v>
      </c>
      <c r="F109">
        <v>8.0356026899999993</v>
      </c>
      <c r="G109">
        <v>7.7419678999999997</v>
      </c>
      <c r="H109">
        <v>8.1059111999999995</v>
      </c>
      <c r="I109">
        <v>7.79152282</v>
      </c>
      <c r="J109">
        <v>7.3932630899999996</v>
      </c>
      <c r="K109">
        <v>8.2563477699999996</v>
      </c>
      <c r="L109">
        <v>7.0501225200000004</v>
      </c>
      <c r="M109">
        <v>8.2163583300000003</v>
      </c>
      <c r="N109">
        <v>8.0931566999999998</v>
      </c>
      <c r="O109">
        <v>6.9007306599999998</v>
      </c>
      <c r="P109">
        <v>6.5581978000000003</v>
      </c>
      <c r="Q109">
        <v>6.4800445599999996</v>
      </c>
    </row>
    <row r="110" spans="1:17" x14ac:dyDescent="0.2">
      <c r="A110">
        <v>40.998833300000001</v>
      </c>
      <c r="B110">
        <v>7.8954360100000001</v>
      </c>
      <c r="C110">
        <v>8.0278028500000005</v>
      </c>
      <c r="D110">
        <v>7.94732503</v>
      </c>
      <c r="E110">
        <v>8.0326848799999997</v>
      </c>
      <c r="F110">
        <v>8.0304095600000007</v>
      </c>
      <c r="G110">
        <v>7.7384881200000004</v>
      </c>
      <c r="H110">
        <v>8.1110278400000002</v>
      </c>
      <c r="I110">
        <v>7.7977020399999999</v>
      </c>
      <c r="J110">
        <v>7.4024515199999996</v>
      </c>
      <c r="K110">
        <v>8.2674489599999994</v>
      </c>
      <c r="L110">
        <v>7.0749632</v>
      </c>
      <c r="M110">
        <v>8.2204031000000004</v>
      </c>
      <c r="N110">
        <v>8.29779263</v>
      </c>
      <c r="O110">
        <v>7.0983756400000004</v>
      </c>
      <c r="P110">
        <v>6.6541525200000002</v>
      </c>
      <c r="Q110">
        <v>6.6093492400000002</v>
      </c>
    </row>
    <row r="111" spans="1:17" x14ac:dyDescent="0.2">
      <c r="A111">
        <v>41.378388899999997</v>
      </c>
      <c r="B111">
        <v>7.8976681500000003</v>
      </c>
      <c r="C111">
        <v>8.0278028500000005</v>
      </c>
      <c r="D111">
        <v>7.9501498899999996</v>
      </c>
      <c r="E111">
        <v>8.0336584299999991</v>
      </c>
      <c r="F111">
        <v>8.0300840900000008</v>
      </c>
      <c r="G111">
        <v>7.7463006600000002</v>
      </c>
      <c r="H111">
        <v>8.1140254400000007</v>
      </c>
      <c r="I111">
        <v>7.79852305</v>
      </c>
      <c r="J111">
        <v>7.3833681499999999</v>
      </c>
      <c r="K111">
        <v>8.2682188799999992</v>
      </c>
      <c r="L111">
        <v>7.0501225200000004</v>
      </c>
      <c r="M111">
        <v>8.2101244100000006</v>
      </c>
      <c r="N111">
        <v>8.4844633700000003</v>
      </c>
      <c r="O111">
        <v>7.29097478</v>
      </c>
      <c r="P111">
        <v>6.7546040999999999</v>
      </c>
      <c r="Q111">
        <v>6.7093043400000001</v>
      </c>
    </row>
    <row r="112" spans="1:17" x14ac:dyDescent="0.2">
      <c r="A112">
        <v>41.7579444</v>
      </c>
      <c r="B112">
        <v>7.8998953199999997</v>
      </c>
      <c r="C112">
        <v>8.0297585199999997</v>
      </c>
      <c r="D112">
        <v>7.9508548599999997</v>
      </c>
      <c r="E112">
        <v>8.0372200300000003</v>
      </c>
      <c r="F112">
        <v>8.0261701900000002</v>
      </c>
      <c r="G112">
        <v>7.7441366299999999</v>
      </c>
      <c r="H112">
        <v>8.1137260900000001</v>
      </c>
      <c r="I112">
        <v>7.7964692400000004</v>
      </c>
      <c r="J112">
        <v>7.3932630899999996</v>
      </c>
      <c r="K112">
        <v>8.2573856600000006</v>
      </c>
      <c r="L112">
        <v>7.0604763699999999</v>
      </c>
      <c r="M112">
        <v>8.2084917500000003</v>
      </c>
      <c r="N112">
        <v>8.6657855999999995</v>
      </c>
      <c r="O112">
        <v>7.4798641300000002</v>
      </c>
      <c r="P112">
        <v>6.8564619799999997</v>
      </c>
      <c r="Q112">
        <v>6.8243736699999999</v>
      </c>
    </row>
    <row r="113" spans="1:17" x14ac:dyDescent="0.2">
      <c r="A113">
        <v>42.137555599999999</v>
      </c>
      <c r="B113">
        <v>7.8946908499999999</v>
      </c>
      <c r="C113">
        <v>8.0330095000000004</v>
      </c>
      <c r="D113">
        <v>7.94732503</v>
      </c>
      <c r="E113">
        <v>8.0394799199999998</v>
      </c>
      <c r="F113">
        <v>8.0294328400000001</v>
      </c>
      <c r="G113">
        <v>7.7475968399999999</v>
      </c>
      <c r="H113">
        <v>8.1119280600000003</v>
      </c>
      <c r="I113">
        <v>7.7993433999999997</v>
      </c>
      <c r="J113">
        <v>7.3895639500000003</v>
      </c>
      <c r="K113">
        <v>8.2581633599999993</v>
      </c>
      <c r="L113">
        <v>7.0578979400000001</v>
      </c>
      <c r="M113">
        <v>8.2093084100000002</v>
      </c>
      <c r="N113">
        <v>8.7313363600000002</v>
      </c>
      <c r="O113">
        <v>7.6861623000000003</v>
      </c>
      <c r="P113">
        <v>6.94793707</v>
      </c>
      <c r="Q113">
        <v>6.9555926100000001</v>
      </c>
    </row>
    <row r="114" spans="1:17" x14ac:dyDescent="0.2">
      <c r="A114">
        <v>42.516694399999999</v>
      </c>
      <c r="B114">
        <v>7.8998953199999997</v>
      </c>
      <c r="C114">
        <v>8.0330095000000004</v>
      </c>
      <c r="D114">
        <v>7.94732503</v>
      </c>
      <c r="E114">
        <v>8.0310601800000008</v>
      </c>
      <c r="F114">
        <v>8.0317103799999998</v>
      </c>
      <c r="G114">
        <v>7.7450028</v>
      </c>
      <c r="H114">
        <v>8.1170140899999996</v>
      </c>
      <c r="I114">
        <v>7.7952349300000003</v>
      </c>
      <c r="J114">
        <v>7.3858510800000001</v>
      </c>
      <c r="K114">
        <v>8.2612681499999994</v>
      </c>
      <c r="L114">
        <v>7.0690234299999997</v>
      </c>
      <c r="M114">
        <v>8.2187871599999998</v>
      </c>
      <c r="N114">
        <v>8.7610800999999991</v>
      </c>
      <c r="O114">
        <v>7.8819374900000003</v>
      </c>
      <c r="P114">
        <v>7.0518556200000004</v>
      </c>
      <c r="Q114">
        <v>7.0449051200000001</v>
      </c>
    </row>
    <row r="115" spans="1:17" x14ac:dyDescent="0.2">
      <c r="A115">
        <v>42.896250000000002</v>
      </c>
      <c r="B115">
        <v>7.8965527</v>
      </c>
      <c r="C115">
        <v>8.03398273</v>
      </c>
      <c r="D115">
        <v>7.9476785699999999</v>
      </c>
      <c r="E115">
        <v>8.0359263700000003</v>
      </c>
      <c r="F115">
        <v>8.0343069400000005</v>
      </c>
      <c r="G115">
        <v>7.7488913400000001</v>
      </c>
      <c r="H115">
        <v>8.1137260900000001</v>
      </c>
      <c r="I115">
        <v>7.7968803400000004</v>
      </c>
      <c r="J115">
        <v>7.3907985199999997</v>
      </c>
      <c r="K115">
        <v>8.2579041899999996</v>
      </c>
      <c r="L115">
        <v>7.0561752799999997</v>
      </c>
      <c r="M115">
        <v>8.2139235999999993</v>
      </c>
      <c r="N115">
        <v>8.7727652099999993</v>
      </c>
      <c r="O115">
        <v>8.0907087200000003</v>
      </c>
      <c r="P115">
        <v>7.1538338000000001</v>
      </c>
      <c r="Q115">
        <v>7.1608459099999999</v>
      </c>
    </row>
    <row r="116" spans="1:17" x14ac:dyDescent="0.2">
      <c r="A116">
        <v>43.275833300000002</v>
      </c>
      <c r="B116">
        <v>7.8935720700000003</v>
      </c>
      <c r="C116">
        <v>8.0238799899999993</v>
      </c>
      <c r="D116">
        <v>7.9519113800000003</v>
      </c>
      <c r="E116">
        <v>8.03398273</v>
      </c>
      <c r="F116">
        <v>8.0222409199999998</v>
      </c>
      <c r="G116">
        <v>7.7514753199999999</v>
      </c>
      <c r="H116">
        <v>8.1110278400000002</v>
      </c>
      <c r="I116">
        <v>7.80506704</v>
      </c>
      <c r="J116">
        <v>7.3920315700000003</v>
      </c>
      <c r="K116">
        <v>8.2584224600000002</v>
      </c>
      <c r="L116">
        <v>7.0544496600000004</v>
      </c>
      <c r="M116">
        <v>8.2133817400000009</v>
      </c>
      <c r="N116">
        <v>8.7858453399999998</v>
      </c>
      <c r="O116">
        <v>8.2907943500000005</v>
      </c>
      <c r="P116">
        <v>7.2548848100000001</v>
      </c>
      <c r="Q116">
        <v>7.2779385699999999</v>
      </c>
    </row>
    <row r="117" spans="1:17" x14ac:dyDescent="0.2">
      <c r="A117">
        <v>43.655416700000004</v>
      </c>
      <c r="B117">
        <v>7.8954360100000001</v>
      </c>
      <c r="C117">
        <v>8.0297585199999997</v>
      </c>
      <c r="D117">
        <v>7.9444921600000002</v>
      </c>
      <c r="E117">
        <v>8.0313853300000009</v>
      </c>
      <c r="F117">
        <v>8.0205991500000007</v>
      </c>
      <c r="G117">
        <v>7.7467329100000004</v>
      </c>
      <c r="H117">
        <v>8.1074188100000004</v>
      </c>
      <c r="I117">
        <v>7.8009820699999999</v>
      </c>
      <c r="J117">
        <v>7.3895639500000003</v>
      </c>
      <c r="K117">
        <v>8.2581633599999993</v>
      </c>
      <c r="L117">
        <v>7.0561752799999997</v>
      </c>
      <c r="M117">
        <v>8.2027563800000003</v>
      </c>
      <c r="N117">
        <v>8.7855395299999994</v>
      </c>
      <c r="O117">
        <v>8.4656893499999999</v>
      </c>
      <c r="P117">
        <v>7.3440728499999999</v>
      </c>
      <c r="Q117">
        <v>7.3808790399999999</v>
      </c>
    </row>
    <row r="118" spans="1:17" x14ac:dyDescent="0.2">
      <c r="A118">
        <v>44.034999999999997</v>
      </c>
      <c r="B118">
        <v>7.8924520400000002</v>
      </c>
      <c r="C118">
        <v>8.0281290599999995</v>
      </c>
      <c r="D118">
        <v>7.9490914999999998</v>
      </c>
      <c r="E118">
        <v>8.0346310299999999</v>
      </c>
      <c r="F118">
        <v>8.0268235800000003</v>
      </c>
      <c r="G118">
        <v>7.7510451199999997</v>
      </c>
      <c r="H118">
        <v>8.1053075200000002</v>
      </c>
      <c r="I118">
        <v>7.79852305</v>
      </c>
      <c r="J118">
        <v>7.39449311</v>
      </c>
      <c r="K118">
        <v>8.2534880299999998</v>
      </c>
      <c r="L118">
        <v>7.05531284</v>
      </c>
      <c r="M118">
        <v>8.2074018300000002</v>
      </c>
      <c r="N118">
        <v>8.7109491299999995</v>
      </c>
      <c r="O118">
        <v>8.63479843</v>
      </c>
      <c r="P118">
        <v>7.4448332700000002</v>
      </c>
      <c r="Q118">
        <v>7.4792996399999998</v>
      </c>
    </row>
    <row r="119" spans="1:17" x14ac:dyDescent="0.2">
      <c r="A119">
        <v>44.4145556</v>
      </c>
      <c r="B119">
        <v>7.8924520400000002</v>
      </c>
      <c r="C119">
        <v>8.0199416899999996</v>
      </c>
      <c r="D119">
        <v>7.9416512499999996</v>
      </c>
      <c r="E119">
        <v>8.0251893200000008</v>
      </c>
      <c r="F119">
        <v>8.0215845300000002</v>
      </c>
      <c r="G119">
        <v>7.7410990899999996</v>
      </c>
      <c r="H119">
        <v>8.1053075200000002</v>
      </c>
      <c r="I119">
        <v>7.80343506</v>
      </c>
      <c r="J119">
        <v>7.3864708500000003</v>
      </c>
      <c r="K119">
        <v>8.2623009399999994</v>
      </c>
      <c r="L119">
        <v>7.0656133600000004</v>
      </c>
      <c r="M119">
        <v>8.2065836099999991</v>
      </c>
      <c r="N119">
        <v>8.6886223099999995</v>
      </c>
      <c r="O119">
        <v>8.6981805300000001</v>
      </c>
      <c r="P119">
        <v>7.5438028700000004</v>
      </c>
      <c r="Q119">
        <v>7.5842648199999996</v>
      </c>
    </row>
    <row r="120" spans="1:17" x14ac:dyDescent="0.2">
      <c r="A120">
        <v>44.794194400000002</v>
      </c>
      <c r="B120">
        <v>7.8928255299999996</v>
      </c>
      <c r="C120">
        <v>8.0199416899999996</v>
      </c>
      <c r="D120">
        <v>7.9395152600000003</v>
      </c>
      <c r="E120">
        <v>8.0268235800000003</v>
      </c>
      <c r="F120">
        <v>8.0215845300000002</v>
      </c>
      <c r="G120">
        <v>7.7506147299999997</v>
      </c>
      <c r="H120">
        <v>8.1050055400000005</v>
      </c>
      <c r="I120">
        <v>7.8022093200000002</v>
      </c>
      <c r="J120">
        <v>7.3963352899999997</v>
      </c>
      <c r="K120">
        <v>8.2571262900000004</v>
      </c>
      <c r="L120">
        <v>7.06133437</v>
      </c>
      <c r="M120">
        <v>8.2074018300000002</v>
      </c>
      <c r="N120">
        <v>8.6664748899999999</v>
      </c>
      <c r="O120">
        <v>8.7142391400000001</v>
      </c>
      <c r="P120">
        <v>7.6391611700000004</v>
      </c>
      <c r="Q120">
        <v>7.6852436099999997</v>
      </c>
    </row>
    <row r="121" spans="1:17" x14ac:dyDescent="0.2">
      <c r="A121">
        <v>45.173777800000003</v>
      </c>
      <c r="B121">
        <v>7.8917046600000003</v>
      </c>
      <c r="C121">
        <v>8.0248621500000006</v>
      </c>
      <c r="D121">
        <v>7.94307272</v>
      </c>
      <c r="E121">
        <v>8.01961279</v>
      </c>
      <c r="F121">
        <v>8.01961279</v>
      </c>
      <c r="G121">
        <v>7.7424020200000001</v>
      </c>
      <c r="H121">
        <v>8.1050055400000005</v>
      </c>
      <c r="I121">
        <v>7.7989333099999998</v>
      </c>
      <c r="J121">
        <v>7.3877092400000004</v>
      </c>
      <c r="K121">
        <v>8.2651356299999996</v>
      </c>
      <c r="L121">
        <v>7.0681719999999997</v>
      </c>
      <c r="M121">
        <v>8.2065836099999991</v>
      </c>
      <c r="N121">
        <v>8.6586927500000002</v>
      </c>
      <c r="O121">
        <v>8.7364893499999994</v>
      </c>
      <c r="P121">
        <v>7.7240046600000003</v>
      </c>
      <c r="Q121">
        <v>7.7794669699999996</v>
      </c>
    </row>
    <row r="122" spans="1:17" x14ac:dyDescent="0.2">
      <c r="A122">
        <v>45.553777799999999</v>
      </c>
      <c r="B122">
        <v>7.8894591500000004</v>
      </c>
      <c r="C122">
        <v>8.0163179000000007</v>
      </c>
      <c r="D122">
        <v>7.9380887299999996</v>
      </c>
      <c r="E122">
        <v>8.0235523900000008</v>
      </c>
      <c r="F122">
        <v>8.0202704699999998</v>
      </c>
      <c r="G122">
        <v>7.7445698099999998</v>
      </c>
      <c r="H122">
        <v>8.0983388499999993</v>
      </c>
      <c r="I122">
        <v>7.7997533199999998</v>
      </c>
      <c r="J122">
        <v>7.3889461000000001</v>
      </c>
      <c r="K122">
        <v>8.2503589500000007</v>
      </c>
      <c r="L122">
        <v>7.0604763699999999</v>
      </c>
      <c r="M122">
        <v>8.2043984200000004</v>
      </c>
      <c r="N122">
        <v>8.66112036</v>
      </c>
      <c r="O122">
        <v>8.74033674</v>
      </c>
      <c r="P122">
        <v>7.8196363</v>
      </c>
      <c r="Q122">
        <v>7.8728361800000002</v>
      </c>
    </row>
    <row r="123" spans="1:17" x14ac:dyDescent="0.2">
      <c r="A123">
        <v>45.933361099999999</v>
      </c>
      <c r="B123">
        <v>7.8879593400000001</v>
      </c>
      <c r="C123">
        <v>8.0222409199999998</v>
      </c>
      <c r="D123">
        <v>7.9291264899999998</v>
      </c>
      <c r="E123">
        <v>8.0232246800000002</v>
      </c>
      <c r="F123">
        <v>8.0166478800000007</v>
      </c>
      <c r="G123">
        <v>7.7450028</v>
      </c>
      <c r="H123">
        <v>8.1077200600000001</v>
      </c>
      <c r="I123">
        <v>7.7968803400000004</v>
      </c>
      <c r="J123">
        <v>7.3846103799999998</v>
      </c>
      <c r="K123">
        <v>8.2527066799999993</v>
      </c>
      <c r="L123">
        <v>7.0639039600000002</v>
      </c>
      <c r="M123">
        <v>8.2027563800000003</v>
      </c>
      <c r="N123">
        <v>8.6571290300000001</v>
      </c>
      <c r="O123">
        <v>8.7494154099999992</v>
      </c>
      <c r="P123">
        <v>7.8987823600000002</v>
      </c>
      <c r="Q123">
        <v>7.9596253099999998</v>
      </c>
    </row>
    <row r="124" spans="1:17" x14ac:dyDescent="0.2">
      <c r="A124">
        <v>46.312944399999999</v>
      </c>
      <c r="B124">
        <v>7.8841999300000003</v>
      </c>
      <c r="C124">
        <v>8.0163179000000007</v>
      </c>
      <c r="D124">
        <v>7.9398715800000002</v>
      </c>
      <c r="E124">
        <v>8.0186254699999999</v>
      </c>
      <c r="F124">
        <v>8.01532731</v>
      </c>
      <c r="G124">
        <v>7.7428359599999999</v>
      </c>
      <c r="H124">
        <v>8.0983388499999993</v>
      </c>
      <c r="I124">
        <v>7.7981126300000003</v>
      </c>
      <c r="J124">
        <v>7.3858510800000001</v>
      </c>
      <c r="K124">
        <v>8.2516639200000004</v>
      </c>
      <c r="L124">
        <v>7.06133437</v>
      </c>
      <c r="M124">
        <v>8.2060377599999992</v>
      </c>
      <c r="N124">
        <v>8.6650958199999994</v>
      </c>
      <c r="O124">
        <v>8.7569971800000008</v>
      </c>
      <c r="P124">
        <v>7.9898993699999998</v>
      </c>
      <c r="Q124">
        <v>8.0561096600000006</v>
      </c>
    </row>
    <row r="125" spans="1:17" x14ac:dyDescent="0.2">
      <c r="A125">
        <v>46.692527800000001</v>
      </c>
      <c r="B125">
        <v>7.8883345</v>
      </c>
      <c r="C125">
        <v>8.0156576099999999</v>
      </c>
      <c r="D125">
        <v>7.9370174899999997</v>
      </c>
      <c r="E125">
        <v>8.0291070500000004</v>
      </c>
      <c r="F125">
        <v>8.0192837899999994</v>
      </c>
      <c r="G125">
        <v>7.7389237599999996</v>
      </c>
      <c r="H125">
        <v>8.0992505599999998</v>
      </c>
      <c r="I125">
        <v>7.7968803400000004</v>
      </c>
      <c r="J125">
        <v>7.3889461000000001</v>
      </c>
      <c r="K125">
        <v>8.2594581999999992</v>
      </c>
      <c r="L125">
        <v>7.0604763699999999</v>
      </c>
      <c r="M125">
        <v>8.1967124099999999</v>
      </c>
      <c r="N125">
        <v>8.67180091</v>
      </c>
      <c r="O125">
        <v>8.7076482500000001</v>
      </c>
      <c r="P125">
        <v>8.0730912000000004</v>
      </c>
      <c r="Q125">
        <v>8.129175</v>
      </c>
    </row>
    <row r="126" spans="1:17" x14ac:dyDescent="0.2">
      <c r="A126">
        <v>47.072111100000001</v>
      </c>
      <c r="B126">
        <v>7.8830693500000004</v>
      </c>
      <c r="C126">
        <v>8.0063675700000001</v>
      </c>
      <c r="D126">
        <v>7.9345134599999998</v>
      </c>
      <c r="E126">
        <v>8.0166478800000007</v>
      </c>
      <c r="F126">
        <v>8.0169777500000006</v>
      </c>
      <c r="G126">
        <v>7.7454356100000004</v>
      </c>
      <c r="H126">
        <v>8.0965129200000003</v>
      </c>
      <c r="I126">
        <v>7.79482315</v>
      </c>
      <c r="J126">
        <v>7.38274645</v>
      </c>
      <c r="K126">
        <v>8.24905227</v>
      </c>
      <c r="L126">
        <v>7.0690234299999997</v>
      </c>
      <c r="M126">
        <v>8.1972633699999999</v>
      </c>
      <c r="N126">
        <v>8.6765872399999999</v>
      </c>
      <c r="O126">
        <v>8.6659579600000001</v>
      </c>
      <c r="P126">
        <v>8.1573704399999993</v>
      </c>
      <c r="Q126">
        <v>8.2166284899999997</v>
      </c>
    </row>
    <row r="127" spans="1:17" x14ac:dyDescent="0.2">
      <c r="A127">
        <v>47.451694400000001</v>
      </c>
      <c r="B127">
        <v>7.8853292399999999</v>
      </c>
      <c r="C127">
        <v>8.0232246800000002</v>
      </c>
      <c r="D127">
        <v>7.9327210299999997</v>
      </c>
      <c r="E127">
        <v>8.0343069400000005</v>
      </c>
      <c r="F127">
        <v>8.01301211</v>
      </c>
      <c r="G127">
        <v>7.7397944599999997</v>
      </c>
      <c r="H127">
        <v>8.0974263000000004</v>
      </c>
      <c r="I127">
        <v>7.8022093200000002</v>
      </c>
      <c r="J127">
        <v>7.3951075499999996</v>
      </c>
      <c r="K127">
        <v>8.2558284299999993</v>
      </c>
      <c r="L127">
        <v>7.0664669699999996</v>
      </c>
      <c r="M127">
        <v>8.1956095700000002</v>
      </c>
      <c r="N127">
        <v>8.6798221099999999</v>
      </c>
      <c r="O127">
        <v>8.6525978299999995</v>
      </c>
      <c r="P127">
        <v>8.2209411699999997</v>
      </c>
      <c r="Q127">
        <v>8.2970451500000006</v>
      </c>
    </row>
    <row r="128" spans="1:17" x14ac:dyDescent="0.2">
      <c r="A128">
        <v>47.831277800000002</v>
      </c>
      <c r="B128">
        <v>7.8860814000000001</v>
      </c>
      <c r="C128">
        <v>8.0036973400000004</v>
      </c>
      <c r="D128">
        <v>7.9316440200000002</v>
      </c>
      <c r="E128">
        <v>8.0388347600000003</v>
      </c>
      <c r="F128">
        <v>8.0166478800000007</v>
      </c>
      <c r="G128">
        <v>7.7419678999999997</v>
      </c>
      <c r="H128">
        <v>8.0980347600000009</v>
      </c>
      <c r="I128">
        <v>7.79852305</v>
      </c>
      <c r="J128">
        <v>7.3914152299999998</v>
      </c>
      <c r="K128">
        <v>8.2638481299999995</v>
      </c>
      <c r="L128">
        <v>7.0715733600000004</v>
      </c>
      <c r="M128">
        <v>8.1983643900000001</v>
      </c>
      <c r="N128">
        <v>8.6857538299999995</v>
      </c>
      <c r="O128">
        <v>8.6378166299999997</v>
      </c>
      <c r="P128">
        <v>8.3010252500000004</v>
      </c>
      <c r="Q128">
        <v>8.3735537400000002</v>
      </c>
    </row>
    <row r="129" spans="1:17" x14ac:dyDescent="0.2">
      <c r="A129">
        <v>48.210861100000002</v>
      </c>
      <c r="B129">
        <v>7.8898337500000002</v>
      </c>
      <c r="C129">
        <v>8.0149968900000008</v>
      </c>
      <c r="D129">
        <v>7.93415523</v>
      </c>
      <c r="E129">
        <v>8.0378662300000006</v>
      </c>
      <c r="F129">
        <v>8.0163179000000007</v>
      </c>
      <c r="G129">
        <v>7.7424020200000001</v>
      </c>
      <c r="H129">
        <v>8.0955987</v>
      </c>
      <c r="I129">
        <v>7.7981126300000003</v>
      </c>
      <c r="J129">
        <v>7.3877092400000004</v>
      </c>
      <c r="K129">
        <v>8.2545288800000005</v>
      </c>
      <c r="L129">
        <v>7.0630481600000001</v>
      </c>
      <c r="M129">
        <v>8.1956095700000002</v>
      </c>
      <c r="N129">
        <v>8.6855848400000006</v>
      </c>
      <c r="O129">
        <v>8.6383483099999996</v>
      </c>
      <c r="P129">
        <v>8.3703160000000008</v>
      </c>
      <c r="Q129">
        <v>8.4471998199999998</v>
      </c>
    </row>
    <row r="130" spans="1:17" x14ac:dyDescent="0.2">
      <c r="A130">
        <v>48.590444400000003</v>
      </c>
      <c r="B130">
        <v>7.8834463499999998</v>
      </c>
      <c r="C130">
        <v>8.0149968900000008</v>
      </c>
      <c r="D130">
        <v>7.93307977</v>
      </c>
      <c r="E130">
        <v>8.0205991500000007</v>
      </c>
      <c r="F130">
        <v>8.0096953600000003</v>
      </c>
      <c r="G130">
        <v>7.7463006600000002</v>
      </c>
      <c r="H130">
        <v>8.09620827</v>
      </c>
      <c r="I130">
        <v>7.8013913199999996</v>
      </c>
      <c r="J130">
        <v>7.3895639500000003</v>
      </c>
      <c r="K130">
        <v>8.2500977500000001</v>
      </c>
      <c r="L130">
        <v>7.0715733600000004</v>
      </c>
      <c r="M130">
        <v>8.1900770499999993</v>
      </c>
      <c r="N130">
        <v>8.6916505700000002</v>
      </c>
      <c r="O130">
        <v>8.6399416599999999</v>
      </c>
      <c r="P130">
        <v>8.4368504400000006</v>
      </c>
      <c r="Q130">
        <v>8.5312933199999996</v>
      </c>
    </row>
    <row r="131" spans="1:17" x14ac:dyDescent="0.2">
      <c r="A131">
        <v>48.97</v>
      </c>
      <c r="B131">
        <v>7.8789129100000004</v>
      </c>
      <c r="C131">
        <v>8.0113551100000002</v>
      </c>
      <c r="D131">
        <v>7.9312847599999996</v>
      </c>
      <c r="E131">
        <v>8.0278028500000005</v>
      </c>
      <c r="F131">
        <v>8.0060341800000003</v>
      </c>
      <c r="G131">
        <v>7.7475968399999999</v>
      </c>
      <c r="H131">
        <v>8.0952937800000004</v>
      </c>
      <c r="I131">
        <v>7.7997533199999998</v>
      </c>
      <c r="J131">
        <v>7.3914152299999998</v>
      </c>
      <c r="K131">
        <v>8.2537483399999996</v>
      </c>
      <c r="L131">
        <v>7.0724219000000002</v>
      </c>
      <c r="M131">
        <v>8.2008372600000001</v>
      </c>
      <c r="N131">
        <v>8.6906421700000003</v>
      </c>
      <c r="O131">
        <v>8.6346206100000007</v>
      </c>
      <c r="P131">
        <v>8.5051206100000005</v>
      </c>
      <c r="Q131">
        <v>8.5993260199999995</v>
      </c>
    </row>
    <row r="132" spans="1:17" x14ac:dyDescent="0.2">
      <c r="A132">
        <v>49.349583299999999</v>
      </c>
      <c r="B132">
        <v>7.8789129100000004</v>
      </c>
      <c r="C132">
        <v>8.0096953600000003</v>
      </c>
      <c r="D132">
        <v>7.9280455999999999</v>
      </c>
      <c r="E132">
        <v>8.0073670700000008</v>
      </c>
      <c r="F132">
        <v>8.0133431799999997</v>
      </c>
      <c r="G132">
        <v>7.7419678999999997</v>
      </c>
      <c r="H132">
        <v>8.0916274099999992</v>
      </c>
      <c r="I132">
        <v>7.7977020399999999</v>
      </c>
      <c r="J132">
        <v>7.3920315700000003</v>
      </c>
      <c r="K132">
        <v>8.2524460899999994</v>
      </c>
      <c r="L132">
        <v>7.0673198499999996</v>
      </c>
      <c r="M132">
        <v>8.2011116400000006</v>
      </c>
      <c r="N132">
        <v>8.6960086099999998</v>
      </c>
      <c r="O132">
        <v>8.6385254800000002</v>
      </c>
      <c r="P132">
        <v>8.5510147399999994</v>
      </c>
      <c r="Q132">
        <v>8.6181239099999996</v>
      </c>
    </row>
    <row r="133" spans="1:17" x14ac:dyDescent="0.2">
      <c r="A133">
        <v>49.7291667</v>
      </c>
      <c r="B133">
        <v>7.8789129100000004</v>
      </c>
      <c r="C133">
        <v>8.0103595900000002</v>
      </c>
      <c r="D133">
        <v>7.9327210299999997</v>
      </c>
      <c r="E133">
        <v>8.0086981799999997</v>
      </c>
      <c r="F133">
        <v>8.00469951</v>
      </c>
      <c r="G133">
        <v>7.7458682300000001</v>
      </c>
      <c r="H133">
        <v>8.0949887599999997</v>
      </c>
      <c r="I133">
        <v>7.8009820699999999</v>
      </c>
      <c r="J133">
        <v>7.3883278600000004</v>
      </c>
      <c r="K133">
        <v>8.2500977500000001</v>
      </c>
      <c r="L133">
        <v>7.0732697199999999</v>
      </c>
      <c r="M133">
        <v>8.1950576900000005</v>
      </c>
      <c r="N133">
        <v>8.6998480300000001</v>
      </c>
      <c r="O133">
        <v>8.6399416599999999</v>
      </c>
      <c r="P133">
        <v>8.5661738100000004</v>
      </c>
      <c r="Q133">
        <v>8.6292710899999996</v>
      </c>
    </row>
    <row r="134" spans="1:17" x14ac:dyDescent="0.2">
      <c r="A134">
        <v>50.108805599999997</v>
      </c>
      <c r="B134">
        <v>7.8830693500000004</v>
      </c>
      <c r="C134">
        <v>8.0080328499999993</v>
      </c>
      <c r="D134">
        <v>7.9348715700000003</v>
      </c>
      <c r="E134">
        <v>8.02845516</v>
      </c>
      <c r="F134">
        <v>8.0106915399999998</v>
      </c>
      <c r="G134">
        <v>7.7445698099999998</v>
      </c>
      <c r="H134">
        <v>8.0925452599999996</v>
      </c>
      <c r="I134">
        <v>7.7997533199999998</v>
      </c>
      <c r="J134">
        <v>7.3889461000000001</v>
      </c>
      <c r="K134">
        <v>8.2545288800000005</v>
      </c>
      <c r="L134">
        <v>7.0808679000000003</v>
      </c>
      <c r="M134">
        <v>8.1986394600000008</v>
      </c>
      <c r="N134">
        <v>8.6993480699999992</v>
      </c>
      <c r="O134">
        <v>8.6476950000000006</v>
      </c>
      <c r="P134">
        <v>8.5720600900000008</v>
      </c>
      <c r="Q134">
        <v>8.62855566</v>
      </c>
    </row>
    <row r="135" spans="1:17" x14ac:dyDescent="0.2">
      <c r="A135">
        <v>50.488333300000001</v>
      </c>
      <c r="B135">
        <v>7.8860814000000001</v>
      </c>
      <c r="C135">
        <v>8.0073670700000008</v>
      </c>
      <c r="D135">
        <v>7.9266025999999998</v>
      </c>
      <c r="E135">
        <v>8.0326848799999997</v>
      </c>
      <c r="F135">
        <v>8.0080328499999993</v>
      </c>
      <c r="G135">
        <v>7.7406644</v>
      </c>
      <c r="H135">
        <v>8.0946836500000003</v>
      </c>
      <c r="I135">
        <v>7.8005726500000003</v>
      </c>
      <c r="J135">
        <v>7.40062058</v>
      </c>
      <c r="K135">
        <v>8.2537483399999996</v>
      </c>
      <c r="L135">
        <v>7.0817085899999999</v>
      </c>
      <c r="M135">
        <v>8.1956095700000002</v>
      </c>
      <c r="N135">
        <v>8.7031747100000008</v>
      </c>
      <c r="O135">
        <v>8.6527724900000003</v>
      </c>
      <c r="P135">
        <v>8.5731953799999996</v>
      </c>
      <c r="Q135">
        <v>8.6401185399999996</v>
      </c>
    </row>
    <row r="136" spans="1:17" x14ac:dyDescent="0.2">
      <c r="A136">
        <v>50.867916700000002</v>
      </c>
      <c r="B136">
        <v>7.8845765099999996</v>
      </c>
      <c r="C136">
        <v>8.00936308</v>
      </c>
      <c r="D136">
        <v>7.9294865200000002</v>
      </c>
      <c r="E136">
        <v>8.0287811599999994</v>
      </c>
      <c r="F136">
        <v>8.0126809300000001</v>
      </c>
      <c r="G136">
        <v>7.7406644</v>
      </c>
      <c r="H136">
        <v>8.0900957800000004</v>
      </c>
      <c r="I136">
        <v>7.8058820400000002</v>
      </c>
      <c r="J136">
        <v>7.3987862800000004</v>
      </c>
      <c r="K136">
        <v>8.2581633599999993</v>
      </c>
      <c r="L136">
        <v>7.0673198499999996</v>
      </c>
      <c r="M136">
        <v>8.1875774000000003</v>
      </c>
      <c r="N136">
        <v>8.7069867599999995</v>
      </c>
      <c r="O136">
        <v>8.6557370000000002</v>
      </c>
      <c r="P136">
        <v>8.5893277900000005</v>
      </c>
      <c r="Q136">
        <v>8.6475194500000008</v>
      </c>
    </row>
    <row r="137" spans="1:17" x14ac:dyDescent="0.2">
      <c r="A137">
        <v>51.247472199999997</v>
      </c>
      <c r="B137">
        <v>7.8826922100000001</v>
      </c>
      <c r="C137">
        <v>8.0010199600000007</v>
      </c>
      <c r="D137">
        <v>7.9244341800000004</v>
      </c>
      <c r="E137">
        <v>8.0209277199999995</v>
      </c>
      <c r="F137">
        <v>8.0169777500000006</v>
      </c>
      <c r="G137">
        <v>7.74716497</v>
      </c>
      <c r="H137">
        <v>8.0934622699999998</v>
      </c>
      <c r="I137">
        <v>7.8030266399999997</v>
      </c>
      <c r="J137">
        <v>7.3907985199999997</v>
      </c>
      <c r="K137">
        <v>8.2516639200000004</v>
      </c>
      <c r="L137">
        <v>7.0698741299999996</v>
      </c>
      <c r="M137">
        <v>8.1920169099999995</v>
      </c>
      <c r="N137">
        <v>8.7020116299999994</v>
      </c>
      <c r="O137">
        <v>8.65817178</v>
      </c>
      <c r="P137">
        <v>8.5939690300000002</v>
      </c>
      <c r="Q137">
        <v>8.65643326</v>
      </c>
    </row>
    <row r="138" spans="1:17" x14ac:dyDescent="0.2">
      <c r="A138">
        <v>51.6273056</v>
      </c>
      <c r="B138">
        <v>7.8804263399999996</v>
      </c>
      <c r="C138">
        <v>8.0057006800000003</v>
      </c>
      <c r="D138">
        <v>7.9320031499999999</v>
      </c>
      <c r="E138">
        <v>8.0261701900000002</v>
      </c>
      <c r="F138">
        <v>8.0063675700000001</v>
      </c>
      <c r="G138">
        <v>7.7544815500000004</v>
      </c>
      <c r="H138">
        <v>8.0882547299999992</v>
      </c>
      <c r="I138">
        <v>7.8066963700000001</v>
      </c>
      <c r="J138">
        <v>7.3895639500000003</v>
      </c>
      <c r="K138">
        <v>8.2558284299999993</v>
      </c>
      <c r="L138">
        <v>7.0664669699999996</v>
      </c>
      <c r="M138">
        <v>8.1956095700000002</v>
      </c>
      <c r="N138">
        <v>8.7045022900000006</v>
      </c>
      <c r="O138">
        <v>8.6656131999999992</v>
      </c>
      <c r="P138">
        <v>8.6075821900000005</v>
      </c>
      <c r="Q138">
        <v>8.6657855999999995</v>
      </c>
    </row>
    <row r="139" spans="1:17" x14ac:dyDescent="0.2">
      <c r="A139">
        <v>52.0068889</v>
      </c>
      <c r="B139">
        <v>7.8789129100000004</v>
      </c>
      <c r="C139">
        <v>8.00469951</v>
      </c>
      <c r="D139">
        <v>7.9258803200000001</v>
      </c>
      <c r="E139">
        <v>8.0235523900000008</v>
      </c>
      <c r="F139">
        <v>8.0110233799999992</v>
      </c>
      <c r="G139">
        <v>7.7480285200000001</v>
      </c>
      <c r="H139">
        <v>8.0882547299999992</v>
      </c>
      <c r="I139">
        <v>7.8079166300000002</v>
      </c>
      <c r="J139">
        <v>7.3864708500000003</v>
      </c>
      <c r="K139">
        <v>8.2555686500000007</v>
      </c>
      <c r="L139">
        <v>7.0808679000000003</v>
      </c>
      <c r="M139">
        <v>8.1972633699999999</v>
      </c>
      <c r="N139">
        <v>8.7051654200000002</v>
      </c>
      <c r="O139">
        <v>8.6656131999999992</v>
      </c>
      <c r="P139">
        <v>8.6246115900000007</v>
      </c>
      <c r="Q139">
        <v>8.6452345400000006</v>
      </c>
    </row>
    <row r="140" spans="1:17" x14ac:dyDescent="0.2">
      <c r="A140">
        <v>52.3864722</v>
      </c>
      <c r="B140">
        <v>7.8732170500000001</v>
      </c>
      <c r="C140">
        <v>8.0057006800000003</v>
      </c>
      <c r="D140">
        <v>7.9298464299999996</v>
      </c>
      <c r="E140">
        <v>8.0251893200000008</v>
      </c>
      <c r="F140">
        <v>8.0140049900000001</v>
      </c>
      <c r="G140">
        <v>7.7432696999999999</v>
      </c>
      <c r="H140">
        <v>8.0922394099999995</v>
      </c>
      <c r="I140">
        <v>7.8013913199999996</v>
      </c>
      <c r="J140">
        <v>7.3914152299999998</v>
      </c>
      <c r="K140">
        <v>8.2519247100000008</v>
      </c>
      <c r="L140">
        <v>7.0732697199999999</v>
      </c>
      <c r="M140">
        <v>8.1897996200000005</v>
      </c>
      <c r="N140">
        <v>8.7076482500000001</v>
      </c>
      <c r="O140">
        <v>8.6719722499999996</v>
      </c>
      <c r="P140">
        <v>8.5991417699999992</v>
      </c>
      <c r="Q140">
        <v>8.6429443999999993</v>
      </c>
    </row>
    <row r="141" spans="1:17" x14ac:dyDescent="0.2">
      <c r="A141">
        <v>52.766055600000001</v>
      </c>
      <c r="B141">
        <v>7.8701659499999996</v>
      </c>
      <c r="C141">
        <v>8.0020248200000008</v>
      </c>
      <c r="D141">
        <v>7.92696354</v>
      </c>
      <c r="E141">
        <v>8.0209277199999995</v>
      </c>
      <c r="F141">
        <v>8.0113551100000002</v>
      </c>
      <c r="G141">
        <v>7.7458682300000001</v>
      </c>
      <c r="H141">
        <v>8.0833286100000006</v>
      </c>
      <c r="I141">
        <v>7.8071032899999997</v>
      </c>
      <c r="J141">
        <v>7.4030610899999996</v>
      </c>
      <c r="K141">
        <v>8.2527066799999993</v>
      </c>
      <c r="L141">
        <v>7.0800264999999998</v>
      </c>
      <c r="M141">
        <v>8.1969879300000006</v>
      </c>
      <c r="N141">
        <v>8.7086396599999993</v>
      </c>
      <c r="O141">
        <v>8.67180091</v>
      </c>
      <c r="P141">
        <v>8.6004307900000008</v>
      </c>
      <c r="Q141">
        <v>8.6425915999999994</v>
      </c>
    </row>
    <row r="142" spans="1:17" x14ac:dyDescent="0.2">
      <c r="A142">
        <v>53.1456667</v>
      </c>
      <c r="B142">
        <v>7.8781553400000002</v>
      </c>
      <c r="C142">
        <v>7.9942949900000002</v>
      </c>
      <c r="D142">
        <v>7.9316440200000002</v>
      </c>
      <c r="E142">
        <v>8.0219127799999992</v>
      </c>
      <c r="F142">
        <v>8.0100275300000003</v>
      </c>
      <c r="G142">
        <v>7.7376162800000001</v>
      </c>
      <c r="H142">
        <v>8.0857946999999992</v>
      </c>
      <c r="I142">
        <v>7.81156849</v>
      </c>
      <c r="J142">
        <v>7.38150189</v>
      </c>
      <c r="K142">
        <v>8.2500977500000001</v>
      </c>
      <c r="L142">
        <v>7.0749632</v>
      </c>
      <c r="M142">
        <v>8.1969879300000006</v>
      </c>
      <c r="N142">
        <v>8.7074829200000003</v>
      </c>
      <c r="O142">
        <v>8.6762461200000001</v>
      </c>
      <c r="P142">
        <v>8.5980355799999995</v>
      </c>
      <c r="Q142">
        <v>8.6459381499999992</v>
      </c>
    </row>
    <row r="143" spans="1:17" x14ac:dyDescent="0.2">
      <c r="A143">
        <v>53.525222200000002</v>
      </c>
      <c r="B143">
        <v>7.8754992899999996</v>
      </c>
      <c r="C143">
        <v>8.0033630599999999</v>
      </c>
      <c r="D143">
        <v>7.9273243600000001</v>
      </c>
      <c r="E143">
        <v>8.0225689500000001</v>
      </c>
      <c r="F143">
        <v>8.0149968900000008</v>
      </c>
      <c r="G143">
        <v>7.7441366299999999</v>
      </c>
      <c r="H143">
        <v>8.0913212699999999</v>
      </c>
      <c r="I143">
        <v>7.8087293100000004</v>
      </c>
      <c r="J143">
        <v>7.39449311</v>
      </c>
      <c r="K143">
        <v>8.2521854399999999</v>
      </c>
      <c r="L143">
        <v>7.0766538199999998</v>
      </c>
      <c r="M143">
        <v>8.1947816400000004</v>
      </c>
      <c r="N143">
        <v>8.7048339099999996</v>
      </c>
      <c r="O143">
        <v>8.6832159799999999</v>
      </c>
      <c r="P143">
        <v>8.6019019199999995</v>
      </c>
      <c r="Q143">
        <v>8.6492735300000003</v>
      </c>
    </row>
    <row r="144" spans="1:17" x14ac:dyDescent="0.2">
      <c r="A144">
        <v>53.904805600000003</v>
      </c>
      <c r="B144">
        <v>7.8754992899999996</v>
      </c>
      <c r="C144">
        <v>7.9959804700000001</v>
      </c>
      <c r="D144">
        <v>7.9280455999999999</v>
      </c>
      <c r="E144">
        <v>8.0238799899999993</v>
      </c>
      <c r="F144">
        <v>8.0073670700000008</v>
      </c>
      <c r="G144">
        <v>7.7424020200000001</v>
      </c>
      <c r="H144">
        <v>8.0857946999999992</v>
      </c>
      <c r="I144">
        <v>7.8135915499999999</v>
      </c>
      <c r="J144">
        <v>7.3877092400000004</v>
      </c>
      <c r="K144">
        <v>8.2534880299999998</v>
      </c>
      <c r="L144">
        <v>7.0808679000000003</v>
      </c>
      <c r="M144">
        <v>8.19781403</v>
      </c>
      <c r="N144">
        <v>8.7078135499999991</v>
      </c>
      <c r="O144">
        <v>8.6816901600000005</v>
      </c>
      <c r="P144">
        <v>8.6026366700000008</v>
      </c>
      <c r="Q144">
        <v>8.6402953900000004</v>
      </c>
    </row>
    <row r="145" spans="1:17" x14ac:dyDescent="0.2">
      <c r="A145">
        <v>54.284388900000003</v>
      </c>
      <c r="B145">
        <v>7.8739783799999996</v>
      </c>
      <c r="C145">
        <v>7.99361999</v>
      </c>
      <c r="D145">
        <v>7.9244341800000004</v>
      </c>
      <c r="E145">
        <v>8.0189546800000002</v>
      </c>
      <c r="F145">
        <v>8.0060341800000003</v>
      </c>
      <c r="G145">
        <v>7.74716497</v>
      </c>
      <c r="H145">
        <v>8.0839456999999992</v>
      </c>
      <c r="I145">
        <v>7.8123782100000003</v>
      </c>
      <c r="J145">
        <v>7.3914152299999998</v>
      </c>
      <c r="K145">
        <v>8.24905227</v>
      </c>
      <c r="L145">
        <v>7.0681719999999997</v>
      </c>
      <c r="M145">
        <v>8.1917400199999992</v>
      </c>
      <c r="N145">
        <v>8.7094650799999993</v>
      </c>
      <c r="O145">
        <v>8.6791419600000008</v>
      </c>
      <c r="P145">
        <v>8.6030038500000003</v>
      </c>
      <c r="Q145">
        <v>8.6448825500000002</v>
      </c>
    </row>
    <row r="146" spans="1:17" x14ac:dyDescent="0.2">
      <c r="A146">
        <v>54.663944399999998</v>
      </c>
      <c r="B146">
        <v>7.8766384599999997</v>
      </c>
      <c r="C146">
        <v>7.9969904100000004</v>
      </c>
      <c r="D146">
        <v>7.9255189799999997</v>
      </c>
      <c r="E146">
        <v>8.0209277199999995</v>
      </c>
      <c r="F146">
        <v>8.0063675700000001</v>
      </c>
      <c r="G146">
        <v>7.7467329100000004</v>
      </c>
      <c r="H146">
        <v>8.0897891800000004</v>
      </c>
      <c r="I146">
        <v>7.8103526800000003</v>
      </c>
      <c r="J146">
        <v>7.3839894599999996</v>
      </c>
      <c r="K146">
        <v>8.2568668499999998</v>
      </c>
      <c r="L146">
        <v>7.0800264999999998</v>
      </c>
      <c r="M146">
        <v>8.1936766700000003</v>
      </c>
      <c r="N146">
        <v>8.7059937099999996</v>
      </c>
      <c r="O146">
        <v>8.6823685899999994</v>
      </c>
      <c r="P146">
        <v>8.6066681999999997</v>
      </c>
      <c r="Q146">
        <v>8.6473438799999993</v>
      </c>
    </row>
    <row r="147" spans="1:17" x14ac:dyDescent="0.2">
      <c r="A147">
        <v>55.0435278</v>
      </c>
      <c r="B147">
        <v>7.8739783799999996</v>
      </c>
      <c r="C147">
        <v>7.9990072100000003</v>
      </c>
      <c r="D147">
        <v>7.9240723199999996</v>
      </c>
      <c r="E147">
        <v>8.0205991500000007</v>
      </c>
      <c r="F147">
        <v>8.0073670700000008</v>
      </c>
      <c r="G147">
        <v>7.7432696999999999</v>
      </c>
      <c r="H147">
        <v>8.0900957800000004</v>
      </c>
      <c r="I147">
        <v>7.8143996299999996</v>
      </c>
      <c r="J147">
        <v>7.3877092400000004</v>
      </c>
      <c r="K147">
        <v>8.2527066799999993</v>
      </c>
      <c r="L147">
        <v>7.0724219000000002</v>
      </c>
      <c r="M147">
        <v>8.1928471300000005</v>
      </c>
      <c r="N147">
        <v>8.7074829200000003</v>
      </c>
      <c r="O147">
        <v>8.6844011099999996</v>
      </c>
      <c r="P147">
        <v>8.6039211899999994</v>
      </c>
      <c r="Q147">
        <v>8.6438258399999999</v>
      </c>
    </row>
    <row r="148" spans="1:17" x14ac:dyDescent="0.2">
      <c r="A148">
        <v>55.4231111</v>
      </c>
      <c r="B148">
        <v>7.8697838999999998</v>
      </c>
      <c r="C148">
        <v>7.9979993199999999</v>
      </c>
      <c r="D148">
        <v>7.9226235699999998</v>
      </c>
      <c r="E148">
        <v>8.0182961400000003</v>
      </c>
      <c r="F148">
        <v>8.0053670700000001</v>
      </c>
      <c r="G148">
        <v>7.7531942699999998</v>
      </c>
      <c r="H148">
        <v>8.0814750400000008</v>
      </c>
      <c r="I148">
        <v>7.8156105299999998</v>
      </c>
      <c r="J148">
        <v>7.3963352899999997</v>
      </c>
      <c r="K148">
        <v>8.2532276499999995</v>
      </c>
      <c r="L148">
        <v>7.07918439</v>
      </c>
      <c r="M148">
        <v>8.1920169099999995</v>
      </c>
      <c r="N148">
        <v>8.7083092999999998</v>
      </c>
      <c r="O148">
        <v>8.6845703000000007</v>
      </c>
      <c r="P148">
        <v>8.6057533700000004</v>
      </c>
      <c r="Q148">
        <v>8.6468169600000007</v>
      </c>
    </row>
    <row r="149" spans="1:17" x14ac:dyDescent="0.2">
      <c r="A149">
        <v>55.8026944</v>
      </c>
      <c r="B149">
        <v>7.8720739799999997</v>
      </c>
      <c r="C149">
        <v>7.9942949900000002</v>
      </c>
      <c r="D149">
        <v>7.9255189799999997</v>
      </c>
      <c r="E149">
        <v>8.0215845300000002</v>
      </c>
      <c r="F149">
        <v>8.0077000100000006</v>
      </c>
      <c r="G149">
        <v>7.7501841599999999</v>
      </c>
      <c r="H149">
        <v>8.0808564199999999</v>
      </c>
      <c r="I149">
        <v>7.8131872700000002</v>
      </c>
      <c r="J149">
        <v>7.3957216099999998</v>
      </c>
      <c r="K149">
        <v>8.2527066799999993</v>
      </c>
      <c r="L149">
        <v>7.0842264200000002</v>
      </c>
      <c r="M149">
        <v>8.1942292999999999</v>
      </c>
      <c r="N149">
        <v>8.7063248400000006</v>
      </c>
      <c r="O149">
        <v>8.6859227899999993</v>
      </c>
      <c r="P149">
        <v>8.6092252800000004</v>
      </c>
      <c r="Q149">
        <v>8.6469926299999997</v>
      </c>
    </row>
    <row r="150" spans="1:17" x14ac:dyDescent="0.2">
      <c r="A150">
        <v>56.182250000000003</v>
      </c>
      <c r="B150">
        <v>7.8739783799999996</v>
      </c>
      <c r="C150">
        <v>7.9895604499999999</v>
      </c>
      <c r="D150">
        <v>7.9229859600000001</v>
      </c>
      <c r="E150">
        <v>8.0149968900000008</v>
      </c>
      <c r="F150">
        <v>8.0143357399999999</v>
      </c>
      <c r="G150">
        <v>7.7493224600000001</v>
      </c>
      <c r="H150">
        <v>8.0870254700000004</v>
      </c>
      <c r="I150">
        <v>7.8152070599999997</v>
      </c>
      <c r="J150">
        <v>7.40062058</v>
      </c>
      <c r="K150">
        <v>8.2584224600000002</v>
      </c>
      <c r="L150">
        <v>7.0808679000000003</v>
      </c>
      <c r="M150">
        <v>8.1964368099999998</v>
      </c>
      <c r="N150">
        <v>8.7036727599999999</v>
      </c>
      <c r="O150">
        <v>8.6811810400000002</v>
      </c>
      <c r="P150">
        <v>8.6117758299999991</v>
      </c>
      <c r="Q150">
        <v>8.6553886900000006</v>
      </c>
    </row>
    <row r="151" spans="1:17" x14ac:dyDescent="0.2">
      <c r="A151">
        <v>56.562166699999999</v>
      </c>
      <c r="B151">
        <v>7.87625888</v>
      </c>
      <c r="C151">
        <v>7.9898993699999998</v>
      </c>
      <c r="D151">
        <v>7.9240723199999996</v>
      </c>
      <c r="E151">
        <v>8.0106915399999998</v>
      </c>
      <c r="F151">
        <v>8.0120182399999997</v>
      </c>
      <c r="G151">
        <v>7.7484600199999996</v>
      </c>
      <c r="H151">
        <v>8.0752715500000001</v>
      </c>
      <c r="I151">
        <v>7.8168199700000001</v>
      </c>
      <c r="J151">
        <v>7.3932630899999996</v>
      </c>
      <c r="K151">
        <v>8.2566073400000004</v>
      </c>
      <c r="L151">
        <v>7.0758088600000004</v>
      </c>
      <c r="M151">
        <v>8.1925704699999997</v>
      </c>
      <c r="N151">
        <v>8.7091349900000008</v>
      </c>
      <c r="O151">
        <v>8.6886223099999995</v>
      </c>
      <c r="P151">
        <v>8.6154082400000007</v>
      </c>
      <c r="Q151">
        <v>8.6566072500000004</v>
      </c>
    </row>
    <row r="152" spans="1:17" x14ac:dyDescent="0.2">
      <c r="A152">
        <v>56.941749999999999</v>
      </c>
      <c r="B152">
        <v>7.86940171</v>
      </c>
      <c r="C152">
        <v>7.9919305200000004</v>
      </c>
      <c r="D152">
        <v>7.9200831999999997</v>
      </c>
      <c r="E152">
        <v>8.01532731</v>
      </c>
      <c r="F152">
        <v>8.0083655700000005</v>
      </c>
      <c r="G152">
        <v>7.7463006600000002</v>
      </c>
      <c r="H152">
        <v>8.0814750400000008</v>
      </c>
      <c r="I152">
        <v>7.8184302700000003</v>
      </c>
      <c r="J152">
        <v>7.3858510800000001</v>
      </c>
      <c r="K152">
        <v>8.2472200499999992</v>
      </c>
      <c r="L152">
        <v>7.0707241099999996</v>
      </c>
      <c r="M152">
        <v>8.1886891199999994</v>
      </c>
      <c r="N152">
        <v>8.7043364400000005</v>
      </c>
      <c r="O152">
        <v>8.6906421700000003</v>
      </c>
      <c r="P152">
        <v>8.6135936900000001</v>
      </c>
      <c r="Q152">
        <v>8.6566072500000004</v>
      </c>
    </row>
    <row r="153" spans="1:17" x14ac:dyDescent="0.2">
      <c r="A153">
        <v>57.321333299999999</v>
      </c>
      <c r="B153">
        <v>7.8709296000000002</v>
      </c>
      <c r="C153">
        <v>7.9882036000000003</v>
      </c>
      <c r="D153">
        <v>7.9197197600000004</v>
      </c>
      <c r="E153">
        <v>8.0043655600000001</v>
      </c>
      <c r="F153">
        <v>8.0023595499999995</v>
      </c>
      <c r="G153">
        <v>7.7389237599999996</v>
      </c>
      <c r="H153">
        <v>8.0789982600000005</v>
      </c>
      <c r="I153">
        <v>7.81156849</v>
      </c>
      <c r="J153">
        <v>7.3932630899999996</v>
      </c>
      <c r="K153">
        <v>8.2445967600000003</v>
      </c>
      <c r="L153">
        <v>7.0741168200000004</v>
      </c>
      <c r="M153">
        <v>8.17751582</v>
      </c>
      <c r="N153">
        <v>8.7020116299999994</v>
      </c>
      <c r="O153">
        <v>8.6877794900000005</v>
      </c>
      <c r="P153">
        <v>8.6137752899999995</v>
      </c>
      <c r="Q153">
        <v>8.6539942300000003</v>
      </c>
    </row>
    <row r="154" spans="1:17" x14ac:dyDescent="0.2">
      <c r="A154">
        <v>57.700888900000002</v>
      </c>
      <c r="B154">
        <v>7.8678714899999997</v>
      </c>
      <c r="C154">
        <v>7.9854843600000001</v>
      </c>
      <c r="D154">
        <v>7.9284060299999997</v>
      </c>
      <c r="E154">
        <v>8.0123496400000001</v>
      </c>
      <c r="F154">
        <v>8.0043655600000001</v>
      </c>
      <c r="G154">
        <v>7.7415335900000004</v>
      </c>
      <c r="H154">
        <v>8.0780678800000008</v>
      </c>
      <c r="I154">
        <v>7.8192344499999997</v>
      </c>
      <c r="J154">
        <v>7.3957216099999998</v>
      </c>
      <c r="K154">
        <v>8.2435455100000006</v>
      </c>
      <c r="L154">
        <v>7.07749805</v>
      </c>
      <c r="M154">
        <v>8.1828387100000004</v>
      </c>
      <c r="N154">
        <v>8.6990146199999998</v>
      </c>
      <c r="O154">
        <v>8.6852467799999999</v>
      </c>
      <c r="P154">
        <v>8.6163142799999992</v>
      </c>
      <c r="Q154">
        <v>8.6541686500000008</v>
      </c>
    </row>
    <row r="155" spans="1:17" x14ac:dyDescent="0.2">
      <c r="A155">
        <v>58.080555599999997</v>
      </c>
      <c r="B155">
        <v>7.8686368900000003</v>
      </c>
      <c r="C155">
        <v>7.9783109699999999</v>
      </c>
      <c r="D155">
        <v>7.9131551900000003</v>
      </c>
      <c r="E155">
        <v>8.0067008499999996</v>
      </c>
      <c r="F155">
        <v>8.0067008499999996</v>
      </c>
      <c r="G155">
        <v>7.7432696999999999</v>
      </c>
      <c r="H155">
        <v>8.0796180300000007</v>
      </c>
      <c r="I155">
        <v>7.8062892899999996</v>
      </c>
      <c r="J155">
        <v>7.3975615399999999</v>
      </c>
      <c r="K155">
        <v>8.2422298900000008</v>
      </c>
      <c r="L155">
        <v>7.0808679000000003</v>
      </c>
      <c r="M155">
        <v>8.1914630499999994</v>
      </c>
      <c r="N155">
        <v>8.6945022099999996</v>
      </c>
      <c r="O155">
        <v>8.6840626400000005</v>
      </c>
      <c r="P155">
        <v>8.6181239099999996</v>
      </c>
      <c r="Q155">
        <v>8.6499743000000002</v>
      </c>
    </row>
    <row r="156" spans="1:17" x14ac:dyDescent="0.2">
      <c r="A156">
        <v>58.460055599999997</v>
      </c>
      <c r="B156">
        <v>7.8732170500000001</v>
      </c>
      <c r="C156">
        <v>7.97625194</v>
      </c>
      <c r="D156">
        <v>7.9157131999999999</v>
      </c>
      <c r="E156">
        <v>8.0090306899999995</v>
      </c>
      <c r="F156">
        <v>8.0043655600000001</v>
      </c>
      <c r="G156">
        <v>7.74716497</v>
      </c>
      <c r="H156">
        <v>8.0671490400000003</v>
      </c>
      <c r="I156">
        <v>7.8127828199999998</v>
      </c>
      <c r="J156">
        <v>7.3907985199999997</v>
      </c>
      <c r="K156">
        <v>8.23827262</v>
      </c>
      <c r="L156">
        <v>7.0698741299999996</v>
      </c>
      <c r="M156">
        <v>8.1886891199999994</v>
      </c>
      <c r="N156">
        <v>8.6923222800000008</v>
      </c>
      <c r="O156">
        <v>8.6776099099999993</v>
      </c>
      <c r="P156">
        <v>8.6132303799999992</v>
      </c>
      <c r="Q156">
        <v>8.6499743000000002</v>
      </c>
    </row>
    <row r="157" spans="1:17" x14ac:dyDescent="0.2">
      <c r="A157">
        <v>58.839638899999997</v>
      </c>
      <c r="B157">
        <v>7.8621122100000003</v>
      </c>
      <c r="C157">
        <v>7.9789963699999999</v>
      </c>
      <c r="D157">
        <v>7.9168074900000001</v>
      </c>
      <c r="E157">
        <v>8.00469951</v>
      </c>
      <c r="F157">
        <v>7.9983354000000002</v>
      </c>
      <c r="G157">
        <v>7.7454356100000004</v>
      </c>
      <c r="H157">
        <v>8.0758936299999995</v>
      </c>
      <c r="I157">
        <v>7.8123782100000003</v>
      </c>
      <c r="J157">
        <v>7.38709024</v>
      </c>
      <c r="K157">
        <v>8.2417031600000001</v>
      </c>
      <c r="L157">
        <v>7.0707241099999996</v>
      </c>
      <c r="M157">
        <v>8.1900770499999993</v>
      </c>
      <c r="N157">
        <v>8.6867671800000004</v>
      </c>
      <c r="O157">
        <v>8.6767577599999992</v>
      </c>
      <c r="P157">
        <v>8.6134120500000009</v>
      </c>
      <c r="Q157">
        <v>8.65014942</v>
      </c>
    </row>
    <row r="158" spans="1:17" x14ac:dyDescent="0.2">
      <c r="A158">
        <v>59.219222199999997</v>
      </c>
      <c r="B158">
        <v>7.8628820299999997</v>
      </c>
      <c r="C158">
        <v>7.9776251</v>
      </c>
      <c r="D158">
        <v>7.9138867099999999</v>
      </c>
      <c r="E158">
        <v>7.9963172299999998</v>
      </c>
      <c r="F158">
        <v>7.9973268199999996</v>
      </c>
      <c r="G158">
        <v>7.7424020200000001</v>
      </c>
      <c r="H158">
        <v>8.0705935400000008</v>
      </c>
      <c r="I158">
        <v>7.8156105299999998</v>
      </c>
      <c r="J158">
        <v>7.3993980800000001</v>
      </c>
      <c r="K158">
        <v>8.2445967600000003</v>
      </c>
      <c r="L158">
        <v>7.0817085899999999</v>
      </c>
      <c r="M158">
        <v>8.1884113099999993</v>
      </c>
      <c r="N158">
        <v>8.6901375900000009</v>
      </c>
      <c r="O158">
        <v>8.67180091</v>
      </c>
      <c r="P158">
        <v>8.61286694</v>
      </c>
      <c r="Q158">
        <v>8.6489229600000002</v>
      </c>
    </row>
    <row r="159" spans="1:17" x14ac:dyDescent="0.2">
      <c r="A159">
        <v>59.598805599999999</v>
      </c>
      <c r="B159">
        <v>7.8624972</v>
      </c>
      <c r="C159">
        <v>7.9741886700000002</v>
      </c>
      <c r="D159">
        <v>7.9127892199999996</v>
      </c>
      <c r="E159">
        <v>8.0063675700000001</v>
      </c>
      <c r="F159">
        <v>8.0003495000000004</v>
      </c>
      <c r="G159">
        <v>7.7410990899999996</v>
      </c>
      <c r="H159">
        <v>8.07246737</v>
      </c>
      <c r="I159">
        <v>7.80343506</v>
      </c>
      <c r="J159">
        <v>7.4054956599999997</v>
      </c>
      <c r="K159">
        <v>8.2461715600000005</v>
      </c>
      <c r="L159">
        <v>7.0800264999999998</v>
      </c>
      <c r="M159">
        <v>8.1914630499999994</v>
      </c>
      <c r="N159">
        <v>8.6891276600000005</v>
      </c>
      <c r="O159">
        <v>8.6692273499999999</v>
      </c>
      <c r="P159">
        <v>8.61286694</v>
      </c>
      <c r="Q159">
        <v>8.6559111099999999</v>
      </c>
    </row>
    <row r="160" spans="1:17" x14ac:dyDescent="0.2">
      <c r="A160">
        <v>59.978388899999999</v>
      </c>
      <c r="B160">
        <v>7.8586406599999998</v>
      </c>
      <c r="C160">
        <v>7.9714309999999999</v>
      </c>
      <c r="D160">
        <v>7.9135210200000001</v>
      </c>
      <c r="E160">
        <v>7.9976631300000003</v>
      </c>
      <c r="F160">
        <v>8.0003495000000004</v>
      </c>
      <c r="G160">
        <v>7.7419678999999997</v>
      </c>
      <c r="H160">
        <v>8.0746490800000004</v>
      </c>
      <c r="I160">
        <v>7.8168199700000001</v>
      </c>
      <c r="J160">
        <v>7.3993980800000001</v>
      </c>
      <c r="K160">
        <v>8.2474819999999998</v>
      </c>
      <c r="L160">
        <v>7.08506429</v>
      </c>
      <c r="M160">
        <v>8.1958853900000008</v>
      </c>
      <c r="N160">
        <v>8.6865983599999996</v>
      </c>
      <c r="O160">
        <v>8.6716295399999996</v>
      </c>
      <c r="P160">
        <v>8.6110477700000008</v>
      </c>
      <c r="Q160">
        <v>8.6478705199999997</v>
      </c>
    </row>
    <row r="161" spans="1:17" x14ac:dyDescent="0.2">
      <c r="A161">
        <v>60.3582222</v>
      </c>
      <c r="B161">
        <v>7.85709386</v>
      </c>
      <c r="C161">
        <v>7.9690117799999998</v>
      </c>
      <c r="D161">
        <v>7.9124231199999997</v>
      </c>
      <c r="E161">
        <v>8.0010199600000007</v>
      </c>
      <c r="F161">
        <v>8.0026941600000008</v>
      </c>
      <c r="G161">
        <v>7.7437032600000002</v>
      </c>
      <c r="H161">
        <v>8.0712185400000003</v>
      </c>
      <c r="I161">
        <v>7.8135915499999999</v>
      </c>
      <c r="J161">
        <v>7.3963352899999997</v>
      </c>
      <c r="K161">
        <v>8.2464337899999993</v>
      </c>
      <c r="L161">
        <v>7.0833878500000003</v>
      </c>
      <c r="M161">
        <v>8.1900770499999993</v>
      </c>
      <c r="N161">
        <v>8.6813507800000007</v>
      </c>
      <c r="O161">
        <v>8.67180091</v>
      </c>
      <c r="P161">
        <v>8.6125033700000007</v>
      </c>
      <c r="Q161">
        <v>8.6418856399999999</v>
      </c>
    </row>
    <row r="162" spans="1:17" x14ac:dyDescent="0.2">
      <c r="A162">
        <v>60.737861100000003</v>
      </c>
      <c r="B162">
        <v>7.8555446800000004</v>
      </c>
      <c r="C162">
        <v>7.96970358</v>
      </c>
      <c r="D162">
        <v>7.9054416500000002</v>
      </c>
      <c r="E162">
        <v>7.9990072100000003</v>
      </c>
      <c r="F162">
        <v>8.0013550299999991</v>
      </c>
      <c r="G162">
        <v>7.7410990899999996</v>
      </c>
      <c r="H162">
        <v>8.07246737</v>
      </c>
      <c r="I162">
        <v>7.8156105299999998</v>
      </c>
      <c r="J162">
        <v>7.3877092400000004</v>
      </c>
      <c r="K162">
        <v>8.2409125400000001</v>
      </c>
      <c r="L162">
        <v>7.08673793</v>
      </c>
      <c r="M162">
        <v>8.1814406999999996</v>
      </c>
      <c r="N162">
        <v>8.6811810400000002</v>
      </c>
      <c r="O162">
        <v>8.6726572900000001</v>
      </c>
      <c r="P162">
        <v>8.6083127800000003</v>
      </c>
      <c r="Q162">
        <v>8.6468169600000007</v>
      </c>
    </row>
    <row r="163" spans="1:17" x14ac:dyDescent="0.2">
      <c r="A163">
        <v>61.117444399999997</v>
      </c>
      <c r="B163">
        <v>7.85321639</v>
      </c>
      <c r="C163">
        <v>7.9645033600000001</v>
      </c>
      <c r="D163">
        <v>7.9109573800000001</v>
      </c>
      <c r="E163">
        <v>7.9932823300000004</v>
      </c>
      <c r="F163">
        <v>7.9929445499999998</v>
      </c>
      <c r="G163">
        <v>7.7354333500000001</v>
      </c>
      <c r="H163">
        <v>8.0662075699999995</v>
      </c>
      <c r="I163">
        <v>7.8103526800000003</v>
      </c>
      <c r="J163">
        <v>7.3839894599999996</v>
      </c>
      <c r="K163">
        <v>8.2395934499999992</v>
      </c>
      <c r="L163">
        <v>7.0758088600000004</v>
      </c>
      <c r="M163">
        <v>8.1884113099999993</v>
      </c>
      <c r="N163">
        <v>8.6752220599999994</v>
      </c>
      <c r="O163">
        <v>8.6642329300000007</v>
      </c>
      <c r="P163">
        <v>8.6059363999999992</v>
      </c>
      <c r="Q163">
        <v>8.6454104899999997</v>
      </c>
    </row>
    <row r="164" spans="1:17" x14ac:dyDescent="0.2">
      <c r="A164">
        <v>61.497055600000003</v>
      </c>
      <c r="B164">
        <v>7.8520502099999998</v>
      </c>
      <c r="C164">
        <v>7.9679731800000004</v>
      </c>
      <c r="D164">
        <v>7.9050728499999998</v>
      </c>
      <c r="E164">
        <v>7.99934295</v>
      </c>
      <c r="F164">
        <v>8.0050333400000007</v>
      </c>
      <c r="G164">
        <v>7.73455884</v>
      </c>
      <c r="H164">
        <v>8.06871619</v>
      </c>
      <c r="I164">
        <v>7.8111633899999999</v>
      </c>
      <c r="J164">
        <v>7.3790081299999999</v>
      </c>
      <c r="K164">
        <v>8.2332374999999995</v>
      </c>
      <c r="L164">
        <v>7.0724219000000002</v>
      </c>
      <c r="M164">
        <v>8.1836765800000002</v>
      </c>
      <c r="N164">
        <v>8.6719722499999996</v>
      </c>
      <c r="O164">
        <v>8.6600806800000001</v>
      </c>
      <c r="P164">
        <v>8.6072166899999996</v>
      </c>
      <c r="Q164">
        <v>8.6462897600000002</v>
      </c>
    </row>
    <row r="165" spans="1:17" x14ac:dyDescent="0.2">
      <c r="A165">
        <v>61.876638900000003</v>
      </c>
      <c r="B165">
        <v>7.8551570100000001</v>
      </c>
      <c r="C165">
        <v>7.9648508900000001</v>
      </c>
      <c r="D165">
        <v>7.9094894900000003</v>
      </c>
      <c r="E165">
        <v>7.99361999</v>
      </c>
      <c r="F165">
        <v>7.9979993199999999</v>
      </c>
      <c r="G165">
        <v>7.7419678999999997</v>
      </c>
      <c r="H165">
        <v>8.0633778199999995</v>
      </c>
      <c r="I165">
        <v>7.8152070599999997</v>
      </c>
      <c r="J165">
        <v>7.3839894599999996</v>
      </c>
      <c r="K165">
        <v>8.23800825</v>
      </c>
      <c r="L165">
        <v>7.0842264200000002</v>
      </c>
      <c r="M165">
        <v>8.1870210700000001</v>
      </c>
      <c r="N165">
        <v>8.6688837000000003</v>
      </c>
      <c r="O165">
        <v>8.65643326</v>
      </c>
      <c r="P165">
        <v>8.6028202799999995</v>
      </c>
      <c r="Q165">
        <v>8.6450585600000007</v>
      </c>
    </row>
    <row r="166" spans="1:17" x14ac:dyDescent="0.2">
      <c r="A166">
        <v>62.256222200000003</v>
      </c>
      <c r="B166">
        <v>7.8512719999999998</v>
      </c>
      <c r="C166">
        <v>7.9665866999999997</v>
      </c>
      <c r="D166">
        <v>7.9043348399999998</v>
      </c>
      <c r="E166">
        <v>7.9949695199999997</v>
      </c>
      <c r="F166">
        <v>8.0006847800000003</v>
      </c>
      <c r="G166">
        <v>7.7380522999999997</v>
      </c>
      <c r="H166">
        <v>8.0599083300000007</v>
      </c>
      <c r="I166">
        <v>7.8152070599999997</v>
      </c>
      <c r="J166">
        <v>7.3877092400000004</v>
      </c>
      <c r="K166">
        <v>8.2335031399999998</v>
      </c>
      <c r="L166">
        <v>7.0758088600000004</v>
      </c>
      <c r="M166">
        <v>8.1789193299999994</v>
      </c>
      <c r="N166">
        <v>8.6640602700000002</v>
      </c>
      <c r="O166">
        <v>8.6539942300000003</v>
      </c>
      <c r="P166">
        <v>8.6092252800000004</v>
      </c>
      <c r="Q166">
        <v>8.6417090699999992</v>
      </c>
    </row>
    <row r="167" spans="1:17" x14ac:dyDescent="0.2">
      <c r="A167">
        <v>62.635888899999998</v>
      </c>
      <c r="B167">
        <v>7.8489337299999997</v>
      </c>
      <c r="C167">
        <v>7.9645033600000001</v>
      </c>
      <c r="D167">
        <v>7.8976681500000003</v>
      </c>
      <c r="E167">
        <v>7.9915922799999999</v>
      </c>
      <c r="F167">
        <v>7.9915922799999999</v>
      </c>
      <c r="G167">
        <v>7.7336835700000002</v>
      </c>
      <c r="H167">
        <v>8.0652652099999997</v>
      </c>
      <c r="I167">
        <v>7.8152070599999997</v>
      </c>
      <c r="J167">
        <v>7.3883278600000004</v>
      </c>
      <c r="K167">
        <v>8.2388011700000003</v>
      </c>
      <c r="L167">
        <v>7.0758088600000004</v>
      </c>
      <c r="M167">
        <v>8.1786387900000008</v>
      </c>
      <c r="N167">
        <v>8.6576505400000006</v>
      </c>
      <c r="O167">
        <v>8.65207367</v>
      </c>
      <c r="P167">
        <v>8.6048376999999991</v>
      </c>
      <c r="Q167">
        <v>8.6402953900000004</v>
      </c>
    </row>
    <row r="168" spans="1:17" x14ac:dyDescent="0.2">
      <c r="A168">
        <v>63.0154444</v>
      </c>
      <c r="B168">
        <v>7.85010355</v>
      </c>
      <c r="C168">
        <v>7.9648508900000001</v>
      </c>
      <c r="D168">
        <v>7.8991534799999998</v>
      </c>
      <c r="E168">
        <v>7.9875244800000003</v>
      </c>
      <c r="F168">
        <v>7.9990072100000003</v>
      </c>
      <c r="G168">
        <v>7.7410990899999996</v>
      </c>
      <c r="H168">
        <v>8.0684029600000002</v>
      </c>
      <c r="I168">
        <v>7.81075812</v>
      </c>
      <c r="J168">
        <v>7.3746290200000004</v>
      </c>
      <c r="K168">
        <v>8.2438084200000006</v>
      </c>
      <c r="L168">
        <v>7.0673198499999996</v>
      </c>
      <c r="M168">
        <v>8.1828387100000004</v>
      </c>
      <c r="N168">
        <v>8.6604273599999999</v>
      </c>
      <c r="O168">
        <v>8.6471682699999999</v>
      </c>
      <c r="P168">
        <v>8.6068510600000003</v>
      </c>
      <c r="Q168">
        <v>8.6353317199999999</v>
      </c>
    </row>
    <row r="169" spans="1:17" x14ac:dyDescent="0.2">
      <c r="A169">
        <v>63.395027800000001</v>
      </c>
      <c r="B169">
        <v>7.85049318</v>
      </c>
      <c r="C169">
        <v>7.96346007</v>
      </c>
      <c r="D169">
        <v>7.9076515900000004</v>
      </c>
      <c r="E169">
        <v>7.9922686399999998</v>
      </c>
      <c r="F169">
        <v>7.99530662</v>
      </c>
      <c r="G169">
        <v>7.7380522999999997</v>
      </c>
      <c r="H169">
        <v>8.0662075699999995</v>
      </c>
      <c r="I169">
        <v>7.8135915499999999</v>
      </c>
      <c r="J169">
        <v>7.3852309199999997</v>
      </c>
      <c r="K169">
        <v>8.23800825</v>
      </c>
      <c r="L169">
        <v>7.0749632</v>
      </c>
      <c r="M169">
        <v>8.1822797400000002</v>
      </c>
      <c r="N169">
        <v>8.6578243199999996</v>
      </c>
      <c r="O169">
        <v>8.6454104899999997</v>
      </c>
      <c r="P169">
        <v>8.6059363999999992</v>
      </c>
      <c r="Q169">
        <v>8.6413558300000002</v>
      </c>
    </row>
    <row r="170" spans="1:17" x14ac:dyDescent="0.2">
      <c r="A170">
        <v>63.774583300000003</v>
      </c>
      <c r="B170">
        <v>7.8543812099999997</v>
      </c>
      <c r="C170">
        <v>7.9603236300000004</v>
      </c>
      <c r="D170">
        <v>7.9017475199999998</v>
      </c>
      <c r="E170">
        <v>7.9888822499999996</v>
      </c>
      <c r="F170">
        <v>8.0003495000000004</v>
      </c>
      <c r="G170">
        <v>7.7410990899999996</v>
      </c>
      <c r="H170">
        <v>8.0674626699999994</v>
      </c>
      <c r="I170">
        <v>7.8152070599999997</v>
      </c>
      <c r="J170">
        <v>7.38274645</v>
      </c>
      <c r="K170">
        <v>8.2388011700000003</v>
      </c>
      <c r="L170">
        <v>7.08840878</v>
      </c>
      <c r="M170">
        <v>8.1814406999999996</v>
      </c>
      <c r="N170">
        <v>8.6517240799999993</v>
      </c>
      <c r="O170">
        <v>8.6473438799999993</v>
      </c>
      <c r="P170">
        <v>8.6103191700000004</v>
      </c>
      <c r="Q170">
        <v>8.6385254800000002</v>
      </c>
    </row>
    <row r="171" spans="1:17" x14ac:dyDescent="0.2">
      <c r="A171">
        <v>64.154166700000005</v>
      </c>
      <c r="B171">
        <v>7.8524390899999998</v>
      </c>
      <c r="C171">
        <v>7.9672801800000004</v>
      </c>
      <c r="D171">
        <v>7.9080194400000003</v>
      </c>
      <c r="E171">
        <v>7.9966538800000002</v>
      </c>
      <c r="F171">
        <v>7.9949695199999997</v>
      </c>
      <c r="G171">
        <v>7.7336835700000002</v>
      </c>
      <c r="H171">
        <v>8.07246737</v>
      </c>
      <c r="I171">
        <v>7.8152070599999997</v>
      </c>
      <c r="J171">
        <v>7.3883278600000004</v>
      </c>
      <c r="K171">
        <v>8.2424931499999996</v>
      </c>
      <c r="L171">
        <v>7.0842264200000002</v>
      </c>
      <c r="M171">
        <v>8.1791997999999992</v>
      </c>
      <c r="N171">
        <v>8.6566072500000004</v>
      </c>
      <c r="O171">
        <v>8.6429443999999993</v>
      </c>
      <c r="P171">
        <v>8.6079475500000004</v>
      </c>
      <c r="Q171">
        <v>8.6406489999999998</v>
      </c>
    </row>
    <row r="172" spans="1:17" x14ac:dyDescent="0.2">
      <c r="A172">
        <v>64.533749999999998</v>
      </c>
      <c r="B172">
        <v>7.8539930900000003</v>
      </c>
      <c r="C172">
        <v>7.9613702000000002</v>
      </c>
      <c r="D172">
        <v>7.9076515900000004</v>
      </c>
      <c r="E172">
        <v>7.9926066499999999</v>
      </c>
      <c r="F172">
        <v>7.9983354000000002</v>
      </c>
      <c r="G172">
        <v>7.7432696999999999</v>
      </c>
      <c r="H172">
        <v>8.0655794299999997</v>
      </c>
      <c r="I172">
        <v>7.8111633899999999</v>
      </c>
      <c r="J172">
        <v>7.38150189</v>
      </c>
      <c r="K172">
        <v>8.2448593999999993</v>
      </c>
      <c r="L172">
        <v>7.08757371</v>
      </c>
      <c r="M172">
        <v>8.1822797400000002</v>
      </c>
      <c r="N172">
        <v>8.6452345400000006</v>
      </c>
      <c r="O172">
        <v>8.6376393399999998</v>
      </c>
      <c r="P172">
        <v>8.6103191700000004</v>
      </c>
      <c r="Q172">
        <v>8.6399416599999999</v>
      </c>
    </row>
    <row r="173" spans="1:17" x14ac:dyDescent="0.2">
      <c r="A173">
        <v>64.913305600000001</v>
      </c>
      <c r="B173">
        <v>7.8578675599999999</v>
      </c>
      <c r="C173">
        <v>7.9662397800000004</v>
      </c>
      <c r="D173">
        <v>7.9094894900000003</v>
      </c>
      <c r="E173">
        <v>7.9969904100000004</v>
      </c>
      <c r="F173">
        <v>8.0000140900000005</v>
      </c>
      <c r="G173">
        <v>7.7419678999999997</v>
      </c>
      <c r="H173">
        <v>8.06085575</v>
      </c>
      <c r="I173">
        <v>7.8156105299999998</v>
      </c>
      <c r="J173">
        <v>7.3746290200000004</v>
      </c>
      <c r="K173">
        <v>8.2432825199999993</v>
      </c>
      <c r="L173">
        <v>7.0859014599999997</v>
      </c>
      <c r="M173">
        <v>8.1842347699999998</v>
      </c>
      <c r="N173">
        <v>8.6445304400000005</v>
      </c>
      <c r="O173">
        <v>8.6371072899999994</v>
      </c>
      <c r="P173">
        <v>8.6143198999999999</v>
      </c>
      <c r="Q173">
        <v>8.6404722100000004</v>
      </c>
    </row>
    <row r="174" spans="1:17" x14ac:dyDescent="0.2">
      <c r="A174">
        <v>65.292888899999994</v>
      </c>
      <c r="B174">
        <v>7.85941315</v>
      </c>
      <c r="C174">
        <v>7.9610214700000004</v>
      </c>
      <c r="D174">
        <v>7.9076515900000004</v>
      </c>
      <c r="E174">
        <v>7.9929445499999998</v>
      </c>
      <c r="F174">
        <v>8.0053670700000001</v>
      </c>
      <c r="G174">
        <v>7.7432696999999999</v>
      </c>
      <c r="H174">
        <v>8.0665214899999995</v>
      </c>
      <c r="I174">
        <v>7.8188324400000004</v>
      </c>
      <c r="J174">
        <v>7.3765081300000004</v>
      </c>
      <c r="K174">
        <v>8.2424931499999996</v>
      </c>
      <c r="L174">
        <v>7.08757371</v>
      </c>
      <c r="M174">
        <v>8.1814406999999996</v>
      </c>
      <c r="N174">
        <v>8.6443543399999996</v>
      </c>
      <c r="O174">
        <v>8.6388797099999994</v>
      </c>
      <c r="P174">
        <v>8.6059363999999992</v>
      </c>
      <c r="Q174">
        <v>8.6395877999999993</v>
      </c>
    </row>
    <row r="175" spans="1:17" x14ac:dyDescent="0.2">
      <c r="A175">
        <v>65.672527799999997</v>
      </c>
      <c r="B175">
        <v>7.85049318</v>
      </c>
      <c r="C175">
        <v>7.9603236300000004</v>
      </c>
      <c r="D175">
        <v>7.9072836100000004</v>
      </c>
      <c r="E175">
        <v>7.9922686399999998</v>
      </c>
      <c r="F175">
        <v>7.9986713600000003</v>
      </c>
      <c r="G175">
        <v>7.7371800799999999</v>
      </c>
      <c r="H175">
        <v>8.0652652099999997</v>
      </c>
      <c r="I175">
        <v>7.8127828199999998</v>
      </c>
      <c r="J175">
        <v>7.3808790399999999</v>
      </c>
      <c r="K175">
        <v>8.2474819999999998</v>
      </c>
      <c r="L175">
        <v>7.0817085899999999</v>
      </c>
      <c r="M175">
        <v>8.1789193299999994</v>
      </c>
      <c r="N175">
        <v>8.6399416599999999</v>
      </c>
      <c r="O175">
        <v>8.6323059999999998</v>
      </c>
      <c r="P175">
        <v>8.6050208999999995</v>
      </c>
      <c r="Q175">
        <v>8.6390567800000007</v>
      </c>
    </row>
    <row r="176" spans="1:17" x14ac:dyDescent="0.2">
      <c r="A176">
        <v>66.052111100000005</v>
      </c>
      <c r="B176">
        <v>7.8536048100000002</v>
      </c>
      <c r="C176">
        <v>7.9554250900000003</v>
      </c>
      <c r="D176">
        <v>7.9076515900000004</v>
      </c>
      <c r="E176">
        <v>7.9932823300000004</v>
      </c>
      <c r="F176">
        <v>8.0050333400000007</v>
      </c>
      <c r="G176">
        <v>7.7415335900000004</v>
      </c>
      <c r="H176">
        <v>8.0768260299999994</v>
      </c>
      <c r="I176">
        <v>7.8188324400000004</v>
      </c>
      <c r="J176">
        <v>7.3758821499999998</v>
      </c>
      <c r="K176">
        <v>8.2406488600000003</v>
      </c>
      <c r="L176">
        <v>7.07918439</v>
      </c>
      <c r="M176">
        <v>8.1845137500000007</v>
      </c>
      <c r="N176">
        <v>8.6369298699999995</v>
      </c>
      <c r="O176">
        <v>8.6299860200000005</v>
      </c>
      <c r="P176">
        <v>8.6095900400000005</v>
      </c>
      <c r="Q176">
        <v>8.6390567800000007</v>
      </c>
    </row>
    <row r="177" spans="1:17" x14ac:dyDescent="0.2">
      <c r="A177">
        <v>66.431027799999995</v>
      </c>
      <c r="B177">
        <v>7.84854348</v>
      </c>
      <c r="C177">
        <v>7.9550742699999999</v>
      </c>
      <c r="D177">
        <v>7.9072836100000004</v>
      </c>
      <c r="E177">
        <v>7.9912539300000001</v>
      </c>
      <c r="F177">
        <v>8.0000140900000005</v>
      </c>
      <c r="G177">
        <v>7.7380522999999997</v>
      </c>
      <c r="H177">
        <v>8.0662075699999995</v>
      </c>
      <c r="I177">
        <v>7.8148034300000004</v>
      </c>
      <c r="J177">
        <v>7.3846103799999998</v>
      </c>
      <c r="K177">
        <v>8.2427563500000005</v>
      </c>
      <c r="L177">
        <v>7.07749805</v>
      </c>
      <c r="M177">
        <v>8.1786387900000008</v>
      </c>
      <c r="N177">
        <v>8.6376393399999998</v>
      </c>
      <c r="O177">
        <v>8.6315927299999995</v>
      </c>
      <c r="P177">
        <v>8.6090428499999998</v>
      </c>
      <c r="Q177">
        <v>8.64611397</v>
      </c>
    </row>
    <row r="178" spans="1:17" x14ac:dyDescent="0.2">
      <c r="A178">
        <v>66.810583300000005</v>
      </c>
      <c r="B178">
        <v>7.8454160399999999</v>
      </c>
      <c r="C178">
        <v>7.9515593300000003</v>
      </c>
      <c r="D178">
        <v>7.8976681500000003</v>
      </c>
      <c r="E178">
        <v>7.9909154600000001</v>
      </c>
      <c r="F178">
        <v>7.9976631300000003</v>
      </c>
      <c r="G178">
        <v>7.7450028</v>
      </c>
      <c r="H178">
        <v>8.0649508900000004</v>
      </c>
      <c r="I178">
        <v>7.8087293100000004</v>
      </c>
      <c r="J178">
        <v>7.3901814300000002</v>
      </c>
      <c r="K178">
        <v>8.2464337899999993</v>
      </c>
      <c r="L178">
        <v>7.0817085899999999</v>
      </c>
      <c r="M178">
        <v>8.1797604899999996</v>
      </c>
      <c r="N178">
        <v>8.6328406100000006</v>
      </c>
      <c r="O178">
        <v>8.6237130299999993</v>
      </c>
      <c r="P178">
        <v>8.6099546700000005</v>
      </c>
      <c r="Q178">
        <v>8.6351539899999992</v>
      </c>
    </row>
    <row r="179" spans="1:17" x14ac:dyDescent="0.2">
      <c r="A179">
        <v>67.190166700000006</v>
      </c>
      <c r="B179">
        <v>7.8559321999999998</v>
      </c>
      <c r="C179">
        <v>7.9564767999999999</v>
      </c>
      <c r="D179">
        <v>7.9076515900000004</v>
      </c>
      <c r="E179">
        <v>7.9919305200000004</v>
      </c>
      <c r="F179">
        <v>7.9983354000000002</v>
      </c>
      <c r="G179">
        <v>7.7402295199999998</v>
      </c>
      <c r="H179">
        <v>8.0646364800000008</v>
      </c>
      <c r="I179">
        <v>7.8172227899999998</v>
      </c>
      <c r="J179">
        <v>7.38150189</v>
      </c>
      <c r="K179">
        <v>8.2406488600000003</v>
      </c>
      <c r="L179">
        <v>7.0817085899999999</v>
      </c>
      <c r="M179">
        <v>8.1797604899999996</v>
      </c>
      <c r="N179">
        <v>8.6301646699999992</v>
      </c>
      <c r="O179">
        <v>8.6247912000000007</v>
      </c>
      <c r="P179">
        <v>8.6064852999999992</v>
      </c>
      <c r="Q179">
        <v>8.6397647400000004</v>
      </c>
    </row>
    <row r="180" spans="1:17" x14ac:dyDescent="0.2">
      <c r="A180">
        <v>67.569722200000001</v>
      </c>
      <c r="B180">
        <v>7.84267147</v>
      </c>
      <c r="C180">
        <v>7.9444921600000002</v>
      </c>
      <c r="D180">
        <v>7.9024874399999998</v>
      </c>
      <c r="E180">
        <v>7.9885429800000001</v>
      </c>
      <c r="F180">
        <v>7.9963172299999998</v>
      </c>
      <c r="G180">
        <v>7.7450028</v>
      </c>
      <c r="H180">
        <v>8.0709060899999994</v>
      </c>
      <c r="I180">
        <v>7.8164169799999996</v>
      </c>
      <c r="J180">
        <v>7.3758821499999998</v>
      </c>
      <c r="K180">
        <v>8.23800825</v>
      </c>
      <c r="L180">
        <v>7.0859014599999997</v>
      </c>
      <c r="M180">
        <v>8.1780774600000008</v>
      </c>
      <c r="N180">
        <v>8.6314143399999992</v>
      </c>
      <c r="O180">
        <v>8.6226336999999997</v>
      </c>
      <c r="P180">
        <v>8.6042878999999992</v>
      </c>
      <c r="Q180">
        <v>8.6369298699999995</v>
      </c>
    </row>
    <row r="181" spans="1:17" x14ac:dyDescent="0.2">
      <c r="A181">
        <v>67.949666699999995</v>
      </c>
      <c r="B181">
        <v>7.8461988199999997</v>
      </c>
      <c r="C181">
        <v>7.9505024300000002</v>
      </c>
      <c r="D181">
        <v>7.9021175499999998</v>
      </c>
      <c r="E181">
        <v>7.9800235900000001</v>
      </c>
      <c r="F181">
        <v>7.9963172299999998</v>
      </c>
      <c r="G181">
        <v>7.73674368</v>
      </c>
      <c r="H181">
        <v>8.0611713599999995</v>
      </c>
      <c r="I181">
        <v>7.8111633899999999</v>
      </c>
      <c r="J181">
        <v>7.36833969</v>
      </c>
      <c r="K181">
        <v>8.2422298900000008</v>
      </c>
      <c r="L181">
        <v>7.0800264999999998</v>
      </c>
      <c r="M181">
        <v>8.1763916000000005</v>
      </c>
      <c r="N181">
        <v>8.6308789600000004</v>
      </c>
      <c r="O181">
        <v>8.6271232500000004</v>
      </c>
      <c r="P181">
        <v>8.6066681999999997</v>
      </c>
      <c r="Q181">
        <v>8.6346206100000007</v>
      </c>
    </row>
    <row r="182" spans="1:17" x14ac:dyDescent="0.2">
      <c r="A182">
        <v>68.329250000000002</v>
      </c>
      <c r="B182">
        <v>7.8414929200000003</v>
      </c>
      <c r="C182">
        <v>7.94838529</v>
      </c>
      <c r="D182">
        <v>7.9017475199999998</v>
      </c>
      <c r="E182">
        <v>7.9848033899999997</v>
      </c>
      <c r="F182">
        <v>7.9966538800000002</v>
      </c>
      <c r="G182">
        <v>7.7397944599999997</v>
      </c>
      <c r="H182">
        <v>8.0665214899999995</v>
      </c>
      <c r="I182">
        <v>7.8127828199999998</v>
      </c>
      <c r="J182">
        <v>7.3783837099999996</v>
      </c>
      <c r="K182">
        <v>8.23827262</v>
      </c>
      <c r="L182">
        <v>7.07834158</v>
      </c>
      <c r="M182">
        <v>8.1772348899999994</v>
      </c>
      <c r="N182">
        <v>8.6296286200000001</v>
      </c>
      <c r="O182">
        <v>8.6179430900000007</v>
      </c>
      <c r="P182">
        <v>8.6066681999999997</v>
      </c>
      <c r="Q182">
        <v>8.6378166299999997</v>
      </c>
    </row>
    <row r="183" spans="1:17" x14ac:dyDescent="0.2">
      <c r="A183">
        <v>68.708805600000005</v>
      </c>
      <c r="B183">
        <v>7.8434564</v>
      </c>
      <c r="C183">
        <v>7.9519113800000003</v>
      </c>
      <c r="D183">
        <v>7.9013773499999997</v>
      </c>
      <c r="E183">
        <v>7.9803657699999997</v>
      </c>
      <c r="F183">
        <v>8.0003495000000004</v>
      </c>
      <c r="G183">
        <v>7.7402295199999998</v>
      </c>
      <c r="H183">
        <v>8.0586437100000001</v>
      </c>
      <c r="I183">
        <v>7.8156105299999998</v>
      </c>
      <c r="J183">
        <v>7.3765081300000004</v>
      </c>
      <c r="K183">
        <v>8.2385369300000004</v>
      </c>
      <c r="L183">
        <v>7.0817085899999999</v>
      </c>
      <c r="M183">
        <v>8.1730113099999997</v>
      </c>
      <c r="N183">
        <v>8.6267648300000008</v>
      </c>
      <c r="O183">
        <v>8.6168575100000009</v>
      </c>
      <c r="P183">
        <v>8.6039211899999994</v>
      </c>
      <c r="Q183">
        <v>8.6401185399999996</v>
      </c>
    </row>
    <row r="184" spans="1:17" x14ac:dyDescent="0.2">
      <c r="A184">
        <v>69.088388899999998</v>
      </c>
      <c r="B184">
        <v>7.84227878</v>
      </c>
      <c r="C184">
        <v>7.9497972199999998</v>
      </c>
      <c r="D184">
        <v>7.8995244700000002</v>
      </c>
      <c r="E184">
        <v>7.9848033899999997</v>
      </c>
      <c r="F184">
        <v>7.9956436000000002</v>
      </c>
      <c r="G184">
        <v>7.7341213</v>
      </c>
      <c r="H184">
        <v>8.0624327900000008</v>
      </c>
      <c r="I184">
        <v>7.8143996299999996</v>
      </c>
      <c r="J184">
        <v>7.3802557899999996</v>
      </c>
      <c r="K184">
        <v>8.2366853199999994</v>
      </c>
      <c r="L184">
        <v>7.08673793</v>
      </c>
      <c r="M184">
        <v>8.1884113099999993</v>
      </c>
      <c r="N184">
        <v>8.6271232500000004</v>
      </c>
      <c r="O184">
        <v>8.6222736700000002</v>
      </c>
      <c r="P184">
        <v>8.6095900400000005</v>
      </c>
      <c r="Q184">
        <v>8.6362199000000004</v>
      </c>
    </row>
    <row r="185" spans="1:17" x14ac:dyDescent="0.2">
      <c r="A185">
        <v>69.467972200000006</v>
      </c>
      <c r="B185">
        <v>7.8414929200000003</v>
      </c>
      <c r="C185">
        <v>7.9490914999999998</v>
      </c>
      <c r="D185">
        <v>7.8976681500000003</v>
      </c>
      <c r="E185">
        <v>7.9789963699999999</v>
      </c>
      <c r="F185">
        <v>8.0013550299999991</v>
      </c>
      <c r="G185">
        <v>7.7415335900000004</v>
      </c>
      <c r="H185">
        <v>8.0561096600000006</v>
      </c>
      <c r="I185">
        <v>7.8196363</v>
      </c>
      <c r="J185">
        <v>7.3752557799999998</v>
      </c>
      <c r="K185">
        <v>8.2374792899999996</v>
      </c>
      <c r="L185">
        <v>7.08673793</v>
      </c>
      <c r="M185">
        <v>8.17751582</v>
      </c>
      <c r="N185">
        <v>8.62299361</v>
      </c>
      <c r="O185">
        <v>8.6199302699999993</v>
      </c>
      <c r="P185">
        <v>8.61395686</v>
      </c>
      <c r="Q185">
        <v>8.6388797099999994</v>
      </c>
    </row>
    <row r="186" spans="1:17" x14ac:dyDescent="0.2">
      <c r="A186">
        <v>69.847555600000007</v>
      </c>
      <c r="B186">
        <v>7.8383433199999999</v>
      </c>
      <c r="C186">
        <v>7.9448467100000002</v>
      </c>
      <c r="D186">
        <v>7.8950635</v>
      </c>
      <c r="E186">
        <v>7.9834400600000004</v>
      </c>
      <c r="F186">
        <v>8.0003495000000004</v>
      </c>
      <c r="G186">
        <v>7.7419678999999997</v>
      </c>
      <c r="H186">
        <v>8.0655794299999997</v>
      </c>
      <c r="I186">
        <v>7.8172227899999998</v>
      </c>
      <c r="J186">
        <v>7.3721180300000002</v>
      </c>
      <c r="K186">
        <v>8.2398574100000008</v>
      </c>
      <c r="L186">
        <v>7.07918439</v>
      </c>
      <c r="M186">
        <v>8.1817204599999993</v>
      </c>
      <c r="N186">
        <v>8.6202911499999999</v>
      </c>
      <c r="O186">
        <v>8.6197497799999994</v>
      </c>
      <c r="P186">
        <v>8.6155895099999995</v>
      </c>
      <c r="Q186">
        <v>8.6339089900000001</v>
      </c>
    </row>
    <row r="187" spans="1:17" x14ac:dyDescent="0.2">
      <c r="A187">
        <v>70.227111100000002</v>
      </c>
      <c r="B187">
        <v>7.8355792500000003</v>
      </c>
      <c r="C187">
        <v>7.9423622399999996</v>
      </c>
      <c r="D187">
        <v>7.8980396900000001</v>
      </c>
      <c r="E187">
        <v>7.9772819899999998</v>
      </c>
      <c r="F187">
        <v>7.9963172299999998</v>
      </c>
      <c r="G187">
        <v>7.7410990899999996</v>
      </c>
      <c r="H187">
        <v>8.0621175800000007</v>
      </c>
      <c r="I187">
        <v>7.8180279400000003</v>
      </c>
      <c r="J187">
        <v>7.3758821499999998</v>
      </c>
      <c r="K187">
        <v>8.23800825</v>
      </c>
      <c r="L187">
        <v>7.08506429</v>
      </c>
      <c r="M187">
        <v>8.1783581699999992</v>
      </c>
      <c r="N187">
        <v>8.6184854400000006</v>
      </c>
      <c r="O187">
        <v>8.6103191700000004</v>
      </c>
      <c r="P187">
        <v>8.6086778800000001</v>
      </c>
      <c r="Q187">
        <v>8.6410024799999992</v>
      </c>
    </row>
    <row r="188" spans="1:17" x14ac:dyDescent="0.2">
      <c r="A188">
        <v>70.606722199999993</v>
      </c>
      <c r="B188">
        <v>7.8430640199999999</v>
      </c>
      <c r="C188">
        <v>7.9420068099999996</v>
      </c>
      <c r="D188">
        <v>7.8984110899999997</v>
      </c>
      <c r="E188">
        <v>7.9851439299999996</v>
      </c>
      <c r="F188">
        <v>8.0036973400000004</v>
      </c>
      <c r="G188">
        <v>7.7363071000000003</v>
      </c>
      <c r="H188">
        <v>8.0614868699999995</v>
      </c>
      <c r="I188">
        <v>7.8184302700000003</v>
      </c>
      <c r="J188">
        <v>7.3689704000000003</v>
      </c>
      <c r="K188">
        <v>8.2316421799999997</v>
      </c>
      <c r="L188">
        <v>7.0842264200000002</v>
      </c>
      <c r="M188">
        <v>8.1735754899999993</v>
      </c>
      <c r="N188">
        <v>8.6168575100000009</v>
      </c>
      <c r="O188">
        <v>8.6159519600000003</v>
      </c>
      <c r="P188">
        <v>8.6053871999999991</v>
      </c>
      <c r="Q188">
        <v>8.6315927299999995</v>
      </c>
    </row>
    <row r="189" spans="1:17" x14ac:dyDescent="0.2">
      <c r="A189">
        <v>70.987750000000005</v>
      </c>
      <c r="B189">
        <v>7.8355792500000003</v>
      </c>
      <c r="C189">
        <v>7.94307272</v>
      </c>
      <c r="D189">
        <v>7.8980396900000001</v>
      </c>
      <c r="E189">
        <v>7.97590836</v>
      </c>
      <c r="F189">
        <v>7.9979993199999999</v>
      </c>
      <c r="G189">
        <v>7.7323692199999998</v>
      </c>
      <c r="H189">
        <v>8.0630629099999993</v>
      </c>
      <c r="I189">
        <v>7.8148034300000004</v>
      </c>
      <c r="J189">
        <v>7.3740018599999999</v>
      </c>
      <c r="K189">
        <v>8.2337687099999997</v>
      </c>
      <c r="L189">
        <v>7.0825485700000002</v>
      </c>
      <c r="M189">
        <v>8.1817204599999993</v>
      </c>
      <c r="N189">
        <v>8.6121396699999995</v>
      </c>
      <c r="O189">
        <v>8.6077648900000003</v>
      </c>
      <c r="P189">
        <v>8.6020856600000002</v>
      </c>
      <c r="Q189">
        <v>8.6331968700000008</v>
      </c>
    </row>
    <row r="190" spans="1:17" x14ac:dyDescent="0.2">
      <c r="A190">
        <v>71.367333299999999</v>
      </c>
      <c r="B190">
        <v>7.8367647800000002</v>
      </c>
      <c r="C190">
        <v>7.9448467100000002</v>
      </c>
      <c r="D190">
        <v>7.8887095199999999</v>
      </c>
      <c r="E190">
        <v>7.9703949100000004</v>
      </c>
      <c r="F190">
        <v>8.0006847800000003</v>
      </c>
      <c r="G190">
        <v>7.7363071000000003</v>
      </c>
      <c r="H190">
        <v>8.0576941899999994</v>
      </c>
      <c r="I190">
        <v>7.8160138400000001</v>
      </c>
      <c r="J190">
        <v>7.3670770599999997</v>
      </c>
      <c r="K190">
        <v>8.2329717900000006</v>
      </c>
      <c r="L190">
        <v>7.0749632</v>
      </c>
      <c r="M190">
        <v>8.1800407199999992</v>
      </c>
      <c r="N190">
        <v>8.6163142799999992</v>
      </c>
      <c r="O190">
        <v>8.6070338999999993</v>
      </c>
      <c r="P190">
        <v>8.6123215399999999</v>
      </c>
      <c r="Q190">
        <v>8.63426486</v>
      </c>
    </row>
    <row r="191" spans="1:17" x14ac:dyDescent="0.2">
      <c r="A191">
        <v>71.7469167</v>
      </c>
      <c r="B191">
        <v>7.8351837599999996</v>
      </c>
      <c r="C191">
        <v>7.9359450999999996</v>
      </c>
      <c r="D191">
        <v>7.8890844099999997</v>
      </c>
      <c r="E191">
        <v>7.9745328400000002</v>
      </c>
      <c r="F191">
        <v>7.9878641000000004</v>
      </c>
      <c r="G191">
        <v>7.7415335900000004</v>
      </c>
      <c r="H191">
        <v>8.0545226099999994</v>
      </c>
      <c r="I191">
        <v>7.8156105299999998</v>
      </c>
      <c r="J191">
        <v>7.3664451499999997</v>
      </c>
      <c r="K191">
        <v>8.2271082300000007</v>
      </c>
      <c r="L191">
        <v>7.0909098200000003</v>
      </c>
      <c r="M191">
        <v>8.1747028799999999</v>
      </c>
      <c r="N191">
        <v>8.6088603799999994</v>
      </c>
      <c r="O191">
        <v>8.6053871999999991</v>
      </c>
      <c r="P191">
        <v>8.6075821900000005</v>
      </c>
      <c r="Q191">
        <v>8.6410024799999992</v>
      </c>
    </row>
    <row r="192" spans="1:17" x14ac:dyDescent="0.2">
      <c r="A192">
        <v>72.126472199999995</v>
      </c>
      <c r="B192">
        <v>7.8336002200000001</v>
      </c>
      <c r="C192">
        <v>7.94661756</v>
      </c>
      <c r="D192">
        <v>7.8946908499999999</v>
      </c>
      <c r="E192">
        <v>7.9765954099999998</v>
      </c>
      <c r="F192">
        <v>7.99361999</v>
      </c>
      <c r="G192">
        <v>7.7389237599999996</v>
      </c>
      <c r="H192">
        <v>8.0611713599999995</v>
      </c>
      <c r="I192">
        <v>7.8143996299999996</v>
      </c>
      <c r="J192">
        <v>7.3708601700000003</v>
      </c>
      <c r="K192">
        <v>8.2313760499999997</v>
      </c>
      <c r="L192">
        <v>7.0825485700000002</v>
      </c>
      <c r="M192">
        <v>8.1825592599999997</v>
      </c>
      <c r="N192">
        <v>8.6106835299999993</v>
      </c>
      <c r="O192">
        <v>8.60977237</v>
      </c>
      <c r="P192">
        <v>8.6083127800000003</v>
      </c>
      <c r="Q192">
        <v>8.6308789600000004</v>
      </c>
    </row>
    <row r="193" spans="1:17" x14ac:dyDescent="0.2">
      <c r="A193">
        <v>72.506055599999996</v>
      </c>
      <c r="B193">
        <v>7.8304256199999998</v>
      </c>
      <c r="C193">
        <v>7.93415523</v>
      </c>
      <c r="D193">
        <v>7.8905825299999997</v>
      </c>
      <c r="E193">
        <v>7.9752208400000004</v>
      </c>
      <c r="F193">
        <v>7.9976631300000003</v>
      </c>
      <c r="G193">
        <v>7.7358703200000001</v>
      </c>
      <c r="H193">
        <v>8.0696553099999999</v>
      </c>
      <c r="I193">
        <v>7.8111633899999999</v>
      </c>
      <c r="J193">
        <v>7.3708601700000003</v>
      </c>
      <c r="K193">
        <v>8.2353606399999997</v>
      </c>
      <c r="L193">
        <v>7.08840878</v>
      </c>
      <c r="M193">
        <v>8.1803208699999992</v>
      </c>
      <c r="N193">
        <v>8.6083127800000003</v>
      </c>
      <c r="O193">
        <v>8.6066681999999997</v>
      </c>
      <c r="P193">
        <v>8.6057533700000004</v>
      </c>
      <c r="Q193">
        <v>8.6349762299999995</v>
      </c>
    </row>
    <row r="194" spans="1:17" x14ac:dyDescent="0.2">
      <c r="A194">
        <v>72.885611100000006</v>
      </c>
      <c r="B194">
        <v>7.8328075200000002</v>
      </c>
      <c r="C194">
        <v>7.9316440200000002</v>
      </c>
      <c r="D194">
        <v>7.8939451399999996</v>
      </c>
      <c r="E194">
        <v>7.9741886700000002</v>
      </c>
      <c r="F194">
        <v>7.9979993199999999</v>
      </c>
      <c r="G194">
        <v>7.7402295199999998</v>
      </c>
      <c r="H194">
        <v>8.0652652099999997</v>
      </c>
      <c r="I194">
        <v>7.8152070599999997</v>
      </c>
      <c r="J194">
        <v>7.3783837099999996</v>
      </c>
      <c r="K194">
        <v>8.2385369300000004</v>
      </c>
      <c r="L194">
        <v>7.0934046300000002</v>
      </c>
      <c r="M194">
        <v>8.1797604899999996</v>
      </c>
      <c r="N194">
        <v>8.6101369400000003</v>
      </c>
      <c r="O194">
        <v>8.6061194000000008</v>
      </c>
      <c r="P194">
        <v>8.6030038500000003</v>
      </c>
      <c r="Q194">
        <v>8.6371072899999994</v>
      </c>
    </row>
    <row r="195" spans="1:17" x14ac:dyDescent="0.2">
      <c r="A195">
        <v>73.265194399999999</v>
      </c>
      <c r="B195">
        <v>7.83241093</v>
      </c>
      <c r="C195">
        <v>7.9391588200000003</v>
      </c>
      <c r="D195">
        <v>7.8946908499999999</v>
      </c>
      <c r="E195">
        <v>7.9796813000000002</v>
      </c>
      <c r="F195">
        <v>8.0006847800000003</v>
      </c>
      <c r="G195">
        <v>7.7384881200000004</v>
      </c>
      <c r="H195">
        <v>8.0618022699999994</v>
      </c>
      <c r="I195">
        <v>7.8204395199999999</v>
      </c>
      <c r="J195">
        <v>7.3758821499999998</v>
      </c>
      <c r="K195">
        <v>8.2377438000000005</v>
      </c>
      <c r="L195">
        <v>7.0859014599999997</v>
      </c>
      <c r="M195">
        <v>8.1820001399999995</v>
      </c>
      <c r="N195">
        <v>8.6042878999999992</v>
      </c>
      <c r="O195">
        <v>8.6013505000000006</v>
      </c>
      <c r="P195">
        <v>8.6019019199999995</v>
      </c>
      <c r="Q195">
        <v>8.6383483099999996</v>
      </c>
    </row>
    <row r="196" spans="1:17" x14ac:dyDescent="0.2">
      <c r="A196">
        <v>73.644750000000002</v>
      </c>
      <c r="B196">
        <v>7.8320141799999998</v>
      </c>
      <c r="C196">
        <v>7.9327210299999997</v>
      </c>
      <c r="D196">
        <v>7.8935720700000003</v>
      </c>
      <c r="E196">
        <v>7.9786537300000004</v>
      </c>
      <c r="F196">
        <v>7.9929445499999998</v>
      </c>
      <c r="G196">
        <v>7.7428359599999999</v>
      </c>
      <c r="H196">
        <v>8.0636926300000002</v>
      </c>
      <c r="I196">
        <v>7.8156105299999998</v>
      </c>
      <c r="J196">
        <v>7.3740018599999999</v>
      </c>
      <c r="K196">
        <v>8.2366853199999994</v>
      </c>
      <c r="L196">
        <v>7.07918439</v>
      </c>
      <c r="M196">
        <v>8.1786387900000008</v>
      </c>
      <c r="N196">
        <v>8.6046544699999998</v>
      </c>
      <c r="O196">
        <v>8.6033708900000008</v>
      </c>
      <c r="P196">
        <v>8.6061194000000008</v>
      </c>
      <c r="Q196">
        <v>8.6372846699999997</v>
      </c>
    </row>
    <row r="197" spans="1:17" x14ac:dyDescent="0.2">
      <c r="A197">
        <v>74.024333299999995</v>
      </c>
      <c r="B197">
        <v>7.8328075200000002</v>
      </c>
      <c r="C197">
        <v>7.9337968700000001</v>
      </c>
      <c r="D197">
        <v>7.8872085900000002</v>
      </c>
      <c r="E197">
        <v>7.9748768999999999</v>
      </c>
      <c r="F197">
        <v>7.9932823300000004</v>
      </c>
      <c r="G197">
        <v>7.7415335900000004</v>
      </c>
      <c r="H197">
        <v>8.0573774900000004</v>
      </c>
      <c r="I197">
        <v>7.82164313</v>
      </c>
      <c r="J197">
        <v>7.3714893000000004</v>
      </c>
      <c r="K197">
        <v>8.2419665599999998</v>
      </c>
      <c r="L197">
        <v>7.0950643800000002</v>
      </c>
      <c r="M197">
        <v>8.1808809399999998</v>
      </c>
      <c r="N197">
        <v>8.6068510600000003</v>
      </c>
      <c r="O197">
        <v>8.6022693599999993</v>
      </c>
      <c r="P197">
        <v>8.6119577700000001</v>
      </c>
      <c r="Q197">
        <v>8.6353317199999999</v>
      </c>
    </row>
    <row r="198" spans="1:17" x14ac:dyDescent="0.2">
      <c r="A198">
        <v>74.403888899999998</v>
      </c>
      <c r="B198">
        <v>7.8284363600000004</v>
      </c>
      <c r="C198">
        <v>7.9320031499999999</v>
      </c>
      <c r="D198">
        <v>7.8917046600000003</v>
      </c>
      <c r="E198">
        <v>7.97590836</v>
      </c>
      <c r="F198">
        <v>7.9973268199999996</v>
      </c>
      <c r="G198">
        <v>7.7402295199999998</v>
      </c>
      <c r="H198">
        <v>8.0624327900000008</v>
      </c>
      <c r="I198">
        <v>7.8220440099999999</v>
      </c>
      <c r="J198">
        <v>7.3677085699999996</v>
      </c>
      <c r="K198">
        <v>8.2401213000000002</v>
      </c>
      <c r="L198">
        <v>7.0892431599999997</v>
      </c>
      <c r="M198">
        <v>8.1797604899999996</v>
      </c>
      <c r="N198">
        <v>8.6072166899999996</v>
      </c>
      <c r="O198">
        <v>8.5989574900000001</v>
      </c>
      <c r="P198">
        <v>8.6163142799999992</v>
      </c>
      <c r="Q198">
        <v>8.6427680099999993</v>
      </c>
    </row>
    <row r="199" spans="1:17" x14ac:dyDescent="0.2">
      <c r="A199">
        <v>74.783472200000006</v>
      </c>
      <c r="B199">
        <v>7.8308229999999996</v>
      </c>
      <c r="C199">
        <v>7.9309253699999998</v>
      </c>
      <c r="D199">
        <v>7.8954360100000001</v>
      </c>
      <c r="E199">
        <v>7.9807078200000001</v>
      </c>
      <c r="F199">
        <v>7.9926066499999999</v>
      </c>
      <c r="G199">
        <v>7.7424020200000001</v>
      </c>
      <c r="H199">
        <v>8.0652652099999997</v>
      </c>
      <c r="I199">
        <v>7.8119734300000001</v>
      </c>
      <c r="J199">
        <v>7.37337431</v>
      </c>
      <c r="K199">
        <v>8.2313760499999997</v>
      </c>
      <c r="L199">
        <v>7.08506429</v>
      </c>
      <c r="M199">
        <v>8.1808809399999998</v>
      </c>
      <c r="N199">
        <v>8.6042878999999992</v>
      </c>
      <c r="O199">
        <v>8.5974820199999993</v>
      </c>
      <c r="P199">
        <v>8.61286694</v>
      </c>
      <c r="Q199">
        <v>8.6388797099999994</v>
      </c>
    </row>
    <row r="200" spans="1:17" x14ac:dyDescent="0.2">
      <c r="A200">
        <v>75.163055600000007</v>
      </c>
      <c r="B200">
        <v>7.8280380300000001</v>
      </c>
      <c r="C200">
        <v>7.9305658499999998</v>
      </c>
      <c r="D200">
        <v>7.8890844099999997</v>
      </c>
      <c r="E200">
        <v>7.9769387600000004</v>
      </c>
      <c r="F200">
        <v>8.0026941600000008</v>
      </c>
      <c r="G200">
        <v>7.7371800799999999</v>
      </c>
      <c r="H200">
        <v>8.0709060899999994</v>
      </c>
      <c r="I200">
        <v>7.8160138400000001</v>
      </c>
      <c r="J200">
        <v>7.3601039699999999</v>
      </c>
      <c r="K200">
        <v>8.2316421799999997</v>
      </c>
      <c r="L200">
        <v>7.0983756400000004</v>
      </c>
      <c r="M200">
        <v>8.1808809399999998</v>
      </c>
      <c r="N200">
        <v>8.6031873799999996</v>
      </c>
      <c r="O200">
        <v>8.5969281599999992</v>
      </c>
      <c r="P200">
        <v>8.6072166899999996</v>
      </c>
      <c r="Q200">
        <v>8.6307004299999992</v>
      </c>
    </row>
    <row r="201" spans="1:17" x14ac:dyDescent="0.2">
      <c r="A201">
        <v>75.542611100000002</v>
      </c>
      <c r="B201">
        <v>7.8316172799999997</v>
      </c>
      <c r="C201">
        <v>7.9320031499999999</v>
      </c>
      <c r="D201">
        <v>7.8887095199999999</v>
      </c>
      <c r="E201">
        <v>7.9745328400000002</v>
      </c>
      <c r="F201">
        <v>7.9966538800000002</v>
      </c>
      <c r="G201">
        <v>7.7380522999999997</v>
      </c>
      <c r="H201">
        <v>8.0636926300000002</v>
      </c>
      <c r="I201">
        <v>7.8172227899999998</v>
      </c>
      <c r="J201">
        <v>7.37337431</v>
      </c>
      <c r="K201">
        <v>8.2369500500000008</v>
      </c>
      <c r="L201">
        <v>7.08757371</v>
      </c>
      <c r="M201">
        <v>8.1803208699999992</v>
      </c>
      <c r="N201">
        <v>8.5987731800000002</v>
      </c>
      <c r="O201">
        <v>8.5982200300000002</v>
      </c>
      <c r="P201">
        <v>8.6094076800000003</v>
      </c>
      <c r="Q201">
        <v>8.6387026099999993</v>
      </c>
    </row>
    <row r="202" spans="1:17" x14ac:dyDescent="0.2">
      <c r="A202">
        <v>75.923138899999998</v>
      </c>
      <c r="B202">
        <v>7.8284363600000004</v>
      </c>
      <c r="C202">
        <v>7.9298464299999996</v>
      </c>
      <c r="D202">
        <v>7.8905825299999997</v>
      </c>
      <c r="E202">
        <v>7.9700493000000003</v>
      </c>
      <c r="F202">
        <v>7.9996785800000003</v>
      </c>
      <c r="G202">
        <v>7.7458682300000001</v>
      </c>
      <c r="H202">
        <v>8.06871619</v>
      </c>
      <c r="I202">
        <v>7.8127828199999998</v>
      </c>
      <c r="J202">
        <v>7.36833969</v>
      </c>
      <c r="K202">
        <v>8.2393294299999997</v>
      </c>
      <c r="L202">
        <v>7.0892431599999997</v>
      </c>
      <c r="M202">
        <v>8.1786387900000008</v>
      </c>
      <c r="N202">
        <v>8.6019019199999995</v>
      </c>
      <c r="O202">
        <v>8.5996944099999997</v>
      </c>
      <c r="P202">
        <v>8.6132303799999992</v>
      </c>
      <c r="Q202">
        <v>8.6379938900000006</v>
      </c>
    </row>
    <row r="203" spans="1:17" x14ac:dyDescent="0.2">
      <c r="A203">
        <v>76.302694399999993</v>
      </c>
      <c r="B203">
        <v>7.8272408999999996</v>
      </c>
      <c r="C203">
        <v>7.9255189799999997</v>
      </c>
      <c r="D203">
        <v>7.8860814000000001</v>
      </c>
      <c r="E203">
        <v>7.9707403899999996</v>
      </c>
      <c r="F203">
        <v>7.9969904100000004</v>
      </c>
      <c r="G203">
        <v>7.7406644</v>
      </c>
      <c r="H203">
        <v>8.0674626699999994</v>
      </c>
      <c r="I203">
        <v>7.8156105299999998</v>
      </c>
      <c r="J203">
        <v>7.3670770599999997</v>
      </c>
      <c r="K203">
        <v>8.2374792899999996</v>
      </c>
      <c r="L203">
        <v>7.09007684</v>
      </c>
      <c r="M203">
        <v>8.1744211500000006</v>
      </c>
      <c r="N203">
        <v>8.6000626699999998</v>
      </c>
      <c r="O203">
        <v>8.5971128100000005</v>
      </c>
      <c r="P203">
        <v>8.6099546700000005</v>
      </c>
      <c r="Q203">
        <v>8.6369298699999995</v>
      </c>
    </row>
    <row r="204" spans="1:17" x14ac:dyDescent="0.2">
      <c r="A204">
        <v>76.682277799999994</v>
      </c>
      <c r="B204">
        <v>7.8260440100000004</v>
      </c>
      <c r="C204">
        <v>7.9218984099999998</v>
      </c>
      <c r="D204">
        <v>7.8838232100000001</v>
      </c>
      <c r="E204">
        <v>7.9748768999999999</v>
      </c>
      <c r="F204">
        <v>7.9996785800000003</v>
      </c>
      <c r="G204">
        <v>7.7428359599999999</v>
      </c>
      <c r="H204">
        <v>8.0674626699999994</v>
      </c>
      <c r="I204">
        <v>7.8156105299999998</v>
      </c>
      <c r="J204">
        <v>7.3721180300000002</v>
      </c>
      <c r="K204">
        <v>8.2401213000000002</v>
      </c>
      <c r="L204">
        <v>7.09007684</v>
      </c>
      <c r="M204">
        <v>8.1833973699999998</v>
      </c>
      <c r="N204">
        <v>8.5980355799999995</v>
      </c>
      <c r="O204">
        <v>8.6004307900000008</v>
      </c>
      <c r="P204">
        <v>8.6095900400000005</v>
      </c>
      <c r="Q204">
        <v>8.6387026099999993</v>
      </c>
    </row>
    <row r="205" spans="1:17" x14ac:dyDescent="0.2">
      <c r="A205">
        <v>77.061861100000002</v>
      </c>
      <c r="B205">
        <v>7.8292325399999996</v>
      </c>
      <c r="C205">
        <v>7.9240723199999996</v>
      </c>
      <c r="D205">
        <v>7.8883345</v>
      </c>
      <c r="E205">
        <v>7.9724660199999997</v>
      </c>
      <c r="F205">
        <v>8.0023595499999995</v>
      </c>
      <c r="G205">
        <v>7.7393592</v>
      </c>
      <c r="H205">
        <v>8.0646364800000008</v>
      </c>
      <c r="I205">
        <v>7.80547463</v>
      </c>
      <c r="J205">
        <v>7.3658128400000003</v>
      </c>
      <c r="K205">
        <v>8.2388011700000003</v>
      </c>
      <c r="L205">
        <v>7.0950643800000002</v>
      </c>
      <c r="M205">
        <v>8.1732934400000001</v>
      </c>
      <c r="N205">
        <v>8.6035543600000004</v>
      </c>
      <c r="O205">
        <v>8.5969281599999992</v>
      </c>
      <c r="P205">
        <v>8.6125033700000007</v>
      </c>
      <c r="Q205">
        <v>8.6404722100000004</v>
      </c>
    </row>
    <row r="206" spans="1:17" x14ac:dyDescent="0.2">
      <c r="A206">
        <v>77.441472200000007</v>
      </c>
      <c r="B206">
        <v>7.8220440099999999</v>
      </c>
      <c r="C206">
        <v>7.9215356300000002</v>
      </c>
      <c r="D206">
        <v>7.8864572700000002</v>
      </c>
      <c r="E206">
        <v>7.9765954099999998</v>
      </c>
      <c r="F206">
        <v>8.00469951</v>
      </c>
      <c r="G206">
        <v>7.7424020200000001</v>
      </c>
      <c r="H206">
        <v>8.0709060899999994</v>
      </c>
      <c r="I206">
        <v>7.8164169799999996</v>
      </c>
      <c r="J206">
        <v>7.3632795900000003</v>
      </c>
      <c r="K206">
        <v>8.2388011700000003</v>
      </c>
      <c r="L206">
        <v>7.0934046300000002</v>
      </c>
      <c r="M206">
        <v>8.1755475999999998</v>
      </c>
      <c r="N206">
        <v>8.5971128100000005</v>
      </c>
      <c r="O206">
        <v>8.5954496900000006</v>
      </c>
      <c r="P206">
        <v>8.6159519600000003</v>
      </c>
      <c r="Q206">
        <v>8.6406489999999998</v>
      </c>
    </row>
    <row r="207" spans="1:17" x14ac:dyDescent="0.2">
      <c r="A207">
        <v>77.821027799999996</v>
      </c>
      <c r="B207">
        <v>7.8232456900000003</v>
      </c>
      <c r="C207">
        <v>7.9233482100000003</v>
      </c>
      <c r="D207">
        <v>7.8849529499999997</v>
      </c>
      <c r="E207">
        <v>7.9755646599999999</v>
      </c>
      <c r="F207">
        <v>8.0016899800000001</v>
      </c>
      <c r="G207">
        <v>7.7354333500000001</v>
      </c>
      <c r="H207">
        <v>8.0621175800000007</v>
      </c>
      <c r="I207">
        <v>7.81075812</v>
      </c>
      <c r="J207">
        <v>7.3702306399999999</v>
      </c>
      <c r="K207">
        <v>8.2385369300000004</v>
      </c>
      <c r="L207">
        <v>7.0992017399999998</v>
      </c>
      <c r="M207">
        <v>8.1667842900000007</v>
      </c>
      <c r="N207">
        <v>8.5906295099999994</v>
      </c>
      <c r="O207">
        <v>8.5876516600000006</v>
      </c>
      <c r="P207">
        <v>8.6022693599999993</v>
      </c>
      <c r="Q207">
        <v>8.6308789600000004</v>
      </c>
    </row>
    <row r="208" spans="1:17" x14ac:dyDescent="0.2">
      <c r="A208">
        <v>78.200611100000003</v>
      </c>
      <c r="B208">
        <v>7.8192344499999997</v>
      </c>
      <c r="C208">
        <v>7.9258803200000001</v>
      </c>
      <c r="D208">
        <v>7.8834463499999998</v>
      </c>
      <c r="E208">
        <v>7.9734999599999998</v>
      </c>
      <c r="F208">
        <v>7.9966538800000002</v>
      </c>
      <c r="G208">
        <v>7.7445698099999998</v>
      </c>
      <c r="H208">
        <v>8.0674626699999994</v>
      </c>
      <c r="I208">
        <v>7.8131872700000002</v>
      </c>
      <c r="J208">
        <v>7.3689704000000003</v>
      </c>
      <c r="K208">
        <v>8.2305772200000007</v>
      </c>
      <c r="L208">
        <v>7.0934046300000002</v>
      </c>
      <c r="M208">
        <v>8.1752661</v>
      </c>
      <c r="N208">
        <v>8.5937837899999998</v>
      </c>
      <c r="O208">
        <v>8.5995102299999999</v>
      </c>
      <c r="P208">
        <v>8.6117758299999991</v>
      </c>
      <c r="Q208">
        <v>8.6429443999999993</v>
      </c>
    </row>
    <row r="209" spans="1:17" x14ac:dyDescent="0.2">
      <c r="A209">
        <v>78.580194399999996</v>
      </c>
      <c r="B209">
        <v>7.8127828199999998</v>
      </c>
      <c r="C209">
        <v>7.9233482100000003</v>
      </c>
      <c r="D209">
        <v>7.8823149199999998</v>
      </c>
      <c r="E209">
        <v>7.9738443800000001</v>
      </c>
      <c r="F209">
        <v>7.9986713600000003</v>
      </c>
      <c r="G209">
        <v>7.7402295199999998</v>
      </c>
      <c r="H209">
        <v>8.07246737</v>
      </c>
      <c r="I209">
        <v>7.8123782100000003</v>
      </c>
      <c r="J209">
        <v>7.3645470099999999</v>
      </c>
      <c r="K209">
        <v>8.2369500500000008</v>
      </c>
      <c r="L209">
        <v>7.0975488499999999</v>
      </c>
      <c r="M209">
        <v>8.1789193299999994</v>
      </c>
      <c r="N209">
        <v>8.5958195100000001</v>
      </c>
      <c r="O209">
        <v>8.6009827199999993</v>
      </c>
      <c r="P209">
        <v>8.6130486800000003</v>
      </c>
      <c r="Q209">
        <v>8.6402953900000004</v>
      </c>
    </row>
    <row r="210" spans="1:17" x14ac:dyDescent="0.2">
      <c r="A210">
        <v>78.95975</v>
      </c>
      <c r="B210">
        <v>7.8180279400000003</v>
      </c>
      <c r="C210">
        <v>7.9131551900000003</v>
      </c>
      <c r="D210">
        <v>7.8808043400000001</v>
      </c>
      <c r="E210">
        <v>7.9707403899999996</v>
      </c>
      <c r="F210">
        <v>7.9912539300000001</v>
      </c>
      <c r="G210">
        <v>7.7424020200000001</v>
      </c>
      <c r="H210">
        <v>8.0640073500000007</v>
      </c>
      <c r="I210">
        <v>7.8148034300000004</v>
      </c>
      <c r="J210">
        <v>7.3664451499999997</v>
      </c>
      <c r="K210">
        <v>8.2377438000000005</v>
      </c>
      <c r="L210">
        <v>7.0925737199999999</v>
      </c>
      <c r="M210">
        <v>8.1721644500000004</v>
      </c>
      <c r="N210">
        <v>8.5971128100000005</v>
      </c>
      <c r="O210">
        <v>8.5952647300000002</v>
      </c>
      <c r="P210">
        <v>8.6152269300000004</v>
      </c>
      <c r="Q210">
        <v>8.6399416599999999</v>
      </c>
    </row>
    <row r="211" spans="1:17" x14ac:dyDescent="0.2">
      <c r="A211">
        <v>79.339333300000007</v>
      </c>
      <c r="B211">
        <v>7.8131872700000002</v>
      </c>
      <c r="C211">
        <v>7.9218984099999998</v>
      </c>
      <c r="D211">
        <v>7.8811821999999996</v>
      </c>
      <c r="E211">
        <v>7.9731554300000003</v>
      </c>
      <c r="F211">
        <v>7.9986713600000003</v>
      </c>
      <c r="G211">
        <v>7.7384881200000004</v>
      </c>
      <c r="H211">
        <v>8.0624327900000008</v>
      </c>
      <c r="I211">
        <v>7.8123782100000003</v>
      </c>
      <c r="J211">
        <v>7.3651801299999997</v>
      </c>
      <c r="K211">
        <v>8.2345649900000009</v>
      </c>
      <c r="L211">
        <v>7.0892431599999997</v>
      </c>
      <c r="M211">
        <v>8.1803208699999992</v>
      </c>
      <c r="N211">
        <v>8.5939690300000002</v>
      </c>
      <c r="O211">
        <v>8.5948946999999993</v>
      </c>
      <c r="P211">
        <v>8.6146828099999997</v>
      </c>
      <c r="Q211">
        <v>8.6417090699999992</v>
      </c>
    </row>
    <row r="212" spans="1:17" x14ac:dyDescent="0.2">
      <c r="A212">
        <v>79.718916699999994</v>
      </c>
      <c r="B212">
        <v>7.8127828199999998</v>
      </c>
      <c r="C212">
        <v>7.91826469</v>
      </c>
      <c r="D212">
        <v>7.8789129100000004</v>
      </c>
      <c r="E212">
        <v>7.9717761200000004</v>
      </c>
      <c r="F212">
        <v>7.9990072100000003</v>
      </c>
      <c r="G212">
        <v>7.7428359599999999</v>
      </c>
      <c r="H212">
        <v>8.0690293299999993</v>
      </c>
      <c r="I212">
        <v>7.8127828199999998</v>
      </c>
      <c r="J212">
        <v>7.3651801299999997</v>
      </c>
      <c r="K212">
        <v>8.2443340500000009</v>
      </c>
      <c r="L212">
        <v>7.0975488499999999</v>
      </c>
      <c r="M212">
        <v>8.1783581699999992</v>
      </c>
      <c r="N212">
        <v>8.5939690300000002</v>
      </c>
      <c r="O212">
        <v>8.5941542299999991</v>
      </c>
      <c r="P212">
        <v>8.6170385300000003</v>
      </c>
      <c r="Q212">
        <v>8.6462897600000002</v>
      </c>
    </row>
    <row r="213" spans="1:17" x14ac:dyDescent="0.2">
      <c r="A213">
        <v>80.098472200000003</v>
      </c>
      <c r="B213">
        <v>7.81075812</v>
      </c>
      <c r="C213">
        <v>7.9105906099999999</v>
      </c>
      <c r="D213">
        <v>7.8739783799999996</v>
      </c>
      <c r="E213">
        <v>7.9731554300000003</v>
      </c>
      <c r="F213">
        <v>7.9979993199999999</v>
      </c>
      <c r="G213">
        <v>7.7397944599999997</v>
      </c>
      <c r="H213">
        <v>8.0680896299999993</v>
      </c>
      <c r="I213">
        <v>7.8119734300000001</v>
      </c>
      <c r="J213">
        <v>7.3632795900000003</v>
      </c>
      <c r="K213">
        <v>8.2393294299999997</v>
      </c>
      <c r="L213">
        <v>7.1000271699999997</v>
      </c>
      <c r="M213">
        <v>8.1727290999999997</v>
      </c>
      <c r="N213">
        <v>8.5948946999999993</v>
      </c>
      <c r="O213">
        <v>8.5930424999999993</v>
      </c>
      <c r="P213">
        <v>8.6143198999999999</v>
      </c>
      <c r="Q213">
        <v>8.6394108200000002</v>
      </c>
    </row>
    <row r="214" spans="1:17" x14ac:dyDescent="0.2">
      <c r="A214">
        <v>80.478055600000005</v>
      </c>
      <c r="B214">
        <v>7.8156105299999998</v>
      </c>
      <c r="C214">
        <v>7.9142522800000004</v>
      </c>
      <c r="D214">
        <v>7.8796699099999996</v>
      </c>
      <c r="E214">
        <v>7.9683194999999998</v>
      </c>
      <c r="F214">
        <v>7.9946323100000001</v>
      </c>
      <c r="G214">
        <v>7.7437032600000002</v>
      </c>
      <c r="H214">
        <v>8.0709060899999994</v>
      </c>
      <c r="I214">
        <v>7.8176254399999996</v>
      </c>
      <c r="J214">
        <v>7.3658128400000003</v>
      </c>
      <c r="K214">
        <v>8.2372146999999991</v>
      </c>
      <c r="L214">
        <v>7.0909098200000003</v>
      </c>
      <c r="M214">
        <v>8.1806009500000005</v>
      </c>
      <c r="N214">
        <v>8.5889555600000005</v>
      </c>
      <c r="O214">
        <v>8.5934132200000004</v>
      </c>
      <c r="P214">
        <v>8.6117758299999991</v>
      </c>
      <c r="Q214">
        <v>8.6438258399999999</v>
      </c>
    </row>
    <row r="215" spans="1:17" x14ac:dyDescent="0.2">
      <c r="A215">
        <v>80.857638899999998</v>
      </c>
      <c r="B215">
        <v>7.8139956799999997</v>
      </c>
      <c r="C215">
        <v>7.9069154900000003</v>
      </c>
      <c r="D215">
        <v>7.8739783799999996</v>
      </c>
      <c r="E215">
        <v>7.9665866999999997</v>
      </c>
      <c r="F215">
        <v>7.9986713600000003</v>
      </c>
      <c r="G215">
        <v>7.7376162800000001</v>
      </c>
      <c r="H215">
        <v>8.0649508900000004</v>
      </c>
      <c r="I215">
        <v>7.8131872700000002</v>
      </c>
      <c r="J215">
        <v>7.3601039699999999</v>
      </c>
      <c r="K215">
        <v>8.2364205300000002</v>
      </c>
      <c r="L215">
        <v>7.09007684</v>
      </c>
      <c r="M215">
        <v>8.1670681799999993</v>
      </c>
      <c r="N215">
        <v>8.5911868699999996</v>
      </c>
      <c r="O215">
        <v>8.5910011199999996</v>
      </c>
      <c r="P215">
        <v>8.6110477700000008</v>
      </c>
      <c r="Q215">
        <v>8.6404722100000004</v>
      </c>
    </row>
    <row r="216" spans="1:17" x14ac:dyDescent="0.2">
      <c r="A216">
        <v>81.237194400000007</v>
      </c>
      <c r="B216">
        <v>7.8079166300000002</v>
      </c>
      <c r="C216">
        <v>7.9127892199999996</v>
      </c>
      <c r="D216">
        <v>7.8728361800000002</v>
      </c>
      <c r="E216">
        <v>7.9655455699999997</v>
      </c>
      <c r="F216">
        <v>7.9983354000000002</v>
      </c>
      <c r="G216">
        <v>7.7419678999999997</v>
      </c>
      <c r="H216">
        <v>8.0646364800000008</v>
      </c>
      <c r="I216">
        <v>7.8244459300000004</v>
      </c>
      <c r="J216">
        <v>7.3645470099999999</v>
      </c>
      <c r="K216">
        <v>8.23827262</v>
      </c>
      <c r="L216">
        <v>7.08840878</v>
      </c>
      <c r="M216">
        <v>8.1814406999999996</v>
      </c>
      <c r="N216">
        <v>8.5850387399999999</v>
      </c>
      <c r="O216">
        <v>8.5874652400000002</v>
      </c>
      <c r="P216">
        <v>8.6072166899999996</v>
      </c>
      <c r="Q216">
        <v>8.6408257499999994</v>
      </c>
    </row>
    <row r="217" spans="1:17" x14ac:dyDescent="0.2">
      <c r="A217">
        <v>81.616749999999996</v>
      </c>
      <c r="B217">
        <v>7.8062892899999996</v>
      </c>
      <c r="C217">
        <v>7.9091221799999998</v>
      </c>
      <c r="D217">
        <v>7.8716926599999999</v>
      </c>
      <c r="E217">
        <v>7.9700493000000003</v>
      </c>
      <c r="F217">
        <v>7.9973268199999996</v>
      </c>
      <c r="G217">
        <v>7.7445698099999998</v>
      </c>
      <c r="H217">
        <v>8.0671490400000003</v>
      </c>
      <c r="I217">
        <v>7.8176254399999996</v>
      </c>
      <c r="J217">
        <v>7.3607398999999996</v>
      </c>
      <c r="K217">
        <v>8.2385369300000004</v>
      </c>
      <c r="L217">
        <v>7.1000271699999997</v>
      </c>
      <c r="M217">
        <v>8.1761103399999993</v>
      </c>
      <c r="N217">
        <v>8.5872788</v>
      </c>
      <c r="O217">
        <v>8.5896998799999995</v>
      </c>
      <c r="P217">
        <v>8.6117758299999991</v>
      </c>
      <c r="Q217">
        <v>8.6378166299999997</v>
      </c>
    </row>
    <row r="218" spans="1:17" x14ac:dyDescent="0.2">
      <c r="A218">
        <v>81.996333300000003</v>
      </c>
      <c r="B218">
        <v>7.8058820400000002</v>
      </c>
      <c r="C218">
        <v>7.9109573800000001</v>
      </c>
      <c r="D218">
        <v>7.8735977899999998</v>
      </c>
      <c r="E218">
        <v>7.9728107799999997</v>
      </c>
      <c r="F218">
        <v>7.9983354000000002</v>
      </c>
      <c r="G218">
        <v>7.7410990899999996</v>
      </c>
      <c r="H218">
        <v>8.0618022699999994</v>
      </c>
      <c r="I218">
        <v>7.8139956799999997</v>
      </c>
      <c r="J218">
        <v>7.3664451499999997</v>
      </c>
      <c r="K218">
        <v>8.2308435600000003</v>
      </c>
      <c r="L218">
        <v>7.1008519100000003</v>
      </c>
      <c r="M218">
        <v>8.1755475999999998</v>
      </c>
      <c r="N218">
        <v>8.58709232</v>
      </c>
      <c r="O218">
        <v>8.5900718400000002</v>
      </c>
      <c r="P218">
        <v>8.6066681999999997</v>
      </c>
      <c r="Q218">
        <v>8.63550942</v>
      </c>
    </row>
    <row r="219" spans="1:17" x14ac:dyDescent="0.2">
      <c r="A219">
        <v>82.375916700000005</v>
      </c>
      <c r="B219">
        <v>7.8009820699999999</v>
      </c>
      <c r="C219">
        <v>7.9058103099999997</v>
      </c>
      <c r="D219">
        <v>7.8743588200000003</v>
      </c>
      <c r="E219">
        <v>7.9655455699999997</v>
      </c>
      <c r="F219">
        <v>8.0020248200000008</v>
      </c>
      <c r="G219">
        <v>7.7380522999999997</v>
      </c>
      <c r="H219">
        <v>8.06871619</v>
      </c>
      <c r="I219">
        <v>7.8160138400000001</v>
      </c>
      <c r="J219">
        <v>7.3613754299999998</v>
      </c>
      <c r="K219">
        <v>8.24143969</v>
      </c>
      <c r="L219">
        <v>7.08840878</v>
      </c>
      <c r="M219">
        <v>8.1783581699999992</v>
      </c>
      <c r="N219">
        <v>8.5937837899999998</v>
      </c>
      <c r="O219">
        <v>8.5846649100000008</v>
      </c>
      <c r="P219">
        <v>8.6134120500000009</v>
      </c>
      <c r="Q219">
        <v>8.6415324699999996</v>
      </c>
    </row>
    <row r="220" spans="1:17" x14ac:dyDescent="0.2">
      <c r="A220">
        <v>82.755499999999998</v>
      </c>
      <c r="B220">
        <v>7.8046593</v>
      </c>
      <c r="C220">
        <v>7.9039656300000001</v>
      </c>
      <c r="D220">
        <v>7.8697838999999998</v>
      </c>
      <c r="E220">
        <v>7.9683194999999998</v>
      </c>
      <c r="F220">
        <v>8.0053670700000001</v>
      </c>
      <c r="G220">
        <v>7.7463006600000002</v>
      </c>
      <c r="H220">
        <v>8.0640073500000007</v>
      </c>
      <c r="I220">
        <v>7.8111633899999999</v>
      </c>
      <c r="J220">
        <v>7.3658128400000003</v>
      </c>
      <c r="K220">
        <v>8.2303107999999998</v>
      </c>
      <c r="L220">
        <v>7.0975488499999999</v>
      </c>
      <c r="M220">
        <v>8.1761103399999993</v>
      </c>
      <c r="N220">
        <v>8.5855992200000006</v>
      </c>
      <c r="O220">
        <v>8.5885831899999996</v>
      </c>
      <c r="P220">
        <v>8.6108656700000008</v>
      </c>
      <c r="Q220">
        <v>8.6324842400000001</v>
      </c>
    </row>
    <row r="221" spans="1:17" x14ac:dyDescent="0.2">
      <c r="A221">
        <v>83.135083300000005</v>
      </c>
      <c r="B221">
        <v>7.8026180600000004</v>
      </c>
      <c r="C221">
        <v>7.9028571899999998</v>
      </c>
      <c r="D221">
        <v>7.8632667200000004</v>
      </c>
      <c r="E221">
        <v>7.9641557199999999</v>
      </c>
      <c r="F221">
        <v>7.9986713600000003</v>
      </c>
      <c r="G221">
        <v>7.73674368</v>
      </c>
      <c r="H221">
        <v>8.0633778199999995</v>
      </c>
      <c r="I221">
        <v>7.8103526800000003</v>
      </c>
      <c r="J221">
        <v>7.36833969</v>
      </c>
      <c r="K221">
        <v>8.2295111199999997</v>
      </c>
      <c r="L221">
        <v>7.0892431599999997</v>
      </c>
      <c r="M221">
        <v>8.1721644500000004</v>
      </c>
      <c r="N221">
        <v>8.5811065200000005</v>
      </c>
      <c r="O221">
        <v>8.5826063300000008</v>
      </c>
      <c r="P221">
        <v>8.6042878999999992</v>
      </c>
      <c r="Q221">
        <v>8.63426486</v>
      </c>
    </row>
    <row r="222" spans="1:17" x14ac:dyDescent="0.2">
      <c r="A222">
        <v>83.514666700000006</v>
      </c>
      <c r="B222">
        <v>7.8013913199999996</v>
      </c>
      <c r="C222">
        <v>7.8984110899999997</v>
      </c>
      <c r="D222">
        <v>7.8728361800000002</v>
      </c>
      <c r="E222">
        <v>7.96519829</v>
      </c>
      <c r="F222">
        <v>8.0010199600000007</v>
      </c>
      <c r="G222">
        <v>7.73674368</v>
      </c>
      <c r="H222">
        <v>8.0702808899999994</v>
      </c>
      <c r="I222">
        <v>7.8152070599999997</v>
      </c>
      <c r="J222">
        <v>7.3651801299999997</v>
      </c>
      <c r="K222">
        <v>8.2324401599999995</v>
      </c>
      <c r="L222">
        <v>7.0983756400000004</v>
      </c>
      <c r="M222">
        <v>8.1744211500000006</v>
      </c>
      <c r="N222">
        <v>8.5814816799999996</v>
      </c>
      <c r="O222">
        <v>8.5792285800000005</v>
      </c>
      <c r="P222">
        <v>8.6066681999999997</v>
      </c>
      <c r="Q222">
        <v>8.6333749500000003</v>
      </c>
    </row>
    <row r="223" spans="1:17" x14ac:dyDescent="0.2">
      <c r="A223">
        <v>83.894222200000002</v>
      </c>
      <c r="B223">
        <v>7.8022093200000002</v>
      </c>
      <c r="C223">
        <v>7.9076515900000004</v>
      </c>
      <c r="D223">
        <v>7.8701659499999996</v>
      </c>
      <c r="E223">
        <v>7.9669334999999997</v>
      </c>
      <c r="F223">
        <v>7.9973268199999996</v>
      </c>
      <c r="G223">
        <v>7.7441366299999999</v>
      </c>
      <c r="H223">
        <v>8.0690293299999993</v>
      </c>
      <c r="I223">
        <v>7.8083230500000003</v>
      </c>
      <c r="J223">
        <v>7.3581937499999999</v>
      </c>
      <c r="K223">
        <v>8.2300443100000003</v>
      </c>
      <c r="L223">
        <v>7.0950643800000002</v>
      </c>
      <c r="M223">
        <v>8.1744211500000006</v>
      </c>
      <c r="N223">
        <v>8.57640505</v>
      </c>
      <c r="O223">
        <v>8.5811065200000005</v>
      </c>
      <c r="P223">
        <v>8.6073994599999999</v>
      </c>
      <c r="Q223">
        <v>8.6317710999999999</v>
      </c>
    </row>
    <row r="224" spans="1:17" x14ac:dyDescent="0.2">
      <c r="A224">
        <v>84.273805600000003</v>
      </c>
      <c r="B224">
        <v>7.7956465399999999</v>
      </c>
      <c r="C224">
        <v>7.8998953199999997</v>
      </c>
      <c r="D224">
        <v>7.8644198999999997</v>
      </c>
      <c r="E224">
        <v>7.9662397800000004</v>
      </c>
      <c r="F224">
        <v>8.0003495000000004</v>
      </c>
      <c r="G224">
        <v>7.7432696999999999</v>
      </c>
      <c r="H224">
        <v>8.0730912000000004</v>
      </c>
      <c r="I224">
        <v>7.8075100400000004</v>
      </c>
      <c r="J224">
        <v>7.3562798799999998</v>
      </c>
      <c r="K224">
        <v>8.2356257199999998</v>
      </c>
      <c r="L224">
        <v>7.1008519100000003</v>
      </c>
      <c r="M224">
        <v>8.1730113099999997</v>
      </c>
      <c r="N224">
        <v>8.5792285800000005</v>
      </c>
      <c r="O224">
        <v>8.5818566999999994</v>
      </c>
      <c r="P224">
        <v>8.6015343400000006</v>
      </c>
      <c r="Q224">
        <v>8.6296286200000001</v>
      </c>
    </row>
    <row r="225" spans="1:17" x14ac:dyDescent="0.2">
      <c r="A225">
        <v>84.653388899999996</v>
      </c>
      <c r="B225">
        <v>7.7939990899999998</v>
      </c>
      <c r="C225">
        <v>7.8946908499999999</v>
      </c>
      <c r="D225">
        <v>7.8628820299999997</v>
      </c>
      <c r="E225">
        <v>7.9645033600000001</v>
      </c>
      <c r="F225">
        <v>7.9929445499999998</v>
      </c>
      <c r="G225">
        <v>7.7376162800000001</v>
      </c>
      <c r="H225">
        <v>8.0636926300000002</v>
      </c>
      <c r="I225">
        <v>7.8131872700000002</v>
      </c>
      <c r="J225">
        <v>7.3543623299999998</v>
      </c>
      <c r="K225">
        <v>8.2388011700000003</v>
      </c>
      <c r="L225">
        <v>7.1000271699999997</v>
      </c>
      <c r="M225">
        <v>8.1690531499999999</v>
      </c>
      <c r="N225">
        <v>8.5739515300000004</v>
      </c>
      <c r="O225">
        <v>8.5728171</v>
      </c>
      <c r="P225">
        <v>8.6019019199999995</v>
      </c>
      <c r="Q225">
        <v>8.6251503300000003</v>
      </c>
    </row>
    <row r="226" spans="1:17" x14ac:dyDescent="0.2">
      <c r="A226">
        <v>85.032972200000003</v>
      </c>
      <c r="B226">
        <v>7.7972912699999997</v>
      </c>
      <c r="C226">
        <v>7.8841999300000003</v>
      </c>
      <c r="D226">
        <v>7.8663389199999996</v>
      </c>
      <c r="E226">
        <v>7.9554250900000003</v>
      </c>
      <c r="F226">
        <v>7.9895604499999999</v>
      </c>
      <c r="G226">
        <v>7.7306140699999997</v>
      </c>
      <c r="H226">
        <v>8.0640073500000007</v>
      </c>
      <c r="I226">
        <v>7.8079166300000002</v>
      </c>
      <c r="J226">
        <v>7.3613754299999998</v>
      </c>
      <c r="K226">
        <v>8.2356257199999998</v>
      </c>
      <c r="L226">
        <v>7.0925737199999999</v>
      </c>
      <c r="M226">
        <v>8.1738574499999999</v>
      </c>
      <c r="N226">
        <v>8.5714919599999995</v>
      </c>
      <c r="O226">
        <v>8.57640505</v>
      </c>
      <c r="P226">
        <v>8.6092252800000004</v>
      </c>
      <c r="Q226">
        <v>8.6301646699999992</v>
      </c>
    </row>
    <row r="227" spans="1:17" x14ac:dyDescent="0.2">
      <c r="A227">
        <v>85.412527800000007</v>
      </c>
      <c r="B227">
        <v>7.7890404000000002</v>
      </c>
      <c r="C227">
        <v>7.8872085900000002</v>
      </c>
      <c r="D227">
        <v>7.8582541800000003</v>
      </c>
      <c r="E227">
        <v>7.9620673100000001</v>
      </c>
      <c r="F227">
        <v>7.9973268199999996</v>
      </c>
      <c r="G227">
        <v>7.7380522999999997</v>
      </c>
      <c r="H227">
        <v>8.0677762000000008</v>
      </c>
      <c r="I227">
        <v>7.8091353999999997</v>
      </c>
      <c r="J227">
        <v>7.3524411000000001</v>
      </c>
      <c r="K227">
        <v>8.2369500500000008</v>
      </c>
      <c r="L227">
        <v>7.0975488499999999</v>
      </c>
      <c r="M227">
        <v>8.1727290999999997</v>
      </c>
      <c r="N227">
        <v>8.5716813799999994</v>
      </c>
      <c r="O227">
        <v>8.5796044499999997</v>
      </c>
      <c r="P227">
        <v>8.6033708900000008</v>
      </c>
      <c r="Q227">
        <v>8.6292710899999996</v>
      </c>
    </row>
    <row r="228" spans="1:17" x14ac:dyDescent="0.2">
      <c r="A228">
        <v>85.7921111</v>
      </c>
      <c r="B228">
        <v>7.7898685600000004</v>
      </c>
      <c r="C228">
        <v>7.8905825299999997</v>
      </c>
      <c r="D228">
        <v>7.8609563600000003</v>
      </c>
      <c r="E228">
        <v>7.9578773600000003</v>
      </c>
      <c r="F228">
        <v>7.9983354000000002</v>
      </c>
      <c r="G228">
        <v>7.7415335900000004</v>
      </c>
      <c r="H228">
        <v>8.0668353100000001</v>
      </c>
      <c r="I228">
        <v>7.8172227899999998</v>
      </c>
      <c r="J228">
        <v>7.3626452699999998</v>
      </c>
      <c r="K228">
        <v>8.2366853199999994</v>
      </c>
      <c r="L228">
        <v>7.1041440900000001</v>
      </c>
      <c r="M228">
        <v>8.1772348899999994</v>
      </c>
      <c r="N228">
        <v>8.5737625400000006</v>
      </c>
      <c r="O228">
        <v>8.5775354200000002</v>
      </c>
      <c r="P228">
        <v>8.6031873799999996</v>
      </c>
      <c r="Q228">
        <v>8.6269440599999996</v>
      </c>
    </row>
    <row r="229" spans="1:17" x14ac:dyDescent="0.2">
      <c r="A229">
        <v>86.171694400000007</v>
      </c>
      <c r="B229">
        <v>7.7939990899999998</v>
      </c>
      <c r="C229">
        <v>7.8917046600000003</v>
      </c>
      <c r="D229">
        <v>7.8547691799999999</v>
      </c>
      <c r="E229">
        <v>7.95331835</v>
      </c>
      <c r="F229">
        <v>8.0006847800000003</v>
      </c>
      <c r="G229">
        <v>7.7450028</v>
      </c>
      <c r="H229">
        <v>8.0662075699999995</v>
      </c>
      <c r="I229">
        <v>7.8079166300000002</v>
      </c>
      <c r="J229">
        <v>7.3556410999999997</v>
      </c>
      <c r="K229">
        <v>8.2319082399999992</v>
      </c>
      <c r="L229">
        <v>7.09007684</v>
      </c>
      <c r="M229">
        <v>8.1693364000000006</v>
      </c>
      <c r="N229">
        <v>8.5731953799999996</v>
      </c>
      <c r="O229">
        <v>8.5775354200000002</v>
      </c>
      <c r="P229">
        <v>8.6015343400000006</v>
      </c>
      <c r="Q229">
        <v>8.6262269499999995</v>
      </c>
    </row>
    <row r="230" spans="1:17" x14ac:dyDescent="0.2">
      <c r="A230">
        <v>86.551249999999996</v>
      </c>
      <c r="B230">
        <v>7.7803030900000003</v>
      </c>
      <c r="C230">
        <v>7.8868330000000002</v>
      </c>
      <c r="D230">
        <v>7.8613417999999999</v>
      </c>
      <c r="E230">
        <v>7.9519113800000003</v>
      </c>
      <c r="F230">
        <v>7.9990072100000003</v>
      </c>
      <c r="G230">
        <v>7.7376162800000001</v>
      </c>
      <c r="H230">
        <v>8.0705935400000008</v>
      </c>
      <c r="I230">
        <v>7.8143996299999996</v>
      </c>
      <c r="J230">
        <v>7.3492308199999998</v>
      </c>
      <c r="K230">
        <v>8.2313760499999997</v>
      </c>
      <c r="L230">
        <v>7.0942348500000003</v>
      </c>
      <c r="M230">
        <v>8.1721644500000004</v>
      </c>
      <c r="N230">
        <v>8.5724386700000004</v>
      </c>
      <c r="O230">
        <v>8.5728171</v>
      </c>
      <c r="P230">
        <v>8.6028202799999995</v>
      </c>
      <c r="Q230">
        <v>8.6244319399999991</v>
      </c>
    </row>
    <row r="231" spans="1:17" x14ac:dyDescent="0.2">
      <c r="A231">
        <v>86.930805599999999</v>
      </c>
      <c r="B231">
        <v>7.7844732399999996</v>
      </c>
      <c r="C231">
        <v>7.8849529499999997</v>
      </c>
      <c r="D231">
        <v>7.8539930900000003</v>
      </c>
      <c r="E231">
        <v>7.9508548599999997</v>
      </c>
      <c r="F231">
        <v>7.9929445499999998</v>
      </c>
      <c r="G231">
        <v>7.7424020200000001</v>
      </c>
      <c r="H231">
        <v>8.0699681499999993</v>
      </c>
      <c r="I231">
        <v>7.8083230500000003</v>
      </c>
      <c r="J231">
        <v>7.3517998699999998</v>
      </c>
      <c r="K231">
        <v>8.2356257199999998</v>
      </c>
      <c r="L231">
        <v>7.0983756400000004</v>
      </c>
      <c r="M231">
        <v>8.1667842900000007</v>
      </c>
      <c r="N231">
        <v>8.5678863100000004</v>
      </c>
      <c r="O231">
        <v>8.5714919599999995</v>
      </c>
      <c r="P231">
        <v>8.5952647300000002</v>
      </c>
      <c r="Q231">
        <v>8.62819775</v>
      </c>
    </row>
    <row r="232" spans="1:17" x14ac:dyDescent="0.2">
      <c r="A232">
        <v>87.310388900000007</v>
      </c>
      <c r="B232">
        <v>7.7803030900000003</v>
      </c>
      <c r="C232">
        <v>7.88570539</v>
      </c>
      <c r="D232">
        <v>7.8481530900000003</v>
      </c>
      <c r="E232">
        <v>7.95261511</v>
      </c>
      <c r="F232">
        <v>8.0010199600000007</v>
      </c>
      <c r="G232">
        <v>7.7384881200000004</v>
      </c>
      <c r="H232">
        <v>8.0614868699999995</v>
      </c>
      <c r="I232">
        <v>7.8091353999999997</v>
      </c>
      <c r="J232">
        <v>7.3395377000000002</v>
      </c>
      <c r="K232">
        <v>8.2332374999999995</v>
      </c>
      <c r="L232">
        <v>7.09007684</v>
      </c>
      <c r="M232">
        <v>8.1673519900000002</v>
      </c>
      <c r="N232">
        <v>8.5657928600000002</v>
      </c>
      <c r="O232">
        <v>8.5701650800000007</v>
      </c>
      <c r="P232">
        <v>8.5967434699999998</v>
      </c>
      <c r="Q232">
        <v>8.6215532100000001</v>
      </c>
    </row>
    <row r="233" spans="1:17" x14ac:dyDescent="0.2">
      <c r="A233">
        <v>87.6899722</v>
      </c>
      <c r="B233">
        <v>7.7807208899999996</v>
      </c>
      <c r="C233">
        <v>7.8864572700000002</v>
      </c>
      <c r="D233">
        <v>7.8539930900000003</v>
      </c>
      <c r="E233">
        <v>7.9536697800000002</v>
      </c>
      <c r="F233">
        <v>7.9986713600000003</v>
      </c>
      <c r="G233">
        <v>7.7410990899999996</v>
      </c>
      <c r="H233">
        <v>8.0649508900000004</v>
      </c>
      <c r="I233">
        <v>7.8046593</v>
      </c>
      <c r="J233">
        <v>7.3524411000000001</v>
      </c>
      <c r="K233">
        <v>8.2342996399999997</v>
      </c>
      <c r="L233">
        <v>7.1016759699999996</v>
      </c>
      <c r="M233">
        <v>8.1665003200000008</v>
      </c>
      <c r="N233">
        <v>8.5682664600000003</v>
      </c>
      <c r="O233">
        <v>8.5748958999999996</v>
      </c>
      <c r="P233">
        <v>8.6004307900000008</v>
      </c>
      <c r="Q233">
        <v>8.62532985</v>
      </c>
    </row>
    <row r="234" spans="1:17" x14ac:dyDescent="0.2">
      <c r="A234">
        <v>88.069555600000001</v>
      </c>
      <c r="B234">
        <v>7.7731736800000002</v>
      </c>
      <c r="C234">
        <v>7.8785341999999998</v>
      </c>
      <c r="D234">
        <v>7.8473718400000001</v>
      </c>
      <c r="E234">
        <v>7.9529667899999996</v>
      </c>
      <c r="F234">
        <v>7.9922686399999998</v>
      </c>
      <c r="G234">
        <v>7.73455884</v>
      </c>
      <c r="H234">
        <v>8.0655794299999997</v>
      </c>
      <c r="I234">
        <v>7.80343506</v>
      </c>
      <c r="J234">
        <v>7.3479438200000002</v>
      </c>
      <c r="K234">
        <v>8.2319082399999992</v>
      </c>
      <c r="L234">
        <v>7.0975488499999999</v>
      </c>
      <c r="M234">
        <v>8.1673519900000002</v>
      </c>
      <c r="N234">
        <v>8.5661738100000004</v>
      </c>
      <c r="O234">
        <v>8.5701650800000007</v>
      </c>
      <c r="P234">
        <v>8.6011666299999998</v>
      </c>
      <c r="Q234">
        <v>8.6255093299999999</v>
      </c>
    </row>
    <row r="235" spans="1:17" x14ac:dyDescent="0.2">
      <c r="A235">
        <v>88.449111099999996</v>
      </c>
      <c r="B235">
        <v>7.7761154799999996</v>
      </c>
      <c r="C235">
        <v>7.8777763299999997</v>
      </c>
      <c r="D235">
        <v>7.8489337299999997</v>
      </c>
      <c r="E235">
        <v>7.9501498899999996</v>
      </c>
      <c r="F235">
        <v>7.9932823300000004</v>
      </c>
      <c r="G235">
        <v>7.7380522999999997</v>
      </c>
      <c r="H235">
        <v>8.0640073500000007</v>
      </c>
      <c r="I235">
        <v>7.8009820699999999</v>
      </c>
      <c r="J235">
        <v>7.3511582300000002</v>
      </c>
      <c r="K235">
        <v>8.2311098400000002</v>
      </c>
      <c r="L235">
        <v>7.0909098200000003</v>
      </c>
      <c r="M235">
        <v>8.1645102699999992</v>
      </c>
      <c r="N235">
        <v>8.5699753800000007</v>
      </c>
      <c r="O235">
        <v>8.5762165299999999</v>
      </c>
      <c r="P235">
        <v>8.6002467500000002</v>
      </c>
      <c r="Q235">
        <v>8.6233533900000001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4192-0CD8-5C46-9A3C-AA0F2F4BCBE4}">
  <dimension ref="A1:J34"/>
  <sheetViews>
    <sheetView workbookViewId="0">
      <selection activeCell="I9" sqref="I9"/>
    </sheetView>
  </sheetViews>
  <sheetFormatPr baseColWidth="10" defaultRowHeight="16" x14ac:dyDescent="0.2"/>
  <cols>
    <col min="1" max="1" width="16.6640625" bestFit="1" customWidth="1"/>
    <col min="2" max="2" width="11.5" bestFit="1" customWidth="1"/>
    <col min="4" max="4" width="8.83203125" bestFit="1" customWidth="1"/>
    <col min="5" max="8" width="12.1640625" bestFit="1" customWidth="1"/>
    <col min="9" max="9" width="12.83203125" bestFit="1" customWidth="1"/>
    <col min="10" max="11" width="19.33203125" bestFit="1" customWidth="1"/>
  </cols>
  <sheetData>
    <row r="1" spans="1:10" x14ac:dyDescent="0.2">
      <c r="A1" s="3" t="s">
        <v>31</v>
      </c>
      <c r="B1" s="3" t="s">
        <v>0</v>
      </c>
      <c r="C1" s="3" t="s">
        <v>37</v>
      </c>
      <c r="D1" s="3" t="s">
        <v>6</v>
      </c>
      <c r="E1" s="3" t="s">
        <v>1134</v>
      </c>
      <c r="F1" s="3" t="s">
        <v>1135</v>
      </c>
      <c r="G1" s="3" t="s">
        <v>1136</v>
      </c>
      <c r="H1" s="3" t="s">
        <v>1137</v>
      </c>
      <c r="I1" s="3" t="s">
        <v>1138</v>
      </c>
      <c r="J1" s="3" t="s">
        <v>1139</v>
      </c>
    </row>
    <row r="2" spans="1:10" x14ac:dyDescent="0.2">
      <c r="A2" t="s">
        <v>3</v>
      </c>
      <c r="B2" t="s">
        <v>20</v>
      </c>
      <c r="C2" t="s">
        <v>18</v>
      </c>
      <c r="D2">
        <v>1</v>
      </c>
      <c r="E2">
        <v>0.90267279935912548</v>
      </c>
      <c r="F2">
        <v>0.97733273834102863</v>
      </c>
      <c r="G2">
        <v>0.88221167882361606</v>
      </c>
      <c r="H2">
        <v>0.94459049356953317</v>
      </c>
      <c r="I2">
        <v>-6.2378814745917111E-2</v>
      </c>
      <c r="J2">
        <v>-7.0707310097159512E-2</v>
      </c>
    </row>
    <row r="3" spans="1:10" x14ac:dyDescent="0.2">
      <c r="A3" t="s">
        <v>3</v>
      </c>
      <c r="B3" t="s">
        <v>20</v>
      </c>
      <c r="C3" t="s">
        <v>18</v>
      </c>
      <c r="D3">
        <v>2</v>
      </c>
      <c r="E3">
        <v>0.96796045066211756</v>
      </c>
      <c r="F3">
        <v>0.98737403195568818</v>
      </c>
      <c r="G3">
        <v>0.95573901294389996</v>
      </c>
      <c r="H3">
        <v>0.98606583421472704</v>
      </c>
      <c r="I3">
        <v>-3.0326821270827087E-2</v>
      </c>
      <c r="J3">
        <v>-3.173127899991586E-2</v>
      </c>
    </row>
    <row r="4" spans="1:10" x14ac:dyDescent="0.2">
      <c r="A4" t="s">
        <v>3</v>
      </c>
      <c r="B4" t="s">
        <v>20</v>
      </c>
      <c r="C4" t="s">
        <v>18</v>
      </c>
      <c r="D4">
        <v>3</v>
      </c>
      <c r="E4">
        <v>0.96453344415400422</v>
      </c>
      <c r="F4">
        <v>1.0048156515559914</v>
      </c>
      <c r="G4">
        <v>0.96917830113515013</v>
      </c>
      <c r="H4">
        <v>0.97368505073810396</v>
      </c>
      <c r="I4">
        <v>-4.5067496029538301E-3</v>
      </c>
      <c r="J4">
        <v>-4.6500727447935011E-3</v>
      </c>
    </row>
    <row r="5" spans="1:10" x14ac:dyDescent="0.2">
      <c r="A5" t="s">
        <v>58</v>
      </c>
      <c r="B5" t="s">
        <v>20</v>
      </c>
      <c r="C5" t="s">
        <v>18</v>
      </c>
      <c r="D5">
        <v>1</v>
      </c>
      <c r="E5">
        <v>0.66773558230507546</v>
      </c>
      <c r="F5">
        <v>0.93881374391486883</v>
      </c>
      <c r="G5">
        <v>0.62687934196900297</v>
      </c>
      <c r="H5">
        <v>0.67555338452934777</v>
      </c>
      <c r="I5">
        <v>-4.8674042560344799E-2</v>
      </c>
      <c r="J5">
        <v>-7.7644993703990264E-2</v>
      </c>
    </row>
    <row r="6" spans="1:10" x14ac:dyDescent="0.2">
      <c r="A6" t="s">
        <v>58</v>
      </c>
      <c r="B6" t="s">
        <v>20</v>
      </c>
      <c r="C6" t="s">
        <v>18</v>
      </c>
      <c r="D6">
        <v>2</v>
      </c>
      <c r="E6">
        <v>0.70301276894584974</v>
      </c>
      <c r="F6">
        <v>0.96089451656582958</v>
      </c>
      <c r="G6">
        <v>0.67552111475582755</v>
      </c>
      <c r="H6">
        <v>0.6962150534029421</v>
      </c>
      <c r="I6">
        <v>-2.0693938647114551E-2</v>
      </c>
      <c r="J6">
        <v>-3.0634036738577061E-2</v>
      </c>
    </row>
    <row r="7" spans="1:10" x14ac:dyDescent="0.2">
      <c r="A7" t="s">
        <v>58</v>
      </c>
      <c r="B7" t="s">
        <v>20</v>
      </c>
      <c r="C7" t="s">
        <v>18</v>
      </c>
      <c r="D7">
        <v>3</v>
      </c>
      <c r="E7">
        <v>0.71774684320099902</v>
      </c>
      <c r="F7">
        <v>0.96357654778579849</v>
      </c>
      <c r="G7">
        <v>0.69160402535577348</v>
      </c>
      <c r="H7">
        <v>0.6942553308086854</v>
      </c>
      <c r="I7">
        <v>-2.6513054529119229E-3</v>
      </c>
      <c r="J7">
        <v>-3.833559892234641E-3</v>
      </c>
    </row>
    <row r="8" spans="1:10" x14ac:dyDescent="0.2">
      <c r="A8" t="s">
        <v>2</v>
      </c>
      <c r="B8" t="s">
        <v>20</v>
      </c>
      <c r="C8" t="s">
        <v>18</v>
      </c>
      <c r="D8">
        <v>1</v>
      </c>
      <c r="E8">
        <v>0.6782699739654473</v>
      </c>
      <c r="F8">
        <v>0.53868600002482159</v>
      </c>
      <c r="G8">
        <v>0.36537453921238666</v>
      </c>
      <c r="H8">
        <v>0.37955538355913798</v>
      </c>
      <c r="I8">
        <v>-1.418084434675132E-2</v>
      </c>
      <c r="J8">
        <v>-3.8811802205265901E-2</v>
      </c>
    </row>
    <row r="9" spans="1:10" x14ac:dyDescent="0.2">
      <c r="A9" t="s">
        <v>2</v>
      </c>
      <c r="B9" t="s">
        <v>20</v>
      </c>
      <c r="C9" t="s">
        <v>18</v>
      </c>
      <c r="D9">
        <v>2</v>
      </c>
      <c r="E9">
        <v>0.67667413299292234</v>
      </c>
      <c r="F9">
        <v>0.5497000660935909</v>
      </c>
      <c r="G9">
        <v>0.37196781563003273</v>
      </c>
      <c r="H9">
        <v>0.3489715159521003</v>
      </c>
      <c r="I9">
        <v>2.299629967793243E-2</v>
      </c>
      <c r="J9">
        <v>6.1823358666076231E-2</v>
      </c>
    </row>
    <row r="10" spans="1:10" x14ac:dyDescent="0.2">
      <c r="A10" t="s">
        <v>2</v>
      </c>
      <c r="B10" t="s">
        <v>20</v>
      </c>
      <c r="C10" t="s">
        <v>18</v>
      </c>
      <c r="D10">
        <v>3</v>
      </c>
      <c r="E10">
        <v>0.657908409602042</v>
      </c>
      <c r="F10">
        <v>0.54005680836221293</v>
      </c>
      <c r="G10">
        <v>0.3553079158843383</v>
      </c>
      <c r="H10">
        <v>0.32135156590975245</v>
      </c>
      <c r="I10">
        <v>3.3956349974585853E-2</v>
      </c>
      <c r="J10">
        <v>9.5568796687432941E-2</v>
      </c>
    </row>
    <row r="11" spans="1:10" x14ac:dyDescent="0.2">
      <c r="A11" t="s">
        <v>85</v>
      </c>
      <c r="B11" t="s">
        <v>20</v>
      </c>
      <c r="C11" t="s">
        <v>18</v>
      </c>
      <c r="D11">
        <v>1</v>
      </c>
      <c r="E11">
        <v>0.52822605380732668</v>
      </c>
      <c r="F11">
        <v>0.9441911278125299</v>
      </c>
      <c r="G11">
        <v>0.49590587920823331</v>
      </c>
      <c r="H11">
        <v>0.51593525544335606</v>
      </c>
      <c r="I11">
        <v>-2.0029376235122742E-2</v>
      </c>
      <c r="J11">
        <v>-4.0389471218009718E-2</v>
      </c>
    </row>
    <row r="12" spans="1:10" x14ac:dyDescent="0.2">
      <c r="A12" t="s">
        <v>85</v>
      </c>
      <c r="B12" t="s">
        <v>20</v>
      </c>
      <c r="C12" t="s">
        <v>18</v>
      </c>
      <c r="D12">
        <v>2</v>
      </c>
      <c r="E12">
        <v>0.4767758698694643</v>
      </c>
      <c r="F12">
        <v>0.98953942134297579</v>
      </c>
      <c r="G12">
        <v>0.47178851838092362</v>
      </c>
      <c r="H12">
        <v>0.41321259662126164</v>
      </c>
      <c r="I12">
        <v>5.8575921759661975E-2</v>
      </c>
      <c r="J12">
        <v>0.12415715829770911</v>
      </c>
    </row>
    <row r="13" spans="1:10" x14ac:dyDescent="0.2">
      <c r="A13" t="s">
        <v>85</v>
      </c>
      <c r="B13" t="s">
        <v>20</v>
      </c>
      <c r="C13" t="s">
        <v>18</v>
      </c>
      <c r="D13">
        <v>3</v>
      </c>
      <c r="E13">
        <v>0.49613169867814622</v>
      </c>
      <c r="F13">
        <v>0.96937890383569603</v>
      </c>
      <c r="G13">
        <v>0.48093960222276322</v>
      </c>
      <c r="H13">
        <v>0.38278403693490032</v>
      </c>
      <c r="I13">
        <v>9.81555652878629E-2</v>
      </c>
      <c r="J13">
        <v>0.20409125144657744</v>
      </c>
    </row>
    <row r="14" spans="1:10" x14ac:dyDescent="0.2">
      <c r="A14" t="s">
        <v>4</v>
      </c>
      <c r="B14" t="s">
        <v>20</v>
      </c>
      <c r="C14" t="s">
        <v>18</v>
      </c>
      <c r="D14">
        <v>1</v>
      </c>
      <c r="E14">
        <v>0.52822605380732668</v>
      </c>
      <c r="F14">
        <v>0.93881374391486883</v>
      </c>
      <c r="G14">
        <v>0.49590587920823331</v>
      </c>
      <c r="H14">
        <v>0.45639912003004557</v>
      </c>
      <c r="I14">
        <v>3.9506759178187745E-2</v>
      </c>
      <c r="J14">
        <v>7.9665841512636434E-2</v>
      </c>
    </row>
    <row r="15" spans="1:10" x14ac:dyDescent="0.2">
      <c r="A15" t="s">
        <v>4</v>
      </c>
      <c r="B15" t="s">
        <v>20</v>
      </c>
      <c r="C15" t="s">
        <v>18</v>
      </c>
      <c r="D15">
        <v>2</v>
      </c>
      <c r="E15">
        <v>0.4767758698694643</v>
      </c>
      <c r="F15">
        <v>0.96089451656582958</v>
      </c>
      <c r="G15">
        <v>0.45813131898847176</v>
      </c>
      <c r="H15">
        <v>0.43674067028927521</v>
      </c>
      <c r="I15">
        <v>2.1390648699196546E-2</v>
      </c>
      <c r="J15">
        <v>4.6691085749007287E-2</v>
      </c>
    </row>
    <row r="16" spans="1:10" x14ac:dyDescent="0.2">
      <c r="A16" t="s">
        <v>4</v>
      </c>
      <c r="B16" t="s">
        <v>20</v>
      </c>
      <c r="C16" t="s">
        <v>18</v>
      </c>
      <c r="D16">
        <v>3</v>
      </c>
      <c r="E16">
        <v>0.49613169867814622</v>
      </c>
      <c r="F16">
        <v>0.96357654778579849</v>
      </c>
      <c r="G16">
        <v>0.47806086945939213</v>
      </c>
      <c r="H16">
        <v>0.4345329719648372</v>
      </c>
      <c r="I16">
        <v>4.3527897494554935E-2</v>
      </c>
      <c r="J16">
        <v>9.1050952452514669E-2</v>
      </c>
    </row>
    <row r="17" spans="1:10" x14ac:dyDescent="0.2">
      <c r="A17" s="2" t="s">
        <v>90</v>
      </c>
      <c r="B17" t="s">
        <v>20</v>
      </c>
      <c r="C17" t="s">
        <v>18</v>
      </c>
      <c r="D17">
        <v>1</v>
      </c>
      <c r="E17">
        <v>0.52822605380732668</v>
      </c>
      <c r="F17">
        <v>0.97733273834102863</v>
      </c>
      <c r="G17">
        <v>0.51625261563059011</v>
      </c>
      <c r="H17">
        <v>0.70482033704889568</v>
      </c>
      <c r="I17">
        <v>-0.18856772141830558</v>
      </c>
      <c r="J17">
        <v>-0.36526250077779199</v>
      </c>
    </row>
    <row r="18" spans="1:10" x14ac:dyDescent="0.2">
      <c r="A18" t="s">
        <v>90</v>
      </c>
      <c r="B18" t="s">
        <v>20</v>
      </c>
      <c r="C18" t="s">
        <v>18</v>
      </c>
      <c r="D18">
        <v>2</v>
      </c>
      <c r="E18">
        <v>0.4767758698694643</v>
      </c>
      <c r="F18">
        <v>0.98737403195568818</v>
      </c>
      <c r="G18">
        <v>0.4707561129721935</v>
      </c>
      <c r="H18">
        <v>0.7176817804870681</v>
      </c>
      <c r="I18">
        <v>-0.2469256675148746</v>
      </c>
      <c r="J18">
        <v>-0.52452992262993714</v>
      </c>
    </row>
    <row r="19" spans="1:10" x14ac:dyDescent="0.2">
      <c r="A19" t="s">
        <v>90</v>
      </c>
      <c r="B19" t="s">
        <v>20</v>
      </c>
      <c r="C19" t="s">
        <v>18</v>
      </c>
      <c r="D19">
        <v>3</v>
      </c>
      <c r="E19">
        <v>0.49613169867814622</v>
      </c>
      <c r="F19">
        <v>1.0048156515559914</v>
      </c>
      <c r="G19">
        <v>0.49852089606486227</v>
      </c>
      <c r="H19">
        <v>0.65216018245943441</v>
      </c>
      <c r="I19">
        <v>-0.15363928639457214</v>
      </c>
      <c r="J19">
        <v>-0.30819026365262375</v>
      </c>
    </row>
    <row r="20" spans="1:10" x14ac:dyDescent="0.2">
      <c r="A20" t="s">
        <v>21</v>
      </c>
      <c r="B20" t="s">
        <v>20</v>
      </c>
      <c r="C20" t="s">
        <v>18</v>
      </c>
      <c r="D20">
        <v>1</v>
      </c>
      <c r="E20">
        <v>0.32190019367306966</v>
      </c>
      <c r="F20">
        <v>0.9441911278125299</v>
      </c>
      <c r="G20">
        <v>0.30393530690724746</v>
      </c>
      <c r="H20">
        <v>0.33534158087273497</v>
      </c>
      <c r="I20">
        <v>-3.1406273965487508E-2</v>
      </c>
      <c r="J20">
        <v>-0.10333210144312659</v>
      </c>
    </row>
    <row r="21" spans="1:10" x14ac:dyDescent="0.2">
      <c r="A21" t="s">
        <v>21</v>
      </c>
      <c r="B21" t="s">
        <v>20</v>
      </c>
      <c r="C21" t="s">
        <v>18</v>
      </c>
      <c r="D21">
        <v>2</v>
      </c>
      <c r="E21">
        <v>0.6311201042845962</v>
      </c>
      <c r="F21">
        <v>0.98953942134297579</v>
      </c>
      <c r="G21">
        <v>0.62451822279169789</v>
      </c>
      <c r="H21">
        <v>0.53629769790434678</v>
      </c>
      <c r="I21">
        <v>8.8220524887351104E-2</v>
      </c>
      <c r="J21">
        <v>0.14126173051122676</v>
      </c>
    </row>
    <row r="22" spans="1:10" x14ac:dyDescent="0.2">
      <c r="A22" t="s">
        <v>21</v>
      </c>
      <c r="B22" t="s">
        <v>20</v>
      </c>
      <c r="C22" t="s">
        <v>18</v>
      </c>
      <c r="D22">
        <v>3</v>
      </c>
      <c r="E22">
        <v>0.32603409226410363</v>
      </c>
      <c r="F22">
        <v>0.96937890383569603</v>
      </c>
      <c r="G22">
        <v>0.31605057097204298</v>
      </c>
      <c r="H22">
        <v>0.34840269266803986</v>
      </c>
      <c r="I22">
        <v>-3.2352121695996883E-2</v>
      </c>
      <c r="J22">
        <v>-0.10236375019508719</v>
      </c>
    </row>
    <row r="23" spans="1:10" x14ac:dyDescent="0.2">
      <c r="A23" t="s">
        <v>40</v>
      </c>
      <c r="B23" t="s">
        <v>20</v>
      </c>
      <c r="C23" t="s">
        <v>18</v>
      </c>
      <c r="D23">
        <v>1</v>
      </c>
      <c r="E23">
        <v>0.9441911278125299</v>
      </c>
      <c r="F23">
        <v>0.93881374391486883</v>
      </c>
      <c r="G23">
        <v>0.88641960767288364</v>
      </c>
      <c r="H23">
        <v>0.92284216969470356</v>
      </c>
      <c r="I23">
        <v>-3.6422562021819926E-2</v>
      </c>
      <c r="J23">
        <v>-4.1089526570198549E-2</v>
      </c>
    </row>
    <row r="24" spans="1:10" x14ac:dyDescent="0.2">
      <c r="A24" t="s">
        <v>40</v>
      </c>
      <c r="B24" t="s">
        <v>20</v>
      </c>
      <c r="C24" t="s">
        <v>18</v>
      </c>
      <c r="D24">
        <v>2</v>
      </c>
      <c r="E24">
        <v>0.98953942134297579</v>
      </c>
      <c r="F24">
        <v>0.96089451656582958</v>
      </c>
      <c r="G24">
        <v>0.95084300389418952</v>
      </c>
      <c r="H24">
        <v>0.92148624101832011</v>
      </c>
      <c r="I24">
        <v>2.9356762875869413E-2</v>
      </c>
      <c r="J24">
        <v>3.0874458512749656E-2</v>
      </c>
    </row>
    <row r="25" spans="1:10" x14ac:dyDescent="0.2">
      <c r="A25" t="s">
        <v>40</v>
      </c>
      <c r="B25" t="s">
        <v>20</v>
      </c>
      <c r="C25" t="s">
        <v>18</v>
      </c>
      <c r="D25">
        <v>3</v>
      </c>
      <c r="E25">
        <v>0.96937890383569603</v>
      </c>
      <c r="F25">
        <v>0.96357654778579849</v>
      </c>
      <c r="G25">
        <v>0.93407077765438151</v>
      </c>
      <c r="H25">
        <v>0.92267857085406535</v>
      </c>
      <c r="I25">
        <v>1.1392206800316163E-2</v>
      </c>
      <c r="J25">
        <v>1.2196299330682444E-2</v>
      </c>
    </row>
    <row r="26" spans="1:10" x14ac:dyDescent="0.2">
      <c r="A26" t="s">
        <v>10</v>
      </c>
      <c r="B26" t="s">
        <v>20</v>
      </c>
      <c r="C26" t="s">
        <v>18</v>
      </c>
      <c r="D26">
        <v>1</v>
      </c>
      <c r="E26">
        <v>0.9441911278125299</v>
      </c>
      <c r="F26">
        <v>0.97733273834102863</v>
      </c>
      <c r="G26">
        <v>0.92278890046232398</v>
      </c>
      <c r="H26">
        <v>0.97766352754763886</v>
      </c>
      <c r="I26">
        <v>-5.4874627085314875E-2</v>
      </c>
      <c r="J26">
        <v>-5.9466067545700094E-2</v>
      </c>
    </row>
    <row r="27" spans="1:10" x14ac:dyDescent="0.2">
      <c r="A27" t="s">
        <v>10</v>
      </c>
      <c r="B27" t="s">
        <v>20</v>
      </c>
      <c r="C27" t="s">
        <v>18</v>
      </c>
      <c r="D27">
        <v>2</v>
      </c>
      <c r="E27">
        <v>0.98953942134297579</v>
      </c>
      <c r="F27">
        <v>0.98737403195568818</v>
      </c>
      <c r="G27">
        <v>0.97704552823051261</v>
      </c>
      <c r="H27">
        <v>1.0027025561347909</v>
      </c>
      <c r="I27">
        <v>-2.5657027904278262E-2</v>
      </c>
      <c r="J27">
        <v>-2.6259807923940517E-2</v>
      </c>
    </row>
    <row r="28" spans="1:10" x14ac:dyDescent="0.2">
      <c r="A28" t="s">
        <v>10</v>
      </c>
      <c r="B28" t="s">
        <v>20</v>
      </c>
      <c r="C28" t="s">
        <v>18</v>
      </c>
      <c r="D28">
        <v>3</v>
      </c>
      <c r="E28">
        <v>0.96937890383569603</v>
      </c>
      <c r="F28">
        <v>1.0048156515559914</v>
      </c>
      <c r="G28">
        <v>0.97404709486229768</v>
      </c>
      <c r="H28">
        <v>1.0017552052195364</v>
      </c>
      <c r="I28">
        <v>-2.7708110357238747E-2</v>
      </c>
      <c r="J28">
        <v>-2.8446376467203445E-2</v>
      </c>
    </row>
    <row r="29" spans="1:10" x14ac:dyDescent="0.2">
      <c r="A29" t="s">
        <v>11</v>
      </c>
      <c r="B29" t="s">
        <v>20</v>
      </c>
      <c r="C29" t="s">
        <v>18</v>
      </c>
      <c r="D29">
        <v>1</v>
      </c>
      <c r="E29">
        <v>0.93881374391486883</v>
      </c>
      <c r="F29">
        <v>0.27678796280466023</v>
      </c>
      <c r="G29">
        <v>0.26134073876546471</v>
      </c>
      <c r="H29">
        <v>0.51845348810405678</v>
      </c>
      <c r="I29">
        <v>-0.25711274933859207</v>
      </c>
      <c r="J29">
        <v>-0.98382192746968944</v>
      </c>
    </row>
    <row r="30" spans="1:10" x14ac:dyDescent="0.2">
      <c r="A30" t="s">
        <v>11</v>
      </c>
      <c r="B30" t="s">
        <v>20</v>
      </c>
      <c r="C30" t="s">
        <v>18</v>
      </c>
      <c r="D30">
        <v>2</v>
      </c>
      <c r="E30">
        <v>0.96089451656582958</v>
      </c>
      <c r="F30">
        <v>0.54671718689899973</v>
      </c>
      <c r="G30">
        <v>0.52533754700354462</v>
      </c>
      <c r="H30">
        <v>0.60208976170887107</v>
      </c>
      <c r="I30">
        <v>-7.6752214705326449E-2</v>
      </c>
      <c r="J30">
        <v>-0.14610075967939254</v>
      </c>
    </row>
    <row r="31" spans="1:10" x14ac:dyDescent="0.2">
      <c r="A31" t="s">
        <v>11</v>
      </c>
      <c r="B31" t="s">
        <v>20</v>
      </c>
      <c r="C31" t="s">
        <v>18</v>
      </c>
      <c r="D31">
        <v>3</v>
      </c>
      <c r="E31">
        <v>0.96357654778579849</v>
      </c>
      <c r="F31">
        <v>0.87495352354920564</v>
      </c>
      <c r="G31">
        <v>0.8430846956945639</v>
      </c>
      <c r="H31">
        <v>0.93441398765999728</v>
      </c>
      <c r="I31">
        <v>-9.1329291965433379E-2</v>
      </c>
      <c r="J31">
        <v>-0.10832754103096721</v>
      </c>
    </row>
    <row r="32" spans="1:10" x14ac:dyDescent="0.2">
      <c r="A32" t="s">
        <v>84</v>
      </c>
      <c r="B32" t="s">
        <v>20</v>
      </c>
      <c r="C32" t="s">
        <v>18</v>
      </c>
      <c r="D32">
        <v>1</v>
      </c>
      <c r="E32">
        <v>0.27678796280466023</v>
      </c>
      <c r="F32">
        <v>0.97733273834102863</v>
      </c>
      <c r="G32">
        <v>0.27051393762771336</v>
      </c>
      <c r="H32">
        <v>0.39126117079059169</v>
      </c>
      <c r="I32">
        <v>-0.12074723316287833</v>
      </c>
      <c r="J32">
        <v>-0.4463623361582687</v>
      </c>
    </row>
    <row r="33" spans="1:10" x14ac:dyDescent="0.2">
      <c r="A33" t="s">
        <v>84</v>
      </c>
      <c r="B33" t="s">
        <v>20</v>
      </c>
      <c r="C33" t="s">
        <v>18</v>
      </c>
      <c r="D33">
        <v>2</v>
      </c>
      <c r="E33">
        <v>0.54671718689899973</v>
      </c>
      <c r="F33">
        <v>0.98737403195568818</v>
      </c>
      <c r="G33">
        <v>0.53981435316793691</v>
      </c>
      <c r="H33">
        <v>0.72429787363384379</v>
      </c>
      <c r="I33">
        <v>-0.18448352046590688</v>
      </c>
      <c r="J33">
        <v>-0.34175364064192237</v>
      </c>
    </row>
    <row r="34" spans="1:10" x14ac:dyDescent="0.2">
      <c r="A34" t="s">
        <v>84</v>
      </c>
      <c r="B34" t="s">
        <v>20</v>
      </c>
      <c r="C34" t="s">
        <v>18</v>
      </c>
      <c r="D34">
        <v>3</v>
      </c>
      <c r="E34">
        <v>0.87495352354920564</v>
      </c>
      <c r="F34">
        <v>1.0048156515559914</v>
      </c>
      <c r="G34">
        <v>0.87916699484630556</v>
      </c>
      <c r="H34">
        <v>0.89282657981797398</v>
      </c>
      <c r="I34">
        <v>-1.3659584971668415E-2</v>
      </c>
      <c r="J34">
        <v>-1.553696288844005E-2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E98B-3AB0-7049-B6AF-2B1D65704D0A}">
  <dimension ref="A1:P31"/>
  <sheetViews>
    <sheetView workbookViewId="0"/>
  </sheetViews>
  <sheetFormatPr baseColWidth="10" defaultRowHeight="16" x14ac:dyDescent="0.2"/>
  <cols>
    <col min="6" max="6" width="12.1640625" bestFit="1" customWidth="1"/>
    <col min="15" max="15" width="18.5" bestFit="1" customWidth="1"/>
  </cols>
  <sheetData>
    <row r="1" spans="1:16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31</v>
      </c>
      <c r="F1" s="3" t="s">
        <v>0</v>
      </c>
      <c r="G1" s="3" t="s">
        <v>6</v>
      </c>
      <c r="H1" s="3" t="s">
        <v>13</v>
      </c>
      <c r="I1" s="3" t="s">
        <v>14</v>
      </c>
      <c r="J1" s="3" t="s">
        <v>32</v>
      </c>
      <c r="K1" s="3" t="s">
        <v>15</v>
      </c>
      <c r="L1" s="3" t="s">
        <v>1140</v>
      </c>
      <c r="M1" s="3" t="s">
        <v>1141</v>
      </c>
      <c r="N1" s="7" t="s">
        <v>1142</v>
      </c>
      <c r="O1" s="7" t="s">
        <v>1143</v>
      </c>
      <c r="P1" s="7" t="s">
        <v>1144</v>
      </c>
    </row>
    <row r="2" spans="1:16" x14ac:dyDescent="0.2">
      <c r="A2">
        <v>6</v>
      </c>
      <c r="B2" t="s">
        <v>53</v>
      </c>
      <c r="C2" t="s">
        <v>47</v>
      </c>
      <c r="D2" t="s">
        <v>17</v>
      </c>
      <c r="E2" t="s">
        <v>3</v>
      </c>
      <c r="F2" t="s">
        <v>1145</v>
      </c>
      <c r="G2">
        <v>1</v>
      </c>
      <c r="H2">
        <v>0.96858376371123145</v>
      </c>
      <c r="I2">
        <v>0.93571700126267432</v>
      </c>
      <c r="J2">
        <v>0.90632029485158816</v>
      </c>
      <c r="K2">
        <v>0.90081491369950961</v>
      </c>
      <c r="L2">
        <v>0.90267279935912548</v>
      </c>
      <c r="M2">
        <v>0.93571700126267432</v>
      </c>
      <c r="N2">
        <v>0.84464628493770455</v>
      </c>
      <c r="O2">
        <v>0.90081491369950961</v>
      </c>
      <c r="P2">
        <v>-6.6499586588423476E-2</v>
      </c>
    </row>
    <row r="3" spans="1:16" x14ac:dyDescent="0.2">
      <c r="A3">
        <v>69</v>
      </c>
      <c r="B3" t="s">
        <v>55</v>
      </c>
      <c r="C3" t="s">
        <v>47</v>
      </c>
      <c r="D3" t="s">
        <v>17</v>
      </c>
      <c r="E3" t="s">
        <v>3</v>
      </c>
      <c r="F3" t="s">
        <v>1145</v>
      </c>
      <c r="G3">
        <v>2</v>
      </c>
      <c r="H3">
        <v>0.90704476051953908</v>
      </c>
      <c r="I3">
        <v>0.97040505892151974</v>
      </c>
      <c r="J3">
        <v>0.8802008242764191</v>
      </c>
      <c r="K3">
        <v>0.88595681037640628</v>
      </c>
      <c r="L3">
        <v>0.90704476051953908</v>
      </c>
      <c r="M3">
        <v>0.97040505892151974</v>
      </c>
      <c r="N3">
        <v>0.8802008242764191</v>
      </c>
      <c r="O3">
        <v>0.88595681037640628</v>
      </c>
      <c r="P3">
        <v>-6.5394009426416044E-3</v>
      </c>
    </row>
    <row r="4" spans="1:16" x14ac:dyDescent="0.2">
      <c r="A4">
        <v>147</v>
      </c>
      <c r="B4" t="s">
        <v>56</v>
      </c>
      <c r="C4" t="s">
        <v>47</v>
      </c>
      <c r="D4" t="s">
        <v>17</v>
      </c>
      <c r="E4" t="s">
        <v>3</v>
      </c>
      <c r="F4" t="s">
        <v>1145</v>
      </c>
      <c r="G4">
        <v>3</v>
      </c>
      <c r="H4">
        <v>0.8875565423569165</v>
      </c>
      <c r="I4">
        <v>0.95480714186110327</v>
      </c>
      <c r="J4">
        <v>0.84744532544793072</v>
      </c>
      <c r="K4">
        <v>0.90440764081029201</v>
      </c>
      <c r="L4">
        <v>0.8875565423569165</v>
      </c>
      <c r="M4">
        <v>0.95480714186110327</v>
      </c>
      <c r="N4">
        <v>0.84744532544793072</v>
      </c>
      <c r="O4">
        <v>0.90440764081029201</v>
      </c>
      <c r="P4">
        <v>-6.7216507840494488E-2</v>
      </c>
    </row>
    <row r="5" spans="1:16" x14ac:dyDescent="0.2">
      <c r="A5">
        <v>73</v>
      </c>
      <c r="B5" t="s">
        <v>55</v>
      </c>
      <c r="C5" t="s">
        <v>59</v>
      </c>
      <c r="D5" t="s">
        <v>17</v>
      </c>
      <c r="E5" t="s">
        <v>58</v>
      </c>
      <c r="F5" t="s">
        <v>1145</v>
      </c>
      <c r="G5">
        <v>2</v>
      </c>
      <c r="H5">
        <v>0.82853112694464437</v>
      </c>
      <c r="I5">
        <v>0.77548826759809186</v>
      </c>
      <c r="J5">
        <v>0.64251616828539704</v>
      </c>
      <c r="K5">
        <v>0.66074127786002645</v>
      </c>
      <c r="L5">
        <v>0.66773558230507546</v>
      </c>
      <c r="M5">
        <v>0.77548826759809186</v>
      </c>
      <c r="N5">
        <v>0.51782110993536601</v>
      </c>
      <c r="O5">
        <v>0.66074127786002645</v>
      </c>
      <c r="P5">
        <v>-0.27600297705611032</v>
      </c>
    </row>
    <row r="6" spans="1:16" x14ac:dyDescent="0.2">
      <c r="A6">
        <v>151</v>
      </c>
      <c r="B6" t="s">
        <v>56</v>
      </c>
      <c r="C6" t="s">
        <v>59</v>
      </c>
      <c r="D6" t="s">
        <v>17</v>
      </c>
      <c r="E6" t="s">
        <v>58</v>
      </c>
      <c r="F6" t="s">
        <v>1145</v>
      </c>
      <c r="G6">
        <v>3</v>
      </c>
      <c r="H6">
        <v>0.75232911589560847</v>
      </c>
      <c r="I6">
        <v>0.79803748732374824</v>
      </c>
      <c r="J6">
        <v>0.60038683728982833</v>
      </c>
      <c r="K6">
        <v>0.64327902973075357</v>
      </c>
      <c r="L6">
        <v>0.70301276894584974</v>
      </c>
      <c r="M6">
        <v>0.79803748732374824</v>
      </c>
      <c r="N6">
        <v>0.56103054368605676</v>
      </c>
      <c r="O6">
        <v>0.64327902973075357</v>
      </c>
      <c r="P6">
        <v>-0.14660251027388216</v>
      </c>
    </row>
    <row r="7" spans="1:16" x14ac:dyDescent="0.2">
      <c r="A7">
        <v>196</v>
      </c>
      <c r="B7" t="s">
        <v>42</v>
      </c>
      <c r="C7" t="s">
        <v>57</v>
      </c>
      <c r="D7" t="s">
        <v>17</v>
      </c>
      <c r="E7" t="s">
        <v>58</v>
      </c>
      <c r="F7" t="s">
        <v>1145</v>
      </c>
      <c r="G7">
        <v>1</v>
      </c>
      <c r="H7">
        <v>0.76390909928005168</v>
      </c>
      <c r="I7">
        <v>0.82057702027156121</v>
      </c>
      <c r="J7">
        <v>0.62684625244555703</v>
      </c>
      <c r="K7">
        <v>0.69423192477899598</v>
      </c>
      <c r="L7">
        <v>0.71774684320099902</v>
      </c>
      <c r="M7">
        <v>0.82057702027156121</v>
      </c>
      <c r="N7">
        <v>0.58896656590319518</v>
      </c>
      <c r="O7">
        <v>0.69423192477899598</v>
      </c>
      <c r="P7">
        <v>-0.17872892107954153</v>
      </c>
    </row>
    <row r="8" spans="1:16" x14ac:dyDescent="0.2">
      <c r="A8">
        <v>14</v>
      </c>
      <c r="B8" t="s">
        <v>53</v>
      </c>
      <c r="C8" t="s">
        <v>70</v>
      </c>
      <c r="D8" t="s">
        <v>17</v>
      </c>
      <c r="E8" t="s">
        <v>85</v>
      </c>
      <c r="F8" t="s">
        <v>1145</v>
      </c>
      <c r="G8">
        <v>1</v>
      </c>
      <c r="H8">
        <v>0.83310580119132027</v>
      </c>
      <c r="I8">
        <v>0.95308068200145213</v>
      </c>
      <c r="J8">
        <v>0.79401704517878968</v>
      </c>
      <c r="K8">
        <v>0.84709691410282761</v>
      </c>
      <c r="L8">
        <v>0.52822605380732668</v>
      </c>
      <c r="M8">
        <v>0.9441911278125299</v>
      </c>
      <c r="N8">
        <v>0.49874635348430185</v>
      </c>
      <c r="O8">
        <v>0.51593525544335606</v>
      </c>
      <c r="P8">
        <v>-3.4464215806231824E-2</v>
      </c>
    </row>
    <row r="9" spans="1:16" x14ac:dyDescent="0.2">
      <c r="A9">
        <v>78</v>
      </c>
      <c r="B9" t="s">
        <v>55</v>
      </c>
      <c r="C9" t="s">
        <v>70</v>
      </c>
      <c r="D9" t="s">
        <v>17</v>
      </c>
      <c r="E9" t="s">
        <v>85</v>
      </c>
      <c r="F9" t="s">
        <v>1145</v>
      </c>
      <c r="G9">
        <v>2</v>
      </c>
      <c r="H9">
        <v>0.85288272631146789</v>
      </c>
      <c r="I9">
        <v>0.88823282720571062</v>
      </c>
      <c r="J9">
        <v>0.75755843526654942</v>
      </c>
      <c r="K9">
        <v>0.82514068695637532</v>
      </c>
      <c r="L9">
        <v>0.4767758698694643</v>
      </c>
      <c r="M9">
        <v>0.88823282720571062</v>
      </c>
      <c r="N9">
        <v>0.42348797883761624</v>
      </c>
      <c r="O9">
        <v>0.41321259662126164</v>
      </c>
      <c r="P9">
        <v>2.4263692784287083E-2</v>
      </c>
    </row>
    <row r="10" spans="1:16" x14ac:dyDescent="0.2">
      <c r="A10">
        <v>155</v>
      </c>
      <c r="B10" t="s">
        <v>56</v>
      </c>
      <c r="C10" t="s">
        <v>70</v>
      </c>
      <c r="D10" t="s">
        <v>17</v>
      </c>
      <c r="E10" t="s">
        <v>85</v>
      </c>
      <c r="F10" t="s">
        <v>1145</v>
      </c>
      <c r="G10">
        <v>3</v>
      </c>
      <c r="H10">
        <v>0.87970952495886157</v>
      </c>
      <c r="I10">
        <v>0.93435633407064045</v>
      </c>
      <c r="J10">
        <v>0.82196216678758649</v>
      </c>
      <c r="K10">
        <v>0.86506690841475675</v>
      </c>
      <c r="L10">
        <v>0.49613169867814622</v>
      </c>
      <c r="M10">
        <v>0.93435633407064045</v>
      </c>
      <c r="N10">
        <v>0.46356379519315233</v>
      </c>
      <c r="O10">
        <v>0.38278403693490032</v>
      </c>
      <c r="P10">
        <v>0.17425812605704816</v>
      </c>
    </row>
    <row r="11" spans="1:16" x14ac:dyDescent="0.2">
      <c r="A11">
        <v>15</v>
      </c>
      <c r="B11" t="s">
        <v>53</v>
      </c>
      <c r="C11" t="s">
        <v>74</v>
      </c>
      <c r="D11" t="s">
        <v>17</v>
      </c>
      <c r="E11" t="s">
        <v>4</v>
      </c>
      <c r="F11" t="s">
        <v>1145</v>
      </c>
      <c r="G11">
        <v>1</v>
      </c>
      <c r="H11">
        <v>0.83310580119132027</v>
      </c>
      <c r="I11">
        <v>0.83528920667444972</v>
      </c>
      <c r="J11">
        <v>0.69588428375297973</v>
      </c>
      <c r="K11">
        <v>0.7756533987940506</v>
      </c>
      <c r="L11">
        <v>0.52822605380732668</v>
      </c>
      <c r="M11">
        <v>0.83528920667444972</v>
      </c>
      <c r="N11">
        <v>0.44122152142949711</v>
      </c>
      <c r="O11">
        <v>0.45639912003004557</v>
      </c>
      <c r="P11">
        <v>-3.4399044161252945E-2</v>
      </c>
    </row>
    <row r="12" spans="1:16" x14ac:dyDescent="0.2">
      <c r="A12">
        <v>79</v>
      </c>
      <c r="B12" t="s">
        <v>55</v>
      </c>
      <c r="C12" t="s">
        <v>74</v>
      </c>
      <c r="D12" t="s">
        <v>17</v>
      </c>
      <c r="E12" t="s">
        <v>4</v>
      </c>
      <c r="F12" t="s">
        <v>1145</v>
      </c>
      <c r="G12">
        <v>2</v>
      </c>
      <c r="H12">
        <v>0.85288272631146789</v>
      </c>
      <c r="I12">
        <v>0.79803748732374824</v>
      </c>
      <c r="J12">
        <v>0.68063238788743186</v>
      </c>
      <c r="K12">
        <v>0.71460708770078574</v>
      </c>
      <c r="L12">
        <v>0.4767758698694643</v>
      </c>
      <c r="M12">
        <v>0.79803748732374824</v>
      </c>
      <c r="N12">
        <v>0.38048501720722167</v>
      </c>
      <c r="O12">
        <v>0.43674067028927521</v>
      </c>
      <c r="P12">
        <v>-0.14785247917243294</v>
      </c>
    </row>
    <row r="13" spans="1:16" x14ac:dyDescent="0.2">
      <c r="A13">
        <v>156</v>
      </c>
      <c r="B13" t="s">
        <v>56</v>
      </c>
      <c r="C13" t="s">
        <v>74</v>
      </c>
      <c r="D13" t="s">
        <v>17</v>
      </c>
      <c r="E13" t="s">
        <v>4</v>
      </c>
      <c r="F13" t="s">
        <v>1145</v>
      </c>
      <c r="G13">
        <v>3</v>
      </c>
      <c r="H13">
        <v>0.87970952495886157</v>
      </c>
      <c r="I13">
        <v>0.82057702027156121</v>
      </c>
      <c r="J13">
        <v>0.72186942069525328</v>
      </c>
      <c r="K13">
        <v>0.77497966402470342</v>
      </c>
      <c r="L13">
        <v>0.49613169867814622</v>
      </c>
      <c r="M13">
        <v>0.82057702027156121</v>
      </c>
      <c r="N13">
        <v>0.40711427096358127</v>
      </c>
      <c r="O13">
        <v>0.4345329719648372</v>
      </c>
      <c r="P13">
        <v>-6.7348906576917056E-2</v>
      </c>
    </row>
    <row r="14" spans="1:16" x14ac:dyDescent="0.2">
      <c r="A14">
        <v>33</v>
      </c>
      <c r="B14" t="s">
        <v>38</v>
      </c>
      <c r="C14" t="s">
        <v>89</v>
      </c>
      <c r="D14" t="s">
        <v>17</v>
      </c>
      <c r="E14" t="s">
        <v>90</v>
      </c>
      <c r="F14" t="s">
        <v>1145</v>
      </c>
      <c r="G14">
        <v>1</v>
      </c>
      <c r="H14">
        <v>0.84806323448734411</v>
      </c>
      <c r="I14">
        <v>1.0373876552945807</v>
      </c>
      <c r="J14">
        <v>0.8797703303663641</v>
      </c>
      <c r="K14">
        <v>0.8630661864889867</v>
      </c>
      <c r="L14">
        <v>0.52822605380732668</v>
      </c>
      <c r="M14">
        <v>0.97733273834102863</v>
      </c>
      <c r="N14">
        <v>0.51625261563059011</v>
      </c>
      <c r="O14">
        <v>0.70482033704889568</v>
      </c>
      <c r="P14">
        <v>-0.3652625007777921</v>
      </c>
    </row>
    <row r="15" spans="1:16" x14ac:dyDescent="0.2">
      <c r="A15">
        <v>103</v>
      </c>
      <c r="B15" t="s">
        <v>41</v>
      </c>
      <c r="C15" t="s">
        <v>89</v>
      </c>
      <c r="D15" t="s">
        <v>17</v>
      </c>
      <c r="E15" t="s">
        <v>90</v>
      </c>
      <c r="F15" t="s">
        <v>1145</v>
      </c>
      <c r="G15">
        <v>2</v>
      </c>
      <c r="H15" s="2">
        <v>0.69636910731780555</v>
      </c>
      <c r="I15" s="2">
        <v>1.0375750066344784</v>
      </c>
      <c r="J15">
        <v>0.7225351811453179</v>
      </c>
      <c r="K15" s="2">
        <v>0.84787690197765431</v>
      </c>
      <c r="L15">
        <v>0.4767758698694643</v>
      </c>
      <c r="M15">
        <v>0.98737403195568818</v>
      </c>
      <c r="N15">
        <v>0.4707561129721935</v>
      </c>
      <c r="O15">
        <v>0.7176817804870681</v>
      </c>
      <c r="P15">
        <v>-0.52452992262993714</v>
      </c>
    </row>
    <row r="16" spans="1:16" x14ac:dyDescent="0.2">
      <c r="A16">
        <v>177</v>
      </c>
      <c r="B16" t="s">
        <v>42</v>
      </c>
      <c r="C16" t="s">
        <v>89</v>
      </c>
      <c r="D16" t="s">
        <v>17</v>
      </c>
      <c r="E16" t="s">
        <v>90</v>
      </c>
      <c r="F16" t="s">
        <v>1145</v>
      </c>
      <c r="G16">
        <v>3</v>
      </c>
      <c r="H16">
        <v>0.86107108884365968</v>
      </c>
      <c r="I16">
        <v>0.98045468791277601</v>
      </c>
      <c r="J16">
        <v>0.84424118568292461</v>
      </c>
      <c r="K16">
        <v>0.85452057613263899</v>
      </c>
      <c r="L16">
        <v>0.49613169867814622</v>
      </c>
      <c r="M16">
        <v>0.98045468791277601</v>
      </c>
      <c r="N16">
        <v>0.48643464979111728</v>
      </c>
      <c r="O16">
        <v>0.65216018245943441</v>
      </c>
      <c r="P16">
        <v>-0.34069434144850153</v>
      </c>
    </row>
    <row r="17" spans="1:16" x14ac:dyDescent="0.2">
      <c r="A17">
        <v>34</v>
      </c>
      <c r="B17" t="s">
        <v>38</v>
      </c>
      <c r="C17" t="s">
        <v>91</v>
      </c>
      <c r="D17" t="s">
        <v>17</v>
      </c>
      <c r="E17" t="s">
        <v>21</v>
      </c>
      <c r="F17" t="s">
        <v>1145</v>
      </c>
      <c r="G17">
        <v>1</v>
      </c>
      <c r="H17">
        <v>0.58179689194486128</v>
      </c>
      <c r="I17">
        <v>1.0012009736400649</v>
      </c>
      <c r="J17">
        <v>0.58249561467595878</v>
      </c>
      <c r="K17">
        <v>0.58239294747125803</v>
      </c>
      <c r="L17">
        <v>0.32190019367306966</v>
      </c>
      <c r="M17">
        <v>0.9441911278125299</v>
      </c>
      <c r="N17">
        <v>0.30393530690724746</v>
      </c>
      <c r="O17">
        <v>0.33534158087273497</v>
      </c>
      <c r="P17">
        <v>-0.10333210144312654</v>
      </c>
    </row>
    <row r="18" spans="1:16" x14ac:dyDescent="0.2">
      <c r="A18">
        <v>104</v>
      </c>
      <c r="B18" t="s">
        <v>41</v>
      </c>
      <c r="C18" t="s">
        <v>91</v>
      </c>
      <c r="D18" t="s">
        <v>17</v>
      </c>
      <c r="E18" t="s">
        <v>21</v>
      </c>
      <c r="F18" t="s">
        <v>1145</v>
      </c>
      <c r="G18">
        <v>2</v>
      </c>
      <c r="H18" s="2">
        <v>0.55254857789817591</v>
      </c>
      <c r="I18" s="2">
        <v>0.95381889196883807</v>
      </c>
      <c r="J18">
        <v>0.5270312723297953</v>
      </c>
      <c r="K18" s="2">
        <v>0.50090736880613163</v>
      </c>
      <c r="L18">
        <v>0.55254857789817591</v>
      </c>
      <c r="M18">
        <v>0.95381889196883807</v>
      </c>
      <c r="N18">
        <v>0.5270312723297953</v>
      </c>
      <c r="O18">
        <v>0.50090736880613163</v>
      </c>
      <c r="P18">
        <v>4.9568033047034055E-2</v>
      </c>
    </row>
    <row r="19" spans="1:16" x14ac:dyDescent="0.2">
      <c r="A19">
        <v>178</v>
      </c>
      <c r="B19" t="s">
        <v>42</v>
      </c>
      <c r="C19" t="s">
        <v>91</v>
      </c>
      <c r="D19" t="s">
        <v>17</v>
      </c>
      <c r="E19" t="s">
        <v>21</v>
      </c>
      <c r="F19" t="s">
        <v>1145</v>
      </c>
      <c r="G19">
        <v>3</v>
      </c>
      <c r="H19">
        <v>0.57542055473045572</v>
      </c>
      <c r="I19">
        <v>0.98001186509114924</v>
      </c>
      <c r="J19">
        <v>0.56391897105317768</v>
      </c>
      <c r="K19">
        <v>0.48322588985498705</v>
      </c>
      <c r="L19">
        <v>0.32603409226410363</v>
      </c>
      <c r="M19">
        <v>0.96937890383569603</v>
      </c>
      <c r="N19">
        <v>0.31605057097204298</v>
      </c>
      <c r="O19">
        <v>0.34840269266803986</v>
      </c>
      <c r="P19">
        <v>-0.10236375019508714</v>
      </c>
    </row>
    <row r="20" spans="1:16" x14ac:dyDescent="0.2">
      <c r="A20">
        <v>39</v>
      </c>
      <c r="B20" t="s">
        <v>38</v>
      </c>
      <c r="C20" t="s">
        <v>39</v>
      </c>
      <c r="D20" t="s">
        <v>17</v>
      </c>
      <c r="E20" t="s">
        <v>40</v>
      </c>
      <c r="F20" t="s">
        <v>1145</v>
      </c>
      <c r="G20">
        <v>1</v>
      </c>
      <c r="H20">
        <v>1.0012009736400649</v>
      </c>
      <c r="I20">
        <v>0.8329127306915044</v>
      </c>
      <c r="J20">
        <v>0.83391303692553931</v>
      </c>
      <c r="K20">
        <v>0.68753542468863782</v>
      </c>
      <c r="L20">
        <v>0.9441911278125299</v>
      </c>
      <c r="M20">
        <v>0.8329127306915044</v>
      </c>
      <c r="N20">
        <v>0.78642881056102554</v>
      </c>
      <c r="O20">
        <v>0.68753542468863782</v>
      </c>
      <c r="P20">
        <v>0.12574995288109903</v>
      </c>
    </row>
    <row r="21" spans="1:16" x14ac:dyDescent="0.2">
      <c r="A21">
        <v>109</v>
      </c>
      <c r="B21" t="s">
        <v>41</v>
      </c>
      <c r="C21" t="s">
        <v>39</v>
      </c>
      <c r="D21" t="s">
        <v>17</v>
      </c>
      <c r="E21" t="s">
        <v>40</v>
      </c>
      <c r="F21" t="s">
        <v>1145</v>
      </c>
      <c r="G21">
        <v>2</v>
      </c>
      <c r="H21" s="2">
        <v>0.95381889196883807</v>
      </c>
      <c r="I21" s="2">
        <v>0.84673508813229525</v>
      </c>
      <c r="J21">
        <v>0.80763192355348234</v>
      </c>
      <c r="K21" s="2">
        <v>0.66968194104698886</v>
      </c>
      <c r="L21">
        <v>0.95381889196883807</v>
      </c>
      <c r="M21">
        <v>0.84673508813229525</v>
      </c>
      <c r="N21">
        <v>0.80763192355348234</v>
      </c>
      <c r="O21">
        <v>0.66968194104698886</v>
      </c>
      <c r="P21">
        <v>0.17080798626623173</v>
      </c>
    </row>
    <row r="22" spans="1:16" x14ac:dyDescent="0.2">
      <c r="A22">
        <v>183</v>
      </c>
      <c r="B22" t="s">
        <v>42</v>
      </c>
      <c r="C22" t="s">
        <v>39</v>
      </c>
      <c r="D22" t="s">
        <v>17</v>
      </c>
      <c r="E22" t="s">
        <v>40</v>
      </c>
      <c r="F22" t="s">
        <v>1145</v>
      </c>
      <c r="G22">
        <v>3</v>
      </c>
      <c r="H22">
        <v>0.98001186509114924</v>
      </c>
      <c r="I22">
        <v>0.77548826759809186</v>
      </c>
      <c r="J22">
        <v>0.75998770348511024</v>
      </c>
      <c r="K22">
        <v>0.67701837889172534</v>
      </c>
      <c r="L22">
        <v>0.96937890383569603</v>
      </c>
      <c r="M22">
        <v>0.77548826759809186</v>
      </c>
      <c r="N22">
        <v>0.75174196678168115</v>
      </c>
      <c r="O22">
        <v>0.67701837889172534</v>
      </c>
      <c r="P22">
        <v>9.9400580507509217E-2</v>
      </c>
    </row>
    <row r="23" spans="1:16" x14ac:dyDescent="0.2">
      <c r="A23">
        <v>42</v>
      </c>
      <c r="B23" t="s">
        <v>38</v>
      </c>
      <c r="C23" t="s">
        <v>47</v>
      </c>
      <c r="D23" t="s">
        <v>17</v>
      </c>
      <c r="E23" t="s">
        <v>10</v>
      </c>
      <c r="F23" t="s">
        <v>1145</v>
      </c>
      <c r="G23">
        <v>1</v>
      </c>
      <c r="H23">
        <v>1.0012009736400649</v>
      </c>
      <c r="I23">
        <v>1.0373876552945807</v>
      </c>
      <c r="J23">
        <v>1.0386335305231182</v>
      </c>
      <c r="K23">
        <v>1.0122069231967015</v>
      </c>
      <c r="L23">
        <v>0.9441911278125299</v>
      </c>
      <c r="M23">
        <v>0.97733273834102863</v>
      </c>
      <c r="N23">
        <v>0.92278890046232398</v>
      </c>
      <c r="O23">
        <v>0.97766352754763886</v>
      </c>
      <c r="P23">
        <v>-5.9466067545700163E-2</v>
      </c>
    </row>
    <row r="24" spans="1:16" x14ac:dyDescent="0.2">
      <c r="A24">
        <v>112</v>
      </c>
      <c r="B24" t="s">
        <v>41</v>
      </c>
      <c r="C24" t="s">
        <v>47</v>
      </c>
      <c r="D24" t="s">
        <v>17</v>
      </c>
      <c r="E24" t="s">
        <v>10</v>
      </c>
      <c r="F24" t="s">
        <v>1145</v>
      </c>
      <c r="G24">
        <v>2</v>
      </c>
      <c r="H24" s="2">
        <v>0.95381889196883807</v>
      </c>
      <c r="I24" s="2">
        <v>1.0375750066344784</v>
      </c>
      <c r="J24">
        <v>0.98965864316265806</v>
      </c>
      <c r="K24" s="2">
        <v>0.8395377241431965</v>
      </c>
      <c r="L24">
        <v>0.95381889196883807</v>
      </c>
      <c r="M24">
        <v>0.98737403195568818</v>
      </c>
      <c r="N24">
        <v>0.94177600511877857</v>
      </c>
      <c r="O24">
        <v>0.8395377241431965</v>
      </c>
      <c r="P24">
        <v>0.10855902084985436</v>
      </c>
    </row>
    <row r="25" spans="1:16" x14ac:dyDescent="0.2">
      <c r="A25">
        <v>186</v>
      </c>
      <c r="B25" t="s">
        <v>42</v>
      </c>
      <c r="C25" t="s">
        <v>47</v>
      </c>
      <c r="D25" t="s">
        <v>17</v>
      </c>
      <c r="E25" t="s">
        <v>10</v>
      </c>
      <c r="F25" t="s">
        <v>1145</v>
      </c>
      <c r="G25">
        <v>3</v>
      </c>
      <c r="H25">
        <v>0.98001186509114924</v>
      </c>
      <c r="I25">
        <v>0.98045468791277601</v>
      </c>
      <c r="J25">
        <v>0.96085722733876022</v>
      </c>
      <c r="K25">
        <v>0.94355879312163349</v>
      </c>
      <c r="L25">
        <v>0.96937890383569603</v>
      </c>
      <c r="M25">
        <v>0.98045468791277601</v>
      </c>
      <c r="N25">
        <v>0.95043209062945622</v>
      </c>
      <c r="O25">
        <v>0.94355879312163349</v>
      </c>
      <c r="P25">
        <v>7.231760770273099E-3</v>
      </c>
    </row>
    <row r="26" spans="1:16" x14ac:dyDescent="0.2">
      <c r="A26">
        <v>43</v>
      </c>
      <c r="B26" t="s">
        <v>38</v>
      </c>
      <c r="C26" t="s">
        <v>50</v>
      </c>
      <c r="D26" t="s">
        <v>17</v>
      </c>
      <c r="E26" t="s">
        <v>11</v>
      </c>
      <c r="F26" t="s">
        <v>1145</v>
      </c>
      <c r="G26">
        <v>1</v>
      </c>
      <c r="H26">
        <v>0.8329127306915044</v>
      </c>
      <c r="I26">
        <v>1.0261155224415324</v>
      </c>
      <c r="J26">
        <v>0.8546646818017164</v>
      </c>
      <c r="K26">
        <v>0.78140123246257276</v>
      </c>
      <c r="L26">
        <v>0.8329127306915044</v>
      </c>
      <c r="M26">
        <v>0.27678796280466023</v>
      </c>
      <c r="N26">
        <v>0.23054021792216811</v>
      </c>
      <c r="O26">
        <v>0.51845348810405678</v>
      </c>
      <c r="P26">
        <v>-1</v>
      </c>
    </row>
    <row r="27" spans="1:16" x14ac:dyDescent="0.2">
      <c r="A27">
        <v>114</v>
      </c>
      <c r="B27" t="s">
        <v>41</v>
      </c>
      <c r="C27" t="s">
        <v>48</v>
      </c>
      <c r="D27" t="s">
        <v>17</v>
      </c>
      <c r="E27" t="s">
        <v>11</v>
      </c>
      <c r="F27" t="s">
        <v>1145</v>
      </c>
      <c r="G27">
        <v>2</v>
      </c>
      <c r="H27" s="2">
        <v>0.84673508813229525</v>
      </c>
      <c r="I27" s="2">
        <v>0.78846098055031932</v>
      </c>
      <c r="J27">
        <v>0.66761757785515052</v>
      </c>
      <c r="K27" s="2">
        <v>0.75611888947615624</v>
      </c>
      <c r="L27">
        <v>0.84673508813229525</v>
      </c>
      <c r="M27">
        <v>0.54671718689899973</v>
      </c>
      <c r="N27">
        <v>0.46292462543236507</v>
      </c>
      <c r="O27">
        <v>0.60208976170887107</v>
      </c>
      <c r="P27">
        <v>-0.30062158855024768</v>
      </c>
    </row>
    <row r="28" spans="1:16" x14ac:dyDescent="0.2">
      <c r="A28">
        <v>187</v>
      </c>
      <c r="B28" t="s">
        <v>42</v>
      </c>
      <c r="C28" t="s">
        <v>50</v>
      </c>
      <c r="D28" t="s">
        <v>17</v>
      </c>
      <c r="E28" t="s">
        <v>11</v>
      </c>
      <c r="F28" t="s">
        <v>1145</v>
      </c>
      <c r="G28">
        <v>3</v>
      </c>
      <c r="H28">
        <v>0.77548826759809186</v>
      </c>
      <c r="I28">
        <v>0.99132991799450587</v>
      </c>
      <c r="J28">
        <v>0.76876472072371782</v>
      </c>
      <c r="K28">
        <v>0.74332064967149403</v>
      </c>
      <c r="L28">
        <v>0.77548826759809186</v>
      </c>
      <c r="M28">
        <v>0.87495352354920564</v>
      </c>
      <c r="N28">
        <v>0.67851619220601977</v>
      </c>
      <c r="O28">
        <v>0.74332064967149403</v>
      </c>
      <c r="P28">
        <v>-9.5509080269373214E-2</v>
      </c>
    </row>
    <row r="29" spans="1:16" x14ac:dyDescent="0.2">
      <c r="A29">
        <v>46</v>
      </c>
      <c r="B29" t="s">
        <v>38</v>
      </c>
      <c r="C29" t="s">
        <v>59</v>
      </c>
      <c r="D29" t="s">
        <v>17</v>
      </c>
      <c r="E29" t="s">
        <v>84</v>
      </c>
      <c r="F29" t="s">
        <v>1145</v>
      </c>
      <c r="G29">
        <v>1</v>
      </c>
      <c r="H29">
        <v>1.0261155224415324</v>
      </c>
      <c r="I29">
        <v>1.0373876552945807</v>
      </c>
      <c r="J29">
        <v>1.0644795758869949</v>
      </c>
      <c r="K29">
        <v>0.93242013594761386</v>
      </c>
      <c r="L29">
        <v>0.27678796280466023</v>
      </c>
      <c r="M29">
        <v>0.97733273834102863</v>
      </c>
      <c r="N29">
        <v>0.27051393762771336</v>
      </c>
      <c r="O29">
        <v>0.39126117079059169</v>
      </c>
      <c r="P29">
        <v>-0.4463623361582687</v>
      </c>
    </row>
    <row r="30" spans="1:16" x14ac:dyDescent="0.2">
      <c r="A30">
        <v>117</v>
      </c>
      <c r="B30" t="s">
        <v>41</v>
      </c>
      <c r="C30" t="s">
        <v>63</v>
      </c>
      <c r="D30" t="s">
        <v>17</v>
      </c>
      <c r="E30" t="s">
        <v>84</v>
      </c>
      <c r="F30" t="s">
        <v>1145</v>
      </c>
      <c r="G30">
        <v>2</v>
      </c>
      <c r="H30" s="2">
        <v>0.78846098055031932</v>
      </c>
      <c r="I30" s="2">
        <v>1.0375750066344784</v>
      </c>
      <c r="J30">
        <v>0.81808740712552497</v>
      </c>
      <c r="K30" s="2">
        <v>0.85454358650493234</v>
      </c>
      <c r="L30">
        <v>0.54671718689899973</v>
      </c>
      <c r="M30">
        <v>0.98737403195568818</v>
      </c>
      <c r="N30">
        <v>0.53981435316793691</v>
      </c>
      <c r="O30">
        <v>0.72429787363384379</v>
      </c>
      <c r="P30">
        <v>-0.34175364064192237</v>
      </c>
    </row>
    <row r="31" spans="1:16" x14ac:dyDescent="0.2">
      <c r="A31">
        <v>191</v>
      </c>
      <c r="B31" t="s">
        <v>42</v>
      </c>
      <c r="C31" t="s">
        <v>63</v>
      </c>
      <c r="D31" t="s">
        <v>17</v>
      </c>
      <c r="E31" t="s">
        <v>84</v>
      </c>
      <c r="F31" t="s">
        <v>1145</v>
      </c>
      <c r="G31">
        <v>3</v>
      </c>
      <c r="H31">
        <v>0.99132991799450587</v>
      </c>
      <c r="I31">
        <v>0.98045468791277601</v>
      </c>
      <c r="J31">
        <v>0.97195406536590112</v>
      </c>
      <c r="K31">
        <v>0.93655894769837489</v>
      </c>
      <c r="L31">
        <v>0.87495352354920564</v>
      </c>
      <c r="M31">
        <v>0.98045468791277601</v>
      </c>
      <c r="N31">
        <v>0.85785228386962009</v>
      </c>
      <c r="O31">
        <v>0.89282657981797398</v>
      </c>
      <c r="P31">
        <v>-4.0769601720462845E-2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646E-632F-AB4E-9B73-5F2D7AEBE7D9}">
  <dimension ref="A1:F73"/>
  <sheetViews>
    <sheetView workbookViewId="0">
      <selection sqref="A1:F1"/>
    </sheetView>
  </sheetViews>
  <sheetFormatPr baseColWidth="10" defaultRowHeight="16" x14ac:dyDescent="0.2"/>
  <cols>
    <col min="1" max="1" width="16.5" bestFit="1" customWidth="1"/>
    <col min="2" max="2" width="11.5" bestFit="1" customWidth="1"/>
    <col min="3" max="4" width="12.1640625" bestFit="1" customWidth="1"/>
    <col min="5" max="5" width="12.83203125" bestFit="1" customWidth="1"/>
    <col min="6" max="6" width="12.1640625" bestFit="1" customWidth="1"/>
  </cols>
  <sheetData>
    <row r="1" spans="1:6" x14ac:dyDescent="0.2">
      <c r="A1" s="7" t="s">
        <v>31</v>
      </c>
      <c r="B1" s="7" t="s">
        <v>0</v>
      </c>
      <c r="C1" s="7" t="s">
        <v>1146</v>
      </c>
      <c r="D1" s="7" t="s">
        <v>1147</v>
      </c>
      <c r="E1" s="7" t="s">
        <v>1148</v>
      </c>
      <c r="F1" s="7" t="s">
        <v>1149</v>
      </c>
    </row>
    <row r="2" spans="1:6" x14ac:dyDescent="0.2">
      <c r="A2" t="s">
        <v>40</v>
      </c>
      <c r="B2" t="s">
        <v>20</v>
      </c>
      <c r="C2">
        <v>0.97834391023335099</v>
      </c>
      <c r="D2">
        <v>0.81837869547396402</v>
      </c>
      <c r="E2">
        <v>0.151836981363139</v>
      </c>
      <c r="F2">
        <v>3.7024407036093498E-2</v>
      </c>
    </row>
    <row r="3" spans="1:6" x14ac:dyDescent="0.2">
      <c r="A3" t="s">
        <v>44</v>
      </c>
      <c r="B3" t="s">
        <v>20</v>
      </c>
      <c r="C3">
        <v>0.97834391023335099</v>
      </c>
      <c r="D3">
        <v>0.58992321547156301</v>
      </c>
      <c r="E3">
        <v>3.0390559401153299E-2</v>
      </c>
      <c r="F3">
        <v>1.7379332243471299E-2</v>
      </c>
    </row>
    <row r="4" spans="1:6" x14ac:dyDescent="0.2">
      <c r="A4" t="s">
        <v>46</v>
      </c>
      <c r="B4" t="s">
        <v>20</v>
      </c>
      <c r="C4">
        <v>0.97834391023335099</v>
      </c>
      <c r="D4">
        <v>0.935302140328786</v>
      </c>
      <c r="E4">
        <v>-6.4377914209871698E-2</v>
      </c>
      <c r="F4">
        <v>0.13446255056945899</v>
      </c>
    </row>
    <row r="5" spans="1:6" x14ac:dyDescent="0.2">
      <c r="A5" t="s">
        <v>10</v>
      </c>
      <c r="B5" t="s">
        <v>20</v>
      </c>
      <c r="C5">
        <v>0.97834391023335099</v>
      </c>
      <c r="D5">
        <v>1.0184724499472799</v>
      </c>
      <c r="E5">
        <v>6.5045450608389704E-2</v>
      </c>
      <c r="F5">
        <v>7.5128197929573995E-2</v>
      </c>
    </row>
    <row r="6" spans="1:6" x14ac:dyDescent="0.2">
      <c r="A6" t="s">
        <v>49</v>
      </c>
      <c r="B6" t="s">
        <v>20</v>
      </c>
      <c r="C6">
        <v>0.81837869547396402</v>
      </c>
      <c r="D6">
        <v>0.58992321547156301</v>
      </c>
      <c r="E6">
        <v>-0.18351975196911399</v>
      </c>
      <c r="F6">
        <v>9.31748960727843E-2</v>
      </c>
    </row>
    <row r="7" spans="1:6" x14ac:dyDescent="0.2">
      <c r="A7" t="s">
        <v>11</v>
      </c>
      <c r="B7" t="s">
        <v>20</v>
      </c>
      <c r="C7">
        <v>0.81837869547396402</v>
      </c>
      <c r="D7">
        <v>0.935302140328786</v>
      </c>
      <c r="E7">
        <v>-4.5812252126443296E-3</v>
      </c>
      <c r="F7">
        <v>0.11391581875099099</v>
      </c>
    </row>
    <row r="8" spans="1:6" x14ac:dyDescent="0.2">
      <c r="A8" t="s">
        <v>52</v>
      </c>
      <c r="B8" t="s">
        <v>20</v>
      </c>
      <c r="C8">
        <v>0.81837869547396402</v>
      </c>
      <c r="D8">
        <v>1.0184724499472799</v>
      </c>
      <c r="E8">
        <v>4.9957936316481197E-2</v>
      </c>
      <c r="F8">
        <v>9.5095469831969606E-2</v>
      </c>
    </row>
    <row r="9" spans="1:6" x14ac:dyDescent="0.2">
      <c r="A9" t="s">
        <v>54</v>
      </c>
      <c r="B9" t="s">
        <v>20</v>
      </c>
      <c r="C9">
        <v>0.76932088128765197</v>
      </c>
      <c r="D9">
        <v>0.92522328109260099</v>
      </c>
      <c r="E9">
        <v>-3.1180286048849998E-2</v>
      </c>
      <c r="F9">
        <v>3.5618329173225299E-2</v>
      </c>
    </row>
    <row r="10" spans="1:6" x14ac:dyDescent="0.2">
      <c r="A10" t="s">
        <v>58</v>
      </c>
      <c r="B10" t="s">
        <v>20</v>
      </c>
      <c r="C10">
        <v>0.78158978070676799</v>
      </c>
      <c r="D10">
        <v>0.79803425839779996</v>
      </c>
      <c r="E10">
        <v>-6.9101888200365405E-2</v>
      </c>
      <c r="F10">
        <v>3.9618971891260901E-2</v>
      </c>
    </row>
    <row r="11" spans="1:6" x14ac:dyDescent="0.2">
      <c r="A11" t="s">
        <v>61</v>
      </c>
      <c r="B11" t="s">
        <v>20</v>
      </c>
      <c r="C11">
        <v>0.76932088128765197</v>
      </c>
      <c r="D11">
        <v>0.47167702704349701</v>
      </c>
      <c r="E11">
        <v>-0.145562323641343</v>
      </c>
      <c r="F11">
        <v>7.6945171989468999E-2</v>
      </c>
    </row>
    <row r="12" spans="1:6" x14ac:dyDescent="0.2">
      <c r="A12" t="s">
        <v>62</v>
      </c>
      <c r="B12" t="s">
        <v>20</v>
      </c>
      <c r="C12">
        <v>0.76932088128765197</v>
      </c>
      <c r="D12">
        <v>0.95372394871928201</v>
      </c>
      <c r="E12">
        <v>-1.66441978506509E-2</v>
      </c>
      <c r="F12">
        <v>2.0859705269861001E-2</v>
      </c>
    </row>
    <row r="13" spans="1:6" x14ac:dyDescent="0.2">
      <c r="A13" t="s">
        <v>65</v>
      </c>
      <c r="B13" t="s">
        <v>20</v>
      </c>
      <c r="C13">
        <v>0.76932088128765197</v>
      </c>
      <c r="D13">
        <v>0.95364306734843196</v>
      </c>
      <c r="E13">
        <v>1.85284328139238E-3</v>
      </c>
      <c r="F13">
        <v>2.1435272662045399E-2</v>
      </c>
    </row>
    <row r="14" spans="1:6" x14ac:dyDescent="0.2">
      <c r="A14" t="s">
        <v>66</v>
      </c>
      <c r="B14" t="s">
        <v>20</v>
      </c>
      <c r="C14">
        <v>0.76932088128765197</v>
      </c>
      <c r="D14">
        <v>0.85523268415388298</v>
      </c>
      <c r="E14">
        <v>-5.2486417721068698E-2</v>
      </c>
      <c r="F14">
        <v>5.4528247692815501E-2</v>
      </c>
    </row>
    <row r="15" spans="1:6" x14ac:dyDescent="0.2">
      <c r="A15" t="s">
        <v>67</v>
      </c>
      <c r="B15" t="s">
        <v>20</v>
      </c>
      <c r="C15">
        <v>0.76932088128765197</v>
      </c>
      <c r="D15">
        <v>0.59126561468717997</v>
      </c>
      <c r="E15">
        <v>-0.204290147898678</v>
      </c>
      <c r="F15">
        <v>0.13064447557603601</v>
      </c>
    </row>
    <row r="16" spans="1:6" x14ac:dyDescent="0.2">
      <c r="A16" t="s">
        <v>69</v>
      </c>
      <c r="B16" t="s">
        <v>20</v>
      </c>
      <c r="C16">
        <v>0.92106168886256201</v>
      </c>
      <c r="D16">
        <v>0.92522328109260099</v>
      </c>
      <c r="E16">
        <v>-5.9482655073285401E-2</v>
      </c>
      <c r="F16">
        <v>6.2182934282743997E-2</v>
      </c>
    </row>
    <row r="17" spans="1:6" x14ac:dyDescent="0.2">
      <c r="A17" t="s">
        <v>71</v>
      </c>
      <c r="B17" t="s">
        <v>20</v>
      </c>
      <c r="C17">
        <v>0.92428829735923701</v>
      </c>
      <c r="D17">
        <v>0.79803425839779996</v>
      </c>
      <c r="E17">
        <v>-0.19189692778520301</v>
      </c>
      <c r="F17">
        <v>3.1739820255729301E-2</v>
      </c>
    </row>
    <row r="18" spans="1:6" x14ac:dyDescent="0.2">
      <c r="A18" t="s">
        <v>73</v>
      </c>
      <c r="B18" t="s">
        <v>20</v>
      </c>
      <c r="C18">
        <v>0.92106168886256201</v>
      </c>
      <c r="D18">
        <v>0.76932088128765197</v>
      </c>
      <c r="E18">
        <v>-5.0447688646716997E-2</v>
      </c>
      <c r="F18">
        <v>6.4616690609347896E-2</v>
      </c>
    </row>
    <row r="19" spans="1:6" x14ac:dyDescent="0.2">
      <c r="A19" t="s">
        <v>75</v>
      </c>
      <c r="B19" t="s">
        <v>20</v>
      </c>
      <c r="C19">
        <v>0.95050447144445105</v>
      </c>
      <c r="D19">
        <v>0.60420149003607104</v>
      </c>
      <c r="E19">
        <v>0.11539687705254401</v>
      </c>
      <c r="F19">
        <v>0.34666107913354999</v>
      </c>
    </row>
    <row r="20" spans="1:6" x14ac:dyDescent="0.2">
      <c r="A20" t="s">
        <v>76</v>
      </c>
      <c r="B20" t="s">
        <v>20</v>
      </c>
      <c r="C20">
        <v>0.92106168886256201</v>
      </c>
      <c r="D20">
        <v>0.95372394871928201</v>
      </c>
      <c r="E20">
        <v>-1.9096454229552098E-2</v>
      </c>
      <c r="F20">
        <v>6.4766981027072901E-2</v>
      </c>
    </row>
    <row r="21" spans="1:6" x14ac:dyDescent="0.2">
      <c r="A21" t="s">
        <v>3</v>
      </c>
      <c r="B21" t="s">
        <v>20</v>
      </c>
      <c r="C21">
        <v>0.92106168886256201</v>
      </c>
      <c r="D21">
        <v>0.95364306734843196</v>
      </c>
      <c r="E21">
        <v>-2.2560492205589401E-2</v>
      </c>
      <c r="F21">
        <v>3.9184142145951797E-2</v>
      </c>
    </row>
    <row r="22" spans="1:6" x14ac:dyDescent="0.2">
      <c r="A22" t="s">
        <v>78</v>
      </c>
      <c r="B22" t="s">
        <v>20</v>
      </c>
      <c r="C22">
        <v>0.92106168886256201</v>
      </c>
      <c r="D22">
        <v>0.85523268415388298</v>
      </c>
      <c r="E22">
        <v>-4.6002680034218098E-2</v>
      </c>
      <c r="F22">
        <v>3.6830264636461302E-2</v>
      </c>
    </row>
    <row r="23" spans="1:6" x14ac:dyDescent="0.2">
      <c r="A23" t="s">
        <v>80</v>
      </c>
      <c r="B23" t="s">
        <v>20</v>
      </c>
      <c r="C23">
        <v>0.95129737114400903</v>
      </c>
      <c r="D23">
        <v>0.58270467792085801</v>
      </c>
      <c r="E23">
        <v>0.22704972654316899</v>
      </c>
      <c r="F23">
        <v>8.2288758572847107E-2</v>
      </c>
    </row>
    <row r="24" spans="1:6" x14ac:dyDescent="0.2">
      <c r="A24" t="s">
        <v>82</v>
      </c>
      <c r="B24" t="s">
        <v>20</v>
      </c>
      <c r="C24">
        <v>0.58992321547156301</v>
      </c>
      <c r="D24">
        <v>1.0184724499472799</v>
      </c>
      <c r="E24">
        <v>0.26777931346688399</v>
      </c>
      <c r="F24">
        <v>0.245456599806923</v>
      </c>
    </row>
    <row r="25" spans="1:6" x14ac:dyDescent="0.2">
      <c r="A25" t="s">
        <v>83</v>
      </c>
      <c r="B25" t="s">
        <v>20</v>
      </c>
      <c r="C25">
        <v>0.85608395969838103</v>
      </c>
      <c r="D25">
        <v>0.61687341456825595</v>
      </c>
      <c r="E25">
        <v>-4.1061874989010497E-2</v>
      </c>
      <c r="F25">
        <v>0.26140074117510198</v>
      </c>
    </row>
    <row r="26" spans="1:6" x14ac:dyDescent="0.2">
      <c r="A26" t="s">
        <v>84</v>
      </c>
      <c r="B26" t="s">
        <v>20</v>
      </c>
      <c r="C26">
        <v>0.935302140328786</v>
      </c>
      <c r="D26">
        <v>1.0184724499472799</v>
      </c>
      <c r="E26">
        <v>3.8637951274086903E-2</v>
      </c>
      <c r="F26">
        <v>8.4333343399793897E-2</v>
      </c>
    </row>
    <row r="27" spans="1:6" x14ac:dyDescent="0.2">
      <c r="A27" t="s">
        <v>85</v>
      </c>
      <c r="B27" t="s">
        <v>20</v>
      </c>
      <c r="C27">
        <v>0.85523268415388298</v>
      </c>
      <c r="D27">
        <v>0.92522328109260099</v>
      </c>
      <c r="E27">
        <v>-6.9500556453723605E-2</v>
      </c>
      <c r="F27">
        <v>1.85274399742958E-2</v>
      </c>
    </row>
    <row r="28" spans="1:6" x14ac:dyDescent="0.2">
      <c r="A28" t="s">
        <v>4</v>
      </c>
      <c r="B28" t="s">
        <v>20</v>
      </c>
      <c r="C28">
        <v>0.85523268415388298</v>
      </c>
      <c r="D28">
        <v>0.81796790475658598</v>
      </c>
      <c r="E28">
        <v>-7.9373142771179697E-2</v>
      </c>
      <c r="F28">
        <v>3.2744285433914E-2</v>
      </c>
    </row>
    <row r="29" spans="1:6" x14ac:dyDescent="0.2">
      <c r="A29" t="s">
        <v>86</v>
      </c>
      <c r="B29" t="s">
        <v>20</v>
      </c>
      <c r="C29">
        <v>0.809653786196045</v>
      </c>
      <c r="D29">
        <v>0.550382649709387</v>
      </c>
      <c r="E29">
        <v>-0.26054723818231901</v>
      </c>
      <c r="F29">
        <v>0.103893275284255</v>
      </c>
    </row>
    <row r="30" spans="1:6" x14ac:dyDescent="0.2">
      <c r="A30" t="s">
        <v>88</v>
      </c>
      <c r="B30" t="s">
        <v>20</v>
      </c>
      <c r="C30">
        <v>0.85523268415388298</v>
      </c>
      <c r="D30">
        <v>0.95372394871928201</v>
      </c>
      <c r="E30">
        <v>-4.7108032410374402E-2</v>
      </c>
      <c r="F30">
        <v>1.01011168100769E-2</v>
      </c>
    </row>
    <row r="31" spans="1:6" x14ac:dyDescent="0.2">
      <c r="A31" t="s">
        <v>90</v>
      </c>
      <c r="B31" t="s">
        <v>20</v>
      </c>
      <c r="C31">
        <v>0.80183447688293596</v>
      </c>
      <c r="D31">
        <v>1.0184724499472799</v>
      </c>
      <c r="E31">
        <v>-5.5554619863790601E-2</v>
      </c>
      <c r="F31">
        <v>0.103303801806251</v>
      </c>
    </row>
    <row r="32" spans="1:6" x14ac:dyDescent="0.2">
      <c r="A32" t="s">
        <v>2</v>
      </c>
      <c r="B32" t="s">
        <v>20</v>
      </c>
      <c r="C32">
        <v>0.79411921160686505</v>
      </c>
      <c r="D32">
        <v>0.57508068564343096</v>
      </c>
      <c r="E32">
        <v>0.39118229381282299</v>
      </c>
      <c r="F32">
        <v>5.3826919453106699E-2</v>
      </c>
    </row>
    <row r="33" spans="1:6" x14ac:dyDescent="0.2">
      <c r="A33" t="s">
        <v>21</v>
      </c>
      <c r="B33" t="s">
        <v>20</v>
      </c>
      <c r="C33">
        <v>0.56992200819116401</v>
      </c>
      <c r="D33">
        <v>0.97834391023335099</v>
      </c>
      <c r="E33">
        <v>6.42792280271198E-2</v>
      </c>
      <c r="F33">
        <v>7.2585410937923797E-2</v>
      </c>
    </row>
    <row r="34" spans="1:6" x14ac:dyDescent="0.2">
      <c r="A34" t="s">
        <v>92</v>
      </c>
      <c r="B34" t="s">
        <v>20</v>
      </c>
      <c r="C34">
        <v>0.56992200819116401</v>
      </c>
      <c r="D34">
        <v>0.81837869547396402</v>
      </c>
      <c r="E34">
        <v>0.114531796078644</v>
      </c>
      <c r="F34">
        <v>3.7733302925647298E-2</v>
      </c>
    </row>
    <row r="35" spans="1:6" x14ac:dyDescent="0.2">
      <c r="A35" t="s">
        <v>93</v>
      </c>
      <c r="B35" t="s">
        <v>20</v>
      </c>
      <c r="C35">
        <v>0.56992200819116401</v>
      </c>
      <c r="D35">
        <v>0.58992321547156301</v>
      </c>
      <c r="E35">
        <v>-0.33214736579772203</v>
      </c>
      <c r="F35">
        <v>9.2655651429274399E-2</v>
      </c>
    </row>
    <row r="36" spans="1:6" x14ac:dyDescent="0.2">
      <c r="A36" t="s">
        <v>94</v>
      </c>
      <c r="B36" t="s">
        <v>20</v>
      </c>
      <c r="C36">
        <v>0.56992200819116401</v>
      </c>
      <c r="D36">
        <v>0.935302140328786</v>
      </c>
      <c r="E36">
        <v>-5.0124574674440502E-2</v>
      </c>
      <c r="F36">
        <v>0.157149792885661</v>
      </c>
    </row>
    <row r="37" spans="1:6" x14ac:dyDescent="0.2">
      <c r="A37" t="s">
        <v>95</v>
      </c>
      <c r="B37" t="s">
        <v>20</v>
      </c>
      <c r="C37">
        <v>0.56992200819116401</v>
      </c>
      <c r="D37">
        <v>1.0184724499472799</v>
      </c>
      <c r="E37">
        <v>0.204655560738849</v>
      </c>
      <c r="F37">
        <v>0.11901737459638199</v>
      </c>
    </row>
    <row r="38" spans="1:6" x14ac:dyDescent="0.2">
      <c r="A38" t="s">
        <v>40</v>
      </c>
      <c r="B38" t="s">
        <v>1</v>
      </c>
      <c r="C38">
        <v>0.71953380810286305</v>
      </c>
      <c r="D38">
        <v>0.86086674742278901</v>
      </c>
      <c r="E38">
        <v>9.4003757306003702E-2</v>
      </c>
      <c r="F38">
        <v>0.17056574714952</v>
      </c>
    </row>
    <row r="39" spans="1:6" x14ac:dyDescent="0.2">
      <c r="A39" t="s">
        <v>44</v>
      </c>
      <c r="B39" t="s">
        <v>1</v>
      </c>
      <c r="C39">
        <v>0.71953380810286305</v>
      </c>
      <c r="D39">
        <v>0.61173238941402197</v>
      </c>
      <c r="E39">
        <v>-0.243498296468768</v>
      </c>
      <c r="F39">
        <v>0.25054513049702898</v>
      </c>
    </row>
    <row r="40" spans="1:6" x14ac:dyDescent="0.2">
      <c r="A40" t="s">
        <v>46</v>
      </c>
      <c r="B40" t="s">
        <v>1</v>
      </c>
      <c r="C40">
        <v>0.71953380810286305</v>
      </c>
      <c r="D40">
        <v>0.60790595542284898</v>
      </c>
      <c r="E40">
        <v>-0.44720057715769101</v>
      </c>
      <c r="F40">
        <v>0.319761520216234</v>
      </c>
    </row>
    <row r="41" spans="1:6" x14ac:dyDescent="0.2">
      <c r="A41" t="s">
        <v>10</v>
      </c>
      <c r="B41" t="s">
        <v>1</v>
      </c>
      <c r="C41">
        <v>0.71953380810286305</v>
      </c>
      <c r="D41">
        <v>0.93246225400616201</v>
      </c>
      <c r="E41">
        <v>-0.26105953687772498</v>
      </c>
      <c r="F41">
        <v>0.110400304139156</v>
      </c>
    </row>
    <row r="42" spans="1:6" x14ac:dyDescent="0.2">
      <c r="A42" t="s">
        <v>49</v>
      </c>
      <c r="B42" t="s">
        <v>1</v>
      </c>
      <c r="C42">
        <v>0.86086674742278901</v>
      </c>
      <c r="D42">
        <v>0.61173238941402197</v>
      </c>
      <c r="E42">
        <v>3.2740017515278802E-2</v>
      </c>
      <c r="F42">
        <v>0.15400151590472499</v>
      </c>
    </row>
    <row r="43" spans="1:6" x14ac:dyDescent="0.2">
      <c r="A43" t="s">
        <v>11</v>
      </c>
      <c r="B43" t="s">
        <v>1</v>
      </c>
      <c r="C43">
        <v>0.86086674742278901</v>
      </c>
      <c r="D43">
        <v>0.60790595542284898</v>
      </c>
      <c r="E43">
        <v>-0.57033028469120906</v>
      </c>
      <c r="F43">
        <v>0.28181007416277298</v>
      </c>
    </row>
    <row r="44" spans="1:6" x14ac:dyDescent="0.2">
      <c r="A44" t="s">
        <v>52</v>
      </c>
      <c r="B44" t="s">
        <v>1</v>
      </c>
      <c r="C44">
        <v>0.86086674742278901</v>
      </c>
      <c r="D44">
        <v>0.93246225400616201</v>
      </c>
      <c r="E44">
        <v>0.17467530055623101</v>
      </c>
      <c r="F44">
        <v>0.17604270620654799</v>
      </c>
    </row>
    <row r="45" spans="1:6" x14ac:dyDescent="0.2">
      <c r="A45" t="s">
        <v>54</v>
      </c>
      <c r="B45" t="s">
        <v>1</v>
      </c>
      <c r="C45">
        <v>0.76474834680692805</v>
      </c>
      <c r="D45">
        <v>0.51787930382066405</v>
      </c>
      <c r="E45">
        <v>-0.50390507975895704</v>
      </c>
      <c r="F45">
        <v>0.39709440659135198</v>
      </c>
    </row>
    <row r="46" spans="1:6" x14ac:dyDescent="0.2">
      <c r="A46" t="s">
        <v>58</v>
      </c>
      <c r="B46" t="s">
        <v>1</v>
      </c>
      <c r="C46">
        <v>0.68107069639312101</v>
      </c>
      <c r="D46">
        <v>0.82363317816878701</v>
      </c>
      <c r="E46">
        <v>-0.21742380328588201</v>
      </c>
      <c r="F46">
        <v>5.1495095371803801E-2</v>
      </c>
    </row>
    <row r="47" spans="1:6" x14ac:dyDescent="0.2">
      <c r="A47" t="s">
        <v>61</v>
      </c>
      <c r="B47" t="s">
        <v>1</v>
      </c>
      <c r="C47">
        <v>0.76474834680692805</v>
      </c>
      <c r="D47">
        <v>0.33311940195055201</v>
      </c>
      <c r="E47">
        <v>1.3761548609975201E-2</v>
      </c>
      <c r="F47">
        <v>0.51656822413998704</v>
      </c>
    </row>
    <row r="48" spans="1:6" x14ac:dyDescent="0.2">
      <c r="A48" t="s">
        <v>62</v>
      </c>
      <c r="B48" t="s">
        <v>1</v>
      </c>
      <c r="C48">
        <v>0.76474834680692805</v>
      </c>
      <c r="D48">
        <v>0.55468777932775304</v>
      </c>
      <c r="E48">
        <v>-0.118970520029454</v>
      </c>
      <c r="F48">
        <v>0.392699198254092</v>
      </c>
    </row>
    <row r="49" spans="1:6" x14ac:dyDescent="0.2">
      <c r="A49" t="s">
        <v>65</v>
      </c>
      <c r="B49" t="s">
        <v>1</v>
      </c>
      <c r="C49">
        <v>0.76474834680692805</v>
      </c>
      <c r="D49">
        <v>0.82807296789463003</v>
      </c>
      <c r="E49">
        <v>-0.29390256808675103</v>
      </c>
      <c r="F49">
        <v>0.17795812542585801</v>
      </c>
    </row>
    <row r="50" spans="1:6" x14ac:dyDescent="0.2">
      <c r="A50" t="s">
        <v>66</v>
      </c>
      <c r="B50" t="s">
        <v>1</v>
      </c>
      <c r="C50">
        <v>0.76474834680692805</v>
      </c>
      <c r="D50">
        <v>0.53583357605812498</v>
      </c>
      <c r="E50">
        <v>7.6574346074037999E-2</v>
      </c>
      <c r="F50">
        <v>0.17331856654116301</v>
      </c>
    </row>
    <row r="51" spans="1:6" x14ac:dyDescent="0.2">
      <c r="A51" t="s">
        <v>67</v>
      </c>
      <c r="B51" t="s">
        <v>1</v>
      </c>
      <c r="C51">
        <v>0.76474834680692805</v>
      </c>
      <c r="D51">
        <v>0.58936538504073599</v>
      </c>
      <c r="E51">
        <v>-0.31774698512941602</v>
      </c>
      <c r="F51">
        <v>0.23323503858939901</v>
      </c>
    </row>
    <row r="52" spans="1:6" x14ac:dyDescent="0.2">
      <c r="A52" t="s">
        <v>69</v>
      </c>
      <c r="B52" t="s">
        <v>1</v>
      </c>
      <c r="C52">
        <v>0.802187371758737</v>
      </c>
      <c r="D52">
        <v>0.51787930382066405</v>
      </c>
      <c r="E52">
        <v>-0.19252209313723401</v>
      </c>
      <c r="F52">
        <v>0.35702464145331098</v>
      </c>
    </row>
    <row r="53" spans="1:6" x14ac:dyDescent="0.2">
      <c r="A53" t="s">
        <v>71</v>
      </c>
      <c r="B53" t="s">
        <v>1</v>
      </c>
      <c r="C53">
        <v>0.84290408721795396</v>
      </c>
      <c r="D53">
        <v>0.82363317816878701</v>
      </c>
      <c r="E53">
        <v>-0.35552351976796798</v>
      </c>
      <c r="F53">
        <v>0.48810557809432198</v>
      </c>
    </row>
    <row r="54" spans="1:6" x14ac:dyDescent="0.2">
      <c r="A54" t="s">
        <v>73</v>
      </c>
      <c r="B54" t="s">
        <v>1</v>
      </c>
      <c r="C54">
        <v>0.802187371758737</v>
      </c>
      <c r="D54">
        <v>0.76474834680692805</v>
      </c>
      <c r="E54">
        <v>-0.30950656379702701</v>
      </c>
      <c r="F54">
        <v>0.37091777870334902</v>
      </c>
    </row>
    <row r="55" spans="1:6" x14ac:dyDescent="0.2">
      <c r="A55" t="s">
        <v>75</v>
      </c>
      <c r="B55" t="s">
        <v>1</v>
      </c>
      <c r="C55">
        <v>0.81737873263968297</v>
      </c>
      <c r="D55">
        <v>0.55633792134007998</v>
      </c>
      <c r="E55">
        <v>-0.25371823701110102</v>
      </c>
      <c r="F55">
        <v>0.54703679072923295</v>
      </c>
    </row>
    <row r="56" spans="1:6" x14ac:dyDescent="0.2">
      <c r="A56" t="s">
        <v>76</v>
      </c>
      <c r="B56" t="s">
        <v>1</v>
      </c>
      <c r="C56">
        <v>0.802187371758737</v>
      </c>
      <c r="D56">
        <v>0.55468777932775304</v>
      </c>
      <c r="E56">
        <v>-0.11895547752114401</v>
      </c>
      <c r="F56">
        <v>0.27602313734876599</v>
      </c>
    </row>
    <row r="57" spans="1:6" x14ac:dyDescent="0.2">
      <c r="A57" t="s">
        <v>3</v>
      </c>
      <c r="B57" t="s">
        <v>1</v>
      </c>
      <c r="C57">
        <v>0.802187371758737</v>
      </c>
      <c r="D57">
        <v>0.82807296789463003</v>
      </c>
      <c r="E57">
        <v>-0.35389693480345502</v>
      </c>
      <c r="F57">
        <v>0.144722737868414</v>
      </c>
    </row>
    <row r="58" spans="1:6" x14ac:dyDescent="0.2">
      <c r="A58" t="s">
        <v>78</v>
      </c>
      <c r="B58" t="s">
        <v>1</v>
      </c>
      <c r="C58">
        <v>0.802187371758737</v>
      </c>
      <c r="D58">
        <v>0.53583357605812498</v>
      </c>
      <c r="E58">
        <v>-0.222537501708689</v>
      </c>
      <c r="F58">
        <v>0.17849029000971101</v>
      </c>
    </row>
    <row r="59" spans="1:6" x14ac:dyDescent="0.2">
      <c r="A59" t="s">
        <v>80</v>
      </c>
      <c r="B59" t="s">
        <v>1</v>
      </c>
      <c r="C59">
        <v>0.88908191857457897</v>
      </c>
      <c r="D59">
        <v>0.55593858895871795</v>
      </c>
      <c r="E59">
        <v>0.83872463909366501</v>
      </c>
      <c r="F59">
        <v>0.27933711909878001</v>
      </c>
    </row>
    <row r="60" spans="1:6" x14ac:dyDescent="0.2">
      <c r="A60" t="s">
        <v>82</v>
      </c>
      <c r="B60" t="s">
        <v>1</v>
      </c>
      <c r="C60">
        <v>0.61173238941402197</v>
      </c>
      <c r="D60">
        <v>0.93246225400616201</v>
      </c>
      <c r="E60">
        <v>0.204592352185442</v>
      </c>
      <c r="F60">
        <v>0.39691146659370002</v>
      </c>
    </row>
    <row r="61" spans="1:6" x14ac:dyDescent="0.2">
      <c r="A61" t="s">
        <v>83</v>
      </c>
      <c r="B61" t="s">
        <v>1</v>
      </c>
      <c r="C61">
        <v>0.68470721666783596</v>
      </c>
      <c r="D61">
        <v>0.60949122508866005</v>
      </c>
      <c r="E61">
        <v>0.24146673407845401</v>
      </c>
      <c r="F61">
        <v>0.19662032132004301</v>
      </c>
    </row>
    <row r="62" spans="1:6" x14ac:dyDescent="0.2">
      <c r="A62" t="s">
        <v>84</v>
      </c>
      <c r="B62" t="s">
        <v>1</v>
      </c>
      <c r="C62">
        <v>0.60790595542284898</v>
      </c>
      <c r="D62">
        <v>0.93246225400616201</v>
      </c>
      <c r="E62">
        <v>-0.49592852241593799</v>
      </c>
      <c r="F62">
        <v>0.22702807508576101</v>
      </c>
    </row>
    <row r="63" spans="1:6" x14ac:dyDescent="0.2">
      <c r="A63" t="s">
        <v>85</v>
      </c>
      <c r="B63" t="s">
        <v>1</v>
      </c>
      <c r="C63">
        <v>0.53583357605812498</v>
      </c>
      <c r="D63">
        <v>0.51787930382066405</v>
      </c>
      <c r="E63">
        <v>-0.80942171306803301</v>
      </c>
      <c r="F63">
        <v>0.22150515738818399</v>
      </c>
    </row>
    <row r="64" spans="1:6" x14ac:dyDescent="0.2">
      <c r="A64" t="s">
        <v>4</v>
      </c>
      <c r="B64" t="s">
        <v>1</v>
      </c>
      <c r="C64">
        <v>0.53583357605812498</v>
      </c>
      <c r="D64">
        <v>0.77748136076367302</v>
      </c>
      <c r="E64">
        <v>-0.65547507997464005</v>
      </c>
      <c r="F64">
        <v>0.29841555003623998</v>
      </c>
    </row>
    <row r="65" spans="1:6" x14ac:dyDescent="0.2">
      <c r="A65" t="s">
        <v>86</v>
      </c>
      <c r="B65" t="s">
        <v>1</v>
      </c>
      <c r="C65">
        <v>0.51852597713797999</v>
      </c>
      <c r="D65">
        <v>0.43071001870793701</v>
      </c>
      <c r="E65">
        <v>0.24616260228627601</v>
      </c>
      <c r="F65">
        <v>0.248124208587338</v>
      </c>
    </row>
    <row r="66" spans="1:6" x14ac:dyDescent="0.2">
      <c r="A66" t="s">
        <v>88</v>
      </c>
      <c r="B66" t="s">
        <v>1</v>
      </c>
      <c r="C66">
        <v>0.53583357605812498</v>
      </c>
      <c r="D66">
        <v>0.55468777932775304</v>
      </c>
      <c r="E66">
        <v>4.8956873114388198E-2</v>
      </c>
      <c r="F66">
        <v>0.19934330328253899</v>
      </c>
    </row>
    <row r="67" spans="1:6" x14ac:dyDescent="0.2">
      <c r="A67" t="s">
        <v>90</v>
      </c>
      <c r="B67" t="s">
        <v>1</v>
      </c>
      <c r="C67">
        <v>0.51226558809293099</v>
      </c>
      <c r="D67">
        <v>0.93246225400616201</v>
      </c>
      <c r="E67">
        <v>-0.62560880538623898</v>
      </c>
      <c r="F67">
        <v>8.4006000705164601E-3</v>
      </c>
    </row>
    <row r="68" spans="1:6" x14ac:dyDescent="0.2">
      <c r="A68" t="s">
        <v>2</v>
      </c>
      <c r="B68" t="s">
        <v>1</v>
      </c>
      <c r="C68">
        <v>0.49411255226976902</v>
      </c>
      <c r="D68">
        <v>0.50663544273074701</v>
      </c>
      <c r="E68">
        <v>-0.28025194586086799</v>
      </c>
      <c r="F68">
        <v>0.40042028256995299</v>
      </c>
    </row>
    <row r="69" spans="1:6" x14ac:dyDescent="0.2">
      <c r="A69" t="s">
        <v>21</v>
      </c>
      <c r="B69" t="s">
        <v>1</v>
      </c>
      <c r="C69">
        <v>0.544291392168467</v>
      </c>
      <c r="D69">
        <v>0.71953380810286305</v>
      </c>
      <c r="E69">
        <v>-0.44338255086330802</v>
      </c>
      <c r="F69">
        <v>0.15576242354502301</v>
      </c>
    </row>
    <row r="70" spans="1:6" x14ac:dyDescent="0.2">
      <c r="A70" t="s">
        <v>92</v>
      </c>
      <c r="B70" t="s">
        <v>1</v>
      </c>
      <c r="C70">
        <v>0.544291392168467</v>
      </c>
      <c r="D70">
        <v>0.86086674742278901</v>
      </c>
      <c r="E70">
        <v>0.23718585027250699</v>
      </c>
      <c r="F70">
        <v>9.0954539706736504E-2</v>
      </c>
    </row>
    <row r="71" spans="1:6" x14ac:dyDescent="0.2">
      <c r="A71" t="s">
        <v>93</v>
      </c>
      <c r="B71" t="s">
        <v>1</v>
      </c>
      <c r="C71">
        <v>0.544291392168467</v>
      </c>
      <c r="D71">
        <v>0.61173238941402197</v>
      </c>
      <c r="E71">
        <v>-0.17590275252585</v>
      </c>
      <c r="F71">
        <v>0.32234587468975301</v>
      </c>
    </row>
    <row r="72" spans="1:6" x14ac:dyDescent="0.2">
      <c r="A72" t="s">
        <v>94</v>
      </c>
      <c r="B72" t="s">
        <v>1</v>
      </c>
      <c r="C72">
        <v>0.544291392168467</v>
      </c>
      <c r="D72">
        <v>0.60790595542284898</v>
      </c>
      <c r="E72">
        <v>-0.395701916914112</v>
      </c>
      <c r="F72">
        <v>0.42767658077327397</v>
      </c>
    </row>
    <row r="73" spans="1:6" x14ac:dyDescent="0.2">
      <c r="A73" t="s">
        <v>95</v>
      </c>
      <c r="B73" t="s">
        <v>1</v>
      </c>
      <c r="C73">
        <v>0.544291392168467</v>
      </c>
      <c r="D73">
        <v>0.93246225400616201</v>
      </c>
      <c r="E73">
        <v>0.20268820827530001</v>
      </c>
      <c r="F73">
        <v>0.13607819236757099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5A8D-38B2-124F-BED0-3161E007FF4B}">
  <dimension ref="A1:AC781"/>
  <sheetViews>
    <sheetView topLeftCell="K1" workbookViewId="0">
      <selection activeCell="Q1" sqref="Q1:Q1048576"/>
    </sheetView>
  </sheetViews>
  <sheetFormatPr baseColWidth="10" defaultRowHeight="16" x14ac:dyDescent="0.2"/>
  <cols>
    <col min="10" max="10" width="21" bestFit="1" customWidth="1"/>
    <col min="11" max="12" width="12.83203125" bestFit="1" customWidth="1"/>
    <col min="13" max="13" width="23.83203125" bestFit="1" customWidth="1"/>
    <col min="14" max="14" width="23.33203125" bestFit="1" customWidth="1"/>
    <col min="15" max="15" width="23.83203125" bestFit="1" customWidth="1"/>
    <col min="16" max="16" width="23.33203125" bestFit="1" customWidth="1"/>
    <col min="17" max="20" width="13.33203125" bestFit="1" customWidth="1"/>
  </cols>
  <sheetData>
    <row r="1" spans="1:29" x14ac:dyDescent="0.2">
      <c r="A1" s="7" t="s">
        <v>118</v>
      </c>
      <c r="B1" s="7" t="s">
        <v>1150</v>
      </c>
      <c r="C1" s="7" t="s">
        <v>1151</v>
      </c>
      <c r="D1" s="7" t="s">
        <v>1152</v>
      </c>
      <c r="E1" s="7" t="s">
        <v>1153</v>
      </c>
      <c r="F1" s="7" t="s">
        <v>1154</v>
      </c>
      <c r="G1" s="7" t="s">
        <v>1155</v>
      </c>
      <c r="H1" s="7" t="s">
        <v>1156</v>
      </c>
      <c r="I1" s="7" t="s">
        <v>1157</v>
      </c>
      <c r="J1" s="7" t="s">
        <v>936</v>
      </c>
      <c r="K1" s="7" t="s">
        <v>1158</v>
      </c>
      <c r="L1" s="7" t="s">
        <v>1159</v>
      </c>
      <c r="M1" s="7" t="s">
        <v>1160</v>
      </c>
      <c r="N1" s="7" t="s">
        <v>1161</v>
      </c>
      <c r="O1" s="7" t="s">
        <v>1162</v>
      </c>
      <c r="P1" s="7" t="s">
        <v>1163</v>
      </c>
      <c r="Q1" s="7" t="s">
        <v>1164</v>
      </c>
      <c r="R1" s="7" t="s">
        <v>1165</v>
      </c>
      <c r="S1" s="7" t="s">
        <v>1166</v>
      </c>
      <c r="T1" s="7" t="s">
        <v>1167</v>
      </c>
      <c r="U1" s="7" t="s">
        <v>1168</v>
      </c>
      <c r="V1" s="7" t="s">
        <v>1169</v>
      </c>
      <c r="W1" s="7" t="s">
        <v>1170</v>
      </c>
      <c r="X1" s="7" t="s">
        <v>1171</v>
      </c>
      <c r="Y1" s="7" t="s">
        <v>1172</v>
      </c>
      <c r="Z1" s="7" t="s">
        <v>1196</v>
      </c>
      <c r="AA1" s="7" t="s">
        <v>1197</v>
      </c>
      <c r="AB1" s="7" t="s">
        <v>1198</v>
      </c>
      <c r="AC1" s="7" t="s">
        <v>1199</v>
      </c>
    </row>
    <row r="2" spans="1:29" x14ac:dyDescent="0.2">
      <c r="A2">
        <v>1</v>
      </c>
      <c r="B2" t="s">
        <v>128</v>
      </c>
      <c r="C2" t="s">
        <v>129</v>
      </c>
      <c r="D2" t="s">
        <v>130</v>
      </c>
      <c r="E2">
        <v>6.0756848717613303E-3</v>
      </c>
      <c r="F2">
        <v>-0.19411621338910501</v>
      </c>
      <c r="G2">
        <v>-0.18343099223145401</v>
      </c>
      <c r="H2">
        <v>-0.309703899657505</v>
      </c>
      <c r="I2">
        <v>-0.12627290742605099</v>
      </c>
      <c r="J2">
        <v>-0.200191898260866</v>
      </c>
      <c r="K2">
        <v>6.0756848717613303E-3</v>
      </c>
      <c r="L2">
        <v>-0.18343099223145401</v>
      </c>
      <c r="M2">
        <v>-0.200191898260866</v>
      </c>
      <c r="N2">
        <v>-1.0685221157651E-2</v>
      </c>
      <c r="O2">
        <v>-0.31577958452926602</v>
      </c>
      <c r="P2">
        <v>-0.12627290742605099</v>
      </c>
      <c r="Q2" t="s">
        <v>1173</v>
      </c>
      <c r="R2" t="s">
        <v>1067</v>
      </c>
      <c r="S2" t="s">
        <v>1067</v>
      </c>
      <c r="T2" t="s">
        <v>1067</v>
      </c>
      <c r="U2" t="s">
        <v>1174</v>
      </c>
      <c r="V2">
        <v>1</v>
      </c>
      <c r="W2" t="s">
        <v>1174</v>
      </c>
      <c r="X2" t="s">
        <v>1175</v>
      </c>
      <c r="Y2">
        <v>1</v>
      </c>
      <c r="Z2">
        <v>-0.22966911883702801</v>
      </c>
      <c r="AA2">
        <v>-0.220935895276056</v>
      </c>
      <c r="AB2">
        <v>-0.362111122705009</v>
      </c>
      <c r="AC2">
        <v>-0.35557144720407002</v>
      </c>
    </row>
    <row r="3" spans="1:29" x14ac:dyDescent="0.2">
      <c r="A3">
        <v>2</v>
      </c>
      <c r="B3" t="s">
        <v>131</v>
      </c>
      <c r="C3" t="s">
        <v>129</v>
      </c>
      <c r="D3" t="s">
        <v>132</v>
      </c>
      <c r="E3">
        <v>0.76040573213602403</v>
      </c>
      <c r="F3">
        <v>0.101818806678467</v>
      </c>
      <c r="G3">
        <v>0.65242555385338696</v>
      </c>
      <c r="H3">
        <v>1.4273209837287399E-2</v>
      </c>
      <c r="I3">
        <v>-0.63815234401609999</v>
      </c>
      <c r="J3">
        <v>-0.65858692545755704</v>
      </c>
      <c r="K3">
        <v>0.76040573213602403</v>
      </c>
      <c r="L3">
        <v>0.65242555385338696</v>
      </c>
      <c r="M3">
        <v>-0.65858692545755704</v>
      </c>
      <c r="N3">
        <v>-0.55060674717491997</v>
      </c>
      <c r="O3">
        <v>-0.74613252229873706</v>
      </c>
      <c r="P3">
        <v>-0.63815234401609999</v>
      </c>
      <c r="Q3" t="s">
        <v>1068</v>
      </c>
      <c r="R3" t="s">
        <v>1068</v>
      </c>
      <c r="S3" t="s">
        <v>1068</v>
      </c>
      <c r="T3" t="s">
        <v>1173</v>
      </c>
      <c r="U3" t="s">
        <v>1174</v>
      </c>
      <c r="V3">
        <v>1</v>
      </c>
      <c r="W3" t="s">
        <v>944</v>
      </c>
      <c r="X3" t="s">
        <v>1175</v>
      </c>
      <c r="Y3">
        <v>1</v>
      </c>
      <c r="Z3">
        <v>-0.499418044987812</v>
      </c>
      <c r="AA3">
        <v>-0.29067941648232398</v>
      </c>
      <c r="AB3">
        <v>-0.32061462686000702</v>
      </c>
      <c r="AC3">
        <v>-0.27429579122076198</v>
      </c>
    </row>
    <row r="4" spans="1:29" x14ac:dyDescent="0.2">
      <c r="A4">
        <v>3</v>
      </c>
      <c r="B4" t="s">
        <v>133</v>
      </c>
      <c r="C4" t="s">
        <v>129</v>
      </c>
      <c r="D4" t="s">
        <v>134</v>
      </c>
      <c r="E4">
        <v>-2.4161949305382398E-2</v>
      </c>
      <c r="F4">
        <v>-3.5164099908886803E-2</v>
      </c>
      <c r="G4">
        <v>1.48924063698522E-2</v>
      </c>
      <c r="H4">
        <v>-0.11418912714898399</v>
      </c>
      <c r="I4">
        <v>-0.129081533518836</v>
      </c>
      <c r="J4">
        <v>-1.10021506035044E-2</v>
      </c>
      <c r="K4">
        <v>1.48924063698522E-2</v>
      </c>
      <c r="L4">
        <v>-2.4161949305382398E-2</v>
      </c>
      <c r="M4">
        <v>-5.0056506278738998E-2</v>
      </c>
      <c r="N4">
        <v>-1.10021506035044E-2</v>
      </c>
      <c r="O4">
        <v>-0.129081533518836</v>
      </c>
      <c r="P4">
        <v>-9.0027177843601605E-2</v>
      </c>
      <c r="Q4" t="s">
        <v>1173</v>
      </c>
      <c r="R4" t="s">
        <v>1173</v>
      </c>
      <c r="S4" t="s">
        <v>1173</v>
      </c>
      <c r="T4" t="s">
        <v>1067</v>
      </c>
      <c r="U4" t="s">
        <v>1174</v>
      </c>
      <c r="V4">
        <v>1</v>
      </c>
      <c r="W4" t="s">
        <v>944</v>
      </c>
      <c r="X4" t="s">
        <v>1175</v>
      </c>
      <c r="Y4">
        <v>0</v>
      </c>
      <c r="Z4">
        <v>-0.36627249276003598</v>
      </c>
      <c r="AA4">
        <v>-0.31037811248802</v>
      </c>
      <c r="AB4">
        <v>-0.23947331091753599</v>
      </c>
      <c r="AC4">
        <v>-0.33149416600943499</v>
      </c>
    </row>
    <row r="5" spans="1:29" x14ac:dyDescent="0.2">
      <c r="A5">
        <v>4</v>
      </c>
      <c r="B5" t="s">
        <v>135</v>
      </c>
      <c r="C5" t="s">
        <v>129</v>
      </c>
      <c r="D5" t="s">
        <v>136</v>
      </c>
      <c r="E5">
        <v>-0.30954779918042402</v>
      </c>
      <c r="F5">
        <v>-0.57358339981068696</v>
      </c>
      <c r="G5">
        <v>1.48924063698522E-2</v>
      </c>
      <c r="H5">
        <v>-0.76952306184687502</v>
      </c>
      <c r="I5">
        <v>-0.78441546821672703</v>
      </c>
      <c r="J5">
        <v>-0.26403560063026299</v>
      </c>
      <c r="K5">
        <v>1.48924063698522E-2</v>
      </c>
      <c r="L5">
        <v>-0.30954779918042402</v>
      </c>
      <c r="M5">
        <v>-0.58847580618053896</v>
      </c>
      <c r="N5">
        <v>-0.26403560063026299</v>
      </c>
      <c r="O5">
        <v>-0.78441546821672703</v>
      </c>
      <c r="P5">
        <v>-0.459975262666451</v>
      </c>
      <c r="Q5" t="s">
        <v>1067</v>
      </c>
      <c r="R5" t="s">
        <v>1067</v>
      </c>
      <c r="S5" t="s">
        <v>1173</v>
      </c>
      <c r="T5" t="s">
        <v>1067</v>
      </c>
      <c r="U5" t="s">
        <v>1174</v>
      </c>
      <c r="V5">
        <v>1</v>
      </c>
      <c r="W5" t="s">
        <v>944</v>
      </c>
      <c r="X5" t="s">
        <v>1175</v>
      </c>
      <c r="Y5">
        <v>1</v>
      </c>
      <c r="Z5">
        <v>-0.44496337188695201</v>
      </c>
      <c r="AA5">
        <v>-0.319860916484971</v>
      </c>
      <c r="AB5">
        <v>-0.12767169300887099</v>
      </c>
      <c r="AC5">
        <v>-0.24518874602969201</v>
      </c>
    </row>
    <row r="6" spans="1:29" x14ac:dyDescent="0.2">
      <c r="A6">
        <v>5</v>
      </c>
      <c r="B6" t="s">
        <v>137</v>
      </c>
      <c r="C6" t="s">
        <v>129</v>
      </c>
      <c r="D6" t="s">
        <v>138</v>
      </c>
      <c r="E6">
        <v>-0.53961660728775096</v>
      </c>
      <c r="F6">
        <v>0.42343900410338797</v>
      </c>
      <c r="G6">
        <v>-0.30114667024122899</v>
      </c>
      <c r="H6">
        <v>0.39831751236691498</v>
      </c>
      <c r="I6">
        <v>0.69946418260814403</v>
      </c>
      <c r="J6">
        <v>0.96305561139113904</v>
      </c>
      <c r="K6">
        <v>-0.30114667024122899</v>
      </c>
      <c r="L6">
        <v>-0.53961660728775096</v>
      </c>
      <c r="M6">
        <v>0.72458567434461696</v>
      </c>
      <c r="N6">
        <v>0.96305561139113904</v>
      </c>
      <c r="O6">
        <v>0.69946418260814403</v>
      </c>
      <c r="P6">
        <v>0.937934119654666</v>
      </c>
      <c r="Q6" t="s">
        <v>1067</v>
      </c>
      <c r="R6" t="s">
        <v>1068</v>
      </c>
      <c r="S6" t="s">
        <v>1067</v>
      </c>
      <c r="T6" t="s">
        <v>1068</v>
      </c>
      <c r="U6" t="s">
        <v>944</v>
      </c>
      <c r="V6">
        <v>0</v>
      </c>
      <c r="W6" t="s">
        <v>944</v>
      </c>
      <c r="X6" t="s">
        <v>1175</v>
      </c>
      <c r="Y6">
        <v>1</v>
      </c>
      <c r="Z6">
        <v>0.405569435817351</v>
      </c>
      <c r="AA6">
        <v>-0.15933757559202799</v>
      </c>
      <c r="AB6">
        <v>0.52460779816296199</v>
      </c>
      <c r="AC6">
        <v>-0.16608221528827399</v>
      </c>
    </row>
    <row r="7" spans="1:29" x14ac:dyDescent="0.2">
      <c r="A7">
        <v>6</v>
      </c>
      <c r="B7" t="s">
        <v>139</v>
      </c>
      <c r="C7" t="s">
        <v>129</v>
      </c>
      <c r="D7" t="s">
        <v>140</v>
      </c>
      <c r="E7">
        <v>5.2226321722099199E-2</v>
      </c>
      <c r="F7">
        <v>-1</v>
      </c>
      <c r="G7">
        <v>8.9475663541327299E-2</v>
      </c>
      <c r="H7">
        <v>-1</v>
      </c>
      <c r="I7">
        <v>-1.0894756635413301</v>
      </c>
      <c r="J7">
        <v>-1.0522263217221</v>
      </c>
      <c r="K7">
        <v>8.9475663541327299E-2</v>
      </c>
      <c r="L7">
        <v>5.2226321722099199E-2</v>
      </c>
      <c r="M7">
        <v>-1.0894756635413301</v>
      </c>
      <c r="N7">
        <v>-1.0522263217221</v>
      </c>
      <c r="O7">
        <v>-1.0894756635413301</v>
      </c>
      <c r="P7">
        <v>-1.0522263217221</v>
      </c>
      <c r="Q7" t="s">
        <v>1173</v>
      </c>
      <c r="R7" t="s">
        <v>1067</v>
      </c>
      <c r="S7" t="s">
        <v>1173</v>
      </c>
      <c r="T7" t="s">
        <v>1067</v>
      </c>
      <c r="U7" t="s">
        <v>1174</v>
      </c>
      <c r="V7">
        <v>1</v>
      </c>
      <c r="W7" t="s">
        <v>1174</v>
      </c>
      <c r="X7" t="s">
        <v>1175</v>
      </c>
      <c r="Y7">
        <v>1</v>
      </c>
      <c r="Z7">
        <v>-0.43239929920909298</v>
      </c>
      <c r="AA7">
        <v>-0.25512920493341801</v>
      </c>
      <c r="AB7">
        <v>-0.33500718337647301</v>
      </c>
      <c r="AC7">
        <v>-0.27261293126786101</v>
      </c>
    </row>
    <row r="8" spans="1:29" x14ac:dyDescent="0.2">
      <c r="A8">
        <v>7</v>
      </c>
      <c r="B8" t="s">
        <v>141</v>
      </c>
      <c r="C8" t="s">
        <v>129</v>
      </c>
      <c r="D8" t="s">
        <v>142</v>
      </c>
      <c r="E8">
        <v>0.23328150144323101</v>
      </c>
      <c r="F8">
        <v>0.58969391615486699</v>
      </c>
      <c r="G8">
        <v>1.48924063698522E-2</v>
      </c>
      <c r="H8">
        <v>0.62073907404594397</v>
      </c>
      <c r="I8">
        <v>0.60584666767609197</v>
      </c>
      <c r="J8">
        <v>0.35641241471163598</v>
      </c>
      <c r="K8">
        <v>0.23328150144323101</v>
      </c>
      <c r="L8">
        <v>1.48924063698522E-2</v>
      </c>
      <c r="M8">
        <v>0.35641241471163598</v>
      </c>
      <c r="N8">
        <v>0.57480150978501499</v>
      </c>
      <c r="O8">
        <v>0.38745757260271302</v>
      </c>
      <c r="P8">
        <v>0.60584666767609197</v>
      </c>
      <c r="Q8" t="s">
        <v>1068</v>
      </c>
      <c r="R8" t="s">
        <v>1068</v>
      </c>
      <c r="S8" t="s">
        <v>1173</v>
      </c>
      <c r="T8" t="s">
        <v>1068</v>
      </c>
      <c r="U8" t="s">
        <v>944</v>
      </c>
      <c r="V8">
        <v>0</v>
      </c>
      <c r="W8" t="s">
        <v>944</v>
      </c>
      <c r="X8" t="s">
        <v>1175</v>
      </c>
      <c r="Y8">
        <v>1</v>
      </c>
      <c r="Z8">
        <v>0.53709205617122302</v>
      </c>
      <c r="AA8">
        <v>-0.20151633523562601</v>
      </c>
      <c r="AB8">
        <v>0.66918624490070899</v>
      </c>
      <c r="AC8">
        <v>-0.143469814056223</v>
      </c>
    </row>
    <row r="9" spans="1:29" x14ac:dyDescent="0.2">
      <c r="A9">
        <v>8</v>
      </c>
      <c r="B9" t="s">
        <v>143</v>
      </c>
      <c r="C9" t="s">
        <v>129</v>
      </c>
      <c r="D9" t="s">
        <v>144</v>
      </c>
      <c r="E9">
        <v>6.1159321661932798E-3</v>
      </c>
      <c r="F9">
        <v>-9.2699096872944503E-2</v>
      </c>
      <c r="G9">
        <v>1.52210774831986E-2</v>
      </c>
      <c r="H9">
        <v>-0.188259433623024</v>
      </c>
      <c r="I9">
        <v>-0.20348051110622301</v>
      </c>
      <c r="J9">
        <v>-9.8815029039137803E-2</v>
      </c>
      <c r="K9">
        <v>1.52210774831986E-2</v>
      </c>
      <c r="L9">
        <v>6.1159321661932798E-3</v>
      </c>
      <c r="M9">
        <v>-0.107920174356143</v>
      </c>
      <c r="N9">
        <v>-9.8815029039137803E-2</v>
      </c>
      <c r="O9">
        <v>-0.20348051110622301</v>
      </c>
      <c r="P9">
        <v>-0.19437536578921699</v>
      </c>
      <c r="Q9" t="s">
        <v>1173</v>
      </c>
      <c r="R9" t="s">
        <v>1173</v>
      </c>
      <c r="S9" t="s">
        <v>1173</v>
      </c>
      <c r="T9" t="s">
        <v>1067</v>
      </c>
      <c r="U9" t="s">
        <v>1174</v>
      </c>
      <c r="V9">
        <v>1</v>
      </c>
      <c r="W9" t="s">
        <v>1174</v>
      </c>
      <c r="X9" t="s">
        <v>1175</v>
      </c>
      <c r="Y9">
        <v>0</v>
      </c>
      <c r="Z9">
        <v>-0.29021363861003702</v>
      </c>
      <c r="AA9">
        <v>-0.30120117917142802</v>
      </c>
      <c r="AB9">
        <v>-0.17837974036443499</v>
      </c>
      <c r="AC9">
        <v>-0.33157652414432198</v>
      </c>
    </row>
    <row r="10" spans="1:29" x14ac:dyDescent="0.2">
      <c r="A10">
        <v>9</v>
      </c>
      <c r="B10" t="s">
        <v>145</v>
      </c>
      <c r="C10" t="s">
        <v>129</v>
      </c>
      <c r="D10" t="s">
        <v>146</v>
      </c>
      <c r="E10">
        <v>5.55661005599085E-3</v>
      </c>
      <c r="F10">
        <v>-0.19185349617883299</v>
      </c>
      <c r="G10">
        <v>-0.119166758912922</v>
      </c>
      <c r="H10">
        <v>-0.30836969705271</v>
      </c>
      <c r="I10">
        <v>-0.189202938139788</v>
      </c>
      <c r="J10">
        <v>-0.197410106234824</v>
      </c>
      <c r="K10">
        <v>5.55661005599085E-3</v>
      </c>
      <c r="L10">
        <v>-0.119166758912922</v>
      </c>
      <c r="M10">
        <v>-0.197410106234824</v>
      </c>
      <c r="N10">
        <v>-7.2686737265911003E-2</v>
      </c>
      <c r="O10">
        <v>-0.31392630710870101</v>
      </c>
      <c r="P10">
        <v>-0.189202938139788</v>
      </c>
      <c r="Q10" t="s">
        <v>1173</v>
      </c>
      <c r="R10" t="s">
        <v>1067</v>
      </c>
      <c r="S10" t="s">
        <v>1067</v>
      </c>
      <c r="T10" t="s">
        <v>1067</v>
      </c>
      <c r="U10" t="s">
        <v>1174</v>
      </c>
      <c r="V10">
        <v>1</v>
      </c>
      <c r="W10" t="s">
        <v>1174</v>
      </c>
      <c r="X10" t="s">
        <v>1175</v>
      </c>
      <c r="Y10">
        <v>1</v>
      </c>
      <c r="Z10">
        <v>-0.26320734689862502</v>
      </c>
      <c r="AA10">
        <v>-0.23549285673808701</v>
      </c>
      <c r="AB10">
        <v>-0.35997553567708301</v>
      </c>
      <c r="AC10">
        <v>-0.35506364887960601</v>
      </c>
    </row>
    <row r="11" spans="1:29" x14ac:dyDescent="0.2">
      <c r="A11">
        <v>10</v>
      </c>
      <c r="B11" t="s">
        <v>147</v>
      </c>
      <c r="C11" t="s">
        <v>129</v>
      </c>
      <c r="D11" t="s">
        <v>148</v>
      </c>
      <c r="E11">
        <v>-0.38463511383975502</v>
      </c>
      <c r="F11">
        <v>-1</v>
      </c>
      <c r="G11">
        <v>1.49344682878466E-2</v>
      </c>
      <c r="H11">
        <v>-1</v>
      </c>
      <c r="I11">
        <v>-1.0149344682878501</v>
      </c>
      <c r="J11">
        <v>-0.61536488616024498</v>
      </c>
      <c r="K11">
        <v>1.49344682878466E-2</v>
      </c>
      <c r="L11">
        <v>-0.38463511383975502</v>
      </c>
      <c r="M11">
        <v>-1.0149344682878501</v>
      </c>
      <c r="N11">
        <v>-0.61536488616024498</v>
      </c>
      <c r="O11">
        <v>-1.0149344682878501</v>
      </c>
      <c r="P11">
        <v>-0.61536488616024498</v>
      </c>
      <c r="Q11" t="s">
        <v>1067</v>
      </c>
      <c r="R11" t="s">
        <v>1067</v>
      </c>
      <c r="S11" t="s">
        <v>1173</v>
      </c>
      <c r="T11" t="s">
        <v>1067</v>
      </c>
      <c r="U11" t="s">
        <v>1174</v>
      </c>
      <c r="V11">
        <v>1</v>
      </c>
      <c r="W11" t="s">
        <v>944</v>
      </c>
      <c r="X11" t="s">
        <v>1175</v>
      </c>
      <c r="Y11">
        <v>1</v>
      </c>
      <c r="Z11">
        <v>-0.62253062708838003</v>
      </c>
      <c r="AA11">
        <v>-0.34126546754166898</v>
      </c>
      <c r="AB11">
        <v>-0.31927195453420698</v>
      </c>
      <c r="AC11">
        <v>-0.27199508310800102</v>
      </c>
    </row>
    <row r="12" spans="1:29" x14ac:dyDescent="0.2">
      <c r="A12">
        <v>11</v>
      </c>
      <c r="B12" t="s">
        <v>149</v>
      </c>
      <c r="C12" t="s">
        <v>129</v>
      </c>
      <c r="D12" t="s">
        <v>150</v>
      </c>
      <c r="E12">
        <v>6.1141898607081496E-3</v>
      </c>
      <c r="F12">
        <v>-0.19574890135596901</v>
      </c>
      <c r="G12">
        <v>-4.7768501964250497E-2</v>
      </c>
      <c r="H12">
        <v>-0.312933075470686</v>
      </c>
      <c r="I12">
        <v>-0.26516457350643602</v>
      </c>
      <c r="J12">
        <v>-0.201863091216677</v>
      </c>
      <c r="K12">
        <v>6.1141898607081496E-3</v>
      </c>
      <c r="L12">
        <v>-4.7768501964250497E-2</v>
      </c>
      <c r="M12">
        <v>-0.201863091216677</v>
      </c>
      <c r="N12">
        <v>-0.147980399391719</v>
      </c>
      <c r="O12">
        <v>-0.31904726533139399</v>
      </c>
      <c r="P12">
        <v>-0.26516457350643602</v>
      </c>
      <c r="Q12" t="s">
        <v>1173</v>
      </c>
      <c r="R12" t="s">
        <v>1067</v>
      </c>
      <c r="S12" t="s">
        <v>1173</v>
      </c>
      <c r="T12" t="s">
        <v>1067</v>
      </c>
      <c r="U12" t="s">
        <v>1174</v>
      </c>
      <c r="V12">
        <v>1</v>
      </c>
      <c r="W12" t="s">
        <v>1174</v>
      </c>
      <c r="X12" t="s">
        <v>1175</v>
      </c>
      <c r="Y12">
        <v>1</v>
      </c>
      <c r="Z12">
        <v>-0.35218087877479198</v>
      </c>
      <c r="AA12">
        <v>-0.27240570940623199</v>
      </c>
      <c r="AB12">
        <v>-0.36302311955537903</v>
      </c>
      <c r="AC12">
        <v>-0.35571819955364498</v>
      </c>
    </row>
    <row r="13" spans="1:29" x14ac:dyDescent="0.2">
      <c r="A13">
        <v>12</v>
      </c>
      <c r="B13" t="s">
        <v>151</v>
      </c>
      <c r="C13" t="s">
        <v>129</v>
      </c>
      <c r="D13" t="s">
        <v>152</v>
      </c>
      <c r="E13">
        <v>0.23324738744575399</v>
      </c>
      <c r="F13">
        <v>0.58984720886775199</v>
      </c>
      <c r="G13">
        <v>1.48924063698522E-2</v>
      </c>
      <c r="H13">
        <v>0.62077697465116399</v>
      </c>
      <c r="I13">
        <v>0.60588456828131199</v>
      </c>
      <c r="J13">
        <v>0.35659982142199798</v>
      </c>
      <c r="K13">
        <v>0.23324738744575399</v>
      </c>
      <c r="L13">
        <v>1.48924063698522E-2</v>
      </c>
      <c r="M13">
        <v>0.35659982142199798</v>
      </c>
      <c r="N13">
        <v>0.57495480249789999</v>
      </c>
      <c r="O13">
        <v>0.38752958720540998</v>
      </c>
      <c r="P13">
        <v>0.60588456828131199</v>
      </c>
      <c r="Q13" t="s">
        <v>1068</v>
      </c>
      <c r="R13" t="s">
        <v>1068</v>
      </c>
      <c r="S13" t="s">
        <v>1173</v>
      </c>
      <c r="T13" t="s">
        <v>1068</v>
      </c>
      <c r="U13" t="s">
        <v>944</v>
      </c>
      <c r="V13">
        <v>0</v>
      </c>
      <c r="W13" t="s">
        <v>944</v>
      </c>
      <c r="X13" t="s">
        <v>1175</v>
      </c>
      <c r="Y13">
        <v>1</v>
      </c>
      <c r="Z13">
        <v>0.53721930134815798</v>
      </c>
      <c r="AA13">
        <v>-0.20150100129748999</v>
      </c>
      <c r="AB13">
        <v>0.66949617640157</v>
      </c>
      <c r="AC13">
        <v>-0.14346879326884099</v>
      </c>
    </row>
    <row r="14" spans="1:29" x14ac:dyDescent="0.2">
      <c r="A14">
        <v>13</v>
      </c>
      <c r="B14" t="s">
        <v>153</v>
      </c>
      <c r="C14" t="s">
        <v>129</v>
      </c>
      <c r="D14" t="s">
        <v>154</v>
      </c>
      <c r="E14">
        <v>5.7743280327074098E-2</v>
      </c>
      <c r="F14">
        <v>-1</v>
      </c>
      <c r="G14">
        <v>3.5762230796671499E-2</v>
      </c>
      <c r="H14">
        <v>-1</v>
      </c>
      <c r="I14">
        <v>-1.0357622307966701</v>
      </c>
      <c r="J14">
        <v>-1.0577432803270701</v>
      </c>
      <c r="K14">
        <v>5.7743280327074098E-2</v>
      </c>
      <c r="L14">
        <v>3.5762230796671499E-2</v>
      </c>
      <c r="M14">
        <v>-1.0577432803270701</v>
      </c>
      <c r="N14">
        <v>-1.0357622307966701</v>
      </c>
      <c r="O14">
        <v>-1.0577432803270701</v>
      </c>
      <c r="P14">
        <v>-1.0357622307966701</v>
      </c>
      <c r="Q14" t="s">
        <v>1173</v>
      </c>
      <c r="R14" t="s">
        <v>1067</v>
      </c>
      <c r="S14" t="s">
        <v>1173</v>
      </c>
      <c r="T14" t="s">
        <v>1067</v>
      </c>
      <c r="U14" t="s">
        <v>1174</v>
      </c>
      <c r="V14">
        <v>1</v>
      </c>
      <c r="W14" t="s">
        <v>1174</v>
      </c>
      <c r="X14" t="s">
        <v>1175</v>
      </c>
      <c r="Y14">
        <v>1</v>
      </c>
      <c r="Z14">
        <v>-0.53481902675336102</v>
      </c>
      <c r="AA14">
        <v>-0.29011026962658498</v>
      </c>
      <c r="AB14">
        <v>-0.35872991891072098</v>
      </c>
      <c r="AC14">
        <v>-0.27390789784469599</v>
      </c>
    </row>
    <row r="15" spans="1:29" x14ac:dyDescent="0.2">
      <c r="A15">
        <v>14</v>
      </c>
      <c r="B15" t="s">
        <v>155</v>
      </c>
      <c r="C15" t="s">
        <v>129</v>
      </c>
      <c r="D15" t="s">
        <v>156</v>
      </c>
      <c r="E15">
        <v>-0.31187356198650001</v>
      </c>
      <c r="F15">
        <v>-0.36625740484244501</v>
      </c>
      <c r="G15">
        <v>1.48924063698522E-2</v>
      </c>
      <c r="H15">
        <v>-0.54533311281294095</v>
      </c>
      <c r="I15">
        <v>-0.56022551918279295</v>
      </c>
      <c r="J15">
        <v>-5.4383842855944997E-2</v>
      </c>
      <c r="K15">
        <v>1.48924063698522E-2</v>
      </c>
      <c r="L15">
        <v>-0.31187356198650001</v>
      </c>
      <c r="M15">
        <v>-0.38114981121229702</v>
      </c>
      <c r="N15">
        <v>-5.4383842855944997E-2</v>
      </c>
      <c r="O15">
        <v>-0.56022551918279295</v>
      </c>
      <c r="P15">
        <v>-0.23345955082644099</v>
      </c>
      <c r="Q15" t="s">
        <v>1067</v>
      </c>
      <c r="R15" t="s">
        <v>1067</v>
      </c>
      <c r="S15" t="s">
        <v>1173</v>
      </c>
      <c r="T15" t="s">
        <v>1067</v>
      </c>
      <c r="U15" t="s">
        <v>1174</v>
      </c>
      <c r="V15">
        <v>1</v>
      </c>
      <c r="W15" t="s">
        <v>944</v>
      </c>
      <c r="X15" t="s">
        <v>1175</v>
      </c>
      <c r="Y15">
        <v>0</v>
      </c>
      <c r="Z15">
        <v>-0.40379918032323697</v>
      </c>
      <c r="AA15">
        <v>-0.31490034208775097</v>
      </c>
      <c r="AB15">
        <v>-8.2051449831413506E-2</v>
      </c>
      <c r="AC15">
        <v>-0.2391502474652</v>
      </c>
    </row>
    <row r="16" spans="1:29" x14ac:dyDescent="0.2">
      <c r="A16">
        <v>15</v>
      </c>
      <c r="B16" t="s">
        <v>157</v>
      </c>
      <c r="C16" t="s">
        <v>129</v>
      </c>
      <c r="D16" t="s">
        <v>158</v>
      </c>
      <c r="E16">
        <v>-0.28998906631346999</v>
      </c>
      <c r="F16">
        <v>-1</v>
      </c>
      <c r="G16">
        <v>-5.4543985701998997E-2</v>
      </c>
      <c r="H16">
        <v>-1</v>
      </c>
      <c r="I16">
        <v>-0.94545601429800097</v>
      </c>
      <c r="J16">
        <v>-0.71001093368653001</v>
      </c>
      <c r="K16">
        <v>-5.4543985701998997E-2</v>
      </c>
      <c r="L16">
        <v>-0.28998906631346999</v>
      </c>
      <c r="M16">
        <v>-0.94545601429800097</v>
      </c>
      <c r="N16">
        <v>-0.71001093368653001</v>
      </c>
      <c r="O16">
        <v>-0.94545601429800097</v>
      </c>
      <c r="P16">
        <v>-0.71001093368653001</v>
      </c>
      <c r="Q16" t="s">
        <v>1067</v>
      </c>
      <c r="R16" t="s">
        <v>1067</v>
      </c>
      <c r="S16" t="s">
        <v>1173</v>
      </c>
      <c r="T16" t="s">
        <v>1067</v>
      </c>
      <c r="U16" t="s">
        <v>1174</v>
      </c>
      <c r="V16">
        <v>1</v>
      </c>
      <c r="W16" t="s">
        <v>944</v>
      </c>
      <c r="X16" t="s">
        <v>1175</v>
      </c>
      <c r="Y16">
        <v>1</v>
      </c>
      <c r="Z16">
        <v>-0.54093961334924201</v>
      </c>
      <c r="AA16">
        <v>-0.291291486391069</v>
      </c>
      <c r="AB16">
        <v>-0.36519704766899203</v>
      </c>
      <c r="AC16">
        <v>-0.27472311481959699</v>
      </c>
    </row>
    <row r="17" spans="1:29" x14ac:dyDescent="0.2">
      <c r="A17">
        <v>16</v>
      </c>
      <c r="B17" t="s">
        <v>159</v>
      </c>
      <c r="C17" t="s">
        <v>129</v>
      </c>
      <c r="D17" t="s">
        <v>160</v>
      </c>
      <c r="E17">
        <v>0.22795485769971399</v>
      </c>
      <c r="F17">
        <v>-0.510777261192083</v>
      </c>
      <c r="G17">
        <v>1.448622592968E-2</v>
      </c>
      <c r="H17">
        <v>-0.69599351196530002</v>
      </c>
      <c r="I17">
        <v>-0.71047973789497998</v>
      </c>
      <c r="J17">
        <v>-0.73873211889179702</v>
      </c>
      <c r="K17">
        <v>0.22795485769971399</v>
      </c>
      <c r="L17">
        <v>1.448622592968E-2</v>
      </c>
      <c r="M17">
        <v>-0.73873211889179702</v>
      </c>
      <c r="N17">
        <v>-0.52526348712176296</v>
      </c>
      <c r="O17">
        <v>-0.92394836966501404</v>
      </c>
      <c r="P17">
        <v>-0.71047973789497998</v>
      </c>
      <c r="Q17" t="s">
        <v>1068</v>
      </c>
      <c r="R17" t="s">
        <v>1067</v>
      </c>
      <c r="S17" t="s">
        <v>1173</v>
      </c>
      <c r="T17" t="s">
        <v>1067</v>
      </c>
      <c r="U17" t="s">
        <v>1174</v>
      </c>
      <c r="V17">
        <v>1</v>
      </c>
      <c r="W17" t="s">
        <v>1174</v>
      </c>
      <c r="X17" t="s">
        <v>1175</v>
      </c>
      <c r="Y17">
        <v>1</v>
      </c>
      <c r="Z17">
        <v>-0.44252458727449601</v>
      </c>
      <c r="AA17">
        <v>-0.31935212173468203</v>
      </c>
      <c r="AB17">
        <v>-0.12692438882284901</v>
      </c>
      <c r="AC17">
        <v>-0.24549735204800199</v>
      </c>
    </row>
    <row r="18" spans="1:29" x14ac:dyDescent="0.2">
      <c r="A18">
        <v>17</v>
      </c>
      <c r="B18" t="s">
        <v>161</v>
      </c>
      <c r="C18" t="s">
        <v>129</v>
      </c>
      <c r="D18" t="s">
        <v>162</v>
      </c>
      <c r="E18">
        <v>6.1141898607081496E-3</v>
      </c>
      <c r="F18">
        <v>-0.16875874622492201</v>
      </c>
      <c r="G18">
        <v>-9.0714689978425803E-3</v>
      </c>
      <c r="H18">
        <v>-0.279817975768343</v>
      </c>
      <c r="I18">
        <v>-0.2707465067705</v>
      </c>
      <c r="J18">
        <v>-0.17487293608563001</v>
      </c>
      <c r="K18">
        <v>6.1141898607081496E-3</v>
      </c>
      <c r="L18">
        <v>-9.0714689978425803E-3</v>
      </c>
      <c r="M18">
        <v>-0.17487293608563001</v>
      </c>
      <c r="N18">
        <v>-0.15968727722707901</v>
      </c>
      <c r="O18">
        <v>-0.28593216562905099</v>
      </c>
      <c r="P18">
        <v>-0.2707465067705</v>
      </c>
      <c r="Q18" t="s">
        <v>1173</v>
      </c>
      <c r="R18" t="s">
        <v>1067</v>
      </c>
      <c r="S18" t="s">
        <v>1173</v>
      </c>
      <c r="T18" t="s">
        <v>1067</v>
      </c>
      <c r="U18" t="s">
        <v>1174</v>
      </c>
      <c r="V18">
        <v>1</v>
      </c>
      <c r="W18" t="s">
        <v>1174</v>
      </c>
      <c r="X18" t="s">
        <v>1175</v>
      </c>
      <c r="Y18">
        <v>1</v>
      </c>
      <c r="Z18">
        <v>-0.33278267334482597</v>
      </c>
      <c r="AA18">
        <v>-0.26471511289660499</v>
      </c>
      <c r="AB18">
        <v>-0.36163055379556602</v>
      </c>
      <c r="AC18">
        <v>-0.35553612494741299</v>
      </c>
    </row>
    <row r="19" spans="1:29" x14ac:dyDescent="0.2">
      <c r="A19">
        <v>18</v>
      </c>
      <c r="B19" t="s">
        <v>163</v>
      </c>
      <c r="C19" t="s">
        <v>129</v>
      </c>
      <c r="D19" t="s">
        <v>164</v>
      </c>
      <c r="E19">
        <v>0.67886016429068996</v>
      </c>
      <c r="F19">
        <v>-8.8969304643272407E-2</v>
      </c>
      <c r="G19">
        <v>-1.9899936013537501E-2</v>
      </c>
      <c r="H19">
        <v>-0.437834175065408</v>
      </c>
      <c r="I19">
        <v>-0.41793423905186999</v>
      </c>
      <c r="J19">
        <v>-0.76782946893396198</v>
      </c>
      <c r="K19">
        <v>0.67886016429068996</v>
      </c>
      <c r="L19">
        <v>-1.9899936013537501E-2</v>
      </c>
      <c r="M19">
        <v>-0.76782946893396198</v>
      </c>
      <c r="N19">
        <v>-6.9069368629734895E-2</v>
      </c>
      <c r="O19">
        <v>-1.1166943393561</v>
      </c>
      <c r="P19">
        <v>-0.41793423905186999</v>
      </c>
      <c r="Q19" t="s">
        <v>1068</v>
      </c>
      <c r="R19" t="s">
        <v>1173</v>
      </c>
      <c r="S19" t="s">
        <v>1173</v>
      </c>
      <c r="T19" t="s">
        <v>1067</v>
      </c>
      <c r="U19" t="s">
        <v>1174</v>
      </c>
      <c r="V19">
        <v>1</v>
      </c>
      <c r="W19" t="s">
        <v>1174</v>
      </c>
      <c r="X19" t="s">
        <v>1175</v>
      </c>
      <c r="Y19">
        <v>1</v>
      </c>
      <c r="Z19">
        <v>-0.21269846870893599</v>
      </c>
      <c r="AA19">
        <v>-0.28044058197609301</v>
      </c>
      <c r="AB19">
        <v>7.3054801539314498E-2</v>
      </c>
      <c r="AC19">
        <v>-0.222339625538651</v>
      </c>
    </row>
    <row r="20" spans="1:29" x14ac:dyDescent="0.2">
      <c r="A20">
        <v>19</v>
      </c>
      <c r="B20" t="s">
        <v>165</v>
      </c>
      <c r="C20" t="s">
        <v>129</v>
      </c>
      <c r="D20" t="s">
        <v>166</v>
      </c>
      <c r="E20">
        <v>6.1141898607081496E-3</v>
      </c>
      <c r="F20">
        <v>7.5221724861309095E-4</v>
      </c>
      <c r="G20">
        <v>1.49344682878466E-2</v>
      </c>
      <c r="H20">
        <v>-9.3726043369092293E-2</v>
      </c>
      <c r="I20">
        <v>-0.108660511656939</v>
      </c>
      <c r="J20">
        <v>-5.36197261209506E-3</v>
      </c>
      <c r="K20">
        <v>1.49344682878466E-2</v>
      </c>
      <c r="L20">
        <v>6.1141898607081496E-3</v>
      </c>
      <c r="M20">
        <v>-1.41822510392335E-2</v>
      </c>
      <c r="N20">
        <v>-5.36197261209506E-3</v>
      </c>
      <c r="O20">
        <v>-0.108660511656939</v>
      </c>
      <c r="P20">
        <v>-9.9840233229800401E-2</v>
      </c>
      <c r="Q20" t="s">
        <v>1173</v>
      </c>
      <c r="R20" t="s">
        <v>1173</v>
      </c>
      <c r="S20" t="s">
        <v>1173</v>
      </c>
      <c r="T20" t="s">
        <v>1173</v>
      </c>
      <c r="U20" t="s">
        <v>1174</v>
      </c>
      <c r="V20">
        <v>1</v>
      </c>
      <c r="W20" t="s">
        <v>944</v>
      </c>
      <c r="X20" t="s">
        <v>1175</v>
      </c>
      <c r="Y20">
        <v>0</v>
      </c>
      <c r="Z20">
        <v>-0.24504862606127101</v>
      </c>
      <c r="AA20">
        <v>-0.29577623336570202</v>
      </c>
      <c r="AB20">
        <v>-0.13139248426437899</v>
      </c>
      <c r="AC20">
        <v>-0.32543305401226202</v>
      </c>
    </row>
    <row r="21" spans="1:29" x14ac:dyDescent="0.2">
      <c r="A21">
        <v>20</v>
      </c>
      <c r="B21" t="s">
        <v>167</v>
      </c>
      <c r="C21" t="s">
        <v>129</v>
      </c>
      <c r="D21" t="s">
        <v>168</v>
      </c>
      <c r="E21">
        <v>0.82181805775838901</v>
      </c>
      <c r="F21">
        <v>-1.02140619920913E-2</v>
      </c>
      <c r="G21">
        <v>0.60572050561526902</v>
      </c>
      <c r="H21">
        <v>-0.68004835244509099</v>
      </c>
      <c r="I21">
        <v>-1.2857688580603599</v>
      </c>
      <c r="J21">
        <v>-0.83203211975047997</v>
      </c>
      <c r="K21">
        <v>0.82181805775838901</v>
      </c>
      <c r="L21">
        <v>0.60572050561526902</v>
      </c>
      <c r="M21">
        <v>-0.83203211975047997</v>
      </c>
      <c r="N21">
        <v>-0.61593456760735998</v>
      </c>
      <c r="O21">
        <v>-1.50186641020348</v>
      </c>
      <c r="P21">
        <v>-1.2857688580603599</v>
      </c>
      <c r="Q21" t="s">
        <v>1068</v>
      </c>
      <c r="R21" t="s">
        <v>1173</v>
      </c>
      <c r="S21" t="s">
        <v>1068</v>
      </c>
      <c r="T21" t="s">
        <v>1067</v>
      </c>
      <c r="U21" t="s">
        <v>1174</v>
      </c>
      <c r="V21">
        <v>1</v>
      </c>
      <c r="W21" t="s">
        <v>1174</v>
      </c>
      <c r="X21" t="s">
        <v>1175</v>
      </c>
      <c r="Y21">
        <v>1</v>
      </c>
      <c r="Z21">
        <v>-0.54163916694882996</v>
      </c>
      <c r="AA21">
        <v>-0.29755626633807902</v>
      </c>
      <c r="AB21">
        <v>-0.35988414333388702</v>
      </c>
      <c r="AC21">
        <v>-0.28009067640637098</v>
      </c>
    </row>
    <row r="22" spans="1:29" x14ac:dyDescent="0.2">
      <c r="A22">
        <v>21</v>
      </c>
      <c r="B22" t="s">
        <v>169</v>
      </c>
      <c r="C22" t="s">
        <v>130</v>
      </c>
      <c r="D22" t="s">
        <v>158</v>
      </c>
      <c r="E22">
        <v>-3.6746986961736297E-2</v>
      </c>
      <c r="F22">
        <v>9.9491973147988702E-2</v>
      </c>
      <c r="G22">
        <v>0.227924329414781</v>
      </c>
      <c r="H22">
        <v>-1.10776089939521E-2</v>
      </c>
      <c r="I22">
        <v>-0.23900193840873299</v>
      </c>
      <c r="J22">
        <v>0.136238960109725</v>
      </c>
      <c r="K22">
        <v>0.227924329414781</v>
      </c>
      <c r="L22">
        <v>-3.6746986961736297E-2</v>
      </c>
      <c r="M22">
        <v>-0.128432356266792</v>
      </c>
      <c r="N22">
        <v>0.136238960109725</v>
      </c>
      <c r="O22">
        <v>-0.23900193840873299</v>
      </c>
      <c r="P22">
        <v>2.56693779677842E-2</v>
      </c>
      <c r="Q22" t="s">
        <v>1173</v>
      </c>
      <c r="R22" t="s">
        <v>1173</v>
      </c>
      <c r="S22" t="s">
        <v>1068</v>
      </c>
      <c r="T22" t="s">
        <v>1173</v>
      </c>
      <c r="U22" t="s">
        <v>944</v>
      </c>
      <c r="V22">
        <v>1</v>
      </c>
      <c r="W22" t="s">
        <v>944</v>
      </c>
      <c r="X22" t="s">
        <v>1175</v>
      </c>
      <c r="Y22">
        <v>1</v>
      </c>
      <c r="Z22">
        <v>-0.31994155812636399</v>
      </c>
      <c r="AA22">
        <v>-0.22749418776581801</v>
      </c>
      <c r="AB22">
        <v>-0.46398321902858403</v>
      </c>
      <c r="AC22">
        <v>-0.36540197378304001</v>
      </c>
    </row>
    <row r="23" spans="1:29" x14ac:dyDescent="0.2">
      <c r="A23">
        <v>22</v>
      </c>
      <c r="B23" t="s">
        <v>170</v>
      </c>
      <c r="C23" t="s">
        <v>132</v>
      </c>
      <c r="D23" t="s">
        <v>130</v>
      </c>
      <c r="E23">
        <v>3.2501886485305498E-3</v>
      </c>
      <c r="F23">
        <v>-0.375272184432762</v>
      </c>
      <c r="G23">
        <v>-0.114561234867991</v>
      </c>
      <c r="H23">
        <v>-0.53133684181317897</v>
      </c>
      <c r="I23">
        <v>-0.416775606945188</v>
      </c>
      <c r="J23">
        <v>-0.378522373081293</v>
      </c>
      <c r="K23">
        <v>3.2501886485305498E-3</v>
      </c>
      <c r="L23">
        <v>-0.114561234867991</v>
      </c>
      <c r="M23">
        <v>-0.378522373081293</v>
      </c>
      <c r="N23">
        <v>-0.26071094956477098</v>
      </c>
      <c r="O23">
        <v>-0.53458703046170997</v>
      </c>
      <c r="P23">
        <v>-0.416775606945188</v>
      </c>
      <c r="Q23" t="s">
        <v>1173</v>
      </c>
      <c r="R23" t="s">
        <v>1067</v>
      </c>
      <c r="S23" t="s">
        <v>1067</v>
      </c>
      <c r="T23" t="s">
        <v>1067</v>
      </c>
      <c r="U23" t="s">
        <v>1174</v>
      </c>
      <c r="V23">
        <v>1</v>
      </c>
      <c r="W23" t="s">
        <v>1174</v>
      </c>
      <c r="X23" t="s">
        <v>1175</v>
      </c>
      <c r="Y23">
        <v>1</v>
      </c>
      <c r="Z23">
        <v>-0.27841998976493398</v>
      </c>
      <c r="AA23">
        <v>-0.22688211785707299</v>
      </c>
      <c r="AB23">
        <v>-0.41940079821959902</v>
      </c>
      <c r="AC23">
        <v>-0.364974650184205</v>
      </c>
    </row>
    <row r="24" spans="1:29" x14ac:dyDescent="0.2">
      <c r="A24">
        <v>23</v>
      </c>
      <c r="B24" t="s">
        <v>171</v>
      </c>
      <c r="C24" t="s">
        <v>132</v>
      </c>
      <c r="D24" t="s">
        <v>150</v>
      </c>
      <c r="E24">
        <v>3.3918019569443899E-3</v>
      </c>
      <c r="F24">
        <v>-0.38260103567270998</v>
      </c>
      <c r="G24">
        <v>-4.6139995428752703E-2</v>
      </c>
      <c r="H24">
        <v>-0.53810539533796797</v>
      </c>
      <c r="I24">
        <v>-0.49196539990921501</v>
      </c>
      <c r="J24">
        <v>-0.38599283762965397</v>
      </c>
      <c r="K24">
        <v>3.3918019569443899E-3</v>
      </c>
      <c r="L24">
        <v>-4.6139995428752703E-2</v>
      </c>
      <c r="M24">
        <v>-0.38599283762965397</v>
      </c>
      <c r="N24">
        <v>-0.33646104024395701</v>
      </c>
      <c r="O24">
        <v>-0.54149719729491197</v>
      </c>
      <c r="P24">
        <v>-0.49196539990921501</v>
      </c>
      <c r="Q24" t="s">
        <v>1173</v>
      </c>
      <c r="R24" t="s">
        <v>1067</v>
      </c>
      <c r="S24" t="s">
        <v>1173</v>
      </c>
      <c r="T24" t="s">
        <v>1067</v>
      </c>
      <c r="U24" t="s">
        <v>1174</v>
      </c>
      <c r="V24">
        <v>1</v>
      </c>
      <c r="W24" t="s">
        <v>1174</v>
      </c>
      <c r="X24" t="s">
        <v>1175</v>
      </c>
      <c r="Y24">
        <v>1</v>
      </c>
      <c r="Z24">
        <v>-0.40093174970269801</v>
      </c>
      <c r="AA24">
        <v>-0.278351931987249</v>
      </c>
      <c r="AB24">
        <v>-0.42031279506996799</v>
      </c>
      <c r="AC24">
        <v>-0.36512140253378</v>
      </c>
    </row>
    <row r="25" spans="1:29" x14ac:dyDescent="0.2">
      <c r="A25">
        <v>24</v>
      </c>
      <c r="B25" t="s">
        <v>172</v>
      </c>
      <c r="C25" t="s">
        <v>132</v>
      </c>
      <c r="D25" t="s">
        <v>158</v>
      </c>
      <c r="E25">
        <v>-0.35556878149551302</v>
      </c>
      <c r="F25">
        <v>-1</v>
      </c>
      <c r="G25">
        <v>-5.3328678820227099E-2</v>
      </c>
      <c r="H25">
        <v>-1</v>
      </c>
      <c r="I25">
        <v>-0.94667132117977304</v>
      </c>
      <c r="J25">
        <v>-0.64443121850448704</v>
      </c>
      <c r="K25">
        <v>-5.3328678820227099E-2</v>
      </c>
      <c r="L25">
        <v>-0.35556878149551302</v>
      </c>
      <c r="M25">
        <v>-0.94667132117977304</v>
      </c>
      <c r="N25">
        <v>-0.64443121850448704</v>
      </c>
      <c r="O25">
        <v>-0.94667132117977304</v>
      </c>
      <c r="P25">
        <v>-0.64443121850448704</v>
      </c>
      <c r="Q25" t="s">
        <v>1067</v>
      </c>
      <c r="R25" t="s">
        <v>1067</v>
      </c>
      <c r="S25" t="s">
        <v>1173</v>
      </c>
      <c r="T25" t="s">
        <v>1067</v>
      </c>
      <c r="U25" t="s">
        <v>1174</v>
      </c>
      <c r="V25">
        <v>1</v>
      </c>
      <c r="W25" t="s">
        <v>944</v>
      </c>
      <c r="X25" t="s">
        <v>1175</v>
      </c>
      <c r="Y25">
        <v>1</v>
      </c>
      <c r="Z25">
        <v>-0.58969048427714799</v>
      </c>
      <c r="AA25">
        <v>-0.29723770897208601</v>
      </c>
      <c r="AB25">
        <v>-0.42248672318358099</v>
      </c>
      <c r="AC25">
        <v>-0.28412631779973202</v>
      </c>
    </row>
    <row r="26" spans="1:29" x14ac:dyDescent="0.2">
      <c r="A26">
        <v>25</v>
      </c>
      <c r="B26" t="s">
        <v>173</v>
      </c>
      <c r="C26" t="s">
        <v>132</v>
      </c>
      <c r="D26" t="s">
        <v>168</v>
      </c>
      <c r="E26">
        <v>0.22526835608041401</v>
      </c>
      <c r="F26">
        <v>-0.80970070699489705</v>
      </c>
      <c r="G26">
        <v>-3.80882210034044E-2</v>
      </c>
      <c r="H26">
        <v>-1</v>
      </c>
      <c r="I26">
        <v>-0.96191177899659597</v>
      </c>
      <c r="J26">
        <v>-1.0349690630753099</v>
      </c>
      <c r="K26">
        <v>0.22526835608041401</v>
      </c>
      <c r="L26">
        <v>-3.80882210034044E-2</v>
      </c>
      <c r="M26">
        <v>-1.0349690630753099</v>
      </c>
      <c r="N26">
        <v>-0.77161248599149301</v>
      </c>
      <c r="O26">
        <v>-1.2252683560804101</v>
      </c>
      <c r="P26">
        <v>-0.96191177899659597</v>
      </c>
      <c r="Q26" t="s">
        <v>1068</v>
      </c>
      <c r="R26" t="s">
        <v>1067</v>
      </c>
      <c r="S26" t="s">
        <v>1173</v>
      </c>
      <c r="T26" t="s">
        <v>1067</v>
      </c>
      <c r="U26" t="s">
        <v>1174</v>
      </c>
      <c r="V26">
        <v>1</v>
      </c>
      <c r="W26" t="s">
        <v>1174</v>
      </c>
      <c r="X26" t="s">
        <v>1175</v>
      </c>
      <c r="Y26">
        <v>1</v>
      </c>
      <c r="Z26">
        <v>-0.59039003787673505</v>
      </c>
      <c r="AA26">
        <v>-0.30350248891909598</v>
      </c>
      <c r="AB26">
        <v>-0.41717381884847599</v>
      </c>
      <c r="AC26">
        <v>-0.289493879386505</v>
      </c>
    </row>
    <row r="27" spans="1:29" x14ac:dyDescent="0.2">
      <c r="A27">
        <v>26</v>
      </c>
      <c r="B27" t="s">
        <v>174</v>
      </c>
      <c r="C27" t="s">
        <v>175</v>
      </c>
      <c r="D27" t="s">
        <v>129</v>
      </c>
      <c r="E27">
        <v>-0.261619523013633</v>
      </c>
      <c r="F27">
        <v>-1</v>
      </c>
      <c r="G27">
        <v>-5.7039275992977798E-2</v>
      </c>
      <c r="H27">
        <v>-1</v>
      </c>
      <c r="I27">
        <v>-0.94296072400702202</v>
      </c>
      <c r="J27">
        <v>-0.738380476986367</v>
      </c>
      <c r="K27">
        <v>-5.7039275992977798E-2</v>
      </c>
      <c r="L27">
        <v>-0.261619523013633</v>
      </c>
      <c r="M27">
        <v>-0.94296072400702202</v>
      </c>
      <c r="N27">
        <v>-0.738380476986367</v>
      </c>
      <c r="O27">
        <v>-0.94296072400702202</v>
      </c>
      <c r="P27">
        <v>-0.738380476986367</v>
      </c>
      <c r="Q27" t="s">
        <v>1067</v>
      </c>
      <c r="R27" t="s">
        <v>1067</v>
      </c>
      <c r="S27" t="s">
        <v>1173</v>
      </c>
      <c r="T27" t="s">
        <v>1067</v>
      </c>
      <c r="U27" t="s">
        <v>1174</v>
      </c>
      <c r="V27">
        <v>1</v>
      </c>
      <c r="W27" t="s">
        <v>944</v>
      </c>
      <c r="X27" t="s">
        <v>1175</v>
      </c>
      <c r="Y27">
        <v>1</v>
      </c>
      <c r="Z27">
        <v>-0.54269135465514395</v>
      </c>
      <c r="AA27">
        <v>-0.290254430199336</v>
      </c>
      <c r="AB27">
        <v>-0.37400607083836701</v>
      </c>
      <c r="AC27">
        <v>-0.27673959494351202</v>
      </c>
    </row>
    <row r="28" spans="1:29" x14ac:dyDescent="0.2">
      <c r="A28">
        <v>27</v>
      </c>
      <c r="B28" t="s">
        <v>176</v>
      </c>
      <c r="C28" t="s">
        <v>175</v>
      </c>
      <c r="D28" t="s">
        <v>130</v>
      </c>
      <c r="E28">
        <v>-3.5160778234167703E-2</v>
      </c>
      <c r="F28">
        <v>-0.44735955033045099</v>
      </c>
      <c r="G28">
        <v>-0.205693555983821</v>
      </c>
      <c r="H28">
        <v>-0.62954778196185301</v>
      </c>
      <c r="I28">
        <v>-0.42385422597803202</v>
      </c>
      <c r="J28">
        <v>-0.41219877209628297</v>
      </c>
      <c r="K28">
        <v>-3.5160778234167703E-2</v>
      </c>
      <c r="L28">
        <v>-0.205693555983821</v>
      </c>
      <c r="M28">
        <v>-0.41219877209628297</v>
      </c>
      <c r="N28">
        <v>-0.24166599434663</v>
      </c>
      <c r="O28">
        <v>-0.59438700372768505</v>
      </c>
      <c r="P28">
        <v>-0.42385422597803202</v>
      </c>
      <c r="Q28" t="s">
        <v>1173</v>
      </c>
      <c r="R28" t="s">
        <v>1067</v>
      </c>
      <c r="S28" t="s">
        <v>1067</v>
      </c>
      <c r="T28" t="s">
        <v>1067</v>
      </c>
      <c r="U28" t="s">
        <v>1174</v>
      </c>
      <c r="V28">
        <v>1</v>
      </c>
      <c r="W28" t="s">
        <v>1174</v>
      </c>
      <c r="X28" t="s">
        <v>1175</v>
      </c>
      <c r="Y28">
        <v>1</v>
      </c>
      <c r="Z28">
        <v>-0.32169329943226599</v>
      </c>
      <c r="AA28">
        <v>-0.22645713157408401</v>
      </c>
      <c r="AB28">
        <v>-0.47279224219795901</v>
      </c>
      <c r="AC28">
        <v>-0.36741845390695499</v>
      </c>
    </row>
    <row r="29" spans="1:29" x14ac:dyDescent="0.2">
      <c r="A29">
        <v>28</v>
      </c>
      <c r="B29" t="s">
        <v>177</v>
      </c>
      <c r="C29" t="s">
        <v>175</v>
      </c>
      <c r="D29" t="s">
        <v>132</v>
      </c>
      <c r="E29">
        <v>-0.39163770403412801</v>
      </c>
      <c r="F29">
        <v>-1</v>
      </c>
      <c r="G29">
        <v>-6.2053885599646703E-2</v>
      </c>
      <c r="H29">
        <v>-1</v>
      </c>
      <c r="I29">
        <v>-0.93794611440035303</v>
      </c>
      <c r="J29">
        <v>-0.60836229596587199</v>
      </c>
      <c r="K29">
        <v>-6.2053885599646703E-2</v>
      </c>
      <c r="L29">
        <v>-0.39163770403412801</v>
      </c>
      <c r="M29">
        <v>-0.93794611440035303</v>
      </c>
      <c r="N29">
        <v>-0.60836229596587199</v>
      </c>
      <c r="O29">
        <v>-0.93794611440035303</v>
      </c>
      <c r="P29">
        <v>-0.60836229596587199</v>
      </c>
      <c r="Q29" t="s">
        <v>1067</v>
      </c>
      <c r="R29" t="s">
        <v>1067</v>
      </c>
      <c r="S29" t="s">
        <v>1173</v>
      </c>
      <c r="T29" t="s">
        <v>1067</v>
      </c>
      <c r="U29" t="s">
        <v>1174</v>
      </c>
      <c r="V29">
        <v>1</v>
      </c>
      <c r="W29" t="s">
        <v>944</v>
      </c>
      <c r="X29" t="s">
        <v>1175</v>
      </c>
      <c r="Y29">
        <v>1</v>
      </c>
      <c r="Z29">
        <v>-0.59144222558304904</v>
      </c>
      <c r="AA29">
        <v>-0.29620065278035301</v>
      </c>
      <c r="AB29">
        <v>-0.43129574635295598</v>
      </c>
      <c r="AC29">
        <v>-0.286142797923647</v>
      </c>
    </row>
    <row r="30" spans="1:29" x14ac:dyDescent="0.2">
      <c r="A30">
        <v>29</v>
      </c>
      <c r="B30" t="s">
        <v>178</v>
      </c>
      <c r="C30" t="s">
        <v>175</v>
      </c>
      <c r="D30" t="s">
        <v>134</v>
      </c>
      <c r="E30">
        <v>-4.2377501214857199E-2</v>
      </c>
      <c r="F30">
        <v>-0.448574373612732</v>
      </c>
      <c r="G30">
        <v>2.67015997043474E-3</v>
      </c>
      <c r="H30">
        <v>-0.704912845270529</v>
      </c>
      <c r="I30">
        <v>-0.70758300524096396</v>
      </c>
      <c r="J30">
        <v>-0.406196872397875</v>
      </c>
      <c r="K30">
        <v>2.67015997043474E-3</v>
      </c>
      <c r="L30">
        <v>-4.2377501214857199E-2</v>
      </c>
      <c r="M30">
        <v>-0.45124453358316702</v>
      </c>
      <c r="N30">
        <v>-0.406196872397875</v>
      </c>
      <c r="O30">
        <v>-0.70758300524096396</v>
      </c>
      <c r="P30">
        <v>-0.66253534405567205</v>
      </c>
      <c r="Q30" t="s">
        <v>1173</v>
      </c>
      <c r="R30" t="s">
        <v>1067</v>
      </c>
      <c r="S30" t="s">
        <v>1173</v>
      </c>
      <c r="T30" t="s">
        <v>1067</v>
      </c>
      <c r="U30" t="s">
        <v>1174</v>
      </c>
      <c r="V30">
        <v>1</v>
      </c>
      <c r="W30" t="s">
        <v>1174</v>
      </c>
      <c r="X30" t="s">
        <v>1175</v>
      </c>
      <c r="Y30">
        <v>1</v>
      </c>
      <c r="Z30">
        <v>-0.45829667335527402</v>
      </c>
      <c r="AA30">
        <v>-0.31589934878604797</v>
      </c>
      <c r="AB30">
        <v>-0.350154430410485</v>
      </c>
      <c r="AC30">
        <v>-0.34334117271232001</v>
      </c>
    </row>
    <row r="31" spans="1:29" x14ac:dyDescent="0.2">
      <c r="A31">
        <v>30</v>
      </c>
      <c r="B31" t="s">
        <v>179</v>
      </c>
      <c r="C31" t="s">
        <v>175</v>
      </c>
      <c r="D31" t="s">
        <v>136</v>
      </c>
      <c r="E31">
        <v>-0.37249513154198</v>
      </c>
      <c r="F31">
        <v>-0.73965297168940902</v>
      </c>
      <c r="G31">
        <v>2.67015997043474E-3</v>
      </c>
      <c r="H31">
        <v>-0.92093475909929801</v>
      </c>
      <c r="I31">
        <v>-0.92360491906973297</v>
      </c>
      <c r="J31">
        <v>-0.36715784014742903</v>
      </c>
      <c r="K31">
        <v>2.67015997043474E-3</v>
      </c>
      <c r="L31">
        <v>-0.37249513154198</v>
      </c>
      <c r="M31">
        <v>-0.74232313165984398</v>
      </c>
      <c r="N31">
        <v>-0.36715784014742903</v>
      </c>
      <c r="O31">
        <v>-0.92360491906973297</v>
      </c>
      <c r="P31">
        <v>-0.54843962755731801</v>
      </c>
      <c r="Q31" t="s">
        <v>1067</v>
      </c>
      <c r="R31" t="s">
        <v>1067</v>
      </c>
      <c r="S31" t="s">
        <v>1173</v>
      </c>
      <c r="T31" t="s">
        <v>1067</v>
      </c>
      <c r="U31" t="s">
        <v>1174</v>
      </c>
      <c r="V31">
        <v>1</v>
      </c>
      <c r="W31" t="s">
        <v>944</v>
      </c>
      <c r="X31" t="s">
        <v>1175</v>
      </c>
      <c r="Y31">
        <v>1</v>
      </c>
      <c r="Z31">
        <v>-0.53698755248218899</v>
      </c>
      <c r="AA31">
        <v>-0.32538215278299898</v>
      </c>
      <c r="AB31">
        <v>-0.23835281250182</v>
      </c>
      <c r="AC31">
        <v>-0.25703575273257701</v>
      </c>
    </row>
    <row r="32" spans="1:29" x14ac:dyDescent="0.2">
      <c r="A32">
        <v>31</v>
      </c>
      <c r="B32" t="s">
        <v>180</v>
      </c>
      <c r="C32" t="s">
        <v>175</v>
      </c>
      <c r="D32" t="s">
        <v>138</v>
      </c>
      <c r="E32">
        <v>-0.63322074257026295</v>
      </c>
      <c r="F32">
        <v>0.218578638276303</v>
      </c>
      <c r="G32">
        <v>-0.36748444757548998</v>
      </c>
      <c r="H32">
        <v>6.4489110549733497E-2</v>
      </c>
      <c r="I32">
        <v>0.43197355812522298</v>
      </c>
      <c r="J32">
        <v>0.85179938084656603</v>
      </c>
      <c r="K32">
        <v>-0.36748444757548998</v>
      </c>
      <c r="L32">
        <v>-0.63322074257026295</v>
      </c>
      <c r="M32">
        <v>0.58606308585179301</v>
      </c>
      <c r="N32">
        <v>0.85179938084656603</v>
      </c>
      <c r="O32">
        <v>0.43197355812522298</v>
      </c>
      <c r="P32">
        <v>0.697709853119996</v>
      </c>
      <c r="Q32" t="s">
        <v>1067</v>
      </c>
      <c r="R32" t="s">
        <v>1068</v>
      </c>
      <c r="S32" t="s">
        <v>1067</v>
      </c>
      <c r="T32" t="s">
        <v>1173</v>
      </c>
      <c r="U32" t="s">
        <v>944</v>
      </c>
      <c r="V32">
        <v>0</v>
      </c>
      <c r="W32" t="s">
        <v>944</v>
      </c>
      <c r="X32" t="s">
        <v>1175</v>
      </c>
      <c r="Y32">
        <v>1</v>
      </c>
      <c r="Z32">
        <v>0.31354525522211302</v>
      </c>
      <c r="AA32">
        <v>-0.164858811890056</v>
      </c>
      <c r="AB32">
        <v>0.41392667867001298</v>
      </c>
      <c r="AC32">
        <v>-0.17792922199115899</v>
      </c>
    </row>
    <row r="33" spans="1:29" x14ac:dyDescent="0.2">
      <c r="A33">
        <v>32</v>
      </c>
      <c r="B33" t="s">
        <v>181</v>
      </c>
      <c r="C33" t="s">
        <v>175</v>
      </c>
      <c r="D33" t="s">
        <v>182</v>
      </c>
      <c r="E33">
        <v>-0.39779194831806403</v>
      </c>
      <c r="F33">
        <v>0.44142301335240303</v>
      </c>
      <c r="G33">
        <v>-6.22570938192583E-2</v>
      </c>
      <c r="H33">
        <v>0.403625319950354</v>
      </c>
      <c r="I33">
        <v>0.46588241376961198</v>
      </c>
      <c r="J33">
        <v>0.83921496167046705</v>
      </c>
      <c r="K33">
        <v>-6.22570938192583E-2</v>
      </c>
      <c r="L33">
        <v>-0.39779194831806403</v>
      </c>
      <c r="M33">
        <v>0.50368010717166101</v>
      </c>
      <c r="N33">
        <v>0.83921496167046705</v>
      </c>
      <c r="O33">
        <v>0.46588241376961198</v>
      </c>
      <c r="P33">
        <v>0.80141726826841797</v>
      </c>
      <c r="Q33" t="s">
        <v>1067</v>
      </c>
      <c r="R33" t="s">
        <v>1068</v>
      </c>
      <c r="S33" t="s">
        <v>1173</v>
      </c>
      <c r="T33" t="s">
        <v>1068</v>
      </c>
      <c r="U33" t="s">
        <v>944</v>
      </c>
      <c r="V33">
        <v>0</v>
      </c>
      <c r="W33" t="s">
        <v>944</v>
      </c>
      <c r="X33" t="s">
        <v>1175</v>
      </c>
      <c r="Y33">
        <v>1</v>
      </c>
      <c r="Z33">
        <v>0.28149859293195301</v>
      </c>
      <c r="AA33">
        <v>-0.19015028597105599</v>
      </c>
      <c r="AB33">
        <v>0.40155003157442498</v>
      </c>
      <c r="AC33">
        <v>-0.17748478015399799</v>
      </c>
    </row>
    <row r="34" spans="1:29" x14ac:dyDescent="0.2">
      <c r="A34">
        <v>33</v>
      </c>
      <c r="B34" t="s">
        <v>183</v>
      </c>
      <c r="C34" t="s">
        <v>175</v>
      </c>
      <c r="D34" t="s">
        <v>184</v>
      </c>
      <c r="E34">
        <v>-0.37750565143409798</v>
      </c>
      <c r="F34">
        <v>-1</v>
      </c>
      <c r="G34">
        <v>-0.12246775681220499</v>
      </c>
      <c r="H34">
        <v>-1</v>
      </c>
      <c r="I34">
        <v>-0.87753224318779499</v>
      </c>
      <c r="J34">
        <v>-0.62249434856590202</v>
      </c>
      <c r="K34">
        <v>-0.12246775681220499</v>
      </c>
      <c r="L34">
        <v>-0.37750565143409798</v>
      </c>
      <c r="M34">
        <v>-0.87753224318779499</v>
      </c>
      <c r="N34">
        <v>-0.62249434856590202</v>
      </c>
      <c r="O34">
        <v>-0.87753224318779499</v>
      </c>
      <c r="P34">
        <v>-0.62249434856590202</v>
      </c>
      <c r="Q34" t="s">
        <v>1067</v>
      </c>
      <c r="R34" t="s">
        <v>1067</v>
      </c>
      <c r="S34" t="s">
        <v>1067</v>
      </c>
      <c r="T34" t="s">
        <v>1067</v>
      </c>
      <c r="U34" t="s">
        <v>1174</v>
      </c>
      <c r="V34">
        <v>1</v>
      </c>
      <c r="W34" t="s">
        <v>944</v>
      </c>
      <c r="X34" t="s">
        <v>1175</v>
      </c>
      <c r="Y34">
        <v>1</v>
      </c>
      <c r="Z34">
        <v>-0.468189302585033</v>
      </c>
      <c r="AA34">
        <v>-0.260322871040847</v>
      </c>
      <c r="AB34">
        <v>-0.36260310836466397</v>
      </c>
      <c r="AC34">
        <v>-0.27357260699841401</v>
      </c>
    </row>
    <row r="35" spans="1:29" x14ac:dyDescent="0.2">
      <c r="A35">
        <v>34</v>
      </c>
      <c r="B35" t="s">
        <v>185</v>
      </c>
      <c r="C35" t="s">
        <v>175</v>
      </c>
      <c r="D35" t="s">
        <v>186</v>
      </c>
      <c r="E35">
        <v>-0.36380238776664398</v>
      </c>
      <c r="F35">
        <v>-1</v>
      </c>
      <c r="G35">
        <v>-0.114125789779952</v>
      </c>
      <c r="H35">
        <v>-1</v>
      </c>
      <c r="I35">
        <v>-0.88587421022004798</v>
      </c>
      <c r="J35">
        <v>-0.63619761223335602</v>
      </c>
      <c r="K35">
        <v>-0.114125789779952</v>
      </c>
      <c r="L35">
        <v>-0.36380238776664398</v>
      </c>
      <c r="M35">
        <v>-0.88587421022004798</v>
      </c>
      <c r="N35">
        <v>-0.63619761223335602</v>
      </c>
      <c r="O35">
        <v>-0.88587421022004798</v>
      </c>
      <c r="P35">
        <v>-0.63619761223335602</v>
      </c>
      <c r="Q35" t="s">
        <v>1067</v>
      </c>
      <c r="R35" t="s">
        <v>1067</v>
      </c>
      <c r="S35" t="s">
        <v>1067</v>
      </c>
      <c r="T35" t="s">
        <v>1067</v>
      </c>
      <c r="U35" t="s">
        <v>1174</v>
      </c>
      <c r="V35">
        <v>1</v>
      </c>
      <c r="W35" t="s">
        <v>944</v>
      </c>
      <c r="X35" t="s">
        <v>1175</v>
      </c>
      <c r="Y35">
        <v>1</v>
      </c>
      <c r="Z35">
        <v>-0.55884108292669898</v>
      </c>
      <c r="AA35">
        <v>-0.27474319690038301</v>
      </c>
      <c r="AB35">
        <v>-0.444655862124957</v>
      </c>
      <c r="AC35">
        <v>-0.28320454428781699</v>
      </c>
    </row>
    <row r="36" spans="1:29" x14ac:dyDescent="0.2">
      <c r="A36">
        <v>35</v>
      </c>
      <c r="B36" t="s">
        <v>187</v>
      </c>
      <c r="C36" t="s">
        <v>175</v>
      </c>
      <c r="D36" t="s">
        <v>188</v>
      </c>
      <c r="E36">
        <v>-0.51541111806726003</v>
      </c>
      <c r="F36">
        <v>0.47705702635882502</v>
      </c>
      <c r="G36">
        <v>-0.10191565865447599</v>
      </c>
      <c r="H36">
        <v>0.43969713385196502</v>
      </c>
      <c r="I36">
        <v>0.54161279250644101</v>
      </c>
      <c r="J36">
        <v>0.992468144426085</v>
      </c>
      <c r="K36">
        <v>-0.10191565865447599</v>
      </c>
      <c r="L36">
        <v>-0.51541111806726003</v>
      </c>
      <c r="M36">
        <v>0.57897268501330101</v>
      </c>
      <c r="N36">
        <v>0.992468144426085</v>
      </c>
      <c r="O36">
        <v>0.54161279250644101</v>
      </c>
      <c r="P36">
        <v>0.95510825191922499</v>
      </c>
      <c r="Q36" t="s">
        <v>1067</v>
      </c>
      <c r="R36" t="s">
        <v>1068</v>
      </c>
      <c r="S36" t="s">
        <v>1067</v>
      </c>
      <c r="T36" t="s">
        <v>1068</v>
      </c>
      <c r="U36" t="s">
        <v>944</v>
      </c>
      <c r="V36">
        <v>0</v>
      </c>
      <c r="W36" t="s">
        <v>944</v>
      </c>
      <c r="X36" t="s">
        <v>1175</v>
      </c>
      <c r="Y36">
        <v>1</v>
      </c>
      <c r="Z36">
        <v>0.31939263769146897</v>
      </c>
      <c r="AA36">
        <v>-0.178720643314041</v>
      </c>
      <c r="AB36">
        <v>0.43658004665977002</v>
      </c>
      <c r="AC36">
        <v>-0.17283035846551201</v>
      </c>
    </row>
    <row r="37" spans="1:29" x14ac:dyDescent="0.2">
      <c r="A37">
        <v>36</v>
      </c>
      <c r="B37" t="s">
        <v>189</v>
      </c>
      <c r="C37" t="s">
        <v>175</v>
      </c>
      <c r="D37" t="s">
        <v>140</v>
      </c>
      <c r="E37">
        <v>0.49235993940063799</v>
      </c>
      <c r="F37">
        <v>-0.47441279557356603</v>
      </c>
      <c r="G37">
        <v>0.36570134734621201</v>
      </c>
      <c r="H37">
        <v>-0.58056654115471296</v>
      </c>
      <c r="I37">
        <v>-0.94626788850092503</v>
      </c>
      <c r="J37">
        <v>-0.96677273497420402</v>
      </c>
      <c r="K37">
        <v>0.49235993940063799</v>
      </c>
      <c r="L37">
        <v>0.36570134734621201</v>
      </c>
      <c r="M37">
        <v>-0.96677273497420402</v>
      </c>
      <c r="N37">
        <v>-0.84011414291977804</v>
      </c>
      <c r="O37">
        <v>-1.07292648055535</v>
      </c>
      <c r="P37">
        <v>-0.94626788850092503</v>
      </c>
      <c r="Q37" t="s">
        <v>1068</v>
      </c>
      <c r="R37" t="s">
        <v>1067</v>
      </c>
      <c r="S37" t="s">
        <v>1068</v>
      </c>
      <c r="T37" t="s">
        <v>1067</v>
      </c>
      <c r="U37" t="s">
        <v>1174</v>
      </c>
      <c r="V37">
        <v>1</v>
      </c>
      <c r="W37" t="s">
        <v>1174</v>
      </c>
      <c r="X37" t="s">
        <v>1175</v>
      </c>
      <c r="Y37">
        <v>1</v>
      </c>
      <c r="Z37">
        <v>-0.52442347980433102</v>
      </c>
      <c r="AA37">
        <v>-0.26065044123144698</v>
      </c>
      <c r="AB37">
        <v>-0.44568830286942202</v>
      </c>
      <c r="AC37">
        <v>-0.28445993797074598</v>
      </c>
    </row>
    <row r="38" spans="1:29" x14ac:dyDescent="0.2">
      <c r="A38">
        <v>37</v>
      </c>
      <c r="B38" t="s">
        <v>190</v>
      </c>
      <c r="C38" t="s">
        <v>175</v>
      </c>
      <c r="D38" t="s">
        <v>191</v>
      </c>
      <c r="E38">
        <v>0.55010570639338896</v>
      </c>
      <c r="F38">
        <v>-0.47151548972443702</v>
      </c>
      <c r="G38">
        <v>0.44021456497195099</v>
      </c>
      <c r="H38">
        <v>-0.57606859603302996</v>
      </c>
      <c r="I38">
        <v>-1.0162831610049801</v>
      </c>
      <c r="J38">
        <v>-1.0216211961178301</v>
      </c>
      <c r="K38">
        <v>0.55010570639338896</v>
      </c>
      <c r="L38">
        <v>0.44021456497195099</v>
      </c>
      <c r="M38">
        <v>-1.0216211961178301</v>
      </c>
      <c r="N38">
        <v>-0.91173005469638801</v>
      </c>
      <c r="O38">
        <v>-1.1261743024264199</v>
      </c>
      <c r="P38">
        <v>-1.0162831610049801</v>
      </c>
      <c r="Q38" t="s">
        <v>1068</v>
      </c>
      <c r="R38" t="s">
        <v>1067</v>
      </c>
      <c r="S38" t="s">
        <v>1068</v>
      </c>
      <c r="T38" t="s">
        <v>1067</v>
      </c>
      <c r="U38" t="s">
        <v>1174</v>
      </c>
      <c r="V38">
        <v>1</v>
      </c>
      <c r="W38" t="s">
        <v>1174</v>
      </c>
      <c r="X38" t="s">
        <v>1175</v>
      </c>
      <c r="Y38">
        <v>1</v>
      </c>
      <c r="Z38">
        <v>-0.52399604552041001</v>
      </c>
      <c r="AA38">
        <v>-0.25596043857101802</v>
      </c>
      <c r="AB38">
        <v>-0.46322249704427698</v>
      </c>
      <c r="AC38">
        <v>-0.28742330071157202</v>
      </c>
    </row>
    <row r="39" spans="1:29" x14ac:dyDescent="0.2">
      <c r="A39">
        <v>38</v>
      </c>
      <c r="B39" t="s">
        <v>192</v>
      </c>
      <c r="C39" t="s">
        <v>175</v>
      </c>
      <c r="D39" t="s">
        <v>193</v>
      </c>
      <c r="E39">
        <v>0.73179924687401998</v>
      </c>
      <c r="F39">
        <v>-9.2661337488180701E-2</v>
      </c>
      <c r="G39">
        <v>0.61461123600503798</v>
      </c>
      <c r="H39">
        <v>-0.109656715712699</v>
      </c>
      <c r="I39">
        <v>-0.72426795171773695</v>
      </c>
      <c r="J39">
        <v>-0.82446058436220104</v>
      </c>
      <c r="K39">
        <v>0.73179924687401998</v>
      </c>
      <c r="L39">
        <v>0.61461123600503798</v>
      </c>
      <c r="M39">
        <v>-0.82446058436220104</v>
      </c>
      <c r="N39">
        <v>-0.70727257349321904</v>
      </c>
      <c r="O39">
        <v>-0.84145596258671895</v>
      </c>
      <c r="P39">
        <v>-0.72426795171773695</v>
      </c>
      <c r="Q39" t="s">
        <v>1068</v>
      </c>
      <c r="R39" t="s">
        <v>1173</v>
      </c>
      <c r="S39" t="s">
        <v>1068</v>
      </c>
      <c r="T39" t="s">
        <v>1067</v>
      </c>
      <c r="U39" t="s">
        <v>1174</v>
      </c>
      <c r="V39">
        <v>1</v>
      </c>
      <c r="W39" t="s">
        <v>1174</v>
      </c>
      <c r="X39" t="s">
        <v>1175</v>
      </c>
      <c r="Y39">
        <v>1</v>
      </c>
      <c r="Z39">
        <v>-0.52509474622350405</v>
      </c>
      <c r="AA39">
        <v>-0.25279217321047198</v>
      </c>
      <c r="AB39">
        <v>-0.46993242576566802</v>
      </c>
      <c r="AC39">
        <v>-0.28530441448819199</v>
      </c>
    </row>
    <row r="40" spans="1:29" x14ac:dyDescent="0.2">
      <c r="A40">
        <v>39</v>
      </c>
      <c r="B40" t="s">
        <v>194</v>
      </c>
      <c r="C40" t="s">
        <v>175</v>
      </c>
      <c r="D40" t="s">
        <v>142</v>
      </c>
      <c r="E40">
        <v>-0.42272007815884399</v>
      </c>
      <c r="F40">
        <v>0.378627499032753</v>
      </c>
      <c r="G40">
        <v>2.67015997043474E-3</v>
      </c>
      <c r="H40">
        <v>0.38521476832839902</v>
      </c>
      <c r="I40">
        <v>0.382544608357964</v>
      </c>
      <c r="J40">
        <v>0.80134757719159699</v>
      </c>
      <c r="K40">
        <v>2.67015997043474E-3</v>
      </c>
      <c r="L40">
        <v>-0.42272007815884399</v>
      </c>
      <c r="M40">
        <v>0.37595733906231799</v>
      </c>
      <c r="N40">
        <v>0.80134757719159699</v>
      </c>
      <c r="O40">
        <v>0.382544608357964</v>
      </c>
      <c r="P40">
        <v>0.80793484648724301</v>
      </c>
      <c r="Q40" t="s">
        <v>1067</v>
      </c>
      <c r="R40" t="s">
        <v>1068</v>
      </c>
      <c r="S40" t="s">
        <v>1173</v>
      </c>
      <c r="T40" t="s">
        <v>1068</v>
      </c>
      <c r="U40" t="s">
        <v>944</v>
      </c>
      <c r="V40">
        <v>0</v>
      </c>
      <c r="W40" t="s">
        <v>944</v>
      </c>
      <c r="X40" t="s">
        <v>1175</v>
      </c>
      <c r="Y40">
        <v>1</v>
      </c>
      <c r="Z40">
        <v>0.44506787557598498</v>
      </c>
      <c r="AA40">
        <v>-0.20703757153365401</v>
      </c>
      <c r="AB40">
        <v>0.55850512540775998</v>
      </c>
      <c r="AC40">
        <v>-0.15531682075910799</v>
      </c>
    </row>
    <row r="41" spans="1:29" x14ac:dyDescent="0.2">
      <c r="A41">
        <v>40</v>
      </c>
      <c r="B41" t="s">
        <v>195</v>
      </c>
      <c r="C41" t="s">
        <v>175</v>
      </c>
      <c r="D41" t="s">
        <v>196</v>
      </c>
      <c r="E41">
        <v>-0.50285916952341503</v>
      </c>
      <c r="F41">
        <v>-1</v>
      </c>
      <c r="G41">
        <v>-8.9993412967654896E-2</v>
      </c>
      <c r="H41">
        <v>-1</v>
      </c>
      <c r="I41">
        <v>-0.91000658703234505</v>
      </c>
      <c r="J41">
        <v>-0.49714083047658503</v>
      </c>
      <c r="K41">
        <v>-8.9993412967654896E-2</v>
      </c>
      <c r="L41">
        <v>-0.50285916952341503</v>
      </c>
      <c r="M41">
        <v>-0.91000658703234505</v>
      </c>
      <c r="N41">
        <v>-0.49714083047658503</v>
      </c>
      <c r="O41">
        <v>-0.91000658703234505</v>
      </c>
      <c r="P41">
        <v>-0.49714083047658503</v>
      </c>
      <c r="Q41" t="s">
        <v>1067</v>
      </c>
      <c r="R41" t="s">
        <v>1067</v>
      </c>
      <c r="S41" t="s">
        <v>1173</v>
      </c>
      <c r="T41" t="s">
        <v>1067</v>
      </c>
      <c r="U41" t="s">
        <v>1174</v>
      </c>
      <c r="V41">
        <v>1</v>
      </c>
      <c r="W41" t="s">
        <v>944</v>
      </c>
      <c r="X41" t="s">
        <v>1175</v>
      </c>
      <c r="Y41">
        <v>1</v>
      </c>
      <c r="Z41">
        <v>-0.318248631854469</v>
      </c>
      <c r="AA41">
        <v>-0.247438541104916</v>
      </c>
      <c r="AB41">
        <v>-0.15508028870634499</v>
      </c>
      <c r="AC41">
        <v>-0.235094014832889</v>
      </c>
    </row>
    <row r="42" spans="1:29" x14ac:dyDescent="0.2">
      <c r="A42">
        <v>41</v>
      </c>
      <c r="B42" t="s">
        <v>197</v>
      </c>
      <c r="C42" t="s">
        <v>175</v>
      </c>
      <c r="D42" t="s">
        <v>144</v>
      </c>
      <c r="E42">
        <v>-3.5032572168343802E-2</v>
      </c>
      <c r="F42">
        <v>-5.2148522312791398E-3</v>
      </c>
      <c r="G42">
        <v>9.3007710406858603E-3</v>
      </c>
      <c r="H42">
        <v>-0.15298224039921601</v>
      </c>
      <c r="I42">
        <v>-0.16228301143990201</v>
      </c>
      <c r="J42">
        <v>2.98177199370647E-2</v>
      </c>
      <c r="K42">
        <v>9.3007710406858603E-3</v>
      </c>
      <c r="L42">
        <v>-3.5032572168343802E-2</v>
      </c>
      <c r="M42">
        <v>-1.4515623271964999E-2</v>
      </c>
      <c r="N42">
        <v>2.98177199370647E-2</v>
      </c>
      <c r="O42">
        <v>-0.16228301143990201</v>
      </c>
      <c r="P42">
        <v>-0.117949668230872</v>
      </c>
      <c r="Q42" t="s">
        <v>1173</v>
      </c>
      <c r="R42" t="s">
        <v>1173</v>
      </c>
      <c r="S42" t="s">
        <v>1173</v>
      </c>
      <c r="T42" t="s">
        <v>1067</v>
      </c>
      <c r="U42" t="s">
        <v>944</v>
      </c>
      <c r="V42">
        <v>1</v>
      </c>
      <c r="W42" t="s">
        <v>944</v>
      </c>
      <c r="X42" t="s">
        <v>1175</v>
      </c>
      <c r="Y42">
        <v>0</v>
      </c>
      <c r="Z42">
        <v>-0.382237819205275</v>
      </c>
      <c r="AA42">
        <v>-0.306722415469456</v>
      </c>
      <c r="AB42">
        <v>-0.289060859857384</v>
      </c>
      <c r="AC42">
        <v>-0.343423530847207</v>
      </c>
    </row>
    <row r="43" spans="1:29" x14ac:dyDescent="0.2">
      <c r="A43">
        <v>42</v>
      </c>
      <c r="B43" t="s">
        <v>198</v>
      </c>
      <c r="C43" t="s">
        <v>175</v>
      </c>
      <c r="D43" t="s">
        <v>146</v>
      </c>
      <c r="E43">
        <v>-3.6199089359188301E-2</v>
      </c>
      <c r="F43">
        <v>-0.439834606988663</v>
      </c>
      <c r="G43">
        <v>-0.146826052252537</v>
      </c>
      <c r="H43">
        <v>-0.62636292751174105</v>
      </c>
      <c r="I43">
        <v>-0.47953687525920402</v>
      </c>
      <c r="J43">
        <v>-0.40363551762947503</v>
      </c>
      <c r="K43">
        <v>-3.6199089359188301E-2</v>
      </c>
      <c r="L43">
        <v>-0.146826052252537</v>
      </c>
      <c r="M43">
        <v>-0.40363551762947503</v>
      </c>
      <c r="N43">
        <v>-0.29300855473612603</v>
      </c>
      <c r="O43">
        <v>-0.59016383815255302</v>
      </c>
      <c r="P43">
        <v>-0.47953687525920402</v>
      </c>
      <c r="Q43" t="s">
        <v>1173</v>
      </c>
      <c r="R43" t="s">
        <v>1067</v>
      </c>
      <c r="S43" t="s">
        <v>1067</v>
      </c>
      <c r="T43" t="s">
        <v>1067</v>
      </c>
      <c r="U43" t="s">
        <v>1174</v>
      </c>
      <c r="V43">
        <v>1</v>
      </c>
      <c r="W43" t="s">
        <v>1174</v>
      </c>
      <c r="X43" t="s">
        <v>1175</v>
      </c>
      <c r="Y43">
        <v>1</v>
      </c>
      <c r="Z43">
        <v>-0.355231527493863</v>
      </c>
      <c r="AA43">
        <v>-0.24101409303611501</v>
      </c>
      <c r="AB43">
        <v>-0.47065665517003202</v>
      </c>
      <c r="AC43">
        <v>-0.36691065558249097</v>
      </c>
    </row>
    <row r="44" spans="1:29" x14ac:dyDescent="0.2">
      <c r="A44">
        <v>43</v>
      </c>
      <c r="B44" t="s">
        <v>199</v>
      </c>
      <c r="C44" t="s">
        <v>175</v>
      </c>
      <c r="D44" t="s">
        <v>200</v>
      </c>
      <c r="E44">
        <v>0.82424241700054401</v>
      </c>
      <c r="F44">
        <v>0.73379594251165103</v>
      </c>
      <c r="G44">
        <v>0.55583235544124898</v>
      </c>
      <c r="H44">
        <v>0.66435341425486205</v>
      </c>
      <c r="I44">
        <v>0.108521058813613</v>
      </c>
      <c r="J44">
        <v>-9.0446474488892994E-2</v>
      </c>
      <c r="K44">
        <v>0.82424241700054401</v>
      </c>
      <c r="L44">
        <v>0.55583235544124898</v>
      </c>
      <c r="M44">
        <v>-9.0446474488892994E-2</v>
      </c>
      <c r="N44">
        <v>0.177963587070402</v>
      </c>
      <c r="O44">
        <v>-0.15988900274568199</v>
      </c>
      <c r="P44">
        <v>0.108521058813613</v>
      </c>
      <c r="Q44" t="s">
        <v>1068</v>
      </c>
      <c r="R44" t="s">
        <v>1068</v>
      </c>
      <c r="S44" t="s">
        <v>1068</v>
      </c>
      <c r="T44" t="s">
        <v>1068</v>
      </c>
      <c r="U44" t="s">
        <v>1174</v>
      </c>
      <c r="V44">
        <v>0</v>
      </c>
      <c r="W44" t="s">
        <v>944</v>
      </c>
      <c r="X44" t="s">
        <v>1175</v>
      </c>
      <c r="Y44">
        <v>0</v>
      </c>
      <c r="Z44">
        <v>-0.35739759572880803</v>
      </c>
      <c r="AA44">
        <v>-0.26972271847829998</v>
      </c>
      <c r="AB44">
        <v>-0.16781378775816899</v>
      </c>
      <c r="AC44">
        <v>-0.25122929807900302</v>
      </c>
    </row>
    <row r="45" spans="1:29" x14ac:dyDescent="0.2">
      <c r="A45">
        <v>44</v>
      </c>
      <c r="B45" t="s">
        <v>201</v>
      </c>
      <c r="C45" t="s">
        <v>175</v>
      </c>
      <c r="D45" t="s">
        <v>148</v>
      </c>
      <c r="E45">
        <v>2.77076751594128E-2</v>
      </c>
      <c r="F45">
        <v>-1</v>
      </c>
      <c r="G45">
        <v>2.7127438537613599E-3</v>
      </c>
      <c r="H45">
        <v>-1</v>
      </c>
      <c r="I45">
        <v>-1.00271274385376</v>
      </c>
      <c r="J45">
        <v>-1.0277076751594101</v>
      </c>
      <c r="K45">
        <v>2.77076751594128E-2</v>
      </c>
      <c r="L45">
        <v>2.7127438537613599E-3</v>
      </c>
      <c r="M45">
        <v>-1.0277076751594101</v>
      </c>
      <c r="N45">
        <v>-1.00271274385376</v>
      </c>
      <c r="O45">
        <v>-1.0277076751594101</v>
      </c>
      <c r="P45">
        <v>-1.00271274385376</v>
      </c>
      <c r="Q45" t="s">
        <v>1173</v>
      </c>
      <c r="R45" t="s">
        <v>1067</v>
      </c>
      <c r="S45" t="s">
        <v>1173</v>
      </c>
      <c r="T45" t="s">
        <v>1067</v>
      </c>
      <c r="U45" t="s">
        <v>1174</v>
      </c>
      <c r="V45">
        <v>1</v>
      </c>
      <c r="W45" t="s">
        <v>1174</v>
      </c>
      <c r="X45" t="s">
        <v>1175</v>
      </c>
      <c r="Y45">
        <v>1</v>
      </c>
      <c r="Z45">
        <v>-0.71455480768361801</v>
      </c>
      <c r="AA45">
        <v>-0.34678670383969701</v>
      </c>
      <c r="AB45">
        <v>-0.42995307402715599</v>
      </c>
      <c r="AC45">
        <v>-0.28384208981088599</v>
      </c>
    </row>
    <row r="46" spans="1:29" x14ac:dyDescent="0.2">
      <c r="A46">
        <v>45</v>
      </c>
      <c r="B46" t="s">
        <v>202</v>
      </c>
      <c r="C46" t="s">
        <v>175</v>
      </c>
      <c r="D46" t="s">
        <v>150</v>
      </c>
      <c r="E46">
        <v>-3.5032572168343802E-2</v>
      </c>
      <c r="F46">
        <v>-0.45014171445939799</v>
      </c>
      <c r="G46">
        <v>-4.0692672628683597E-2</v>
      </c>
      <c r="H46">
        <v>-0.63931569514372899</v>
      </c>
      <c r="I46">
        <v>-0.59862302251504496</v>
      </c>
      <c r="J46">
        <v>-0.415109142291054</v>
      </c>
      <c r="K46">
        <v>-3.5032572168343802E-2</v>
      </c>
      <c r="L46">
        <v>-4.0692672628683597E-2</v>
      </c>
      <c r="M46">
        <v>-0.415109142291054</v>
      </c>
      <c r="N46">
        <v>-0.40944904183071401</v>
      </c>
      <c r="O46">
        <v>-0.604283122975385</v>
      </c>
      <c r="P46">
        <v>-0.59862302251504496</v>
      </c>
      <c r="Q46" t="s">
        <v>1173</v>
      </c>
      <c r="R46" t="s">
        <v>1067</v>
      </c>
      <c r="S46" t="s">
        <v>1173</v>
      </c>
      <c r="T46" t="s">
        <v>1067</v>
      </c>
      <c r="U46" t="s">
        <v>1174</v>
      </c>
      <c r="V46">
        <v>1</v>
      </c>
      <c r="W46" t="s">
        <v>1174</v>
      </c>
      <c r="X46" t="s">
        <v>1175</v>
      </c>
      <c r="Y46">
        <v>1</v>
      </c>
      <c r="Z46">
        <v>-0.44420505937003002</v>
      </c>
      <c r="AA46">
        <v>-0.27792694570426102</v>
      </c>
      <c r="AB46">
        <v>-0.47370423904832798</v>
      </c>
      <c r="AC46">
        <v>-0.36756520625653</v>
      </c>
    </row>
    <row r="47" spans="1:29" x14ac:dyDescent="0.2">
      <c r="A47">
        <v>46</v>
      </c>
      <c r="B47" t="s">
        <v>203</v>
      </c>
      <c r="C47" t="s">
        <v>175</v>
      </c>
      <c r="D47" t="s">
        <v>204</v>
      </c>
      <c r="E47">
        <v>-0.28631572883277301</v>
      </c>
      <c r="F47">
        <v>-1</v>
      </c>
      <c r="G47">
        <v>-6.3075035313908207E-2</v>
      </c>
      <c r="H47">
        <v>-1</v>
      </c>
      <c r="I47">
        <v>-0.93692496468609199</v>
      </c>
      <c r="J47">
        <v>-0.71368427116722699</v>
      </c>
      <c r="K47">
        <v>-6.3075035313908207E-2</v>
      </c>
      <c r="L47">
        <v>-0.28631572883277301</v>
      </c>
      <c r="M47">
        <v>-0.93692496468609199</v>
      </c>
      <c r="N47">
        <v>-0.71368427116722699</v>
      </c>
      <c r="O47">
        <v>-0.93692496468609199</v>
      </c>
      <c r="P47">
        <v>-0.71368427116722699</v>
      </c>
      <c r="Q47" t="s">
        <v>1067</v>
      </c>
      <c r="R47" t="s">
        <v>1067</v>
      </c>
      <c r="S47" t="s">
        <v>1173</v>
      </c>
      <c r="T47" t="s">
        <v>1067</v>
      </c>
      <c r="U47" t="s">
        <v>1174</v>
      </c>
      <c r="V47">
        <v>1</v>
      </c>
      <c r="W47" t="s">
        <v>944</v>
      </c>
      <c r="X47" t="s">
        <v>1175</v>
      </c>
      <c r="Y47">
        <v>1</v>
      </c>
      <c r="Z47">
        <v>-0.62399730052719005</v>
      </c>
      <c r="AA47">
        <v>-0.295288554157559</v>
      </c>
      <c r="AB47">
        <v>-0.46670613051938797</v>
      </c>
      <c r="AC47">
        <v>-0.28546708549607203</v>
      </c>
    </row>
    <row r="48" spans="1:29" x14ac:dyDescent="0.2">
      <c r="A48">
        <v>47</v>
      </c>
      <c r="B48" t="s">
        <v>205</v>
      </c>
      <c r="C48" t="s">
        <v>175</v>
      </c>
      <c r="D48" t="s">
        <v>152</v>
      </c>
      <c r="E48">
        <v>-0.42242965351446299</v>
      </c>
      <c r="F48">
        <v>0.379455987009436</v>
      </c>
      <c r="G48">
        <v>2.67015997043474E-3</v>
      </c>
      <c r="H48">
        <v>0.38905352064475901</v>
      </c>
      <c r="I48">
        <v>0.38638336067432399</v>
      </c>
      <c r="J48">
        <v>0.80188564052389899</v>
      </c>
      <c r="K48">
        <v>2.67015997043474E-3</v>
      </c>
      <c r="L48">
        <v>-0.42242965351446299</v>
      </c>
      <c r="M48">
        <v>0.37678582703900099</v>
      </c>
      <c r="N48">
        <v>0.80188564052389899</v>
      </c>
      <c r="O48">
        <v>0.38638336067432399</v>
      </c>
      <c r="P48">
        <v>0.811483174159222</v>
      </c>
      <c r="Q48" t="s">
        <v>1067</v>
      </c>
      <c r="R48" t="s">
        <v>1068</v>
      </c>
      <c r="S48" t="s">
        <v>1173</v>
      </c>
      <c r="T48" t="s">
        <v>1068</v>
      </c>
      <c r="U48" t="s">
        <v>944</v>
      </c>
      <c r="V48">
        <v>0</v>
      </c>
      <c r="W48" t="s">
        <v>944</v>
      </c>
      <c r="X48" t="s">
        <v>1175</v>
      </c>
      <c r="Y48">
        <v>1</v>
      </c>
      <c r="Z48">
        <v>0.44519512075292</v>
      </c>
      <c r="AA48">
        <v>-0.20702223759551799</v>
      </c>
      <c r="AB48">
        <v>0.55881505690861999</v>
      </c>
      <c r="AC48">
        <v>-0.15531579997172601</v>
      </c>
    </row>
    <row r="49" spans="1:29" x14ac:dyDescent="0.2">
      <c r="A49">
        <v>48</v>
      </c>
      <c r="B49" t="s">
        <v>206</v>
      </c>
      <c r="C49" t="s">
        <v>175</v>
      </c>
      <c r="D49" t="s">
        <v>207</v>
      </c>
      <c r="E49">
        <v>-0.204646041554084</v>
      </c>
      <c r="F49">
        <v>-1</v>
      </c>
      <c r="G49">
        <v>-8.87268745320728E-2</v>
      </c>
      <c r="H49">
        <v>-1</v>
      </c>
      <c r="I49">
        <v>-0.91127312546792705</v>
      </c>
      <c r="J49">
        <v>-0.79535395844591605</v>
      </c>
      <c r="K49">
        <v>-8.87268745320728E-2</v>
      </c>
      <c r="L49">
        <v>-0.204646041554084</v>
      </c>
      <c r="M49">
        <v>-0.91127312546792705</v>
      </c>
      <c r="N49">
        <v>-0.79535395844591605</v>
      </c>
      <c r="O49">
        <v>-0.91127312546792705</v>
      </c>
      <c r="P49">
        <v>-0.79535395844591605</v>
      </c>
      <c r="Q49" t="s">
        <v>1067</v>
      </c>
      <c r="R49" t="s">
        <v>1067</v>
      </c>
      <c r="S49" t="s">
        <v>1173</v>
      </c>
      <c r="T49" t="s">
        <v>1067</v>
      </c>
      <c r="U49" t="s">
        <v>1174</v>
      </c>
      <c r="V49">
        <v>1</v>
      </c>
      <c r="W49" t="s">
        <v>944</v>
      </c>
      <c r="X49" t="s">
        <v>1175</v>
      </c>
      <c r="Y49">
        <v>1</v>
      </c>
      <c r="Z49">
        <v>-0.54691834896336899</v>
      </c>
      <c r="AA49">
        <v>-0.279942551539345</v>
      </c>
      <c r="AB49">
        <v>-0.403344539519221</v>
      </c>
      <c r="AC49">
        <v>-0.276168934681157</v>
      </c>
    </row>
    <row r="50" spans="1:29" x14ac:dyDescent="0.2">
      <c r="A50">
        <v>49</v>
      </c>
      <c r="B50" t="s">
        <v>208</v>
      </c>
      <c r="C50" t="s">
        <v>175</v>
      </c>
      <c r="D50" t="s">
        <v>209</v>
      </c>
      <c r="E50">
        <v>0.90022635111149296</v>
      </c>
      <c r="F50">
        <v>0.61384734346706904</v>
      </c>
      <c r="G50">
        <v>0.75595642603901803</v>
      </c>
      <c r="H50">
        <v>0.515817876128288</v>
      </c>
      <c r="I50">
        <v>-0.24013854991073</v>
      </c>
      <c r="J50">
        <v>-0.28637900764442398</v>
      </c>
      <c r="K50">
        <v>0.90022635111149296</v>
      </c>
      <c r="L50">
        <v>0.75595642603901803</v>
      </c>
      <c r="M50">
        <v>-0.28637900764442398</v>
      </c>
      <c r="N50">
        <v>-0.14210908257194901</v>
      </c>
      <c r="O50">
        <v>-0.38440847498320502</v>
      </c>
      <c r="P50">
        <v>-0.24013854991073</v>
      </c>
      <c r="Q50" t="s">
        <v>1068</v>
      </c>
      <c r="R50" t="s">
        <v>1068</v>
      </c>
      <c r="S50" t="s">
        <v>1068</v>
      </c>
      <c r="T50" t="s">
        <v>1068</v>
      </c>
      <c r="U50" t="s">
        <v>1174</v>
      </c>
      <c r="V50">
        <v>1</v>
      </c>
      <c r="W50" t="s">
        <v>944</v>
      </c>
      <c r="X50" t="s">
        <v>1175</v>
      </c>
      <c r="Y50">
        <v>1</v>
      </c>
      <c r="Z50">
        <v>-0.567723719995607</v>
      </c>
      <c r="AA50">
        <v>-0.28798088817981898</v>
      </c>
      <c r="AB50">
        <v>-0.41359536730826801</v>
      </c>
      <c r="AC50">
        <v>-0.28035240271777601</v>
      </c>
    </row>
    <row r="51" spans="1:29" x14ac:dyDescent="0.2">
      <c r="A51">
        <v>50</v>
      </c>
      <c r="B51" t="s">
        <v>210</v>
      </c>
      <c r="C51" t="s">
        <v>175</v>
      </c>
      <c r="D51" t="s">
        <v>154</v>
      </c>
      <c r="E51">
        <v>-0.28644408939693999</v>
      </c>
      <c r="F51">
        <v>-1</v>
      </c>
      <c r="G51">
        <v>-6.3075035379150102E-2</v>
      </c>
      <c r="H51">
        <v>-1</v>
      </c>
      <c r="I51">
        <v>-0.93692496462084995</v>
      </c>
      <c r="J51">
        <v>-0.71355591060306001</v>
      </c>
      <c r="K51">
        <v>-6.3075035379150102E-2</v>
      </c>
      <c r="L51">
        <v>-0.28644408939693999</v>
      </c>
      <c r="M51">
        <v>-0.93692496462084995</v>
      </c>
      <c r="N51">
        <v>-0.71355591060306001</v>
      </c>
      <c r="O51">
        <v>-0.93692496462084995</v>
      </c>
      <c r="P51">
        <v>-0.71355591060306001</v>
      </c>
      <c r="Q51" t="s">
        <v>1067</v>
      </c>
      <c r="R51" t="s">
        <v>1067</v>
      </c>
      <c r="S51" t="s">
        <v>1173</v>
      </c>
      <c r="T51" t="s">
        <v>1067</v>
      </c>
      <c r="U51" t="s">
        <v>1174</v>
      </c>
      <c r="V51">
        <v>1</v>
      </c>
      <c r="W51" t="s">
        <v>944</v>
      </c>
      <c r="X51" t="s">
        <v>1175</v>
      </c>
      <c r="Y51">
        <v>1</v>
      </c>
      <c r="Z51">
        <v>-0.626843207348599</v>
      </c>
      <c r="AA51">
        <v>-0.29563150592461401</v>
      </c>
      <c r="AB51">
        <v>-0.46941103840367099</v>
      </c>
      <c r="AC51">
        <v>-0.28575490454758101</v>
      </c>
    </row>
    <row r="52" spans="1:29" x14ac:dyDescent="0.2">
      <c r="A52">
        <v>51</v>
      </c>
      <c r="B52" t="s">
        <v>211</v>
      </c>
      <c r="C52" t="s">
        <v>175</v>
      </c>
      <c r="D52" t="s">
        <v>156</v>
      </c>
      <c r="E52">
        <v>-0.37517109644343899</v>
      </c>
      <c r="F52">
        <v>-0.61346401842660603</v>
      </c>
      <c r="G52">
        <v>2.67015997043474E-3</v>
      </c>
      <c r="H52">
        <v>-0.80143194595966205</v>
      </c>
      <c r="I52">
        <v>-0.80410210593009701</v>
      </c>
      <c r="J52">
        <v>-0.23829292198316701</v>
      </c>
      <c r="K52">
        <v>2.67015997043474E-3</v>
      </c>
      <c r="L52">
        <v>-0.37517109644343899</v>
      </c>
      <c r="M52">
        <v>-0.61613417839704099</v>
      </c>
      <c r="N52">
        <v>-0.23829292198316701</v>
      </c>
      <c r="O52">
        <v>-0.80410210593009701</v>
      </c>
      <c r="P52">
        <v>-0.42626084951622301</v>
      </c>
      <c r="Q52" t="s">
        <v>1067</v>
      </c>
      <c r="R52" t="s">
        <v>1067</v>
      </c>
      <c r="S52" t="s">
        <v>1173</v>
      </c>
      <c r="T52" t="s">
        <v>1067</v>
      </c>
      <c r="U52" t="s">
        <v>1174</v>
      </c>
      <c r="V52">
        <v>1</v>
      </c>
      <c r="W52" t="s">
        <v>944</v>
      </c>
      <c r="X52" t="s">
        <v>1175</v>
      </c>
      <c r="Y52">
        <v>1</v>
      </c>
      <c r="Z52">
        <v>-0.49582336091847501</v>
      </c>
      <c r="AA52">
        <v>-0.32042157838578</v>
      </c>
      <c r="AB52">
        <v>-0.192732569324363</v>
      </c>
      <c r="AC52">
        <v>-0.25099725416808499</v>
      </c>
    </row>
    <row r="53" spans="1:29" x14ac:dyDescent="0.2">
      <c r="A53">
        <v>52</v>
      </c>
      <c r="B53" t="s">
        <v>212</v>
      </c>
      <c r="C53" t="s">
        <v>175</v>
      </c>
      <c r="D53" t="s">
        <v>158</v>
      </c>
      <c r="E53">
        <v>-0.28682576862134701</v>
      </c>
      <c r="F53">
        <v>-1</v>
      </c>
      <c r="G53">
        <v>-6.2630010042338605E-2</v>
      </c>
      <c r="H53">
        <v>-1</v>
      </c>
      <c r="I53">
        <v>-0.93736998995766097</v>
      </c>
      <c r="J53">
        <v>-0.71317423137865299</v>
      </c>
      <c r="K53">
        <v>-6.2630010042338605E-2</v>
      </c>
      <c r="L53">
        <v>-0.28682576862134701</v>
      </c>
      <c r="M53">
        <v>-0.93736998995766097</v>
      </c>
      <c r="N53">
        <v>-0.71317423137865299</v>
      </c>
      <c r="O53">
        <v>-0.93736998995766097</v>
      </c>
      <c r="P53">
        <v>-0.71317423137865299</v>
      </c>
      <c r="Q53" t="s">
        <v>1067</v>
      </c>
      <c r="R53" t="s">
        <v>1067</v>
      </c>
      <c r="S53" t="s">
        <v>1173</v>
      </c>
      <c r="T53" t="s">
        <v>1067</v>
      </c>
      <c r="U53" t="s">
        <v>1174</v>
      </c>
      <c r="V53">
        <v>1</v>
      </c>
      <c r="W53" t="s">
        <v>944</v>
      </c>
      <c r="X53" t="s">
        <v>1175</v>
      </c>
      <c r="Y53">
        <v>1</v>
      </c>
      <c r="Z53">
        <v>-0.63296379394447999</v>
      </c>
      <c r="AA53">
        <v>-0.29681272268909797</v>
      </c>
      <c r="AB53">
        <v>-0.47587816716194098</v>
      </c>
      <c r="AC53">
        <v>-0.28657012152248201</v>
      </c>
    </row>
    <row r="54" spans="1:29" x14ac:dyDescent="0.2">
      <c r="A54">
        <v>53</v>
      </c>
      <c r="B54" t="s">
        <v>213</v>
      </c>
      <c r="C54" t="s">
        <v>175</v>
      </c>
      <c r="D54" t="s">
        <v>214</v>
      </c>
      <c r="E54">
        <v>0.94426394873530695</v>
      </c>
      <c r="F54">
        <v>0.30445590882860901</v>
      </c>
      <c r="G54">
        <v>0.82481802106178304</v>
      </c>
      <c r="H54">
        <v>0.23009623835273499</v>
      </c>
      <c r="I54">
        <v>-0.59472178270904796</v>
      </c>
      <c r="J54">
        <v>-0.63980803990669799</v>
      </c>
      <c r="K54">
        <v>0.94426394873530695</v>
      </c>
      <c r="L54">
        <v>0.82481802106178304</v>
      </c>
      <c r="M54">
        <v>-0.63980803990669799</v>
      </c>
      <c r="N54">
        <v>-0.52036211223317397</v>
      </c>
      <c r="O54">
        <v>-0.71416771038257199</v>
      </c>
      <c r="P54">
        <v>-0.59472178270904796</v>
      </c>
      <c r="Q54" t="s">
        <v>1068</v>
      </c>
      <c r="R54" t="s">
        <v>1068</v>
      </c>
      <c r="S54" t="s">
        <v>1068</v>
      </c>
      <c r="T54" t="s">
        <v>1068</v>
      </c>
      <c r="U54" t="s">
        <v>1174</v>
      </c>
      <c r="V54">
        <v>1</v>
      </c>
      <c r="W54" t="s">
        <v>944</v>
      </c>
      <c r="X54" t="s">
        <v>1176</v>
      </c>
      <c r="Y54">
        <v>1</v>
      </c>
      <c r="Z54">
        <v>-0.63545088096887203</v>
      </c>
      <c r="AA54">
        <v>-0.29683928115715702</v>
      </c>
      <c r="AB54">
        <v>-0.47990076132701898</v>
      </c>
      <c r="AC54">
        <v>-0.28718228419186798</v>
      </c>
    </row>
    <row r="55" spans="1:29" x14ac:dyDescent="0.2">
      <c r="A55">
        <v>54</v>
      </c>
      <c r="B55" t="s">
        <v>215</v>
      </c>
      <c r="C55" t="s">
        <v>175</v>
      </c>
      <c r="D55" t="s">
        <v>160</v>
      </c>
      <c r="E55">
        <v>-0.376893489127887</v>
      </c>
      <c r="F55">
        <v>-0.72893909749945296</v>
      </c>
      <c r="G55">
        <v>2.0850745624421299E-3</v>
      </c>
      <c r="H55">
        <v>-1</v>
      </c>
      <c r="I55">
        <v>-1.0020850745624399</v>
      </c>
      <c r="J55">
        <v>-0.35204560837156601</v>
      </c>
      <c r="K55">
        <v>2.0850745624421299E-3</v>
      </c>
      <c r="L55">
        <v>-0.376893489127887</v>
      </c>
      <c r="M55">
        <v>-0.73102417206189496</v>
      </c>
      <c r="N55">
        <v>-0.35204560837156601</v>
      </c>
      <c r="O55">
        <v>-1.0020850745624399</v>
      </c>
      <c r="P55">
        <v>-0.623106510872113</v>
      </c>
      <c r="Q55" t="s">
        <v>1067</v>
      </c>
      <c r="R55" t="s">
        <v>1067</v>
      </c>
      <c r="S55" t="s">
        <v>1173</v>
      </c>
      <c r="T55" t="s">
        <v>1067</v>
      </c>
      <c r="U55" t="s">
        <v>1174</v>
      </c>
      <c r="V55">
        <v>1</v>
      </c>
      <c r="W55" t="s">
        <v>944</v>
      </c>
      <c r="X55" t="s">
        <v>1175</v>
      </c>
      <c r="Y55">
        <v>1</v>
      </c>
      <c r="Z55">
        <v>-0.53454876786973304</v>
      </c>
      <c r="AA55">
        <v>-0.32487335803271</v>
      </c>
      <c r="AB55">
        <v>-0.23760550831579899</v>
      </c>
      <c r="AC55">
        <v>-0.25734435875088701</v>
      </c>
    </row>
    <row r="56" spans="1:29" x14ac:dyDescent="0.2">
      <c r="A56">
        <v>55</v>
      </c>
      <c r="B56" t="s">
        <v>216</v>
      </c>
      <c r="C56" t="s">
        <v>175</v>
      </c>
      <c r="D56" t="s">
        <v>162</v>
      </c>
      <c r="E56">
        <v>-3.5032572168343802E-2</v>
      </c>
      <c r="F56">
        <v>7.3479826184319905E-2</v>
      </c>
      <c r="G56">
        <v>0.30898117133876402</v>
      </c>
      <c r="H56">
        <v>-4.1430852991839802E-2</v>
      </c>
      <c r="I56">
        <v>-0.35041202433060398</v>
      </c>
      <c r="J56">
        <v>0.10851239835266401</v>
      </c>
      <c r="K56">
        <v>0.30898117133876402</v>
      </c>
      <c r="L56">
        <v>-3.5032572168343802E-2</v>
      </c>
      <c r="M56">
        <v>-0.23550134515444399</v>
      </c>
      <c r="N56">
        <v>0.10851239835266401</v>
      </c>
      <c r="O56">
        <v>-0.35041202433060398</v>
      </c>
      <c r="P56">
        <v>-6.3982808234959998E-3</v>
      </c>
      <c r="Q56" t="s">
        <v>1173</v>
      </c>
      <c r="R56" t="s">
        <v>1173</v>
      </c>
      <c r="S56" t="s">
        <v>1068</v>
      </c>
      <c r="T56" t="s">
        <v>1173</v>
      </c>
      <c r="U56" t="s">
        <v>944</v>
      </c>
      <c r="V56">
        <v>1</v>
      </c>
      <c r="W56" t="s">
        <v>944</v>
      </c>
      <c r="X56" t="s">
        <v>1175</v>
      </c>
      <c r="Y56">
        <v>1</v>
      </c>
      <c r="Z56">
        <v>-0.42480685394006401</v>
      </c>
      <c r="AA56">
        <v>-0.27023634919463302</v>
      </c>
      <c r="AB56">
        <v>-0.47231167328851498</v>
      </c>
      <c r="AC56">
        <v>-0.36738313165029801</v>
      </c>
    </row>
    <row r="57" spans="1:29" x14ac:dyDescent="0.2">
      <c r="A57">
        <v>56</v>
      </c>
      <c r="B57" t="s">
        <v>217</v>
      </c>
      <c r="C57" t="s">
        <v>175</v>
      </c>
      <c r="D57" t="s">
        <v>218</v>
      </c>
      <c r="E57">
        <v>-2.0523005188432801E-2</v>
      </c>
      <c r="F57">
        <v>0.16283825308470901</v>
      </c>
      <c r="G57">
        <v>-0.11451766278844799</v>
      </c>
      <c r="H57">
        <v>7.9109608567186507E-3</v>
      </c>
      <c r="I57">
        <v>0.122428623645167</v>
      </c>
      <c r="J57">
        <v>0.18336125827314201</v>
      </c>
      <c r="K57">
        <v>-2.0523005188432801E-2</v>
      </c>
      <c r="L57">
        <v>-0.11451766278844799</v>
      </c>
      <c r="M57">
        <v>0.18336125827314201</v>
      </c>
      <c r="N57">
        <v>0.277355915873157</v>
      </c>
      <c r="O57">
        <v>2.8433966045151499E-2</v>
      </c>
      <c r="P57">
        <v>0.122428623645167</v>
      </c>
      <c r="Q57" t="s">
        <v>1173</v>
      </c>
      <c r="R57" t="s">
        <v>1068</v>
      </c>
      <c r="S57" t="s">
        <v>1067</v>
      </c>
      <c r="T57" t="s">
        <v>1173</v>
      </c>
      <c r="U57" t="s">
        <v>944</v>
      </c>
      <c r="V57">
        <v>0</v>
      </c>
      <c r="W57" t="s">
        <v>944</v>
      </c>
      <c r="X57" t="s">
        <v>1175</v>
      </c>
      <c r="Y57">
        <v>1</v>
      </c>
      <c r="Z57">
        <v>-0.20030569003736701</v>
      </c>
      <c r="AA57">
        <v>-0.23157407064802099</v>
      </c>
      <c r="AB57">
        <v>-6.2139129167665598E-2</v>
      </c>
      <c r="AC57">
        <v>-0.233839759843954</v>
      </c>
    </row>
    <row r="58" spans="1:29" x14ac:dyDescent="0.2">
      <c r="A58">
        <v>57</v>
      </c>
      <c r="B58" t="s">
        <v>219</v>
      </c>
      <c r="C58" t="s">
        <v>175</v>
      </c>
      <c r="D58" t="s">
        <v>220</v>
      </c>
      <c r="E58">
        <v>-3.5032572168343802E-2</v>
      </c>
      <c r="F58">
        <v>-0.446798626147133</v>
      </c>
      <c r="G58">
        <v>-7.9854731038999996E-2</v>
      </c>
      <c r="H58">
        <v>-0.62652027251142794</v>
      </c>
      <c r="I58">
        <v>-0.54666554147242796</v>
      </c>
      <c r="J58">
        <v>-0.41176605397878902</v>
      </c>
      <c r="K58">
        <v>-3.5032572168343802E-2</v>
      </c>
      <c r="L58">
        <v>-7.9854731038999996E-2</v>
      </c>
      <c r="M58">
        <v>-0.41176605397878902</v>
      </c>
      <c r="N58">
        <v>-0.36694389510813302</v>
      </c>
      <c r="O58">
        <v>-0.59148770034308396</v>
      </c>
      <c r="P58">
        <v>-0.54666554147242796</v>
      </c>
      <c r="Q58" t="s">
        <v>1173</v>
      </c>
      <c r="R58" t="s">
        <v>1067</v>
      </c>
      <c r="S58" t="s">
        <v>1173</v>
      </c>
      <c r="T58" t="s">
        <v>1067</v>
      </c>
      <c r="U58" t="s">
        <v>1174</v>
      </c>
      <c r="V58">
        <v>1</v>
      </c>
      <c r="W58" t="s">
        <v>1174</v>
      </c>
      <c r="X58" t="s">
        <v>1175</v>
      </c>
      <c r="Y58">
        <v>1</v>
      </c>
      <c r="Z58">
        <v>-0.41140771728683001</v>
      </c>
      <c r="AA58">
        <v>-0.26460198562606402</v>
      </c>
      <c r="AB58">
        <v>-0.472672723731278</v>
      </c>
      <c r="AC58">
        <v>-0.36743033812276299</v>
      </c>
    </row>
    <row r="59" spans="1:29" x14ac:dyDescent="0.2">
      <c r="A59">
        <v>58</v>
      </c>
      <c r="B59" t="s">
        <v>221</v>
      </c>
      <c r="C59" t="s">
        <v>175</v>
      </c>
      <c r="D59" t="s">
        <v>164</v>
      </c>
      <c r="E59">
        <v>-0.37878839774092599</v>
      </c>
      <c r="F59">
        <v>-0.13312454860850101</v>
      </c>
      <c r="G59">
        <v>-3.6028920357573498E-2</v>
      </c>
      <c r="H59">
        <v>-0.28286528777917302</v>
      </c>
      <c r="I59">
        <v>-0.24683636742160001</v>
      </c>
      <c r="J59">
        <v>0.24566384913242501</v>
      </c>
      <c r="K59">
        <v>-3.6028920357573498E-2</v>
      </c>
      <c r="L59">
        <v>-0.37878839774092599</v>
      </c>
      <c r="M59">
        <v>-9.7095628250927504E-2</v>
      </c>
      <c r="N59">
        <v>0.24566384913242501</v>
      </c>
      <c r="O59">
        <v>-0.24683636742160001</v>
      </c>
      <c r="P59">
        <v>9.5923109961753003E-2</v>
      </c>
      <c r="Q59" t="s">
        <v>1067</v>
      </c>
      <c r="R59" t="s">
        <v>1067</v>
      </c>
      <c r="S59" t="s">
        <v>1173</v>
      </c>
      <c r="T59" t="s">
        <v>1067</v>
      </c>
      <c r="U59" t="s">
        <v>944</v>
      </c>
      <c r="V59">
        <v>1</v>
      </c>
      <c r="W59" t="s">
        <v>944</v>
      </c>
      <c r="X59" t="s">
        <v>1175</v>
      </c>
      <c r="Y59">
        <v>1</v>
      </c>
      <c r="Z59">
        <v>-0.30472264930417398</v>
      </c>
      <c r="AA59">
        <v>-0.28596181827412098</v>
      </c>
      <c r="AB59">
        <v>-3.7626317953634601E-2</v>
      </c>
      <c r="AC59">
        <v>-0.23418663224153599</v>
      </c>
    </row>
    <row r="60" spans="1:29" x14ac:dyDescent="0.2">
      <c r="A60">
        <v>59</v>
      </c>
      <c r="B60" t="s">
        <v>222</v>
      </c>
      <c r="C60" t="s">
        <v>175</v>
      </c>
      <c r="D60" t="s">
        <v>166</v>
      </c>
      <c r="E60">
        <v>-3.5032572168343802E-2</v>
      </c>
      <c r="F60">
        <v>7.9547533055322501E-4</v>
      </c>
      <c r="G60">
        <v>2.71274375134953E-3</v>
      </c>
      <c r="H60">
        <v>-0.112373688759244</v>
      </c>
      <c r="I60">
        <v>-0.115086432510594</v>
      </c>
      <c r="J60">
        <v>3.5828047498897002E-2</v>
      </c>
      <c r="K60">
        <v>2.71274375134953E-3</v>
      </c>
      <c r="L60">
        <v>-3.5032572168343802E-2</v>
      </c>
      <c r="M60">
        <v>-1.9172684207962999E-3</v>
      </c>
      <c r="N60">
        <v>3.5828047498897002E-2</v>
      </c>
      <c r="O60">
        <v>-0.115086432510594</v>
      </c>
      <c r="P60">
        <v>-7.7341116590900205E-2</v>
      </c>
      <c r="Q60" t="s">
        <v>1173</v>
      </c>
      <c r="R60" t="s">
        <v>1173</v>
      </c>
      <c r="S60" t="s">
        <v>1173</v>
      </c>
      <c r="T60" t="s">
        <v>1067</v>
      </c>
      <c r="U60" t="s">
        <v>944</v>
      </c>
      <c r="V60">
        <v>1</v>
      </c>
      <c r="W60" t="s">
        <v>944</v>
      </c>
      <c r="X60" t="s">
        <v>1175</v>
      </c>
      <c r="Y60">
        <v>0</v>
      </c>
      <c r="Z60">
        <v>-0.33707280665650902</v>
      </c>
      <c r="AA60">
        <v>-0.30129746966373</v>
      </c>
      <c r="AB60">
        <v>-0.242073603757328</v>
      </c>
      <c r="AC60">
        <v>-0.33728006071514699</v>
      </c>
    </row>
    <row r="61" spans="1:29" x14ac:dyDescent="0.2">
      <c r="A61">
        <v>60</v>
      </c>
      <c r="B61" t="s">
        <v>223</v>
      </c>
      <c r="C61" t="s">
        <v>175</v>
      </c>
      <c r="D61" t="s">
        <v>224</v>
      </c>
      <c r="E61">
        <v>-0.370826005534449</v>
      </c>
      <c r="F61">
        <v>-1</v>
      </c>
      <c r="G61">
        <v>-0.16161792160642699</v>
      </c>
      <c r="H61">
        <v>-1</v>
      </c>
      <c r="I61">
        <v>-0.83838207839357304</v>
      </c>
      <c r="J61">
        <v>-0.629173994465551</v>
      </c>
      <c r="K61">
        <v>-0.16161792160642699</v>
      </c>
      <c r="L61">
        <v>-0.370826005534449</v>
      </c>
      <c r="M61">
        <v>-0.83838207839357304</v>
      </c>
      <c r="N61">
        <v>-0.629173994465551</v>
      </c>
      <c r="O61">
        <v>-0.83838207839357304</v>
      </c>
      <c r="P61">
        <v>-0.629173994465551</v>
      </c>
      <c r="Q61" t="s">
        <v>1067</v>
      </c>
      <c r="R61" t="s">
        <v>1067</v>
      </c>
      <c r="S61" t="s">
        <v>1067</v>
      </c>
      <c r="T61" t="s">
        <v>1067</v>
      </c>
      <c r="U61" t="s">
        <v>1174</v>
      </c>
      <c r="V61">
        <v>1</v>
      </c>
      <c r="W61" t="s">
        <v>944</v>
      </c>
      <c r="X61" t="s">
        <v>1175</v>
      </c>
      <c r="Y61">
        <v>1</v>
      </c>
      <c r="Z61">
        <v>-0.482183621646329</v>
      </c>
      <c r="AA61">
        <v>-0.25347871508259101</v>
      </c>
      <c r="AB61">
        <v>-0.41055839699722302</v>
      </c>
      <c r="AC61">
        <v>-0.28112714557979002</v>
      </c>
    </row>
    <row r="62" spans="1:29" x14ac:dyDescent="0.2">
      <c r="A62">
        <v>61</v>
      </c>
      <c r="B62" t="s">
        <v>225</v>
      </c>
      <c r="C62" t="s">
        <v>175</v>
      </c>
      <c r="D62" t="s">
        <v>226</v>
      </c>
      <c r="E62">
        <v>0.93977493695145498</v>
      </c>
      <c r="F62">
        <v>0.53541622982821402</v>
      </c>
      <c r="G62">
        <v>0.84356399279696404</v>
      </c>
      <c r="H62">
        <v>0.550146334715097</v>
      </c>
      <c r="I62">
        <v>-0.29341765808186698</v>
      </c>
      <c r="J62">
        <v>-0.40435870712324101</v>
      </c>
      <c r="K62">
        <v>0.93977493695145498</v>
      </c>
      <c r="L62">
        <v>0.84356399279696404</v>
      </c>
      <c r="M62">
        <v>-0.40435870712324101</v>
      </c>
      <c r="N62">
        <v>-0.30814776296875002</v>
      </c>
      <c r="O62">
        <v>-0.38962860223635798</v>
      </c>
      <c r="P62">
        <v>-0.29341765808186698</v>
      </c>
      <c r="Q62" t="s">
        <v>1068</v>
      </c>
      <c r="R62" t="s">
        <v>1068</v>
      </c>
      <c r="S62" t="s">
        <v>1068</v>
      </c>
      <c r="T62" t="s">
        <v>1068</v>
      </c>
      <c r="U62" t="s">
        <v>1174</v>
      </c>
      <c r="V62">
        <v>1</v>
      </c>
      <c r="W62" t="s">
        <v>944</v>
      </c>
      <c r="X62" t="s">
        <v>1175</v>
      </c>
      <c r="Y62">
        <v>1</v>
      </c>
      <c r="Z62">
        <v>-0.614158755581794</v>
      </c>
      <c r="AA62">
        <v>-0.29639692380413701</v>
      </c>
      <c r="AB62">
        <v>-0.45965467956154699</v>
      </c>
      <c r="AC62">
        <v>-0.28899257277451501</v>
      </c>
    </row>
    <row r="63" spans="1:29" x14ac:dyDescent="0.2">
      <c r="A63">
        <v>62</v>
      </c>
      <c r="B63" t="s">
        <v>227</v>
      </c>
      <c r="C63" t="s">
        <v>175</v>
      </c>
      <c r="D63" t="s">
        <v>168</v>
      </c>
      <c r="E63">
        <v>0.57745189084707005</v>
      </c>
      <c r="F63">
        <v>-0.27674003166080402</v>
      </c>
      <c r="G63">
        <v>0.64182946771151395</v>
      </c>
      <c r="H63">
        <v>-0.40861144615489597</v>
      </c>
      <c r="I63">
        <v>-1.0504409138664099</v>
      </c>
      <c r="J63">
        <v>-0.85419192250787401</v>
      </c>
      <c r="K63">
        <v>0.64182946771151395</v>
      </c>
      <c r="L63">
        <v>0.57745189084707005</v>
      </c>
      <c r="M63">
        <v>-0.91856949937231802</v>
      </c>
      <c r="N63">
        <v>-0.85419192250787401</v>
      </c>
      <c r="O63">
        <v>-1.0504409138664099</v>
      </c>
      <c r="P63">
        <v>-0.98606333700196602</v>
      </c>
      <c r="Q63" t="s">
        <v>1068</v>
      </c>
      <c r="R63" t="s">
        <v>1067</v>
      </c>
      <c r="S63" t="s">
        <v>1068</v>
      </c>
      <c r="T63" t="s">
        <v>1067</v>
      </c>
      <c r="U63" t="s">
        <v>1174</v>
      </c>
      <c r="V63">
        <v>1</v>
      </c>
      <c r="W63" t="s">
        <v>1174</v>
      </c>
      <c r="X63" t="s">
        <v>1175</v>
      </c>
      <c r="Y63">
        <v>1</v>
      </c>
      <c r="Z63">
        <v>-0.63366334754406795</v>
      </c>
      <c r="AA63">
        <v>-0.303077502636107</v>
      </c>
      <c r="AB63">
        <v>-0.47056526282683703</v>
      </c>
      <c r="AC63">
        <v>-0.291937683109255</v>
      </c>
    </row>
    <row r="64" spans="1:29" x14ac:dyDescent="0.2">
      <c r="A64">
        <v>63</v>
      </c>
      <c r="B64" t="s">
        <v>228</v>
      </c>
      <c r="C64" t="s">
        <v>134</v>
      </c>
      <c r="D64" t="s">
        <v>130</v>
      </c>
      <c r="E64">
        <v>6.9794670279588494E-2</v>
      </c>
      <c r="F64">
        <v>6.5584697494661601E-2</v>
      </c>
      <c r="G64">
        <v>-9.10138255845464E-3</v>
      </c>
      <c r="H64">
        <v>-0.122950011266626</v>
      </c>
      <c r="I64">
        <v>-0.113848628708171</v>
      </c>
      <c r="J64">
        <v>-4.2099727849268902E-3</v>
      </c>
      <c r="K64">
        <v>6.9794670279588494E-2</v>
      </c>
      <c r="L64">
        <v>-9.10138255845464E-3</v>
      </c>
      <c r="M64">
        <v>-4.2099727849268902E-3</v>
      </c>
      <c r="N64">
        <v>7.4686080053116194E-2</v>
      </c>
      <c r="O64">
        <v>-0.19274468154621399</v>
      </c>
      <c r="P64">
        <v>-0.113848628708171</v>
      </c>
      <c r="Q64" t="s">
        <v>1173</v>
      </c>
      <c r="R64" t="s">
        <v>1173</v>
      </c>
      <c r="S64" t="s">
        <v>1173</v>
      </c>
      <c r="T64" t="s">
        <v>1067</v>
      </c>
      <c r="U64" t="s">
        <v>1174</v>
      </c>
      <c r="V64">
        <v>1</v>
      </c>
      <c r="W64" t="s">
        <v>944</v>
      </c>
      <c r="X64" t="s">
        <v>1175</v>
      </c>
      <c r="Y64">
        <v>0</v>
      </c>
      <c r="Z64">
        <v>-0.14527443753715899</v>
      </c>
      <c r="AA64">
        <v>-0.24658081386276801</v>
      </c>
      <c r="AB64">
        <v>-0.33825948227712699</v>
      </c>
      <c r="AC64">
        <v>-0.42217302497287801</v>
      </c>
    </row>
    <row r="65" spans="1:29" x14ac:dyDescent="0.2">
      <c r="A65">
        <v>64</v>
      </c>
      <c r="B65" t="s">
        <v>229</v>
      </c>
      <c r="C65" t="s">
        <v>134</v>
      </c>
      <c r="D65" t="s">
        <v>132</v>
      </c>
      <c r="E65">
        <v>7.4246488087235496E-2</v>
      </c>
      <c r="F65">
        <v>-0.21296895034611199</v>
      </c>
      <c r="G65">
        <v>3.20651144944717E-3</v>
      </c>
      <c r="H65">
        <v>-0.295894336521491</v>
      </c>
      <c r="I65">
        <v>-0.299100847970938</v>
      </c>
      <c r="J65">
        <v>-0.28721543843334801</v>
      </c>
      <c r="K65">
        <v>7.4246488087235496E-2</v>
      </c>
      <c r="L65">
        <v>3.20651144944717E-3</v>
      </c>
      <c r="M65">
        <v>-0.28721543843334801</v>
      </c>
      <c r="N65">
        <v>-0.21617546179555899</v>
      </c>
      <c r="O65">
        <v>-0.37014082460872599</v>
      </c>
      <c r="P65">
        <v>-0.299100847970938</v>
      </c>
      <c r="Q65" t="s">
        <v>1173</v>
      </c>
      <c r="R65" t="s">
        <v>1067</v>
      </c>
      <c r="S65" t="s">
        <v>1173</v>
      </c>
      <c r="T65" t="s">
        <v>1067</v>
      </c>
      <c r="U65" t="s">
        <v>1174</v>
      </c>
      <c r="V65">
        <v>1</v>
      </c>
      <c r="W65" t="s">
        <v>1174</v>
      </c>
      <c r="X65" t="s">
        <v>1175</v>
      </c>
      <c r="Y65">
        <v>1</v>
      </c>
      <c r="Z65">
        <v>-0.41502336368794202</v>
      </c>
      <c r="AA65">
        <v>-0.31632433506903701</v>
      </c>
      <c r="AB65">
        <v>-0.29676298643212501</v>
      </c>
      <c r="AC65">
        <v>-0.34089736898957002</v>
      </c>
    </row>
    <row r="66" spans="1:29" x14ac:dyDescent="0.2">
      <c r="A66">
        <v>65</v>
      </c>
      <c r="B66" t="s">
        <v>230</v>
      </c>
      <c r="C66" t="s">
        <v>134</v>
      </c>
      <c r="D66" t="s">
        <v>136</v>
      </c>
      <c r="E66">
        <v>6.6108837343806195E-2</v>
      </c>
      <c r="F66">
        <v>9.9521042423835193E-3</v>
      </c>
      <c r="G66">
        <v>6.24830315384597E-3</v>
      </c>
      <c r="H66">
        <v>-0.18223828544280499</v>
      </c>
      <c r="I66">
        <v>-0.18848658859665099</v>
      </c>
      <c r="J66">
        <v>-5.6156733101422697E-2</v>
      </c>
      <c r="K66">
        <v>6.6108837343806195E-2</v>
      </c>
      <c r="L66">
        <v>6.24830315384597E-3</v>
      </c>
      <c r="M66">
        <v>-5.6156733101422697E-2</v>
      </c>
      <c r="N66">
        <v>3.7038010885375502E-3</v>
      </c>
      <c r="O66">
        <v>-0.248347122786611</v>
      </c>
      <c r="P66">
        <v>-0.18848658859665099</v>
      </c>
      <c r="Q66" t="s">
        <v>1173</v>
      </c>
      <c r="R66" t="s">
        <v>1173</v>
      </c>
      <c r="S66" t="s">
        <v>1173</v>
      </c>
      <c r="T66" t="s">
        <v>1067</v>
      </c>
      <c r="U66" t="s">
        <v>1174</v>
      </c>
      <c r="V66">
        <v>1</v>
      </c>
      <c r="W66" t="s">
        <v>1174</v>
      </c>
      <c r="X66" t="s">
        <v>1175</v>
      </c>
      <c r="Y66">
        <v>0</v>
      </c>
      <c r="Z66">
        <v>-0.36056869058708202</v>
      </c>
      <c r="AA66">
        <v>-0.34550583507168298</v>
      </c>
      <c r="AB66">
        <v>-0.103820052580989</v>
      </c>
      <c r="AC66">
        <v>-0.31179032379850002</v>
      </c>
    </row>
    <row r="67" spans="1:29" x14ac:dyDescent="0.2">
      <c r="A67">
        <v>66</v>
      </c>
      <c r="B67" t="s">
        <v>231</v>
      </c>
      <c r="C67" t="s">
        <v>134</v>
      </c>
      <c r="D67" t="s">
        <v>140</v>
      </c>
      <c r="E67">
        <v>6.63531845749286E-2</v>
      </c>
      <c r="F67">
        <v>-0.51048563085250098</v>
      </c>
      <c r="G67">
        <v>4.0532127425538201E-3</v>
      </c>
      <c r="H67">
        <v>-0.74424157118060097</v>
      </c>
      <c r="I67">
        <v>-0.74829478392315496</v>
      </c>
      <c r="J67">
        <v>-0.57683881542742999</v>
      </c>
      <c r="K67">
        <v>6.63531845749286E-2</v>
      </c>
      <c r="L67">
        <v>4.0532127425538201E-3</v>
      </c>
      <c r="M67">
        <v>-0.57683881542742999</v>
      </c>
      <c r="N67">
        <v>-0.51453884359505497</v>
      </c>
      <c r="O67">
        <v>-0.81059475575552997</v>
      </c>
      <c r="P67">
        <v>-0.74829478392315496</v>
      </c>
      <c r="Q67" t="s">
        <v>1173</v>
      </c>
      <c r="R67" t="s">
        <v>1067</v>
      </c>
      <c r="S67" t="s">
        <v>1173</v>
      </c>
      <c r="T67" t="s">
        <v>1067</v>
      </c>
      <c r="U67" t="s">
        <v>1174</v>
      </c>
      <c r="V67">
        <v>1</v>
      </c>
      <c r="W67" t="s">
        <v>1174</v>
      </c>
      <c r="X67" t="s">
        <v>1175</v>
      </c>
      <c r="Y67">
        <v>1</v>
      </c>
      <c r="Z67">
        <v>-0.34800461790922399</v>
      </c>
      <c r="AA67">
        <v>-0.28077412352012998</v>
      </c>
      <c r="AB67">
        <v>-0.31115554294859099</v>
      </c>
      <c r="AC67">
        <v>-0.339214509036669</v>
      </c>
    </row>
    <row r="68" spans="1:29" x14ac:dyDescent="0.2">
      <c r="A68">
        <v>67</v>
      </c>
      <c r="B68" t="s">
        <v>232</v>
      </c>
      <c r="C68" t="s">
        <v>134</v>
      </c>
      <c r="D68" t="s">
        <v>142</v>
      </c>
      <c r="E68">
        <v>7.0946613555013693E-2</v>
      </c>
      <c r="F68">
        <v>0.27549529994718402</v>
      </c>
      <c r="G68">
        <v>6.24830315384597E-3</v>
      </c>
      <c r="H68">
        <v>0.26529220418149302</v>
      </c>
      <c r="I68">
        <v>0.25904390102764702</v>
      </c>
      <c r="J68">
        <v>0.20454868639217</v>
      </c>
      <c r="K68">
        <v>7.0946613555013693E-2</v>
      </c>
      <c r="L68">
        <v>6.24830315384597E-3</v>
      </c>
      <c r="M68">
        <v>0.20454868639217</v>
      </c>
      <c r="N68">
        <v>0.26924699679333802</v>
      </c>
      <c r="O68">
        <v>0.19434559062647899</v>
      </c>
      <c r="P68">
        <v>0.25904390102764702</v>
      </c>
      <c r="Q68" t="s">
        <v>1173</v>
      </c>
      <c r="R68" t="s">
        <v>1068</v>
      </c>
      <c r="S68" t="s">
        <v>1173</v>
      </c>
      <c r="T68" t="s">
        <v>1068</v>
      </c>
      <c r="U68" t="s">
        <v>944</v>
      </c>
      <c r="V68">
        <v>0</v>
      </c>
      <c r="W68" t="s">
        <v>944</v>
      </c>
      <c r="X68" t="s">
        <v>1175</v>
      </c>
      <c r="Y68">
        <v>1</v>
      </c>
      <c r="Z68">
        <v>0.62148673747109195</v>
      </c>
      <c r="AA68">
        <v>-0.22716125382233801</v>
      </c>
      <c r="AB68">
        <v>0.69303788532859101</v>
      </c>
      <c r="AC68">
        <v>-0.21007139182503101</v>
      </c>
    </row>
    <row r="69" spans="1:29" x14ac:dyDescent="0.2">
      <c r="A69">
        <v>68</v>
      </c>
      <c r="B69" t="s">
        <v>233</v>
      </c>
      <c r="C69" t="s">
        <v>134</v>
      </c>
      <c r="D69" t="s">
        <v>146</v>
      </c>
      <c r="E69">
        <v>6.8870083574297497E-2</v>
      </c>
      <c r="F69">
        <v>7.5358409709707003E-2</v>
      </c>
      <c r="G69">
        <v>-1.06707654464256E-2</v>
      </c>
      <c r="H69">
        <v>-0.13873297946997501</v>
      </c>
      <c r="I69">
        <v>-0.128062214023549</v>
      </c>
      <c r="J69">
        <v>6.48832613540951E-3</v>
      </c>
      <c r="K69">
        <v>6.8870083574297497E-2</v>
      </c>
      <c r="L69">
        <v>-1.06707654464256E-2</v>
      </c>
      <c r="M69">
        <v>6.48832613540951E-3</v>
      </c>
      <c r="N69">
        <v>8.6029175156132606E-2</v>
      </c>
      <c r="O69">
        <v>-0.20760306304427301</v>
      </c>
      <c r="P69">
        <v>-0.128062214023549</v>
      </c>
      <c r="Q69" t="s">
        <v>1173</v>
      </c>
      <c r="R69" t="s">
        <v>1173</v>
      </c>
      <c r="S69" t="s">
        <v>1173</v>
      </c>
      <c r="T69" t="s">
        <v>1067</v>
      </c>
      <c r="U69" t="s">
        <v>944</v>
      </c>
      <c r="V69">
        <v>1</v>
      </c>
      <c r="W69" t="s">
        <v>944</v>
      </c>
      <c r="X69" t="s">
        <v>1175</v>
      </c>
      <c r="Y69">
        <v>0</v>
      </c>
      <c r="Z69">
        <v>-0.178812665598755</v>
      </c>
      <c r="AA69">
        <v>-0.26113777532479898</v>
      </c>
      <c r="AB69">
        <v>-0.3361238952492</v>
      </c>
      <c r="AC69">
        <v>-0.42166522664841399</v>
      </c>
    </row>
    <row r="70" spans="1:29" x14ac:dyDescent="0.2">
      <c r="A70">
        <v>69</v>
      </c>
      <c r="B70" t="s">
        <v>234</v>
      </c>
      <c r="C70" t="s">
        <v>134</v>
      </c>
      <c r="D70" t="s">
        <v>148</v>
      </c>
      <c r="E70">
        <v>-2.0412684198645201E-2</v>
      </c>
      <c r="F70">
        <v>-0.28455137947015102</v>
      </c>
      <c r="G70">
        <v>6.2382960333897198E-3</v>
      </c>
      <c r="H70">
        <v>-0.49409968645194102</v>
      </c>
      <c r="I70">
        <v>-0.50033798248533101</v>
      </c>
      <c r="J70">
        <v>-0.26413869527150602</v>
      </c>
      <c r="K70">
        <v>6.2382960333897198E-3</v>
      </c>
      <c r="L70">
        <v>-2.0412684198645201E-2</v>
      </c>
      <c r="M70">
        <v>-0.29078967550354101</v>
      </c>
      <c r="N70">
        <v>-0.26413869527150602</v>
      </c>
      <c r="O70">
        <v>-0.50033798248533101</v>
      </c>
      <c r="P70">
        <v>-0.47368700225329602</v>
      </c>
      <c r="Q70" t="s">
        <v>1173</v>
      </c>
      <c r="R70" t="s">
        <v>1067</v>
      </c>
      <c r="S70" t="s">
        <v>1173</v>
      </c>
      <c r="T70" t="s">
        <v>1067</v>
      </c>
      <c r="U70" t="s">
        <v>1174</v>
      </c>
      <c r="V70">
        <v>1</v>
      </c>
      <c r="W70" t="s">
        <v>1174</v>
      </c>
      <c r="X70" t="s">
        <v>1175</v>
      </c>
      <c r="Y70">
        <v>1</v>
      </c>
      <c r="Z70">
        <v>-0.53813594578851098</v>
      </c>
      <c r="AA70">
        <v>-0.36691038612838101</v>
      </c>
      <c r="AB70">
        <v>-0.29542031410632502</v>
      </c>
      <c r="AC70">
        <v>-0.33859666087680901</v>
      </c>
    </row>
    <row r="71" spans="1:29" x14ac:dyDescent="0.2">
      <c r="A71">
        <v>70</v>
      </c>
      <c r="B71" t="s">
        <v>235</v>
      </c>
      <c r="C71" t="s">
        <v>134</v>
      </c>
      <c r="D71" t="s">
        <v>150</v>
      </c>
      <c r="E71">
        <v>6.9308068746409199E-2</v>
      </c>
      <c r="F71">
        <v>6.9988665833958505E-2</v>
      </c>
      <c r="G71">
        <v>2.8189892910165299E-3</v>
      </c>
      <c r="H71">
        <v>-0.13924803425450499</v>
      </c>
      <c r="I71">
        <v>-0.142067023545522</v>
      </c>
      <c r="J71">
        <v>6.8059708754930604E-4</v>
      </c>
      <c r="K71">
        <v>6.9308068746409199E-2</v>
      </c>
      <c r="L71">
        <v>2.8189892910165299E-3</v>
      </c>
      <c r="M71">
        <v>6.8059708754930604E-4</v>
      </c>
      <c r="N71">
        <v>6.7169676542941995E-2</v>
      </c>
      <c r="O71">
        <v>-0.20855610300091401</v>
      </c>
      <c r="P71">
        <v>-0.142067023545522</v>
      </c>
      <c r="Q71" t="s">
        <v>1173</v>
      </c>
      <c r="R71" t="s">
        <v>1173</v>
      </c>
      <c r="S71" t="s">
        <v>1173</v>
      </c>
      <c r="T71" t="s">
        <v>1067</v>
      </c>
      <c r="U71" t="s">
        <v>944</v>
      </c>
      <c r="V71">
        <v>1</v>
      </c>
      <c r="W71" t="s">
        <v>944</v>
      </c>
      <c r="X71" t="s">
        <v>1175</v>
      </c>
      <c r="Y71">
        <v>0</v>
      </c>
      <c r="Z71">
        <v>-0.26778619747492199</v>
      </c>
      <c r="AA71">
        <v>-0.29805062799294502</v>
      </c>
      <c r="AB71">
        <v>-0.33917147912749701</v>
      </c>
      <c r="AC71">
        <v>-0.42231977732245302</v>
      </c>
    </row>
    <row r="72" spans="1:29" x14ac:dyDescent="0.2">
      <c r="A72">
        <v>71</v>
      </c>
      <c r="B72" t="s">
        <v>236</v>
      </c>
      <c r="C72" t="s">
        <v>134</v>
      </c>
      <c r="D72" t="s">
        <v>156</v>
      </c>
      <c r="E72">
        <v>5.2253672819421698E-2</v>
      </c>
      <c r="F72">
        <v>-4.5861788239851903E-2</v>
      </c>
      <c r="G72">
        <v>6.24830315384597E-3</v>
      </c>
      <c r="H72">
        <v>-0.260862595959929</v>
      </c>
      <c r="I72">
        <v>-0.267110899113775</v>
      </c>
      <c r="J72">
        <v>-9.8115461059273601E-2</v>
      </c>
      <c r="K72">
        <v>5.2253672819421698E-2</v>
      </c>
      <c r="L72">
        <v>6.24830315384597E-3</v>
      </c>
      <c r="M72">
        <v>-9.8115461059273601E-2</v>
      </c>
      <c r="N72">
        <v>-5.2110091393697898E-2</v>
      </c>
      <c r="O72">
        <v>-0.313116268779351</v>
      </c>
      <c r="P72">
        <v>-0.267110899113775</v>
      </c>
      <c r="Q72" t="s">
        <v>1173</v>
      </c>
      <c r="R72" t="s">
        <v>1173</v>
      </c>
      <c r="S72" t="s">
        <v>1173</v>
      </c>
      <c r="T72" t="s">
        <v>1067</v>
      </c>
      <c r="U72" t="s">
        <v>1174</v>
      </c>
      <c r="V72">
        <v>1</v>
      </c>
      <c r="W72" t="s">
        <v>1174</v>
      </c>
      <c r="X72" t="s">
        <v>1175</v>
      </c>
      <c r="Y72">
        <v>0</v>
      </c>
      <c r="Z72">
        <v>-0.31940449902336798</v>
      </c>
      <c r="AA72">
        <v>-0.340545260674464</v>
      </c>
      <c r="AB72">
        <v>-5.8199809403531498E-2</v>
      </c>
      <c r="AC72">
        <v>-0.30575182523400801</v>
      </c>
    </row>
    <row r="73" spans="1:29" x14ac:dyDescent="0.2">
      <c r="A73">
        <v>72</v>
      </c>
      <c r="B73" t="s">
        <v>237</v>
      </c>
      <c r="C73" t="s">
        <v>134</v>
      </c>
      <c r="D73" t="s">
        <v>158</v>
      </c>
      <c r="E73">
        <v>-5.14772439135842E-2</v>
      </c>
      <c r="F73">
        <v>3.6418600983342597E-2</v>
      </c>
      <c r="G73">
        <v>3.7890678850599998E-3</v>
      </c>
      <c r="H73">
        <v>-2.0373373821943701E-2</v>
      </c>
      <c r="I73">
        <v>-2.4162441707003698E-2</v>
      </c>
      <c r="J73">
        <v>8.7895844896926797E-2</v>
      </c>
      <c r="K73">
        <v>3.7890678850599998E-3</v>
      </c>
      <c r="L73">
        <v>-5.14772439135842E-2</v>
      </c>
      <c r="M73">
        <v>3.26295330982826E-2</v>
      </c>
      <c r="N73">
        <v>8.7895844896926797E-2</v>
      </c>
      <c r="O73">
        <v>-2.4162441707003698E-2</v>
      </c>
      <c r="P73">
        <v>3.1103870091640499E-2</v>
      </c>
      <c r="Q73" t="s">
        <v>1173</v>
      </c>
      <c r="R73" t="s">
        <v>1173</v>
      </c>
      <c r="S73" t="s">
        <v>1173</v>
      </c>
      <c r="T73" t="s">
        <v>1173</v>
      </c>
      <c r="U73" t="s">
        <v>944</v>
      </c>
      <c r="V73">
        <v>1</v>
      </c>
      <c r="W73" t="s">
        <v>944</v>
      </c>
      <c r="X73" t="s">
        <v>1175</v>
      </c>
      <c r="Y73">
        <v>0</v>
      </c>
      <c r="Z73">
        <v>-0.45654493204937202</v>
      </c>
      <c r="AA73">
        <v>-0.31693640497778203</v>
      </c>
      <c r="AB73">
        <v>-0.34134540724111001</v>
      </c>
      <c r="AC73">
        <v>-0.34132469258840498</v>
      </c>
    </row>
    <row r="74" spans="1:29" x14ac:dyDescent="0.2">
      <c r="A74">
        <v>73</v>
      </c>
      <c r="B74" t="s">
        <v>238</v>
      </c>
      <c r="C74" t="s">
        <v>134</v>
      </c>
      <c r="D74" t="s">
        <v>160</v>
      </c>
      <c r="E74">
        <v>5.36446187396869E-2</v>
      </c>
      <c r="F74">
        <v>-0.26357942252108402</v>
      </c>
      <c r="G74">
        <v>6.1408614481623797E-3</v>
      </c>
      <c r="H74">
        <v>-0.38963021619695098</v>
      </c>
      <c r="I74">
        <v>-0.39577107764511299</v>
      </c>
      <c r="J74">
        <v>-0.31722404126077097</v>
      </c>
      <c r="K74">
        <v>5.36446187396869E-2</v>
      </c>
      <c r="L74">
        <v>6.1408614481623797E-3</v>
      </c>
      <c r="M74">
        <v>-0.31722404126077097</v>
      </c>
      <c r="N74">
        <v>-0.26972028396924602</v>
      </c>
      <c r="O74">
        <v>-0.443274834936638</v>
      </c>
      <c r="P74">
        <v>-0.39577107764511299</v>
      </c>
      <c r="Q74" t="s">
        <v>1173</v>
      </c>
      <c r="R74" t="s">
        <v>1067</v>
      </c>
      <c r="S74" t="s">
        <v>1173</v>
      </c>
      <c r="T74" t="s">
        <v>1067</v>
      </c>
      <c r="U74" t="s">
        <v>1174</v>
      </c>
      <c r="V74">
        <v>1</v>
      </c>
      <c r="W74" t="s">
        <v>1174</v>
      </c>
      <c r="X74" t="s">
        <v>1175</v>
      </c>
      <c r="Y74">
        <v>1</v>
      </c>
      <c r="Z74">
        <v>-0.35812990597462602</v>
      </c>
      <c r="AA74">
        <v>-0.344997040321394</v>
      </c>
      <c r="AB74">
        <v>-0.103072748394967</v>
      </c>
      <c r="AC74">
        <v>-0.31209892981680998</v>
      </c>
    </row>
    <row r="75" spans="1:29" x14ac:dyDescent="0.2">
      <c r="A75">
        <v>74</v>
      </c>
      <c r="B75" t="s">
        <v>239</v>
      </c>
      <c r="C75" t="s">
        <v>134</v>
      </c>
      <c r="D75" t="s">
        <v>162</v>
      </c>
      <c r="E75">
        <v>6.9308068746409199E-2</v>
      </c>
      <c r="F75">
        <v>7.4334386200850602E-2</v>
      </c>
      <c r="G75">
        <v>2.4437613115931801E-3</v>
      </c>
      <c r="H75">
        <v>-0.138255515591473</v>
      </c>
      <c r="I75">
        <v>-0.140699276903066</v>
      </c>
      <c r="J75">
        <v>5.0263174544414001E-3</v>
      </c>
      <c r="K75">
        <v>6.9308068746409199E-2</v>
      </c>
      <c r="L75">
        <v>2.4437613115931801E-3</v>
      </c>
      <c r="M75">
        <v>5.0263174544414001E-3</v>
      </c>
      <c r="N75">
        <v>7.1890624889257404E-2</v>
      </c>
      <c r="O75">
        <v>-0.207563584337882</v>
      </c>
      <c r="P75">
        <v>-0.140699276903066</v>
      </c>
      <c r="Q75" t="s">
        <v>1173</v>
      </c>
      <c r="R75" t="s">
        <v>1173</v>
      </c>
      <c r="S75" t="s">
        <v>1173</v>
      </c>
      <c r="T75" t="s">
        <v>1067</v>
      </c>
      <c r="U75" t="s">
        <v>944</v>
      </c>
      <c r="V75">
        <v>1</v>
      </c>
      <c r="W75" t="s">
        <v>944</v>
      </c>
      <c r="X75" t="s">
        <v>1175</v>
      </c>
      <c r="Y75">
        <v>0</v>
      </c>
      <c r="Z75">
        <v>-0.24838799204495701</v>
      </c>
      <c r="AA75">
        <v>-0.29036003148331702</v>
      </c>
      <c r="AB75">
        <v>-0.33777891336768401</v>
      </c>
      <c r="AC75">
        <v>-0.42213770271622097</v>
      </c>
    </row>
    <row r="76" spans="1:29" x14ac:dyDescent="0.2">
      <c r="A76">
        <v>75</v>
      </c>
      <c r="B76" t="s">
        <v>240</v>
      </c>
      <c r="C76" t="s">
        <v>134</v>
      </c>
      <c r="D76" t="s">
        <v>168</v>
      </c>
      <c r="E76">
        <v>0.22888754440225401</v>
      </c>
      <c r="F76">
        <v>-0.566249406587924</v>
      </c>
      <c r="G76">
        <v>1.7263170526747602E-2</v>
      </c>
      <c r="H76">
        <v>-0.64581384996723501</v>
      </c>
      <c r="I76">
        <v>-0.66307702049398298</v>
      </c>
      <c r="J76">
        <v>-0.795136950990178</v>
      </c>
      <c r="K76">
        <v>0.22888754440225401</v>
      </c>
      <c r="L76">
        <v>1.7263170526747602E-2</v>
      </c>
      <c r="M76">
        <v>-0.795136950990178</v>
      </c>
      <c r="N76">
        <v>-0.58351257711467197</v>
      </c>
      <c r="O76">
        <v>-0.87470139436948902</v>
      </c>
      <c r="P76">
        <v>-0.66307702049398298</v>
      </c>
      <c r="Q76" t="s">
        <v>1068</v>
      </c>
      <c r="R76" t="s">
        <v>1067</v>
      </c>
      <c r="S76" t="s">
        <v>1173</v>
      </c>
      <c r="T76" t="s">
        <v>1067</v>
      </c>
      <c r="U76" t="s">
        <v>1174</v>
      </c>
      <c r="V76">
        <v>1</v>
      </c>
      <c r="W76" t="s">
        <v>1174</v>
      </c>
      <c r="X76" t="s">
        <v>1175</v>
      </c>
      <c r="Y76">
        <v>1</v>
      </c>
      <c r="Z76">
        <v>-0.45724448564895998</v>
      </c>
      <c r="AA76">
        <v>-0.323201184924791</v>
      </c>
      <c r="AB76">
        <v>-0.336032502906006</v>
      </c>
      <c r="AC76">
        <v>-0.34669225417517802</v>
      </c>
    </row>
    <row r="77" spans="1:29" x14ac:dyDescent="0.2">
      <c r="A77">
        <v>76</v>
      </c>
      <c r="B77" t="s">
        <v>241</v>
      </c>
      <c r="C77" t="s">
        <v>136</v>
      </c>
      <c r="D77" t="s">
        <v>130</v>
      </c>
      <c r="E77">
        <v>-1.14036286039361E-2</v>
      </c>
      <c r="F77">
        <v>0.26541727245369801</v>
      </c>
      <c r="G77">
        <v>-9.1013831363402405E-3</v>
      </c>
      <c r="H77">
        <v>0.13261470612201401</v>
      </c>
      <c r="I77">
        <v>0.14171608925835399</v>
      </c>
      <c r="J77">
        <v>0.27682090105763402</v>
      </c>
      <c r="K77">
        <v>-9.1013831363402405E-3</v>
      </c>
      <c r="L77">
        <v>-1.14036286039361E-2</v>
      </c>
      <c r="M77">
        <v>0.27451865559003802</v>
      </c>
      <c r="N77">
        <v>0.27682090105763402</v>
      </c>
      <c r="O77">
        <v>0.14171608925835399</v>
      </c>
      <c r="P77">
        <v>0.14401833472594999</v>
      </c>
      <c r="Q77" t="s">
        <v>1173</v>
      </c>
      <c r="R77" t="s">
        <v>1068</v>
      </c>
      <c r="S77" t="s">
        <v>1173</v>
      </c>
      <c r="T77" t="s">
        <v>1068</v>
      </c>
      <c r="U77" t="s">
        <v>944</v>
      </c>
      <c r="V77">
        <v>0</v>
      </c>
      <c r="W77" t="s">
        <v>944</v>
      </c>
      <c r="X77" t="s">
        <v>1175</v>
      </c>
      <c r="Y77">
        <v>1</v>
      </c>
      <c r="Z77">
        <v>-0.22396531666407399</v>
      </c>
      <c r="AA77">
        <v>-0.25606361785971898</v>
      </c>
      <c r="AB77">
        <v>-0.22645786436846199</v>
      </c>
      <c r="AC77">
        <v>-0.335867604993135</v>
      </c>
    </row>
    <row r="78" spans="1:29" x14ac:dyDescent="0.2">
      <c r="A78">
        <v>77</v>
      </c>
      <c r="B78" t="s">
        <v>242</v>
      </c>
      <c r="C78" t="s">
        <v>136</v>
      </c>
      <c r="D78" t="s">
        <v>132</v>
      </c>
      <c r="E78">
        <v>-0.13300976649111601</v>
      </c>
      <c r="F78">
        <v>-0.232491927130721</v>
      </c>
      <c r="G78">
        <v>3.20651144944717E-3</v>
      </c>
      <c r="H78">
        <v>-0.36837636087673398</v>
      </c>
      <c r="I78">
        <v>-0.37158287232618098</v>
      </c>
      <c r="J78">
        <v>-9.9482160639604994E-2</v>
      </c>
      <c r="K78">
        <v>3.20651144944717E-3</v>
      </c>
      <c r="L78">
        <v>-0.13300976649111601</v>
      </c>
      <c r="M78">
        <v>-0.23569843858016801</v>
      </c>
      <c r="N78">
        <v>-9.9482160639604994E-2</v>
      </c>
      <c r="O78">
        <v>-0.37158287232618098</v>
      </c>
      <c r="P78">
        <v>-0.23536659438561799</v>
      </c>
      <c r="Q78" t="s">
        <v>1067</v>
      </c>
      <c r="R78" t="s">
        <v>1067</v>
      </c>
      <c r="S78" t="s">
        <v>1173</v>
      </c>
      <c r="T78" t="s">
        <v>1067</v>
      </c>
      <c r="U78" t="s">
        <v>1174</v>
      </c>
      <c r="V78">
        <v>1</v>
      </c>
      <c r="W78" t="s">
        <v>944</v>
      </c>
      <c r="X78" t="s">
        <v>1175</v>
      </c>
      <c r="Y78">
        <v>0</v>
      </c>
      <c r="Z78">
        <v>-0.49371424281485699</v>
      </c>
      <c r="AA78">
        <v>-0.32580713906598802</v>
      </c>
      <c r="AB78">
        <v>-0.18496136852346001</v>
      </c>
      <c r="AC78">
        <v>-0.25459194900982701</v>
      </c>
    </row>
    <row r="79" spans="1:29" x14ac:dyDescent="0.2">
      <c r="A79">
        <v>78</v>
      </c>
      <c r="B79" t="s">
        <v>243</v>
      </c>
      <c r="C79" t="s">
        <v>136</v>
      </c>
      <c r="D79" t="s">
        <v>140</v>
      </c>
      <c r="E79">
        <v>-0.145655760782745</v>
      </c>
      <c r="F79">
        <v>-0.20640358215808199</v>
      </c>
      <c r="G79">
        <v>4.0532971222589399E-3</v>
      </c>
      <c r="H79">
        <v>-0.38694692873889203</v>
      </c>
      <c r="I79">
        <v>-0.39100022586115102</v>
      </c>
      <c r="J79">
        <v>-6.0747821375336998E-2</v>
      </c>
      <c r="K79">
        <v>4.0532971222589399E-3</v>
      </c>
      <c r="L79">
        <v>-0.145655760782745</v>
      </c>
      <c r="M79">
        <v>-0.21045687928034101</v>
      </c>
      <c r="N79">
        <v>-6.0747821375336998E-2</v>
      </c>
      <c r="O79">
        <v>-0.39100022586115102</v>
      </c>
      <c r="P79">
        <v>-0.241291167956147</v>
      </c>
      <c r="Q79" t="s">
        <v>1067</v>
      </c>
      <c r="R79" t="s">
        <v>1067</v>
      </c>
      <c r="S79" t="s">
        <v>1173</v>
      </c>
      <c r="T79" t="s">
        <v>1067</v>
      </c>
      <c r="U79" t="s">
        <v>1174</v>
      </c>
      <c r="V79">
        <v>1</v>
      </c>
      <c r="W79" t="s">
        <v>944</v>
      </c>
      <c r="X79" t="s">
        <v>1175</v>
      </c>
      <c r="Y79">
        <v>0</v>
      </c>
      <c r="Z79">
        <v>-0.42669549703613902</v>
      </c>
      <c r="AA79">
        <v>-0.29025692751708199</v>
      </c>
      <c r="AB79">
        <v>-0.19935392503992599</v>
      </c>
      <c r="AC79">
        <v>-0.252909089056926</v>
      </c>
    </row>
    <row r="80" spans="1:29" x14ac:dyDescent="0.2">
      <c r="A80">
        <v>79</v>
      </c>
      <c r="B80" t="s">
        <v>244</v>
      </c>
      <c r="C80" t="s">
        <v>136</v>
      </c>
      <c r="D80" t="s">
        <v>142</v>
      </c>
      <c r="E80">
        <v>-0.149372114069069</v>
      </c>
      <c r="F80">
        <v>0.74650861718571704</v>
      </c>
      <c r="G80">
        <v>6.24830315384597E-3</v>
      </c>
      <c r="H80">
        <v>0.73634054546809602</v>
      </c>
      <c r="I80">
        <v>0.73009224231424996</v>
      </c>
      <c r="J80">
        <v>0.89588073125478596</v>
      </c>
      <c r="K80">
        <v>6.24830315384597E-3</v>
      </c>
      <c r="L80">
        <v>-0.149372114069069</v>
      </c>
      <c r="M80">
        <v>0.74026031403187098</v>
      </c>
      <c r="N80">
        <v>0.89588073125478596</v>
      </c>
      <c r="O80">
        <v>0.73009224231424996</v>
      </c>
      <c r="P80">
        <v>0.88571265953716505</v>
      </c>
      <c r="Q80" t="s">
        <v>1067</v>
      </c>
      <c r="R80" t="s">
        <v>1068</v>
      </c>
      <c r="S80" t="s">
        <v>1173</v>
      </c>
      <c r="T80" t="s">
        <v>1068</v>
      </c>
      <c r="U80" t="s">
        <v>944</v>
      </c>
      <c r="V80">
        <v>0</v>
      </c>
      <c r="W80" t="s">
        <v>944</v>
      </c>
      <c r="X80" t="s">
        <v>1175</v>
      </c>
      <c r="Y80">
        <v>1</v>
      </c>
      <c r="Z80">
        <v>0.54279585834417698</v>
      </c>
      <c r="AA80">
        <v>-0.23664405781928899</v>
      </c>
      <c r="AB80">
        <v>0.80483950323725595</v>
      </c>
      <c r="AC80">
        <v>-0.12376597184528799</v>
      </c>
    </row>
    <row r="81" spans="1:29" x14ac:dyDescent="0.2">
      <c r="A81">
        <v>80</v>
      </c>
      <c r="B81" t="s">
        <v>245</v>
      </c>
      <c r="C81" t="s">
        <v>136</v>
      </c>
      <c r="D81" t="s">
        <v>146</v>
      </c>
      <c r="E81">
        <v>-1.26056622321888E-2</v>
      </c>
      <c r="F81">
        <v>0.26665477884720201</v>
      </c>
      <c r="G81">
        <v>-1.0670769460516E-2</v>
      </c>
      <c r="H81">
        <v>0.13305806651503899</v>
      </c>
      <c r="I81">
        <v>0.143728835975555</v>
      </c>
      <c r="J81">
        <v>0.27926044107939102</v>
      </c>
      <c r="K81">
        <v>-1.0670769460516E-2</v>
      </c>
      <c r="L81">
        <v>-1.26056622321888E-2</v>
      </c>
      <c r="M81">
        <v>0.277325548307718</v>
      </c>
      <c r="N81">
        <v>0.27926044107939102</v>
      </c>
      <c r="O81">
        <v>0.143728835975555</v>
      </c>
      <c r="P81">
        <v>0.14566372874722799</v>
      </c>
      <c r="Q81" t="s">
        <v>1173</v>
      </c>
      <c r="R81" t="s">
        <v>1068</v>
      </c>
      <c r="S81" t="s">
        <v>1173</v>
      </c>
      <c r="T81" t="s">
        <v>1068</v>
      </c>
      <c r="U81" t="s">
        <v>944</v>
      </c>
      <c r="V81">
        <v>0</v>
      </c>
      <c r="W81" t="s">
        <v>944</v>
      </c>
      <c r="X81" t="s">
        <v>1175</v>
      </c>
      <c r="Y81">
        <v>1</v>
      </c>
      <c r="Z81">
        <v>-0.25750354472567</v>
      </c>
      <c r="AA81">
        <v>-0.27062057932174999</v>
      </c>
      <c r="AB81">
        <v>-0.224322277340536</v>
      </c>
      <c r="AC81">
        <v>-0.33535980666867099</v>
      </c>
    </row>
    <row r="82" spans="1:29" x14ac:dyDescent="0.2">
      <c r="A82">
        <v>81</v>
      </c>
      <c r="B82" t="s">
        <v>246</v>
      </c>
      <c r="C82" t="s">
        <v>136</v>
      </c>
      <c r="D82" t="s">
        <v>150</v>
      </c>
      <c r="E82">
        <v>-1.1555128337008599E-2</v>
      </c>
      <c r="F82">
        <v>0.26345308094446401</v>
      </c>
      <c r="G82">
        <v>2.8189892910165299E-3</v>
      </c>
      <c r="H82">
        <v>0.13203290044904301</v>
      </c>
      <c r="I82">
        <v>0.129213911158026</v>
      </c>
      <c r="J82">
        <v>0.27500820928147302</v>
      </c>
      <c r="K82">
        <v>2.8189892910165299E-3</v>
      </c>
      <c r="L82">
        <v>-1.1555128337008599E-2</v>
      </c>
      <c r="M82">
        <v>0.26063409165344698</v>
      </c>
      <c r="N82">
        <v>0.27500820928147302</v>
      </c>
      <c r="O82">
        <v>0.129213911158026</v>
      </c>
      <c r="P82">
        <v>0.14358802878605201</v>
      </c>
      <c r="Q82" t="s">
        <v>1173</v>
      </c>
      <c r="R82" t="s">
        <v>1068</v>
      </c>
      <c r="S82" t="s">
        <v>1173</v>
      </c>
      <c r="T82" t="s">
        <v>1068</v>
      </c>
      <c r="U82" t="s">
        <v>944</v>
      </c>
      <c r="V82">
        <v>0</v>
      </c>
      <c r="W82" t="s">
        <v>944</v>
      </c>
      <c r="X82" t="s">
        <v>1175</v>
      </c>
      <c r="Y82">
        <v>1</v>
      </c>
      <c r="Z82">
        <v>-0.34647707660183802</v>
      </c>
      <c r="AA82">
        <v>-0.30753343198989602</v>
      </c>
      <c r="AB82">
        <v>-0.22736986121883199</v>
      </c>
      <c r="AC82">
        <v>-0.33601435734271001</v>
      </c>
    </row>
    <row r="83" spans="1:29" x14ac:dyDescent="0.2">
      <c r="A83">
        <v>82</v>
      </c>
      <c r="B83" t="s">
        <v>247</v>
      </c>
      <c r="C83" t="s">
        <v>136</v>
      </c>
      <c r="D83" t="s">
        <v>156</v>
      </c>
      <c r="E83">
        <v>-0.160266065567264</v>
      </c>
      <c r="F83">
        <v>0.42373319570554702</v>
      </c>
      <c r="G83">
        <v>6.24830315384597E-3</v>
      </c>
      <c r="H83">
        <v>0.350064614779107</v>
      </c>
      <c r="I83">
        <v>0.343816311625261</v>
      </c>
      <c r="J83">
        <v>0.58399926127281099</v>
      </c>
      <c r="K83">
        <v>6.24830315384597E-3</v>
      </c>
      <c r="L83">
        <v>-0.160266065567264</v>
      </c>
      <c r="M83">
        <v>0.41748489255170101</v>
      </c>
      <c r="N83">
        <v>0.58399926127281099</v>
      </c>
      <c r="O83">
        <v>0.343816311625261</v>
      </c>
      <c r="P83">
        <v>0.51033068034637097</v>
      </c>
      <c r="Q83" t="s">
        <v>1067</v>
      </c>
      <c r="R83" t="s">
        <v>1068</v>
      </c>
      <c r="S83" t="s">
        <v>1173</v>
      </c>
      <c r="T83" t="s">
        <v>1068</v>
      </c>
      <c r="U83" t="s">
        <v>944</v>
      </c>
      <c r="V83">
        <v>0</v>
      </c>
      <c r="W83" t="s">
        <v>944</v>
      </c>
      <c r="X83" t="s">
        <v>1175</v>
      </c>
      <c r="Y83">
        <v>1</v>
      </c>
      <c r="Z83">
        <v>-0.39809537815028301</v>
      </c>
      <c r="AA83">
        <v>-0.35002806467141501</v>
      </c>
      <c r="AB83">
        <v>5.3601808505133498E-2</v>
      </c>
      <c r="AC83">
        <v>-0.21944640525426501</v>
      </c>
    </row>
    <row r="84" spans="1:29" x14ac:dyDescent="0.2">
      <c r="A84">
        <v>83</v>
      </c>
      <c r="B84" t="s">
        <v>248</v>
      </c>
      <c r="C84" t="s">
        <v>136</v>
      </c>
      <c r="D84" t="s">
        <v>158</v>
      </c>
      <c r="E84">
        <v>-0.38244436199732401</v>
      </c>
      <c r="F84">
        <v>-0.477702995678631</v>
      </c>
      <c r="G84">
        <v>3.7890678850599998E-3</v>
      </c>
      <c r="H84">
        <v>-0.64006833150003895</v>
      </c>
      <c r="I84">
        <v>-0.64385739938509901</v>
      </c>
      <c r="J84">
        <v>-9.5258633681307006E-2</v>
      </c>
      <c r="K84">
        <v>3.7890678850599998E-3</v>
      </c>
      <c r="L84">
        <v>-0.38244436199732401</v>
      </c>
      <c r="M84">
        <v>-0.48149206356369101</v>
      </c>
      <c r="N84">
        <v>-9.5258633681307006E-2</v>
      </c>
      <c r="O84">
        <v>-0.64385739938509901</v>
      </c>
      <c r="P84">
        <v>-0.25762396950271499</v>
      </c>
      <c r="Q84" t="s">
        <v>1067</v>
      </c>
      <c r="R84" t="s">
        <v>1067</v>
      </c>
      <c r="S84" t="s">
        <v>1173</v>
      </c>
      <c r="T84" t="s">
        <v>1067</v>
      </c>
      <c r="U84" t="s">
        <v>1174</v>
      </c>
      <c r="V84">
        <v>1</v>
      </c>
      <c r="W84" t="s">
        <v>944</v>
      </c>
      <c r="X84" t="s">
        <v>1175</v>
      </c>
      <c r="Y84">
        <v>0</v>
      </c>
      <c r="Z84">
        <v>-0.53523581117628705</v>
      </c>
      <c r="AA84">
        <v>-0.32641920897473298</v>
      </c>
      <c r="AB84">
        <v>-0.22954378933244499</v>
      </c>
      <c r="AC84">
        <v>-0.25501927260866197</v>
      </c>
    </row>
    <row r="85" spans="1:29" x14ac:dyDescent="0.2">
      <c r="A85">
        <v>84</v>
      </c>
      <c r="B85" t="s">
        <v>249</v>
      </c>
      <c r="C85" t="s">
        <v>136</v>
      </c>
      <c r="D85" t="s">
        <v>162</v>
      </c>
      <c r="E85">
        <v>-1.1555128337008599E-2</v>
      </c>
      <c r="F85">
        <v>0.26508710360519699</v>
      </c>
      <c r="G85">
        <v>2.4437613115931801E-3</v>
      </c>
      <c r="H85">
        <v>0.133522667516043</v>
      </c>
      <c r="I85">
        <v>0.13107890620445001</v>
      </c>
      <c r="J85">
        <v>0.276642231942206</v>
      </c>
      <c r="K85">
        <v>2.4437613115931801E-3</v>
      </c>
      <c r="L85">
        <v>-1.1555128337008599E-2</v>
      </c>
      <c r="M85">
        <v>0.26264334229360398</v>
      </c>
      <c r="N85">
        <v>0.276642231942206</v>
      </c>
      <c r="O85">
        <v>0.13107890620445001</v>
      </c>
      <c r="P85">
        <v>0.145077795853052</v>
      </c>
      <c r="Q85" t="s">
        <v>1173</v>
      </c>
      <c r="R85" t="s">
        <v>1068</v>
      </c>
      <c r="S85" t="s">
        <v>1173</v>
      </c>
      <c r="T85" t="s">
        <v>1068</v>
      </c>
      <c r="U85" t="s">
        <v>944</v>
      </c>
      <c r="V85">
        <v>0</v>
      </c>
      <c r="W85" t="s">
        <v>944</v>
      </c>
      <c r="X85" t="s">
        <v>1175</v>
      </c>
      <c r="Y85">
        <v>1</v>
      </c>
      <c r="Z85">
        <v>-0.32707887117187201</v>
      </c>
      <c r="AA85">
        <v>-0.29984283548026802</v>
      </c>
      <c r="AB85">
        <v>-0.22597729545901901</v>
      </c>
      <c r="AC85">
        <v>-0.33583228273647803</v>
      </c>
    </row>
    <row r="86" spans="1:29" x14ac:dyDescent="0.2">
      <c r="A86">
        <v>85</v>
      </c>
      <c r="B86" t="s">
        <v>250</v>
      </c>
      <c r="C86" t="s">
        <v>136</v>
      </c>
      <c r="D86" t="s">
        <v>168</v>
      </c>
      <c r="E86">
        <v>0.30783617085961201</v>
      </c>
      <c r="F86">
        <v>-1.8278651412498601E-2</v>
      </c>
      <c r="G86">
        <v>1.7263170626099899E-2</v>
      </c>
      <c r="H86">
        <v>-0.14197929725167399</v>
      </c>
      <c r="I86">
        <v>-0.15924246787777399</v>
      </c>
      <c r="J86">
        <v>-0.32611482227211103</v>
      </c>
      <c r="K86">
        <v>0.30783617085961201</v>
      </c>
      <c r="L86">
        <v>1.7263170626099899E-2</v>
      </c>
      <c r="M86">
        <v>-0.32611482227211103</v>
      </c>
      <c r="N86">
        <v>-3.55418220385985E-2</v>
      </c>
      <c r="O86">
        <v>-0.44981546811128598</v>
      </c>
      <c r="P86">
        <v>-0.15924246787777399</v>
      </c>
      <c r="Q86" t="s">
        <v>1068</v>
      </c>
      <c r="R86" t="s">
        <v>1173</v>
      </c>
      <c r="S86" t="s">
        <v>1173</v>
      </c>
      <c r="T86" t="s">
        <v>1067</v>
      </c>
      <c r="U86" t="s">
        <v>1174</v>
      </c>
      <c r="V86">
        <v>1</v>
      </c>
      <c r="W86" t="s">
        <v>1174</v>
      </c>
      <c r="X86" t="s">
        <v>1175</v>
      </c>
      <c r="Y86">
        <v>1</v>
      </c>
      <c r="Z86">
        <v>-0.535935364775876</v>
      </c>
      <c r="AA86">
        <v>-0.332683988921742</v>
      </c>
      <c r="AB86">
        <v>-0.22423088499734001</v>
      </c>
      <c r="AC86">
        <v>-0.26038683419543601</v>
      </c>
    </row>
    <row r="87" spans="1:29" x14ac:dyDescent="0.2">
      <c r="A87">
        <v>86</v>
      </c>
      <c r="B87" t="s">
        <v>251</v>
      </c>
      <c r="C87" t="s">
        <v>138</v>
      </c>
      <c r="D87" t="s">
        <v>130</v>
      </c>
      <c r="E87">
        <v>1.01832631870037E-2</v>
      </c>
      <c r="F87">
        <v>-0.125226904733856</v>
      </c>
      <c r="G87">
        <v>-0.11619134982589201</v>
      </c>
      <c r="H87">
        <v>-0.22021162211877399</v>
      </c>
      <c r="I87">
        <v>-0.10402027229288199</v>
      </c>
      <c r="J87">
        <v>-0.13541016792086</v>
      </c>
      <c r="K87">
        <v>1.01832631870037E-2</v>
      </c>
      <c r="L87">
        <v>-0.11619134982589201</v>
      </c>
      <c r="M87">
        <v>-0.13541016792086</v>
      </c>
      <c r="N87">
        <v>-9.0355549079640003E-3</v>
      </c>
      <c r="O87">
        <v>-0.23039488530577801</v>
      </c>
      <c r="P87">
        <v>-0.10402027229288199</v>
      </c>
      <c r="Q87" t="s">
        <v>1173</v>
      </c>
      <c r="R87" t="s">
        <v>1067</v>
      </c>
      <c r="S87" t="s">
        <v>1067</v>
      </c>
      <c r="T87" t="s">
        <v>1067</v>
      </c>
      <c r="U87" t="s">
        <v>1174</v>
      </c>
      <c r="V87">
        <v>1</v>
      </c>
      <c r="W87" t="s">
        <v>1174</v>
      </c>
      <c r="X87" t="s">
        <v>1175</v>
      </c>
      <c r="Y87">
        <v>1</v>
      </c>
      <c r="Z87">
        <v>0.62656749104022902</v>
      </c>
      <c r="AA87">
        <v>-9.5540276966776805E-2</v>
      </c>
      <c r="AB87">
        <v>0.42582162680336999</v>
      </c>
      <c r="AC87">
        <v>-0.25676107425171701</v>
      </c>
    </row>
    <row r="88" spans="1:29" x14ac:dyDescent="0.2">
      <c r="A88">
        <v>87</v>
      </c>
      <c r="B88" t="s">
        <v>252</v>
      </c>
      <c r="C88" t="s">
        <v>138</v>
      </c>
      <c r="D88" t="s">
        <v>132</v>
      </c>
      <c r="E88">
        <v>-7.9659118895318196E-2</v>
      </c>
      <c r="F88">
        <v>-1</v>
      </c>
      <c r="G88">
        <v>-5.5132056756908798E-2</v>
      </c>
      <c r="H88">
        <v>-1</v>
      </c>
      <c r="I88">
        <v>-0.94486794324309098</v>
      </c>
      <c r="J88">
        <v>-0.92034088110468204</v>
      </c>
      <c r="K88">
        <v>-5.5132056756908798E-2</v>
      </c>
      <c r="L88">
        <v>-7.9659118895318196E-2</v>
      </c>
      <c r="M88">
        <v>-0.94486794324309098</v>
      </c>
      <c r="N88">
        <v>-0.92034088110468204</v>
      </c>
      <c r="O88">
        <v>-0.94486794324309098</v>
      </c>
      <c r="P88">
        <v>-0.92034088110468204</v>
      </c>
      <c r="Q88" t="s">
        <v>1173</v>
      </c>
      <c r="R88" t="s">
        <v>1067</v>
      </c>
      <c r="S88" t="s">
        <v>1173</v>
      </c>
      <c r="T88" t="s">
        <v>1067</v>
      </c>
      <c r="U88" t="s">
        <v>1174</v>
      </c>
      <c r="V88">
        <v>1</v>
      </c>
      <c r="W88" t="s">
        <v>944</v>
      </c>
      <c r="X88" t="s">
        <v>1175</v>
      </c>
      <c r="Y88">
        <v>1</v>
      </c>
      <c r="Z88">
        <v>0.35681856488944602</v>
      </c>
      <c r="AA88">
        <v>-0.165283798173045</v>
      </c>
      <c r="AB88">
        <v>0.46731812264837302</v>
      </c>
      <c r="AC88">
        <v>-0.17548541826840899</v>
      </c>
    </row>
    <row r="89" spans="1:29" x14ac:dyDescent="0.2">
      <c r="A89">
        <v>88</v>
      </c>
      <c r="B89" t="s">
        <v>253</v>
      </c>
      <c r="C89" t="s">
        <v>138</v>
      </c>
      <c r="D89" t="s">
        <v>134</v>
      </c>
      <c r="E89">
        <v>9.7401134038396703E-2</v>
      </c>
      <c r="F89">
        <v>9.0592947601942794E-2</v>
      </c>
      <c r="G89">
        <v>1.34809517054771E-2</v>
      </c>
      <c r="H89">
        <v>-5.50159247392931E-2</v>
      </c>
      <c r="I89">
        <v>-6.8496876444770205E-2</v>
      </c>
      <c r="J89">
        <v>-6.8081864364539103E-3</v>
      </c>
      <c r="K89">
        <v>9.7401134038396703E-2</v>
      </c>
      <c r="L89">
        <v>1.34809517054771E-2</v>
      </c>
      <c r="M89">
        <v>-6.8081864364539103E-3</v>
      </c>
      <c r="N89">
        <v>7.7111995896465696E-2</v>
      </c>
      <c r="O89">
        <v>-0.15241705877768999</v>
      </c>
      <c r="P89">
        <v>-6.8496876444770205E-2</v>
      </c>
      <c r="Q89" t="s">
        <v>1173</v>
      </c>
      <c r="R89" t="s">
        <v>1173</v>
      </c>
      <c r="S89" t="s">
        <v>1173</v>
      </c>
      <c r="T89" t="s">
        <v>1173</v>
      </c>
      <c r="U89" t="s">
        <v>1174</v>
      </c>
      <c r="V89">
        <v>1</v>
      </c>
      <c r="W89" t="s">
        <v>944</v>
      </c>
      <c r="X89" t="s">
        <v>1175</v>
      </c>
      <c r="Y89">
        <v>0</v>
      </c>
      <c r="Z89">
        <v>0.48996411711722099</v>
      </c>
      <c r="AA89">
        <v>-0.18498249417873999</v>
      </c>
      <c r="AB89">
        <v>0.54845943859084401</v>
      </c>
      <c r="AC89">
        <v>-0.23268379305708201</v>
      </c>
    </row>
    <row r="90" spans="1:29" x14ac:dyDescent="0.2">
      <c r="A90">
        <v>89</v>
      </c>
      <c r="B90" t="s">
        <v>254</v>
      </c>
      <c r="C90" t="s">
        <v>138</v>
      </c>
      <c r="D90" t="s">
        <v>136</v>
      </c>
      <c r="E90">
        <v>-0.120143346097666</v>
      </c>
      <c r="F90">
        <v>0.208583935615684</v>
      </c>
      <c r="G90">
        <v>1.3480951620689E-2</v>
      </c>
      <c r="H90">
        <v>0.130067320907261</v>
      </c>
      <c r="I90">
        <v>0.116586369286572</v>
      </c>
      <c r="J90">
        <v>0.32872728171334997</v>
      </c>
      <c r="K90">
        <v>1.3480951620689E-2</v>
      </c>
      <c r="L90">
        <v>-0.120143346097666</v>
      </c>
      <c r="M90">
        <v>0.19510298399499501</v>
      </c>
      <c r="N90">
        <v>0.32872728171334997</v>
      </c>
      <c r="O90">
        <v>0.116586369286572</v>
      </c>
      <c r="P90">
        <v>0.250210667004927</v>
      </c>
      <c r="Q90" t="s">
        <v>1067</v>
      </c>
      <c r="R90" t="s">
        <v>1068</v>
      </c>
      <c r="S90" t="s">
        <v>1173</v>
      </c>
      <c r="T90" t="s">
        <v>1068</v>
      </c>
      <c r="U90" t="s">
        <v>944</v>
      </c>
      <c r="V90">
        <v>0</v>
      </c>
      <c r="W90" t="s">
        <v>944</v>
      </c>
      <c r="X90" t="s">
        <v>1175</v>
      </c>
      <c r="Y90">
        <v>1</v>
      </c>
      <c r="Z90">
        <v>0.41127323799030602</v>
      </c>
      <c r="AA90">
        <v>-0.194465298175691</v>
      </c>
      <c r="AB90">
        <v>0.66026105649950895</v>
      </c>
      <c r="AC90">
        <v>-0.146378373077339</v>
      </c>
    </row>
    <row r="91" spans="1:29" x14ac:dyDescent="0.2">
      <c r="A91">
        <v>90</v>
      </c>
      <c r="B91" t="s">
        <v>255</v>
      </c>
      <c r="C91" t="s">
        <v>138</v>
      </c>
      <c r="D91" t="s">
        <v>140</v>
      </c>
      <c r="E91">
        <v>-0.118032070173047</v>
      </c>
      <c r="F91">
        <v>0.29614079024617601</v>
      </c>
      <c r="G91">
        <v>-0.149584886590275</v>
      </c>
      <c r="H91">
        <v>0.24942434547188999</v>
      </c>
      <c r="I91">
        <v>0.39900923206216499</v>
      </c>
      <c r="J91">
        <v>0.41417286041922302</v>
      </c>
      <c r="K91">
        <v>-0.118032070173047</v>
      </c>
      <c r="L91">
        <v>-0.149584886590275</v>
      </c>
      <c r="M91">
        <v>0.41417286041922302</v>
      </c>
      <c r="N91">
        <v>0.44572567683645098</v>
      </c>
      <c r="O91">
        <v>0.36745641564493697</v>
      </c>
      <c r="P91">
        <v>0.39900923206216499</v>
      </c>
      <c r="Q91" t="s">
        <v>1067</v>
      </c>
      <c r="R91" t="s">
        <v>1068</v>
      </c>
      <c r="S91" t="s">
        <v>1067</v>
      </c>
      <c r="T91" t="s">
        <v>1068</v>
      </c>
      <c r="U91" t="s">
        <v>944</v>
      </c>
      <c r="V91">
        <v>0</v>
      </c>
      <c r="W91" t="s">
        <v>944</v>
      </c>
      <c r="X91" t="s">
        <v>1175</v>
      </c>
      <c r="Y91">
        <v>1</v>
      </c>
      <c r="Z91">
        <v>0.42383731066816399</v>
      </c>
      <c r="AA91">
        <v>-0.129733586624139</v>
      </c>
      <c r="AB91">
        <v>0.45292556613190699</v>
      </c>
      <c r="AC91">
        <v>-0.173802558315508</v>
      </c>
    </row>
    <row r="92" spans="1:29" x14ac:dyDescent="0.2">
      <c r="A92">
        <v>91</v>
      </c>
      <c r="B92" t="s">
        <v>256</v>
      </c>
      <c r="C92" t="s">
        <v>138</v>
      </c>
      <c r="D92" t="s">
        <v>142</v>
      </c>
      <c r="E92">
        <v>0.96655386511783603</v>
      </c>
      <c r="F92">
        <v>0.98846359022855401</v>
      </c>
      <c r="G92">
        <v>1.34809517054771E-2</v>
      </c>
      <c r="H92">
        <v>0.87855345055634304</v>
      </c>
      <c r="I92">
        <v>0.86507249885086601</v>
      </c>
      <c r="J92">
        <v>2.1909725110717999E-2</v>
      </c>
      <c r="K92">
        <v>0.96655386511783603</v>
      </c>
      <c r="L92">
        <v>1.34809517054771E-2</v>
      </c>
      <c r="M92">
        <v>2.1909725110717999E-2</v>
      </c>
      <c r="N92">
        <v>0.97498263852307698</v>
      </c>
      <c r="O92">
        <v>-8.8000414561493004E-2</v>
      </c>
      <c r="P92">
        <v>0.86507249885086601</v>
      </c>
      <c r="Q92" t="s">
        <v>1068</v>
      </c>
      <c r="R92" t="s">
        <v>1068</v>
      </c>
      <c r="S92" t="s">
        <v>1173</v>
      </c>
      <c r="T92" t="s">
        <v>1068</v>
      </c>
      <c r="U92" t="s">
        <v>944</v>
      </c>
      <c r="V92">
        <v>0</v>
      </c>
      <c r="W92" t="s">
        <v>944</v>
      </c>
      <c r="X92" t="s">
        <v>1175</v>
      </c>
      <c r="Y92">
        <v>0</v>
      </c>
      <c r="Z92">
        <v>1.39332866604848</v>
      </c>
      <c r="AA92">
        <v>-7.6120716926346504E-2</v>
      </c>
      <c r="AB92">
        <v>1.4571189944090901</v>
      </c>
      <c r="AC92">
        <v>-4.4659441103869997E-2</v>
      </c>
    </row>
    <row r="93" spans="1:29" x14ac:dyDescent="0.2">
      <c r="A93">
        <v>92</v>
      </c>
      <c r="B93" t="s">
        <v>257</v>
      </c>
      <c r="C93" t="s">
        <v>138</v>
      </c>
      <c r="D93" t="s">
        <v>144</v>
      </c>
      <c r="E93">
        <v>1.32488748873444E-2</v>
      </c>
      <c r="F93">
        <v>-0.14061915721215901</v>
      </c>
      <c r="G93">
        <v>1.52676371106056E-2</v>
      </c>
      <c r="H93">
        <v>-0.24881996988351701</v>
      </c>
      <c r="I93">
        <v>-0.26408760699412298</v>
      </c>
      <c r="J93">
        <v>-0.153868032099503</v>
      </c>
      <c r="K93">
        <v>1.52676371106056E-2</v>
      </c>
      <c r="L93">
        <v>1.32488748873444E-2</v>
      </c>
      <c r="M93">
        <v>-0.155886794322765</v>
      </c>
      <c r="N93">
        <v>-0.153868032099503</v>
      </c>
      <c r="O93">
        <v>-0.26408760699412298</v>
      </c>
      <c r="P93">
        <v>-0.26206884477086101</v>
      </c>
      <c r="Q93" t="s">
        <v>1173</v>
      </c>
      <c r="R93" t="s">
        <v>1067</v>
      </c>
      <c r="S93" t="s">
        <v>1173</v>
      </c>
      <c r="T93" t="s">
        <v>1067</v>
      </c>
      <c r="U93" t="s">
        <v>1174</v>
      </c>
      <c r="V93">
        <v>1</v>
      </c>
      <c r="W93" t="s">
        <v>1174</v>
      </c>
      <c r="X93" t="s">
        <v>1175</v>
      </c>
      <c r="Y93">
        <v>1</v>
      </c>
      <c r="Z93">
        <v>0.56602297126722001</v>
      </c>
      <c r="AA93">
        <v>-0.17580556086214799</v>
      </c>
      <c r="AB93">
        <v>0.60955300914394495</v>
      </c>
      <c r="AC93">
        <v>-0.232766151191969</v>
      </c>
    </row>
    <row r="94" spans="1:29" x14ac:dyDescent="0.2">
      <c r="A94">
        <v>93</v>
      </c>
      <c r="B94" t="s">
        <v>258</v>
      </c>
      <c r="C94" t="s">
        <v>138</v>
      </c>
      <c r="D94" t="s">
        <v>146</v>
      </c>
      <c r="E94">
        <v>9.0703373679183307E-3</v>
      </c>
      <c r="F94">
        <v>-0.21223961908494901</v>
      </c>
      <c r="G94">
        <v>-0.10970337407356701</v>
      </c>
      <c r="H94">
        <v>-0.35630096394010002</v>
      </c>
      <c r="I94">
        <v>-0.24659758986653299</v>
      </c>
      <c r="J94">
        <v>-0.221309956452867</v>
      </c>
      <c r="K94">
        <v>9.0703373679183307E-3</v>
      </c>
      <c r="L94">
        <v>-0.10970337407356701</v>
      </c>
      <c r="M94">
        <v>-0.221309956452867</v>
      </c>
      <c r="N94">
        <v>-0.102536245011382</v>
      </c>
      <c r="O94">
        <v>-0.36537130130801798</v>
      </c>
      <c r="P94">
        <v>-0.24659758986653299</v>
      </c>
      <c r="Q94" t="s">
        <v>1173</v>
      </c>
      <c r="R94" t="s">
        <v>1067</v>
      </c>
      <c r="S94" t="s">
        <v>1067</v>
      </c>
      <c r="T94" t="s">
        <v>1067</v>
      </c>
      <c r="U94" t="s">
        <v>1174</v>
      </c>
      <c r="V94">
        <v>1</v>
      </c>
      <c r="W94" t="s">
        <v>1174</v>
      </c>
      <c r="X94" t="s">
        <v>1175</v>
      </c>
      <c r="Y94">
        <v>1</v>
      </c>
      <c r="Z94">
        <v>0.59302926297863201</v>
      </c>
      <c r="AA94">
        <v>-0.110097238428808</v>
      </c>
      <c r="AB94">
        <v>0.42795721383129698</v>
      </c>
      <c r="AC94">
        <v>-0.256253275927253</v>
      </c>
    </row>
    <row r="95" spans="1:29" x14ac:dyDescent="0.2">
      <c r="A95">
        <v>94</v>
      </c>
      <c r="B95" t="s">
        <v>259</v>
      </c>
      <c r="C95" t="s">
        <v>138</v>
      </c>
      <c r="D95" t="s">
        <v>148</v>
      </c>
      <c r="E95">
        <v>-0.64589754797510202</v>
      </c>
      <c r="F95">
        <v>0.20489732466333799</v>
      </c>
      <c r="G95">
        <v>1.3523073889467699E-2</v>
      </c>
      <c r="H95">
        <v>1.55408953025653E-2</v>
      </c>
      <c r="I95">
        <v>2.0178214130975999E-3</v>
      </c>
      <c r="J95">
        <v>0.85079487263844</v>
      </c>
      <c r="K95">
        <v>1.3523073889467699E-2</v>
      </c>
      <c r="L95">
        <v>-0.64589754797510202</v>
      </c>
      <c r="M95">
        <v>0.19137425077386999</v>
      </c>
      <c r="N95">
        <v>0.85079487263844</v>
      </c>
      <c r="O95">
        <v>2.0178214130975999E-3</v>
      </c>
      <c r="P95">
        <v>0.66143844327766699</v>
      </c>
      <c r="Q95" t="s">
        <v>1067</v>
      </c>
      <c r="R95" t="s">
        <v>1068</v>
      </c>
      <c r="S95" t="s">
        <v>1173</v>
      </c>
      <c r="T95" t="s">
        <v>1173</v>
      </c>
      <c r="U95" t="s">
        <v>944</v>
      </c>
      <c r="V95">
        <v>0</v>
      </c>
      <c r="W95" t="s">
        <v>944</v>
      </c>
      <c r="X95" t="s">
        <v>1175</v>
      </c>
      <c r="Y95">
        <v>1</v>
      </c>
      <c r="Z95">
        <v>0.233705982788877</v>
      </c>
      <c r="AA95">
        <v>-0.21586984923239</v>
      </c>
      <c r="AB95">
        <v>0.46866079497417301</v>
      </c>
      <c r="AC95">
        <v>-0.17318471015564799</v>
      </c>
    </row>
    <row r="96" spans="1:29" x14ac:dyDescent="0.2">
      <c r="A96">
        <v>95</v>
      </c>
      <c r="B96" t="s">
        <v>260</v>
      </c>
      <c r="C96" t="s">
        <v>138</v>
      </c>
      <c r="D96" t="s">
        <v>150</v>
      </c>
      <c r="E96">
        <v>1.03242556252774E-2</v>
      </c>
      <c r="F96">
        <v>-0.31796930658556799</v>
      </c>
      <c r="G96">
        <v>-0.30652860138246502</v>
      </c>
      <c r="H96">
        <v>-0.51223045315202498</v>
      </c>
      <c r="I96">
        <v>-0.20570185176955999</v>
      </c>
      <c r="J96">
        <v>-0.32829356221084499</v>
      </c>
      <c r="K96">
        <v>1.03242556252774E-2</v>
      </c>
      <c r="L96">
        <v>-0.30652860138246502</v>
      </c>
      <c r="M96">
        <v>-0.32829356221084499</v>
      </c>
      <c r="N96">
        <v>-1.1440705203103E-2</v>
      </c>
      <c r="O96">
        <v>-0.52255470877730203</v>
      </c>
      <c r="P96">
        <v>-0.20570185176955999</v>
      </c>
      <c r="Q96" t="s">
        <v>1173</v>
      </c>
      <c r="R96" t="s">
        <v>1067</v>
      </c>
      <c r="S96" t="s">
        <v>1067</v>
      </c>
      <c r="T96" t="s">
        <v>1067</v>
      </c>
      <c r="U96" t="s">
        <v>1174</v>
      </c>
      <c r="V96">
        <v>1</v>
      </c>
      <c r="W96" t="s">
        <v>1174</v>
      </c>
      <c r="X96" t="s">
        <v>1175</v>
      </c>
      <c r="Y96">
        <v>1</v>
      </c>
      <c r="Z96">
        <v>0.50405573110246504</v>
      </c>
      <c r="AA96">
        <v>-0.14701009109695301</v>
      </c>
      <c r="AB96">
        <v>0.42490962995300102</v>
      </c>
      <c r="AC96">
        <v>-0.25690782660129202</v>
      </c>
    </row>
    <row r="97" spans="1:29" x14ac:dyDescent="0.2">
      <c r="A97">
        <v>96</v>
      </c>
      <c r="B97" t="s">
        <v>261</v>
      </c>
      <c r="C97" t="s">
        <v>138</v>
      </c>
      <c r="D97" t="s">
        <v>152</v>
      </c>
      <c r="E97">
        <v>0.96653023014233197</v>
      </c>
      <c r="F97">
        <v>0.98845537900812397</v>
      </c>
      <c r="G97">
        <v>1.34809517054771E-2</v>
      </c>
      <c r="H97">
        <v>0.87855973381001795</v>
      </c>
      <c r="I97">
        <v>0.86507878210454103</v>
      </c>
      <c r="J97">
        <v>2.1925148865791999E-2</v>
      </c>
      <c r="K97">
        <v>0.96653023014233197</v>
      </c>
      <c r="L97">
        <v>1.34809517054771E-2</v>
      </c>
      <c r="M97">
        <v>2.1925148865791999E-2</v>
      </c>
      <c r="N97">
        <v>0.97497442730264705</v>
      </c>
      <c r="O97">
        <v>-8.7970496332314005E-2</v>
      </c>
      <c r="P97">
        <v>0.86507878210454103</v>
      </c>
      <c r="Q97" t="s">
        <v>1068</v>
      </c>
      <c r="R97" t="s">
        <v>1068</v>
      </c>
      <c r="S97" t="s">
        <v>1173</v>
      </c>
      <c r="T97" t="s">
        <v>1068</v>
      </c>
      <c r="U97" t="s">
        <v>944</v>
      </c>
      <c r="V97">
        <v>0</v>
      </c>
      <c r="W97" t="s">
        <v>944</v>
      </c>
      <c r="X97" t="s">
        <v>1175</v>
      </c>
      <c r="Y97">
        <v>0</v>
      </c>
      <c r="Z97">
        <v>1.3934559112254099</v>
      </c>
      <c r="AA97">
        <v>-7.6105382988210499E-2</v>
      </c>
      <c r="AB97">
        <v>1.45742892590995</v>
      </c>
      <c r="AC97">
        <v>-4.46584203164875E-2</v>
      </c>
    </row>
    <row r="98" spans="1:29" x14ac:dyDescent="0.2">
      <c r="A98">
        <v>97</v>
      </c>
      <c r="B98" t="s">
        <v>262</v>
      </c>
      <c r="C98" t="s">
        <v>138</v>
      </c>
      <c r="D98" t="s">
        <v>154</v>
      </c>
      <c r="E98">
        <v>0.94404289572536504</v>
      </c>
      <c r="F98">
        <v>0.67156989253841504</v>
      </c>
      <c r="G98">
        <v>0.79991183897924301</v>
      </c>
      <c r="H98">
        <v>0.52165865324456995</v>
      </c>
      <c r="I98">
        <v>-0.278253185734673</v>
      </c>
      <c r="J98">
        <v>-0.27247300318695</v>
      </c>
      <c r="K98">
        <v>0.94404289572536504</v>
      </c>
      <c r="L98">
        <v>0.79991183897924301</v>
      </c>
      <c r="M98">
        <v>-0.27247300318695</v>
      </c>
      <c r="N98">
        <v>-0.128341946440828</v>
      </c>
      <c r="O98">
        <v>-0.42238424248079498</v>
      </c>
      <c r="P98">
        <v>-0.278253185734673</v>
      </c>
      <c r="Q98" t="s">
        <v>1068</v>
      </c>
      <c r="R98" t="s">
        <v>1068</v>
      </c>
      <c r="S98" t="s">
        <v>1068</v>
      </c>
      <c r="T98" t="s">
        <v>1068</v>
      </c>
      <c r="U98" t="s">
        <v>1174</v>
      </c>
      <c r="V98">
        <v>1</v>
      </c>
      <c r="W98" t="s">
        <v>944</v>
      </c>
      <c r="X98" t="s">
        <v>1175</v>
      </c>
      <c r="Y98">
        <v>1</v>
      </c>
      <c r="Z98">
        <v>0.32141758312389601</v>
      </c>
      <c r="AA98">
        <v>-0.164714651317306</v>
      </c>
      <c r="AB98">
        <v>0.42920283059765801</v>
      </c>
      <c r="AC98">
        <v>-0.17509752489234301</v>
      </c>
    </row>
    <row r="99" spans="1:29" x14ac:dyDescent="0.2">
      <c r="A99">
        <v>98</v>
      </c>
      <c r="B99" t="s">
        <v>263</v>
      </c>
      <c r="C99" t="s">
        <v>138</v>
      </c>
      <c r="D99" t="s">
        <v>156</v>
      </c>
      <c r="E99">
        <v>-0.118400018986833</v>
      </c>
      <c r="F99">
        <v>9.7172015745084495E-2</v>
      </c>
      <c r="G99">
        <v>1.34809517054771E-2</v>
      </c>
      <c r="H99">
        <v>-2.07788377993211E-2</v>
      </c>
      <c r="I99">
        <v>-3.4259789504798202E-2</v>
      </c>
      <c r="J99">
        <v>0.21557203473191699</v>
      </c>
      <c r="K99">
        <v>1.34809517054771E-2</v>
      </c>
      <c r="L99">
        <v>-0.118400018986833</v>
      </c>
      <c r="M99">
        <v>8.3691064039607396E-2</v>
      </c>
      <c r="N99">
        <v>0.21557203473191699</v>
      </c>
      <c r="O99">
        <v>-3.4259789504798202E-2</v>
      </c>
      <c r="P99">
        <v>9.7621181187511896E-2</v>
      </c>
      <c r="Q99" t="s">
        <v>1067</v>
      </c>
      <c r="R99" t="s">
        <v>1173</v>
      </c>
      <c r="S99" t="s">
        <v>1173</v>
      </c>
      <c r="T99" t="s">
        <v>1173</v>
      </c>
      <c r="U99" t="s">
        <v>944</v>
      </c>
      <c r="V99">
        <v>1</v>
      </c>
      <c r="W99" t="s">
        <v>944</v>
      </c>
      <c r="X99" t="s">
        <v>1175</v>
      </c>
      <c r="Y99">
        <v>1</v>
      </c>
      <c r="Z99">
        <v>0.45243742955402</v>
      </c>
      <c r="AA99">
        <v>-0.189504723778472</v>
      </c>
      <c r="AB99">
        <v>0.705881299676966</v>
      </c>
      <c r="AC99">
        <v>-0.14033987451284699</v>
      </c>
    </row>
    <row r="100" spans="1:29" x14ac:dyDescent="0.2">
      <c r="A100">
        <v>99</v>
      </c>
      <c r="B100" t="s">
        <v>264</v>
      </c>
      <c r="C100" t="s">
        <v>138</v>
      </c>
      <c r="D100" t="s">
        <v>158</v>
      </c>
      <c r="E100">
        <v>-0.57568769271558196</v>
      </c>
      <c r="F100">
        <v>0.53827096184300405</v>
      </c>
      <c r="G100">
        <v>-0.351933733844076</v>
      </c>
      <c r="H100">
        <v>0.45598677514040298</v>
      </c>
      <c r="I100">
        <v>0.80792050898447898</v>
      </c>
      <c r="J100">
        <v>1.11395865455859</v>
      </c>
      <c r="K100">
        <v>-0.351933733844076</v>
      </c>
      <c r="L100">
        <v>-0.57568769271558196</v>
      </c>
      <c r="M100">
        <v>0.89020469568708005</v>
      </c>
      <c r="N100">
        <v>1.11395865455859</v>
      </c>
      <c r="O100">
        <v>0.80792050898447898</v>
      </c>
      <c r="P100">
        <v>1.0316744678559799</v>
      </c>
      <c r="Q100" t="s">
        <v>1067</v>
      </c>
      <c r="R100" t="s">
        <v>1068</v>
      </c>
      <c r="S100" t="s">
        <v>1067</v>
      </c>
      <c r="T100" t="s">
        <v>1068</v>
      </c>
      <c r="U100" t="s">
        <v>944</v>
      </c>
      <c r="V100">
        <v>0</v>
      </c>
      <c r="W100" t="s">
        <v>944</v>
      </c>
      <c r="X100" t="s">
        <v>1175</v>
      </c>
      <c r="Y100">
        <v>1</v>
      </c>
      <c r="Z100">
        <v>0.31529699652801502</v>
      </c>
      <c r="AA100">
        <v>-0.16589586808178999</v>
      </c>
      <c r="AB100">
        <v>0.42273570183938802</v>
      </c>
      <c r="AC100">
        <v>-0.17591274186724401</v>
      </c>
    </row>
    <row r="101" spans="1:29" x14ac:dyDescent="0.2">
      <c r="A101">
        <v>100</v>
      </c>
      <c r="B101" t="s">
        <v>265</v>
      </c>
      <c r="C101" t="s">
        <v>138</v>
      </c>
      <c r="D101" t="s">
        <v>160</v>
      </c>
      <c r="E101">
        <v>-0.115943920916422</v>
      </c>
      <c r="F101">
        <v>-3.60707582432193E-2</v>
      </c>
      <c r="G101">
        <v>1.2103066641075201E-2</v>
      </c>
      <c r="H101">
        <v>-0.16402682280279501</v>
      </c>
      <c r="I101">
        <v>-0.17612988944387001</v>
      </c>
      <c r="J101">
        <v>7.9873162673202699E-2</v>
      </c>
      <c r="K101">
        <v>1.2103066641075201E-2</v>
      </c>
      <c r="L101">
        <v>-0.115943920916422</v>
      </c>
      <c r="M101">
        <v>-4.8173824884294503E-2</v>
      </c>
      <c r="N101">
        <v>7.9873162673202699E-2</v>
      </c>
      <c r="O101">
        <v>-0.17612988944387001</v>
      </c>
      <c r="P101">
        <v>-4.8082901886373E-2</v>
      </c>
      <c r="Q101" t="s">
        <v>1067</v>
      </c>
      <c r="R101" t="s">
        <v>1173</v>
      </c>
      <c r="S101" t="s">
        <v>1173</v>
      </c>
      <c r="T101" t="s">
        <v>1067</v>
      </c>
      <c r="U101" t="s">
        <v>944</v>
      </c>
      <c r="V101">
        <v>1</v>
      </c>
      <c r="W101" t="s">
        <v>944</v>
      </c>
      <c r="X101" t="s">
        <v>1175</v>
      </c>
      <c r="Y101">
        <v>0</v>
      </c>
      <c r="Z101">
        <v>0.41371202260276202</v>
      </c>
      <c r="AA101">
        <v>-0.19395650342540299</v>
      </c>
      <c r="AB101">
        <v>0.66100836068553004</v>
      </c>
      <c r="AC101">
        <v>-0.14668697909564901</v>
      </c>
    </row>
    <row r="102" spans="1:29" x14ac:dyDescent="0.2">
      <c r="A102">
        <v>101</v>
      </c>
      <c r="B102" t="s">
        <v>266</v>
      </c>
      <c r="C102" t="s">
        <v>138</v>
      </c>
      <c r="D102" t="s">
        <v>162</v>
      </c>
      <c r="E102">
        <v>1.03242556252774E-2</v>
      </c>
      <c r="F102">
        <v>-0.33556480704356301</v>
      </c>
      <c r="G102">
        <v>-0.32003503532779098</v>
      </c>
      <c r="H102">
        <v>-0.48438394059371898</v>
      </c>
      <c r="I102">
        <v>-0.16434890526592799</v>
      </c>
      <c r="J102">
        <v>-0.34588906266884001</v>
      </c>
      <c r="K102">
        <v>1.03242556252774E-2</v>
      </c>
      <c r="L102">
        <v>-0.32003503532779098</v>
      </c>
      <c r="M102">
        <v>-0.34588906266884001</v>
      </c>
      <c r="N102">
        <v>-1.5529771715772E-2</v>
      </c>
      <c r="O102">
        <v>-0.49470819621899598</v>
      </c>
      <c r="P102">
        <v>-0.16434890526592799</v>
      </c>
      <c r="Q102" t="s">
        <v>1173</v>
      </c>
      <c r="R102" t="s">
        <v>1067</v>
      </c>
      <c r="S102" t="s">
        <v>1067</v>
      </c>
      <c r="T102" t="s">
        <v>1067</v>
      </c>
      <c r="U102" t="s">
        <v>1174</v>
      </c>
      <c r="V102">
        <v>1</v>
      </c>
      <c r="W102" t="s">
        <v>1174</v>
      </c>
      <c r="X102" t="s">
        <v>1175</v>
      </c>
      <c r="Y102">
        <v>1</v>
      </c>
      <c r="Z102">
        <v>0.523453936532431</v>
      </c>
      <c r="AA102">
        <v>-0.13931949458732601</v>
      </c>
      <c r="AB102">
        <v>0.42630219571281402</v>
      </c>
      <c r="AC102">
        <v>-0.25672575199505998</v>
      </c>
    </row>
    <row r="103" spans="1:29" x14ac:dyDescent="0.2">
      <c r="A103">
        <v>102</v>
      </c>
      <c r="B103" t="s">
        <v>267</v>
      </c>
      <c r="C103" t="s">
        <v>138</v>
      </c>
      <c r="D103" t="s">
        <v>164</v>
      </c>
      <c r="E103">
        <v>-8.1115125047237904E-2</v>
      </c>
      <c r="F103">
        <v>0.21398688912876099</v>
      </c>
      <c r="G103">
        <v>-6.6200493744643304E-2</v>
      </c>
      <c r="H103">
        <v>0.10757919255602499</v>
      </c>
      <c r="I103">
        <v>0.17377968630066801</v>
      </c>
      <c r="J103">
        <v>0.29510201417599902</v>
      </c>
      <c r="K103">
        <v>-6.6200493744643304E-2</v>
      </c>
      <c r="L103">
        <v>-8.1115125047237904E-2</v>
      </c>
      <c r="M103">
        <v>0.280187382873404</v>
      </c>
      <c r="N103">
        <v>0.29510201417599902</v>
      </c>
      <c r="O103">
        <v>0.17377968630066801</v>
      </c>
      <c r="P103">
        <v>0.188694317603263</v>
      </c>
      <c r="Q103" t="s">
        <v>1173</v>
      </c>
      <c r="R103" t="s">
        <v>1068</v>
      </c>
      <c r="S103" t="s">
        <v>1173</v>
      </c>
      <c r="T103" t="s">
        <v>1068</v>
      </c>
      <c r="U103" t="s">
        <v>944</v>
      </c>
      <c r="V103">
        <v>0</v>
      </c>
      <c r="W103" t="s">
        <v>944</v>
      </c>
      <c r="X103" t="s">
        <v>1175</v>
      </c>
      <c r="Y103">
        <v>1</v>
      </c>
      <c r="Z103">
        <v>0.64353814116832098</v>
      </c>
      <c r="AA103">
        <v>-0.155044963666814</v>
      </c>
      <c r="AB103">
        <v>0.86098755104769398</v>
      </c>
      <c r="AC103">
        <v>-0.123529252586298</v>
      </c>
    </row>
    <row r="104" spans="1:29" x14ac:dyDescent="0.2">
      <c r="A104">
        <v>103</v>
      </c>
      <c r="B104" t="s">
        <v>268</v>
      </c>
      <c r="C104" t="s">
        <v>138</v>
      </c>
      <c r="D104" t="s">
        <v>166</v>
      </c>
      <c r="E104">
        <v>1.03242556252774E-2</v>
      </c>
      <c r="F104">
        <v>-6.4030955886250601E-2</v>
      </c>
      <c r="G104">
        <v>1.3523073889467699E-2</v>
      </c>
      <c r="H104">
        <v>-0.13190721803175801</v>
      </c>
      <c r="I104">
        <v>-0.145430291921226</v>
      </c>
      <c r="J104">
        <v>-7.4355211511528005E-2</v>
      </c>
      <c r="K104">
        <v>1.3523073889467699E-2</v>
      </c>
      <c r="L104">
        <v>1.03242556252774E-2</v>
      </c>
      <c r="M104">
        <v>-7.7554029775718306E-2</v>
      </c>
      <c r="N104">
        <v>-7.4355211511528005E-2</v>
      </c>
      <c r="O104">
        <v>-0.145430291921226</v>
      </c>
      <c r="P104">
        <v>-0.14223147365703501</v>
      </c>
      <c r="Q104" t="s">
        <v>1173</v>
      </c>
      <c r="R104" t="s">
        <v>1173</v>
      </c>
      <c r="S104" t="s">
        <v>1173</v>
      </c>
      <c r="T104" t="s">
        <v>1067</v>
      </c>
      <c r="U104" t="s">
        <v>1174</v>
      </c>
      <c r="V104">
        <v>1</v>
      </c>
      <c r="W104" t="s">
        <v>1174</v>
      </c>
      <c r="X104" t="s">
        <v>1175</v>
      </c>
      <c r="Y104">
        <v>0</v>
      </c>
      <c r="Z104">
        <v>0.61118798381598605</v>
      </c>
      <c r="AA104">
        <v>-0.17038061505642199</v>
      </c>
      <c r="AB104">
        <v>0.656540265244001</v>
      </c>
      <c r="AC104">
        <v>-0.22662268105990799</v>
      </c>
    </row>
    <row r="105" spans="1:29" x14ac:dyDescent="0.2">
      <c r="A105">
        <v>104</v>
      </c>
      <c r="B105" t="s">
        <v>269</v>
      </c>
      <c r="C105" t="s">
        <v>138</v>
      </c>
      <c r="D105" t="s">
        <v>168</v>
      </c>
      <c r="E105">
        <v>-7.8447310196054706E-2</v>
      </c>
      <c r="F105">
        <v>0.49577073145478301</v>
      </c>
      <c r="G105">
        <v>-0.140857028870396</v>
      </c>
      <c r="H105">
        <v>0.47211389675073101</v>
      </c>
      <c r="I105">
        <v>0.61297092562112698</v>
      </c>
      <c r="J105">
        <v>0.57421804165083801</v>
      </c>
      <c r="K105">
        <v>-7.8447310196054706E-2</v>
      </c>
      <c r="L105">
        <v>-0.140857028870396</v>
      </c>
      <c r="M105">
        <v>0.57421804165083801</v>
      </c>
      <c r="N105">
        <v>0.63662776032517898</v>
      </c>
      <c r="O105">
        <v>0.55056120694678601</v>
      </c>
      <c r="P105">
        <v>0.61297092562112698</v>
      </c>
      <c r="Q105" t="s">
        <v>1173</v>
      </c>
      <c r="R105" t="s">
        <v>1068</v>
      </c>
      <c r="S105" t="s">
        <v>1067</v>
      </c>
      <c r="T105" t="s">
        <v>1068</v>
      </c>
      <c r="U105" t="s">
        <v>944</v>
      </c>
      <c r="V105">
        <v>0</v>
      </c>
      <c r="W105" t="s">
        <v>944</v>
      </c>
      <c r="X105" t="s">
        <v>1175</v>
      </c>
      <c r="Y105">
        <v>1</v>
      </c>
      <c r="Z105">
        <v>0.31459744292842701</v>
      </c>
      <c r="AA105">
        <v>-0.17216064802879999</v>
      </c>
      <c r="AB105">
        <v>0.42804860617449197</v>
      </c>
      <c r="AC105">
        <v>-0.18128030345401699</v>
      </c>
    </row>
    <row r="106" spans="1:29" x14ac:dyDescent="0.2">
      <c r="A106">
        <v>105</v>
      </c>
      <c r="B106" t="s">
        <v>270</v>
      </c>
      <c r="C106" t="s">
        <v>182</v>
      </c>
      <c r="D106" t="s">
        <v>129</v>
      </c>
      <c r="E106">
        <v>-0.32542209434960001</v>
      </c>
      <c r="F106">
        <v>0.56108420810570803</v>
      </c>
      <c r="G106">
        <v>-4.90439676723637E-2</v>
      </c>
      <c r="H106">
        <v>0.56423249835575695</v>
      </c>
      <c r="I106">
        <v>0.61327646602812103</v>
      </c>
      <c r="J106">
        <v>0.88650630245530804</v>
      </c>
      <c r="K106">
        <v>-4.90439676723637E-2</v>
      </c>
      <c r="L106">
        <v>-0.32542209434960001</v>
      </c>
      <c r="M106">
        <v>0.61012817577807199</v>
      </c>
      <c r="N106">
        <v>0.88650630245530804</v>
      </c>
      <c r="O106">
        <v>0.61327646602812103</v>
      </c>
      <c r="P106">
        <v>0.88965459270535696</v>
      </c>
      <c r="Q106" t="s">
        <v>1067</v>
      </c>
      <c r="R106" t="s">
        <v>1068</v>
      </c>
      <c r="S106" t="s">
        <v>1173</v>
      </c>
      <c r="T106" t="s">
        <v>1068</v>
      </c>
      <c r="U106" t="s">
        <v>944</v>
      </c>
      <c r="V106">
        <v>0</v>
      </c>
      <c r="W106" t="s">
        <v>944</v>
      </c>
      <c r="X106" t="s">
        <v>1175</v>
      </c>
      <c r="Y106">
        <v>1</v>
      </c>
      <c r="Z106">
        <v>0.37352277352719099</v>
      </c>
      <c r="AA106">
        <v>-0.18462904967302801</v>
      </c>
      <c r="AB106">
        <v>0.51223115106737405</v>
      </c>
      <c r="AC106">
        <v>-0.165637773451113</v>
      </c>
    </row>
    <row r="107" spans="1:29" x14ac:dyDescent="0.2">
      <c r="A107">
        <v>106</v>
      </c>
      <c r="B107" t="s">
        <v>271</v>
      </c>
      <c r="C107" t="s">
        <v>182</v>
      </c>
      <c r="D107" t="s">
        <v>130</v>
      </c>
      <c r="E107">
        <v>2.8093511450006602E-3</v>
      </c>
      <c r="F107">
        <v>0.61492191371071103</v>
      </c>
      <c r="G107">
        <v>-9.9256781558632198E-2</v>
      </c>
      <c r="H107">
        <v>0.60820285290514098</v>
      </c>
      <c r="I107">
        <v>0.70745963446377302</v>
      </c>
      <c r="J107">
        <v>0.61211256256571001</v>
      </c>
      <c r="K107">
        <v>2.8093511450006602E-3</v>
      </c>
      <c r="L107">
        <v>-9.9256781558632198E-2</v>
      </c>
      <c r="M107">
        <v>0.61211256256571001</v>
      </c>
      <c r="N107">
        <v>0.71417869526934297</v>
      </c>
      <c r="O107">
        <v>0.60539350176013995</v>
      </c>
      <c r="P107">
        <v>0.70745963446377302</v>
      </c>
      <c r="Q107" t="s">
        <v>1173</v>
      </c>
      <c r="R107" t="s">
        <v>1068</v>
      </c>
      <c r="S107" t="s">
        <v>1173</v>
      </c>
      <c r="T107" t="s">
        <v>1068</v>
      </c>
      <c r="U107" t="s">
        <v>944</v>
      </c>
      <c r="V107">
        <v>0</v>
      </c>
      <c r="W107" t="s">
        <v>944</v>
      </c>
      <c r="X107" t="s">
        <v>1175</v>
      </c>
      <c r="Y107">
        <v>1</v>
      </c>
      <c r="Z107">
        <v>0.59452082875006895</v>
      </c>
      <c r="AA107">
        <v>-0.12083175104777601</v>
      </c>
      <c r="AB107">
        <v>0.41344497970778299</v>
      </c>
      <c r="AC107">
        <v>-0.25631663241455599</v>
      </c>
    </row>
    <row r="108" spans="1:29" x14ac:dyDescent="0.2">
      <c r="A108">
        <v>107</v>
      </c>
      <c r="B108" t="s">
        <v>272</v>
      </c>
      <c r="C108" t="s">
        <v>182</v>
      </c>
      <c r="D108" t="s">
        <v>132</v>
      </c>
      <c r="E108">
        <v>0.77842434244917802</v>
      </c>
      <c r="F108">
        <v>0.25821064020780699</v>
      </c>
      <c r="G108">
        <v>0.69753943100517601</v>
      </c>
      <c r="H108">
        <v>0.25645287574078202</v>
      </c>
      <c r="I108">
        <v>-0.441086555264394</v>
      </c>
      <c r="J108">
        <v>-0.52021370224137098</v>
      </c>
      <c r="K108">
        <v>0.77842434244917802</v>
      </c>
      <c r="L108">
        <v>0.69753943100517601</v>
      </c>
      <c r="M108">
        <v>-0.52021370224137098</v>
      </c>
      <c r="N108">
        <v>-0.43932879079736897</v>
      </c>
      <c r="O108">
        <v>-0.521971466708396</v>
      </c>
      <c r="P108">
        <v>-0.441086555264394</v>
      </c>
      <c r="Q108" t="s">
        <v>1068</v>
      </c>
      <c r="R108" t="s">
        <v>1068</v>
      </c>
      <c r="S108" t="s">
        <v>1068</v>
      </c>
      <c r="T108" t="s">
        <v>1068</v>
      </c>
      <c r="U108" t="s">
        <v>1174</v>
      </c>
      <c r="V108">
        <v>1</v>
      </c>
      <c r="W108" t="s">
        <v>944</v>
      </c>
      <c r="X108" t="s">
        <v>1175</v>
      </c>
      <c r="Y108">
        <v>1</v>
      </c>
      <c r="Z108">
        <v>0.32477190259928501</v>
      </c>
      <c r="AA108">
        <v>-0.190575272254045</v>
      </c>
      <c r="AB108">
        <v>0.45494147555278502</v>
      </c>
      <c r="AC108">
        <v>-0.175040976431248</v>
      </c>
    </row>
    <row r="109" spans="1:29" x14ac:dyDescent="0.2">
      <c r="A109">
        <v>108</v>
      </c>
      <c r="B109" t="s">
        <v>273</v>
      </c>
      <c r="C109" t="s">
        <v>182</v>
      </c>
      <c r="D109" t="s">
        <v>134</v>
      </c>
      <c r="E109">
        <v>7.3861113402349604E-2</v>
      </c>
      <c r="F109">
        <v>0.48643033555691101</v>
      </c>
      <c r="G109">
        <v>2.5396914807961799E-3</v>
      </c>
      <c r="H109">
        <v>0.43308732846774201</v>
      </c>
      <c r="I109">
        <v>0.43054763698694598</v>
      </c>
      <c r="J109">
        <v>0.41256922215456099</v>
      </c>
      <c r="K109">
        <v>7.3861113402349604E-2</v>
      </c>
      <c r="L109">
        <v>2.5396914807961799E-3</v>
      </c>
      <c r="M109">
        <v>0.41256922215456099</v>
      </c>
      <c r="N109">
        <v>0.48389064407611498</v>
      </c>
      <c r="O109">
        <v>0.35922621506539198</v>
      </c>
      <c r="P109">
        <v>0.43054763698694598</v>
      </c>
      <c r="Q109" t="s">
        <v>1173</v>
      </c>
      <c r="R109" t="s">
        <v>1068</v>
      </c>
      <c r="S109" t="s">
        <v>1173</v>
      </c>
      <c r="T109" t="s">
        <v>1068</v>
      </c>
      <c r="U109" t="s">
        <v>944</v>
      </c>
      <c r="V109">
        <v>0</v>
      </c>
      <c r="W109" t="s">
        <v>944</v>
      </c>
      <c r="X109" t="s">
        <v>1175</v>
      </c>
      <c r="Y109">
        <v>1</v>
      </c>
      <c r="Z109">
        <v>0.45791745482705998</v>
      </c>
      <c r="AA109">
        <v>-0.21027396825974001</v>
      </c>
      <c r="AB109">
        <v>0.53608279149525595</v>
      </c>
      <c r="AC109">
        <v>-0.23223935121992101</v>
      </c>
    </row>
    <row r="110" spans="1:29" x14ac:dyDescent="0.2">
      <c r="A110">
        <v>109</v>
      </c>
      <c r="B110" t="s">
        <v>274</v>
      </c>
      <c r="C110" t="s">
        <v>182</v>
      </c>
      <c r="D110" t="s">
        <v>136</v>
      </c>
      <c r="E110">
        <v>-0.13224671879799499</v>
      </c>
      <c r="F110">
        <v>0.86037241284823596</v>
      </c>
      <c r="G110">
        <v>2.4707874229122398E-3</v>
      </c>
      <c r="H110">
        <v>0.86495939254319398</v>
      </c>
      <c r="I110">
        <v>0.86248860512028203</v>
      </c>
      <c r="J110">
        <v>0.99261913164623095</v>
      </c>
      <c r="K110">
        <v>2.4707874229122398E-3</v>
      </c>
      <c r="L110">
        <v>-0.13224671879799499</v>
      </c>
      <c r="M110">
        <v>0.857901625425324</v>
      </c>
      <c r="N110">
        <v>0.99261913164623095</v>
      </c>
      <c r="O110">
        <v>0.86248860512028203</v>
      </c>
      <c r="P110">
        <v>0.99720611134118897</v>
      </c>
      <c r="Q110" t="s">
        <v>1067</v>
      </c>
      <c r="R110" t="s">
        <v>1068</v>
      </c>
      <c r="S110" t="s">
        <v>1173</v>
      </c>
      <c r="T110" t="s">
        <v>1068</v>
      </c>
      <c r="U110" t="s">
        <v>944</v>
      </c>
      <c r="V110">
        <v>0</v>
      </c>
      <c r="W110" t="s">
        <v>944</v>
      </c>
      <c r="X110" t="s">
        <v>1175</v>
      </c>
      <c r="Y110">
        <v>1</v>
      </c>
      <c r="Z110">
        <v>0.37922657570014501</v>
      </c>
      <c r="AA110">
        <v>-0.21975677225669099</v>
      </c>
      <c r="AB110">
        <v>0.647884409403921</v>
      </c>
      <c r="AC110">
        <v>-0.14593393124017801</v>
      </c>
    </row>
    <row r="111" spans="1:29" x14ac:dyDescent="0.2">
      <c r="A111">
        <v>110</v>
      </c>
      <c r="B111" t="s">
        <v>275</v>
      </c>
      <c r="C111" t="s">
        <v>182</v>
      </c>
      <c r="D111" t="s">
        <v>138</v>
      </c>
      <c r="E111">
        <v>-7.9945648136114197E-2</v>
      </c>
      <c r="F111">
        <v>0.57207480453831305</v>
      </c>
      <c r="G111">
        <v>-3.7715263976865997E-2</v>
      </c>
      <c r="H111">
        <v>0.56446855968669496</v>
      </c>
      <c r="I111">
        <v>0.60218382366356105</v>
      </c>
      <c r="J111">
        <v>0.65202045267442699</v>
      </c>
      <c r="K111">
        <v>-3.7715263976865997E-2</v>
      </c>
      <c r="L111">
        <v>-7.9945648136114197E-2</v>
      </c>
      <c r="M111">
        <v>0.60979006851517903</v>
      </c>
      <c r="N111">
        <v>0.65202045267442699</v>
      </c>
      <c r="O111">
        <v>0.60218382366356105</v>
      </c>
      <c r="P111">
        <v>0.644414207822809</v>
      </c>
      <c r="Q111" t="s">
        <v>1173</v>
      </c>
      <c r="R111" t="s">
        <v>1068</v>
      </c>
      <c r="S111" t="s">
        <v>1173</v>
      </c>
      <c r="T111" t="s">
        <v>1068</v>
      </c>
      <c r="U111" t="s">
        <v>944</v>
      </c>
      <c r="V111">
        <v>0</v>
      </c>
      <c r="W111" t="s">
        <v>944</v>
      </c>
      <c r="X111" t="s">
        <v>1175</v>
      </c>
      <c r="Y111">
        <v>1</v>
      </c>
      <c r="Z111">
        <v>1.22975938340445</v>
      </c>
      <c r="AA111">
        <v>-5.92334313637485E-2</v>
      </c>
      <c r="AB111">
        <v>1.3001639005757499</v>
      </c>
      <c r="AC111">
        <v>-6.6827400498760001E-2</v>
      </c>
    </row>
    <row r="112" spans="1:29" x14ac:dyDescent="0.2">
      <c r="A112">
        <v>111</v>
      </c>
      <c r="B112" t="s">
        <v>276</v>
      </c>
      <c r="C112" t="s">
        <v>182</v>
      </c>
      <c r="D112" t="s">
        <v>140</v>
      </c>
      <c r="E112">
        <v>-0.13060148026210799</v>
      </c>
      <c r="F112">
        <v>0.59343304522030504</v>
      </c>
      <c r="G112">
        <v>-0.12136496561231599</v>
      </c>
      <c r="H112">
        <v>0.57641999528449195</v>
      </c>
      <c r="I112">
        <v>0.69778496089680797</v>
      </c>
      <c r="J112">
        <v>0.72403452548241298</v>
      </c>
      <c r="K112">
        <v>-0.12136496561231599</v>
      </c>
      <c r="L112">
        <v>-0.13060148026210799</v>
      </c>
      <c r="M112">
        <v>0.71479801083262096</v>
      </c>
      <c r="N112">
        <v>0.72403452548241298</v>
      </c>
      <c r="O112">
        <v>0.69778496089680797</v>
      </c>
      <c r="P112">
        <v>0.7070214755466</v>
      </c>
      <c r="Q112" t="s">
        <v>1067</v>
      </c>
      <c r="R112" t="s">
        <v>1068</v>
      </c>
      <c r="S112" t="s">
        <v>1067</v>
      </c>
      <c r="T112" t="s">
        <v>1068</v>
      </c>
      <c r="U112" t="s">
        <v>944</v>
      </c>
      <c r="V112">
        <v>0</v>
      </c>
      <c r="W112" t="s">
        <v>944</v>
      </c>
      <c r="X112" t="s">
        <v>1175</v>
      </c>
      <c r="Y112">
        <v>1</v>
      </c>
      <c r="Z112">
        <v>0.39179064837800298</v>
      </c>
      <c r="AA112">
        <v>-0.155025060705139</v>
      </c>
      <c r="AB112">
        <v>0.44054891903631899</v>
      </c>
      <c r="AC112">
        <v>-0.17335811647834701</v>
      </c>
    </row>
    <row r="113" spans="1:29" x14ac:dyDescent="0.2">
      <c r="A113">
        <v>112</v>
      </c>
      <c r="B113" t="s">
        <v>277</v>
      </c>
      <c r="C113" t="s">
        <v>182</v>
      </c>
      <c r="D113" t="s">
        <v>142</v>
      </c>
      <c r="E113">
        <v>0.60009585050821601</v>
      </c>
      <c r="F113">
        <v>0.86233103988805504</v>
      </c>
      <c r="G113">
        <v>2.5396916866344101E-3</v>
      </c>
      <c r="H113">
        <v>0.86809086269914404</v>
      </c>
      <c r="I113">
        <v>0.86555117101251</v>
      </c>
      <c r="J113">
        <v>0.26223518937983897</v>
      </c>
      <c r="K113">
        <v>0.60009585050821601</v>
      </c>
      <c r="L113">
        <v>2.5396916866344101E-3</v>
      </c>
      <c r="M113">
        <v>0.26223518937983897</v>
      </c>
      <c r="N113">
        <v>0.859791348201421</v>
      </c>
      <c r="O113">
        <v>0.26799501219092797</v>
      </c>
      <c r="P113">
        <v>0.86555117101251</v>
      </c>
      <c r="Q113" t="s">
        <v>1068</v>
      </c>
      <c r="R113" t="s">
        <v>1068</v>
      </c>
      <c r="S113" t="s">
        <v>1173</v>
      </c>
      <c r="T113" t="s">
        <v>1068</v>
      </c>
      <c r="U113" t="s">
        <v>944</v>
      </c>
      <c r="V113">
        <v>0</v>
      </c>
      <c r="W113" t="s">
        <v>944</v>
      </c>
      <c r="X113" t="s">
        <v>1175</v>
      </c>
      <c r="Y113">
        <v>1</v>
      </c>
      <c r="Z113">
        <v>1.36128200375832</v>
      </c>
      <c r="AA113">
        <v>-0.101412191007346</v>
      </c>
      <c r="AB113">
        <v>1.4447423473134999</v>
      </c>
      <c r="AC113">
        <v>-4.4214999266709E-2</v>
      </c>
    </row>
    <row r="114" spans="1:29" x14ac:dyDescent="0.2">
      <c r="A114">
        <v>113</v>
      </c>
      <c r="B114" t="s">
        <v>278</v>
      </c>
      <c r="C114" t="s">
        <v>182</v>
      </c>
      <c r="D114" t="s">
        <v>144</v>
      </c>
      <c r="E114">
        <v>4.0365158362271197E-3</v>
      </c>
      <c r="F114">
        <v>0.78907094297515101</v>
      </c>
      <c r="G114">
        <v>3.4995435426765101E-2</v>
      </c>
      <c r="H114">
        <v>0.76663707760278299</v>
      </c>
      <c r="I114">
        <v>0.73164164217601801</v>
      </c>
      <c r="J114">
        <v>0.78503442713892402</v>
      </c>
      <c r="K114">
        <v>3.4995435426765101E-2</v>
      </c>
      <c r="L114">
        <v>4.0365158362271197E-3</v>
      </c>
      <c r="M114">
        <v>0.75407550754838604</v>
      </c>
      <c r="N114">
        <v>0.78503442713892402</v>
      </c>
      <c r="O114">
        <v>0.73164164217601801</v>
      </c>
      <c r="P114">
        <v>0.762600561766556</v>
      </c>
      <c r="Q114" t="s">
        <v>1173</v>
      </c>
      <c r="R114" t="s">
        <v>1068</v>
      </c>
      <c r="S114" t="s">
        <v>1173</v>
      </c>
      <c r="T114" t="s">
        <v>1068</v>
      </c>
      <c r="U114" t="s">
        <v>944</v>
      </c>
      <c r="V114">
        <v>0</v>
      </c>
      <c r="W114" t="s">
        <v>944</v>
      </c>
      <c r="X114" t="s">
        <v>1175</v>
      </c>
      <c r="Y114">
        <v>1</v>
      </c>
      <c r="Z114">
        <v>0.53397630897706005</v>
      </c>
      <c r="AA114">
        <v>-0.20109703494314801</v>
      </c>
      <c r="AB114">
        <v>0.597176362048357</v>
      </c>
      <c r="AC114">
        <v>-0.232321709354808</v>
      </c>
    </row>
    <row r="115" spans="1:29" x14ac:dyDescent="0.2">
      <c r="A115">
        <v>114</v>
      </c>
      <c r="B115" t="s">
        <v>279</v>
      </c>
      <c r="C115" t="s">
        <v>182</v>
      </c>
      <c r="D115" t="s">
        <v>146</v>
      </c>
      <c r="E115">
        <v>1.8016811065965099E-3</v>
      </c>
      <c r="F115">
        <v>0.61357543996847397</v>
      </c>
      <c r="G115">
        <v>-0.120599128177377</v>
      </c>
      <c r="H115">
        <v>0.60649808446146003</v>
      </c>
      <c r="I115">
        <v>0.72709721263883698</v>
      </c>
      <c r="J115">
        <v>0.61177375886187702</v>
      </c>
      <c r="K115">
        <v>1.8016811065965099E-3</v>
      </c>
      <c r="L115">
        <v>-0.120599128177377</v>
      </c>
      <c r="M115">
        <v>0.61177375886187702</v>
      </c>
      <c r="N115">
        <v>0.73417456814585103</v>
      </c>
      <c r="O115">
        <v>0.60469640335486396</v>
      </c>
      <c r="P115">
        <v>0.72709721263883698</v>
      </c>
      <c r="Q115" t="s">
        <v>1173</v>
      </c>
      <c r="R115" t="s">
        <v>1068</v>
      </c>
      <c r="S115" t="s">
        <v>1067</v>
      </c>
      <c r="T115" t="s">
        <v>1068</v>
      </c>
      <c r="U115" t="s">
        <v>944</v>
      </c>
      <c r="V115">
        <v>0</v>
      </c>
      <c r="W115" t="s">
        <v>944</v>
      </c>
      <c r="X115" t="s">
        <v>1175</v>
      </c>
      <c r="Y115">
        <v>1</v>
      </c>
      <c r="Z115">
        <v>0.56098260068847094</v>
      </c>
      <c r="AA115">
        <v>-0.135388712509807</v>
      </c>
      <c r="AB115">
        <v>0.41558056673570998</v>
      </c>
      <c r="AC115">
        <v>-0.25580883409009197</v>
      </c>
    </row>
    <row r="116" spans="1:29" x14ac:dyDescent="0.2">
      <c r="A116">
        <v>115</v>
      </c>
      <c r="B116" t="s">
        <v>280</v>
      </c>
      <c r="C116" t="s">
        <v>182</v>
      </c>
      <c r="D116" t="s">
        <v>200</v>
      </c>
      <c r="E116">
        <v>-0.15753029025078799</v>
      </c>
      <c r="F116">
        <v>0.51007827927845695</v>
      </c>
      <c r="G116">
        <v>-4.2224612044134503E-2</v>
      </c>
      <c r="H116">
        <v>0.49534400601305401</v>
      </c>
      <c r="I116">
        <v>0.53756861805718803</v>
      </c>
      <c r="J116">
        <v>0.66760856952924497</v>
      </c>
      <c r="K116">
        <v>-4.2224612044134503E-2</v>
      </c>
      <c r="L116">
        <v>-0.15753029025078799</v>
      </c>
      <c r="M116">
        <v>0.55230289132259103</v>
      </c>
      <c r="N116">
        <v>0.66760856952924497</v>
      </c>
      <c r="O116">
        <v>0.53756861805718803</v>
      </c>
      <c r="P116">
        <v>0.65287429626384197</v>
      </c>
      <c r="Q116" t="s">
        <v>1067</v>
      </c>
      <c r="R116" t="s">
        <v>1068</v>
      </c>
      <c r="S116" t="s">
        <v>1173</v>
      </c>
      <c r="T116" t="s">
        <v>1068</v>
      </c>
      <c r="U116" t="s">
        <v>944</v>
      </c>
      <c r="V116">
        <v>0</v>
      </c>
      <c r="W116" t="s">
        <v>944</v>
      </c>
      <c r="X116" t="s">
        <v>1175</v>
      </c>
      <c r="Y116">
        <v>1</v>
      </c>
      <c r="Z116">
        <v>0.55881653245352703</v>
      </c>
      <c r="AA116">
        <v>-0.164097337951992</v>
      </c>
      <c r="AB116">
        <v>0.71842343414757304</v>
      </c>
      <c r="AC116">
        <v>-0.14012747658660399</v>
      </c>
    </row>
    <row r="117" spans="1:29" x14ac:dyDescent="0.2">
      <c r="A117">
        <v>116</v>
      </c>
      <c r="B117" t="s">
        <v>281</v>
      </c>
      <c r="C117" t="s">
        <v>182</v>
      </c>
      <c r="D117" t="s">
        <v>148</v>
      </c>
      <c r="E117">
        <v>-0.50600867639813696</v>
      </c>
      <c r="F117">
        <v>0.70583055274248896</v>
      </c>
      <c r="G117">
        <v>2.58228091112597E-3</v>
      </c>
      <c r="H117">
        <v>0.70515328795143895</v>
      </c>
      <c r="I117">
        <v>0.70257100704031294</v>
      </c>
      <c r="J117">
        <v>1.2118392291406299</v>
      </c>
      <c r="K117">
        <v>2.58228091112597E-3</v>
      </c>
      <c r="L117">
        <v>-0.50600867639813696</v>
      </c>
      <c r="M117">
        <v>0.70324827183136296</v>
      </c>
      <c r="N117">
        <v>1.2118392291406299</v>
      </c>
      <c r="O117">
        <v>0.70257100704031294</v>
      </c>
      <c r="P117">
        <v>1.2111619643495799</v>
      </c>
      <c r="Q117" t="s">
        <v>1067</v>
      </c>
      <c r="R117" t="s">
        <v>1068</v>
      </c>
      <c r="S117" t="s">
        <v>1173</v>
      </c>
      <c r="T117" t="s">
        <v>1068</v>
      </c>
      <c r="U117" t="s">
        <v>944</v>
      </c>
      <c r="V117">
        <v>0</v>
      </c>
      <c r="W117" t="s">
        <v>944</v>
      </c>
      <c r="X117" t="s">
        <v>1175</v>
      </c>
      <c r="Y117">
        <v>1</v>
      </c>
      <c r="Z117">
        <v>0.20165932049871599</v>
      </c>
      <c r="AA117">
        <v>-0.24116132331338899</v>
      </c>
      <c r="AB117">
        <v>0.45628414787858501</v>
      </c>
      <c r="AC117">
        <v>-0.17274026831848699</v>
      </c>
    </row>
    <row r="118" spans="1:29" x14ac:dyDescent="0.2">
      <c r="A118">
        <v>117</v>
      </c>
      <c r="B118" t="s">
        <v>282</v>
      </c>
      <c r="C118" t="s">
        <v>182</v>
      </c>
      <c r="D118" t="s">
        <v>150</v>
      </c>
      <c r="E118">
        <v>2.94743874164804E-3</v>
      </c>
      <c r="F118">
        <v>0.60392386894535599</v>
      </c>
      <c r="G118">
        <v>-3.2223756845619601E-2</v>
      </c>
      <c r="H118">
        <v>0.60108190341501699</v>
      </c>
      <c r="I118">
        <v>0.63330566026063695</v>
      </c>
      <c r="J118">
        <v>0.60097643020370795</v>
      </c>
      <c r="K118">
        <v>2.94743874164804E-3</v>
      </c>
      <c r="L118">
        <v>-3.2223756845619601E-2</v>
      </c>
      <c r="M118">
        <v>0.60097643020370795</v>
      </c>
      <c r="N118">
        <v>0.63614762579097595</v>
      </c>
      <c r="O118">
        <v>0.59813446467336895</v>
      </c>
      <c r="P118">
        <v>0.63330566026063695</v>
      </c>
      <c r="Q118" t="s">
        <v>1173</v>
      </c>
      <c r="R118" t="s">
        <v>1068</v>
      </c>
      <c r="S118" t="s">
        <v>1173</v>
      </c>
      <c r="T118" t="s">
        <v>1068</v>
      </c>
      <c r="U118" t="s">
        <v>944</v>
      </c>
      <c r="V118">
        <v>0</v>
      </c>
      <c r="W118" t="s">
        <v>944</v>
      </c>
      <c r="X118" t="s">
        <v>1175</v>
      </c>
      <c r="Y118">
        <v>1</v>
      </c>
      <c r="Z118">
        <v>0.47200906881230498</v>
      </c>
      <c r="AA118">
        <v>-0.172301565177953</v>
      </c>
      <c r="AB118">
        <v>0.41253298285741302</v>
      </c>
      <c r="AC118">
        <v>-0.256463384764131</v>
      </c>
    </row>
    <row r="119" spans="1:29" x14ac:dyDescent="0.2">
      <c r="A119">
        <v>118</v>
      </c>
      <c r="B119" t="s">
        <v>283</v>
      </c>
      <c r="C119" t="s">
        <v>182</v>
      </c>
      <c r="D119" t="s">
        <v>204</v>
      </c>
      <c r="E119">
        <v>0.44383904238581101</v>
      </c>
      <c r="F119">
        <v>-1</v>
      </c>
      <c r="G119">
        <v>0.20147128400019601</v>
      </c>
      <c r="H119">
        <v>-1</v>
      </c>
      <c r="I119">
        <v>-1.2014712840002</v>
      </c>
      <c r="J119">
        <v>-1.4438390423858101</v>
      </c>
      <c r="K119">
        <v>0.44383904238581101</v>
      </c>
      <c r="L119">
        <v>0.20147128400019601</v>
      </c>
      <c r="M119">
        <v>-1.4438390423858101</v>
      </c>
      <c r="N119">
        <v>-1.2014712840002</v>
      </c>
      <c r="O119">
        <v>-1.4438390423858101</v>
      </c>
      <c r="P119">
        <v>-1.2014712840002</v>
      </c>
      <c r="Q119" t="s">
        <v>1068</v>
      </c>
      <c r="R119" t="s">
        <v>1067</v>
      </c>
      <c r="S119" t="s">
        <v>1068</v>
      </c>
      <c r="T119" t="s">
        <v>1067</v>
      </c>
      <c r="U119" t="s">
        <v>1174</v>
      </c>
      <c r="V119">
        <v>1</v>
      </c>
      <c r="W119" t="s">
        <v>1174</v>
      </c>
      <c r="X119" t="s">
        <v>1175</v>
      </c>
      <c r="Y119">
        <v>1</v>
      </c>
      <c r="Z119">
        <v>0.29221682765514501</v>
      </c>
      <c r="AA119">
        <v>-0.18966317363125099</v>
      </c>
      <c r="AB119">
        <v>0.41953109138635297</v>
      </c>
      <c r="AC119">
        <v>-0.174365264003673</v>
      </c>
    </row>
    <row r="120" spans="1:29" x14ac:dyDescent="0.2">
      <c r="A120">
        <v>119</v>
      </c>
      <c r="B120" t="s">
        <v>284</v>
      </c>
      <c r="C120" t="s">
        <v>182</v>
      </c>
      <c r="D120" t="s">
        <v>152</v>
      </c>
      <c r="E120">
        <v>0.59994237925122895</v>
      </c>
      <c r="F120">
        <v>0.86226874191937397</v>
      </c>
      <c r="G120">
        <v>2.5396916866344101E-3</v>
      </c>
      <c r="H120">
        <v>0.86801715461975804</v>
      </c>
      <c r="I120">
        <v>0.865477462933124</v>
      </c>
      <c r="J120">
        <v>0.26232636266814502</v>
      </c>
      <c r="K120">
        <v>0.59994237925122895</v>
      </c>
      <c r="L120">
        <v>2.5396916866344101E-3</v>
      </c>
      <c r="M120">
        <v>0.26232636266814502</v>
      </c>
      <c r="N120">
        <v>0.85972905023274004</v>
      </c>
      <c r="O120">
        <v>0.26807477536852897</v>
      </c>
      <c r="P120">
        <v>0.865477462933124</v>
      </c>
      <c r="Q120" t="s">
        <v>1068</v>
      </c>
      <c r="R120" t="s">
        <v>1068</v>
      </c>
      <c r="S120" t="s">
        <v>1173</v>
      </c>
      <c r="T120" t="s">
        <v>1068</v>
      </c>
      <c r="U120" t="s">
        <v>944</v>
      </c>
      <c r="V120">
        <v>0</v>
      </c>
      <c r="W120" t="s">
        <v>944</v>
      </c>
      <c r="X120" t="s">
        <v>1175</v>
      </c>
      <c r="Y120">
        <v>1</v>
      </c>
      <c r="Z120">
        <v>1.3614092489352501</v>
      </c>
      <c r="AA120">
        <v>-0.10139685706921001</v>
      </c>
      <c r="AB120">
        <v>1.44505227881436</v>
      </c>
      <c r="AC120">
        <v>-4.4213978479326503E-2</v>
      </c>
    </row>
    <row r="121" spans="1:29" x14ac:dyDescent="0.2">
      <c r="A121">
        <v>120</v>
      </c>
      <c r="B121" t="s">
        <v>285</v>
      </c>
      <c r="C121" t="s">
        <v>182</v>
      </c>
      <c r="D121" t="s">
        <v>154</v>
      </c>
      <c r="E121">
        <v>0.41372796353182301</v>
      </c>
      <c r="F121">
        <v>-1</v>
      </c>
      <c r="G121">
        <v>0.20147128395118899</v>
      </c>
      <c r="H121">
        <v>-1</v>
      </c>
      <c r="I121">
        <v>-1.2014712839511901</v>
      </c>
      <c r="J121">
        <v>-1.4137279635318201</v>
      </c>
      <c r="K121">
        <v>0.41372796353182301</v>
      </c>
      <c r="L121">
        <v>0.20147128395118899</v>
      </c>
      <c r="M121">
        <v>-1.4137279635318201</v>
      </c>
      <c r="N121">
        <v>-1.2014712839511901</v>
      </c>
      <c r="O121">
        <v>-1.4137279635318201</v>
      </c>
      <c r="P121">
        <v>-1.2014712839511901</v>
      </c>
      <c r="Q121" t="s">
        <v>1068</v>
      </c>
      <c r="R121" t="s">
        <v>1067</v>
      </c>
      <c r="S121" t="s">
        <v>1068</v>
      </c>
      <c r="T121" t="s">
        <v>1067</v>
      </c>
      <c r="U121" t="s">
        <v>1174</v>
      </c>
      <c r="V121">
        <v>1</v>
      </c>
      <c r="W121" t="s">
        <v>1174</v>
      </c>
      <c r="X121" t="s">
        <v>1175</v>
      </c>
      <c r="Y121">
        <v>1</v>
      </c>
      <c r="Z121">
        <v>0.289370920833735</v>
      </c>
      <c r="AA121">
        <v>-0.190006125398306</v>
      </c>
      <c r="AB121">
        <v>0.41682618350207101</v>
      </c>
      <c r="AC121">
        <v>-0.17465308305518201</v>
      </c>
    </row>
    <row r="122" spans="1:29" x14ac:dyDescent="0.2">
      <c r="A122">
        <v>121</v>
      </c>
      <c r="B122" t="s">
        <v>286</v>
      </c>
      <c r="C122" t="s">
        <v>182</v>
      </c>
      <c r="D122" t="s">
        <v>156</v>
      </c>
      <c r="E122">
        <v>-0.132138745481861</v>
      </c>
      <c r="F122">
        <v>0.85290481516921102</v>
      </c>
      <c r="G122">
        <v>2.5396914807961799E-3</v>
      </c>
      <c r="H122">
        <v>0.84998518492211605</v>
      </c>
      <c r="I122">
        <v>0.84744549344132003</v>
      </c>
      <c r="J122">
        <v>0.98504356065107201</v>
      </c>
      <c r="K122">
        <v>2.5396914807961799E-3</v>
      </c>
      <c r="L122">
        <v>-0.132138745481861</v>
      </c>
      <c r="M122">
        <v>0.85036512368841499</v>
      </c>
      <c r="N122">
        <v>0.98504356065107201</v>
      </c>
      <c r="O122">
        <v>0.84744549344132003</v>
      </c>
      <c r="P122">
        <v>0.98212393040397705</v>
      </c>
      <c r="Q122" t="s">
        <v>1067</v>
      </c>
      <c r="R122" t="s">
        <v>1068</v>
      </c>
      <c r="S122" t="s">
        <v>1173</v>
      </c>
      <c r="T122" t="s">
        <v>1068</v>
      </c>
      <c r="U122" t="s">
        <v>944</v>
      </c>
      <c r="V122">
        <v>0</v>
      </c>
      <c r="W122" t="s">
        <v>944</v>
      </c>
      <c r="X122" t="s">
        <v>1175</v>
      </c>
      <c r="Y122">
        <v>1</v>
      </c>
      <c r="Z122">
        <v>0.42039076726385899</v>
      </c>
      <c r="AA122">
        <v>-0.21479619785947199</v>
      </c>
      <c r="AB122">
        <v>0.69350465258137906</v>
      </c>
      <c r="AC122">
        <v>-0.13989543267568599</v>
      </c>
    </row>
    <row r="123" spans="1:29" x14ac:dyDescent="0.2">
      <c r="A123">
        <v>122</v>
      </c>
      <c r="B123" t="s">
        <v>287</v>
      </c>
      <c r="C123" t="s">
        <v>182</v>
      </c>
      <c r="D123" t="s">
        <v>158</v>
      </c>
      <c r="E123">
        <v>-0.38097431508872198</v>
      </c>
      <c r="F123">
        <v>0.65045311693341201</v>
      </c>
      <c r="G123">
        <v>-5.36125948033052E-2</v>
      </c>
      <c r="H123">
        <v>0.647660801675632</v>
      </c>
      <c r="I123">
        <v>0.70127339647893705</v>
      </c>
      <c r="J123">
        <v>1.0314274320221299</v>
      </c>
      <c r="K123">
        <v>-5.36125948033052E-2</v>
      </c>
      <c r="L123">
        <v>-0.38097431508872198</v>
      </c>
      <c r="M123">
        <v>0.70406571173671695</v>
      </c>
      <c r="N123">
        <v>1.0314274320221299</v>
      </c>
      <c r="O123">
        <v>0.70127339647893705</v>
      </c>
      <c r="P123">
        <v>1.0286351167643499</v>
      </c>
      <c r="Q123" t="s">
        <v>1067</v>
      </c>
      <c r="R123" t="s">
        <v>1068</v>
      </c>
      <c r="S123" t="s">
        <v>1173</v>
      </c>
      <c r="T123" t="s">
        <v>1068</v>
      </c>
      <c r="U123" t="s">
        <v>944</v>
      </c>
      <c r="V123">
        <v>0</v>
      </c>
      <c r="W123" t="s">
        <v>944</v>
      </c>
      <c r="X123" t="s">
        <v>1175</v>
      </c>
      <c r="Y123">
        <v>1</v>
      </c>
      <c r="Z123">
        <v>0.28325033423785501</v>
      </c>
      <c r="AA123">
        <v>-0.19118734216279001</v>
      </c>
      <c r="AB123">
        <v>0.41035905474380002</v>
      </c>
      <c r="AC123">
        <v>-0.17546830003008301</v>
      </c>
    </row>
    <row r="124" spans="1:29" x14ac:dyDescent="0.2">
      <c r="A124">
        <v>123</v>
      </c>
      <c r="B124" t="s">
        <v>288</v>
      </c>
      <c r="C124" t="s">
        <v>182</v>
      </c>
      <c r="D124" t="s">
        <v>160</v>
      </c>
      <c r="E124">
        <v>-0.12946971364720899</v>
      </c>
      <c r="F124">
        <v>0.83459389408483697</v>
      </c>
      <c r="G124">
        <v>2.02347729390459E-3</v>
      </c>
      <c r="H124">
        <v>0.839257212751083</v>
      </c>
      <c r="I124">
        <v>0.83723373545717805</v>
      </c>
      <c r="J124">
        <v>0.96406360773204602</v>
      </c>
      <c r="K124">
        <v>2.02347729390459E-3</v>
      </c>
      <c r="L124">
        <v>-0.12946971364720899</v>
      </c>
      <c r="M124">
        <v>0.83257041679093202</v>
      </c>
      <c r="N124">
        <v>0.96406360773204602</v>
      </c>
      <c r="O124">
        <v>0.83723373545717805</v>
      </c>
      <c r="P124">
        <v>0.96872692639829205</v>
      </c>
      <c r="Q124" t="s">
        <v>1067</v>
      </c>
      <c r="R124" t="s">
        <v>1068</v>
      </c>
      <c r="S124" t="s">
        <v>1173</v>
      </c>
      <c r="T124" t="s">
        <v>1068</v>
      </c>
      <c r="U124" t="s">
        <v>944</v>
      </c>
      <c r="V124">
        <v>0</v>
      </c>
      <c r="W124" t="s">
        <v>944</v>
      </c>
      <c r="X124" t="s">
        <v>1175</v>
      </c>
      <c r="Y124">
        <v>1</v>
      </c>
      <c r="Z124">
        <v>0.38166536031260101</v>
      </c>
      <c r="AA124">
        <v>-0.21924797750640199</v>
      </c>
      <c r="AB124">
        <v>0.64863171358994298</v>
      </c>
      <c r="AC124">
        <v>-0.14624253725848799</v>
      </c>
    </row>
    <row r="125" spans="1:29" x14ac:dyDescent="0.2">
      <c r="A125">
        <v>124</v>
      </c>
      <c r="B125" t="s">
        <v>289</v>
      </c>
      <c r="C125" t="s">
        <v>182</v>
      </c>
      <c r="D125" t="s">
        <v>162</v>
      </c>
      <c r="E125">
        <v>2.94743874164804E-3</v>
      </c>
      <c r="F125">
        <v>0.61239998213941704</v>
      </c>
      <c r="G125">
        <v>-4.3393334218431098E-2</v>
      </c>
      <c r="H125">
        <v>0.60582083256197305</v>
      </c>
      <c r="I125">
        <v>0.649214166780404</v>
      </c>
      <c r="J125">
        <v>0.609452543397769</v>
      </c>
      <c r="K125">
        <v>2.94743874164804E-3</v>
      </c>
      <c r="L125">
        <v>-4.3393334218431098E-2</v>
      </c>
      <c r="M125">
        <v>0.609452543397769</v>
      </c>
      <c r="N125">
        <v>0.65579331635784799</v>
      </c>
      <c r="O125">
        <v>0.60287339382032501</v>
      </c>
      <c r="P125">
        <v>0.649214166780404</v>
      </c>
      <c r="Q125" t="s">
        <v>1173</v>
      </c>
      <c r="R125" t="s">
        <v>1068</v>
      </c>
      <c r="S125" t="s">
        <v>1173</v>
      </c>
      <c r="T125" t="s">
        <v>1068</v>
      </c>
      <c r="U125" t="s">
        <v>944</v>
      </c>
      <c r="V125">
        <v>0</v>
      </c>
      <c r="W125" t="s">
        <v>944</v>
      </c>
      <c r="X125" t="s">
        <v>1175</v>
      </c>
      <c r="Y125">
        <v>1</v>
      </c>
      <c r="Z125">
        <v>0.49140727424226999</v>
      </c>
      <c r="AA125">
        <v>-0.164610968668325</v>
      </c>
      <c r="AB125">
        <v>0.41392554861722602</v>
      </c>
      <c r="AC125">
        <v>-0.25628131015789901</v>
      </c>
    </row>
    <row r="126" spans="1:29" x14ac:dyDescent="0.2">
      <c r="A126">
        <v>125</v>
      </c>
      <c r="B126" t="s">
        <v>290</v>
      </c>
      <c r="C126" t="s">
        <v>182</v>
      </c>
      <c r="D126" t="s">
        <v>220</v>
      </c>
      <c r="E126">
        <v>2.94743874164804E-3</v>
      </c>
      <c r="F126">
        <v>0.60419424030092606</v>
      </c>
      <c r="G126">
        <v>-6.9589951945638898E-2</v>
      </c>
      <c r="H126">
        <v>0.60217961035116196</v>
      </c>
      <c r="I126">
        <v>0.67176956229680096</v>
      </c>
      <c r="J126">
        <v>0.60124680155927801</v>
      </c>
      <c r="K126">
        <v>2.94743874164804E-3</v>
      </c>
      <c r="L126">
        <v>-6.9589951945638898E-2</v>
      </c>
      <c r="M126">
        <v>0.60124680155927801</v>
      </c>
      <c r="N126">
        <v>0.67378419224656505</v>
      </c>
      <c r="O126">
        <v>0.59923217160951403</v>
      </c>
      <c r="P126">
        <v>0.67176956229680096</v>
      </c>
      <c r="Q126" t="s">
        <v>1173</v>
      </c>
      <c r="R126" t="s">
        <v>1068</v>
      </c>
      <c r="S126" t="s">
        <v>1173</v>
      </c>
      <c r="T126" t="s">
        <v>1068</v>
      </c>
      <c r="U126" t="s">
        <v>944</v>
      </c>
      <c r="V126">
        <v>0</v>
      </c>
      <c r="W126" t="s">
        <v>944</v>
      </c>
      <c r="X126" t="s">
        <v>1175</v>
      </c>
      <c r="Y126">
        <v>1</v>
      </c>
      <c r="Z126">
        <v>0.50480641089550404</v>
      </c>
      <c r="AA126">
        <v>-0.158976605099756</v>
      </c>
      <c r="AB126">
        <v>0.413564498174463</v>
      </c>
      <c r="AC126">
        <v>-0.25632851663036399</v>
      </c>
    </row>
    <row r="127" spans="1:29" x14ac:dyDescent="0.2">
      <c r="A127">
        <v>126</v>
      </c>
      <c r="B127" t="s">
        <v>291</v>
      </c>
      <c r="C127" t="s">
        <v>182</v>
      </c>
      <c r="D127" t="s">
        <v>164</v>
      </c>
      <c r="E127">
        <v>0.86441282082059401</v>
      </c>
      <c r="F127">
        <v>0.89751592975596595</v>
      </c>
      <c r="G127">
        <v>-3.4618956296202E-2</v>
      </c>
      <c r="H127">
        <v>0.87325514449071495</v>
      </c>
      <c r="I127">
        <v>0.90787410078691699</v>
      </c>
      <c r="J127">
        <v>3.3103108935371897E-2</v>
      </c>
      <c r="K127">
        <v>0.86441282082059401</v>
      </c>
      <c r="L127">
        <v>-3.4618956296202E-2</v>
      </c>
      <c r="M127">
        <v>3.3103108935371897E-2</v>
      </c>
      <c r="N127">
        <v>0.93213488605216799</v>
      </c>
      <c r="O127">
        <v>8.8423236701209405E-3</v>
      </c>
      <c r="P127">
        <v>0.90787410078691699</v>
      </c>
      <c r="Q127" t="s">
        <v>1068</v>
      </c>
      <c r="R127" t="s">
        <v>1068</v>
      </c>
      <c r="S127" t="s">
        <v>1173</v>
      </c>
      <c r="T127" t="s">
        <v>1068</v>
      </c>
      <c r="U127" t="s">
        <v>944</v>
      </c>
      <c r="V127">
        <v>0</v>
      </c>
      <c r="W127" t="s">
        <v>944</v>
      </c>
      <c r="X127" t="s">
        <v>1175</v>
      </c>
      <c r="Y127">
        <v>0</v>
      </c>
      <c r="Z127">
        <v>0.61149147887816002</v>
      </c>
      <c r="AA127">
        <v>-0.18033643774781299</v>
      </c>
      <c r="AB127">
        <v>0.84861090395210703</v>
      </c>
      <c r="AC127">
        <v>-0.12308481074913701</v>
      </c>
    </row>
    <row r="128" spans="1:29" x14ac:dyDescent="0.2">
      <c r="A128">
        <v>127</v>
      </c>
      <c r="B128" t="s">
        <v>292</v>
      </c>
      <c r="C128" t="s">
        <v>182</v>
      </c>
      <c r="D128" t="s">
        <v>166</v>
      </c>
      <c r="E128">
        <v>2.94743874164804E-3</v>
      </c>
      <c r="F128">
        <v>-0.15958185579131301</v>
      </c>
      <c r="G128">
        <v>2.5822808324273902E-3</v>
      </c>
      <c r="H128">
        <v>-0.29220701796699</v>
      </c>
      <c r="I128">
        <v>-0.29478929879941701</v>
      </c>
      <c r="J128">
        <v>-0.162529294532961</v>
      </c>
      <c r="K128">
        <v>2.94743874164804E-3</v>
      </c>
      <c r="L128">
        <v>2.5822808324273902E-3</v>
      </c>
      <c r="M128">
        <v>-0.162529294532961</v>
      </c>
      <c r="N128">
        <v>-0.16216413662373999</v>
      </c>
      <c r="O128">
        <v>-0.29515445670863799</v>
      </c>
      <c r="P128">
        <v>-0.29478929879941701</v>
      </c>
      <c r="Q128" t="s">
        <v>1173</v>
      </c>
      <c r="R128" t="s">
        <v>1067</v>
      </c>
      <c r="S128" t="s">
        <v>1173</v>
      </c>
      <c r="T128" t="s">
        <v>1067</v>
      </c>
      <c r="U128" t="s">
        <v>1174</v>
      </c>
      <c r="V128">
        <v>1</v>
      </c>
      <c r="W128" t="s">
        <v>1174</v>
      </c>
      <c r="X128" t="s">
        <v>1175</v>
      </c>
      <c r="Y128">
        <v>1</v>
      </c>
      <c r="Z128">
        <v>0.57914132152582498</v>
      </c>
      <c r="AA128">
        <v>-0.19567208913742201</v>
      </c>
      <c r="AB128">
        <v>0.64416361814841305</v>
      </c>
      <c r="AC128">
        <v>-0.22617823922274699</v>
      </c>
    </row>
    <row r="129" spans="1:29" x14ac:dyDescent="0.2">
      <c r="A129">
        <v>128</v>
      </c>
      <c r="B129" t="s">
        <v>293</v>
      </c>
      <c r="C129" t="s">
        <v>182</v>
      </c>
      <c r="D129" t="s">
        <v>226</v>
      </c>
      <c r="E129">
        <v>-0.46232676154761798</v>
      </c>
      <c r="F129">
        <v>0.563057923705376</v>
      </c>
      <c r="G129">
        <v>-2.9688015614016301E-2</v>
      </c>
      <c r="H129">
        <v>0.52904481379843704</v>
      </c>
      <c r="I129">
        <v>0.55873282941245295</v>
      </c>
      <c r="J129">
        <v>1.02538468525299</v>
      </c>
      <c r="K129">
        <v>-2.9688015614016301E-2</v>
      </c>
      <c r="L129">
        <v>-0.46232676154761798</v>
      </c>
      <c r="M129">
        <v>0.59274593931939201</v>
      </c>
      <c r="N129">
        <v>1.02538468525299</v>
      </c>
      <c r="O129">
        <v>0.55873282941245295</v>
      </c>
      <c r="P129">
        <v>0.99137157534605502</v>
      </c>
      <c r="Q129" t="s">
        <v>1067</v>
      </c>
      <c r="R129" t="s">
        <v>1068</v>
      </c>
      <c r="S129" t="s">
        <v>1173</v>
      </c>
      <c r="T129" t="s">
        <v>1068</v>
      </c>
      <c r="U129" t="s">
        <v>944</v>
      </c>
      <c r="V129">
        <v>0</v>
      </c>
      <c r="W129" t="s">
        <v>944</v>
      </c>
      <c r="X129" t="s">
        <v>1175</v>
      </c>
      <c r="Y129">
        <v>1</v>
      </c>
      <c r="Z129">
        <v>0.30205537260054</v>
      </c>
      <c r="AA129">
        <v>-0.190771543277829</v>
      </c>
      <c r="AB129">
        <v>0.42658254234419402</v>
      </c>
      <c r="AC129">
        <v>-0.17789075128211601</v>
      </c>
    </row>
    <row r="130" spans="1:29" x14ac:dyDescent="0.2">
      <c r="A130">
        <v>129</v>
      </c>
      <c r="B130" t="s">
        <v>294</v>
      </c>
      <c r="C130" t="s">
        <v>182</v>
      </c>
      <c r="D130" t="s">
        <v>168</v>
      </c>
      <c r="E130">
        <v>0.56798822506486202</v>
      </c>
      <c r="F130">
        <v>0.79868945256913704</v>
      </c>
      <c r="G130">
        <v>-4.2014626662412999E-2</v>
      </c>
      <c r="H130">
        <v>0.78278684837270796</v>
      </c>
      <c r="I130">
        <v>0.82480147503512102</v>
      </c>
      <c r="J130">
        <v>0.23070122750427499</v>
      </c>
      <c r="K130">
        <v>0.56798822506486202</v>
      </c>
      <c r="L130">
        <v>-4.2014626662412999E-2</v>
      </c>
      <c r="M130">
        <v>0.23070122750427499</v>
      </c>
      <c r="N130">
        <v>0.84070407923154999</v>
      </c>
      <c r="O130">
        <v>0.21479862330784599</v>
      </c>
      <c r="P130">
        <v>0.82480147503512102</v>
      </c>
      <c r="Q130" t="s">
        <v>1068</v>
      </c>
      <c r="R130" t="s">
        <v>1068</v>
      </c>
      <c r="S130" t="s">
        <v>1173</v>
      </c>
      <c r="T130" t="s">
        <v>1068</v>
      </c>
      <c r="U130" t="s">
        <v>944</v>
      </c>
      <c r="V130">
        <v>0</v>
      </c>
      <c r="W130" t="s">
        <v>944</v>
      </c>
      <c r="X130" t="s">
        <v>1175</v>
      </c>
      <c r="Y130">
        <v>1</v>
      </c>
      <c r="Z130">
        <v>0.282550780638266</v>
      </c>
      <c r="AA130">
        <v>-0.19745212210979901</v>
      </c>
      <c r="AB130">
        <v>0.41567195907890497</v>
      </c>
      <c r="AC130">
        <v>-0.180835861616856</v>
      </c>
    </row>
    <row r="131" spans="1:29" x14ac:dyDescent="0.2">
      <c r="A131">
        <v>130</v>
      </c>
      <c r="B131" t="s">
        <v>295</v>
      </c>
      <c r="C131" t="s">
        <v>184</v>
      </c>
      <c r="D131" t="s">
        <v>129</v>
      </c>
      <c r="E131">
        <v>-0.33518429671123101</v>
      </c>
      <c r="F131">
        <v>-0.90217179894962896</v>
      </c>
      <c r="G131">
        <v>-9.5747104779890999E-2</v>
      </c>
      <c r="H131">
        <v>-1</v>
      </c>
      <c r="I131">
        <v>-0.90425289522010899</v>
      </c>
      <c r="J131">
        <v>-0.566987502238398</v>
      </c>
      <c r="K131">
        <v>-9.5747104779890999E-2</v>
      </c>
      <c r="L131">
        <v>-0.33518429671123101</v>
      </c>
      <c r="M131">
        <v>-0.80642469416973805</v>
      </c>
      <c r="N131">
        <v>-0.566987502238398</v>
      </c>
      <c r="O131">
        <v>-0.90425289522010899</v>
      </c>
      <c r="P131">
        <v>-0.66481570328876904</v>
      </c>
      <c r="Q131" t="s">
        <v>1067</v>
      </c>
      <c r="R131" t="s">
        <v>1067</v>
      </c>
      <c r="S131" t="s">
        <v>1173</v>
      </c>
      <c r="T131" t="s">
        <v>1067</v>
      </c>
      <c r="U131" t="s">
        <v>1174</v>
      </c>
      <c r="V131">
        <v>1</v>
      </c>
      <c r="W131" t="s">
        <v>944</v>
      </c>
      <c r="X131" t="s">
        <v>1175</v>
      </c>
      <c r="Y131">
        <v>1</v>
      </c>
      <c r="Z131">
        <v>-0.37616512198979501</v>
      </c>
      <c r="AA131">
        <v>-0.25480163474281903</v>
      </c>
      <c r="AB131">
        <v>-0.25192198887171402</v>
      </c>
      <c r="AC131">
        <v>-0.26172560029552899</v>
      </c>
    </row>
    <row r="132" spans="1:29" x14ac:dyDescent="0.2">
      <c r="A132">
        <v>131</v>
      </c>
      <c r="B132" t="s">
        <v>296</v>
      </c>
      <c r="C132" t="s">
        <v>184</v>
      </c>
      <c r="D132" t="s">
        <v>130</v>
      </c>
      <c r="E132">
        <v>-1.20315824164831E-2</v>
      </c>
      <c r="F132">
        <v>0.541004364891296</v>
      </c>
      <c r="G132">
        <v>0.42884361837891399</v>
      </c>
      <c r="H132">
        <v>0.44752465300897998</v>
      </c>
      <c r="I132">
        <v>1.8681034630065999E-2</v>
      </c>
      <c r="J132">
        <v>0.55303594730777905</v>
      </c>
      <c r="K132">
        <v>0.42884361837891399</v>
      </c>
      <c r="L132">
        <v>-1.20315824164831E-2</v>
      </c>
      <c r="M132">
        <v>0.112160746512382</v>
      </c>
      <c r="N132">
        <v>0.55303594730777905</v>
      </c>
      <c r="O132">
        <v>1.8681034630065999E-2</v>
      </c>
      <c r="P132">
        <v>0.45955623542546298</v>
      </c>
      <c r="Q132" t="s">
        <v>1173</v>
      </c>
      <c r="R132" t="s">
        <v>1068</v>
      </c>
      <c r="S132" t="s">
        <v>1068</v>
      </c>
      <c r="T132" t="s">
        <v>1068</v>
      </c>
      <c r="U132" t="s">
        <v>944</v>
      </c>
      <c r="V132">
        <v>0</v>
      </c>
      <c r="W132" t="s">
        <v>944</v>
      </c>
      <c r="X132" t="s">
        <v>1175</v>
      </c>
      <c r="Y132">
        <v>1</v>
      </c>
      <c r="Z132">
        <v>-0.15516706676691699</v>
      </c>
      <c r="AA132">
        <v>-0.19100433611756701</v>
      </c>
      <c r="AB132">
        <v>-0.35070816023130602</v>
      </c>
      <c r="AC132">
        <v>-0.35240445925897201</v>
      </c>
    </row>
    <row r="133" spans="1:29" x14ac:dyDescent="0.2">
      <c r="A133">
        <v>132</v>
      </c>
      <c r="B133" t="s">
        <v>297</v>
      </c>
      <c r="C133" t="s">
        <v>184</v>
      </c>
      <c r="D133" t="s">
        <v>132</v>
      </c>
      <c r="E133">
        <v>0.77069214202719705</v>
      </c>
      <c r="F133">
        <v>0.55338960678635996</v>
      </c>
      <c r="G133">
        <v>0.72613789109927995</v>
      </c>
      <c r="H133">
        <v>0.50707363955679896</v>
      </c>
      <c r="I133">
        <v>-0.21906425154248099</v>
      </c>
      <c r="J133">
        <v>-0.21730253524083701</v>
      </c>
      <c r="K133">
        <v>0.77069214202719705</v>
      </c>
      <c r="L133">
        <v>0.72613789109927995</v>
      </c>
      <c r="M133">
        <v>-0.21730253524083701</v>
      </c>
      <c r="N133">
        <v>-0.17274828431292</v>
      </c>
      <c r="O133">
        <v>-0.26361850247039798</v>
      </c>
      <c r="P133">
        <v>-0.21906425154248099</v>
      </c>
      <c r="Q133" t="s">
        <v>1068</v>
      </c>
      <c r="R133" t="s">
        <v>1068</v>
      </c>
      <c r="S133" t="s">
        <v>1068</v>
      </c>
      <c r="T133" t="s">
        <v>1068</v>
      </c>
      <c r="U133" t="s">
        <v>1174</v>
      </c>
      <c r="V133">
        <v>1</v>
      </c>
      <c r="W133" t="s">
        <v>944</v>
      </c>
      <c r="X133" t="s">
        <v>1175</v>
      </c>
      <c r="Y133">
        <v>1</v>
      </c>
      <c r="Z133">
        <v>-0.42491599291770099</v>
      </c>
      <c r="AA133">
        <v>-0.26074785732383599</v>
      </c>
      <c r="AB133">
        <v>-0.30921166438630399</v>
      </c>
      <c r="AC133">
        <v>-0.27112880327566302</v>
      </c>
    </row>
    <row r="134" spans="1:29" x14ac:dyDescent="0.2">
      <c r="A134">
        <v>133</v>
      </c>
      <c r="B134" t="s">
        <v>298</v>
      </c>
      <c r="C134" t="s">
        <v>184</v>
      </c>
      <c r="D134" t="s">
        <v>134</v>
      </c>
      <c r="E134">
        <v>5.3359984321101901E-2</v>
      </c>
      <c r="F134">
        <v>-0.26770186756040798</v>
      </c>
      <c r="G134">
        <v>3.8853371150780001E-3</v>
      </c>
      <c r="H134">
        <v>-0.48699154109798698</v>
      </c>
      <c r="I134">
        <v>-0.49087687821306503</v>
      </c>
      <c r="J134">
        <v>-0.32106185188150999</v>
      </c>
      <c r="K134">
        <v>5.3359984321101901E-2</v>
      </c>
      <c r="L134">
        <v>3.8853371150780001E-3</v>
      </c>
      <c r="M134">
        <v>-0.32106185188150999</v>
      </c>
      <c r="N134">
        <v>-0.27158720467548603</v>
      </c>
      <c r="O134">
        <v>-0.54035152541908904</v>
      </c>
      <c r="P134">
        <v>-0.49087687821306503</v>
      </c>
      <c r="Q134" t="s">
        <v>1173</v>
      </c>
      <c r="R134" t="s">
        <v>1067</v>
      </c>
      <c r="S134" t="s">
        <v>1173</v>
      </c>
      <c r="T134" t="s">
        <v>1067</v>
      </c>
      <c r="U134" t="s">
        <v>1174</v>
      </c>
      <c r="V134">
        <v>1</v>
      </c>
      <c r="W134" t="s">
        <v>1174</v>
      </c>
      <c r="X134" t="s">
        <v>1175</v>
      </c>
      <c r="Y134">
        <v>1</v>
      </c>
      <c r="Z134">
        <v>-0.29177044068992602</v>
      </c>
      <c r="AA134">
        <v>-0.280446553329531</v>
      </c>
      <c r="AB134">
        <v>-0.228070348443833</v>
      </c>
      <c r="AC134">
        <v>-0.32832717806433598</v>
      </c>
    </row>
    <row r="135" spans="1:29" x14ac:dyDescent="0.2">
      <c r="A135">
        <v>134</v>
      </c>
      <c r="B135" t="s">
        <v>299</v>
      </c>
      <c r="C135" t="s">
        <v>184</v>
      </c>
      <c r="D135" t="s">
        <v>136</v>
      </c>
      <c r="E135">
        <v>-0.15829320298628899</v>
      </c>
      <c r="F135">
        <v>-1.38150971926506E-2</v>
      </c>
      <c r="G135">
        <v>3.88533718916963E-3</v>
      </c>
      <c r="H135">
        <v>-0.21343406686736599</v>
      </c>
      <c r="I135">
        <v>-0.21731940405653599</v>
      </c>
      <c r="J135">
        <v>0.14447810579363801</v>
      </c>
      <c r="K135">
        <v>3.88533718916963E-3</v>
      </c>
      <c r="L135">
        <v>-0.15829320298628899</v>
      </c>
      <c r="M135">
        <v>-1.7700434381820201E-2</v>
      </c>
      <c r="N135">
        <v>0.14447810579363801</v>
      </c>
      <c r="O135">
        <v>-0.21731940405653599</v>
      </c>
      <c r="P135">
        <v>-5.5140863881077001E-2</v>
      </c>
      <c r="Q135" t="s">
        <v>1067</v>
      </c>
      <c r="R135" t="s">
        <v>1173</v>
      </c>
      <c r="S135" t="s">
        <v>1173</v>
      </c>
      <c r="T135" t="s">
        <v>1067</v>
      </c>
      <c r="U135" t="s">
        <v>944</v>
      </c>
      <c r="V135">
        <v>1</v>
      </c>
      <c r="W135" t="s">
        <v>944</v>
      </c>
      <c r="X135" t="s">
        <v>1175</v>
      </c>
      <c r="Y135">
        <v>1</v>
      </c>
      <c r="Z135">
        <v>-0.37046131981684</v>
      </c>
      <c r="AA135">
        <v>-0.28992935732648201</v>
      </c>
      <c r="AB135">
        <v>-0.11626873053516799</v>
      </c>
      <c r="AC135">
        <v>-0.242021758084594</v>
      </c>
    </row>
    <row r="136" spans="1:29" x14ac:dyDescent="0.2">
      <c r="A136">
        <v>135</v>
      </c>
      <c r="B136" t="s">
        <v>300</v>
      </c>
      <c r="C136" t="s">
        <v>184</v>
      </c>
      <c r="D136" t="s">
        <v>138</v>
      </c>
      <c r="E136">
        <v>-0.116210422623197</v>
      </c>
      <c r="F136">
        <v>0.44569374558595298</v>
      </c>
      <c r="G136">
        <v>-0.11953144153187201</v>
      </c>
      <c r="H136">
        <v>0.39689945103652002</v>
      </c>
      <c r="I136">
        <v>0.51643089256839203</v>
      </c>
      <c r="J136">
        <v>0.56190416820915001</v>
      </c>
      <c r="K136">
        <v>-0.116210422623197</v>
      </c>
      <c r="L136">
        <v>-0.11953144153187201</v>
      </c>
      <c r="M136">
        <v>0.56190416820915001</v>
      </c>
      <c r="N136">
        <v>0.56522518711782499</v>
      </c>
      <c r="O136">
        <v>0.51310987365971705</v>
      </c>
      <c r="P136">
        <v>0.51643089256839203</v>
      </c>
      <c r="Q136" t="s">
        <v>1067</v>
      </c>
      <c r="R136" t="s">
        <v>1068</v>
      </c>
      <c r="S136" t="s">
        <v>1067</v>
      </c>
      <c r="T136" t="s">
        <v>1068</v>
      </c>
      <c r="U136" t="s">
        <v>944</v>
      </c>
      <c r="V136">
        <v>0</v>
      </c>
      <c r="W136" t="s">
        <v>944</v>
      </c>
      <c r="X136" t="s">
        <v>1175</v>
      </c>
      <c r="Y136">
        <v>1</v>
      </c>
      <c r="Z136">
        <v>0.48007148788746201</v>
      </c>
      <c r="AA136">
        <v>-0.12940601643353999</v>
      </c>
      <c r="AB136">
        <v>0.53601076063666497</v>
      </c>
      <c r="AC136">
        <v>-0.16291522734317601</v>
      </c>
    </row>
    <row r="137" spans="1:29" x14ac:dyDescent="0.2">
      <c r="A137">
        <v>136</v>
      </c>
      <c r="B137" t="s">
        <v>301</v>
      </c>
      <c r="C137" t="s">
        <v>184</v>
      </c>
      <c r="D137" t="s">
        <v>182</v>
      </c>
      <c r="E137">
        <v>0.59157807179621502</v>
      </c>
      <c r="F137">
        <v>0.23795222451105899</v>
      </c>
      <c r="G137">
        <v>0.50504076537952203</v>
      </c>
      <c r="H137">
        <v>0.249188803184026</v>
      </c>
      <c r="I137">
        <v>-0.255851962195496</v>
      </c>
      <c r="J137">
        <v>-0.353625847285156</v>
      </c>
      <c r="K137">
        <v>0.59157807179621502</v>
      </c>
      <c r="L137">
        <v>0.50504076537952203</v>
      </c>
      <c r="M137">
        <v>-0.353625847285156</v>
      </c>
      <c r="N137">
        <v>-0.26708854086846301</v>
      </c>
      <c r="O137">
        <v>-0.34238926861218899</v>
      </c>
      <c r="P137">
        <v>-0.255851962195496</v>
      </c>
      <c r="Q137" t="s">
        <v>1068</v>
      </c>
      <c r="R137" t="s">
        <v>1068</v>
      </c>
      <c r="S137" t="s">
        <v>1068</v>
      </c>
      <c r="T137" t="s">
        <v>1068</v>
      </c>
      <c r="U137" t="s">
        <v>1174</v>
      </c>
      <c r="V137">
        <v>1</v>
      </c>
      <c r="W137" t="s">
        <v>944</v>
      </c>
      <c r="X137" t="s">
        <v>1175</v>
      </c>
      <c r="Y137">
        <v>1</v>
      </c>
      <c r="Z137">
        <v>0.448024825597302</v>
      </c>
      <c r="AA137">
        <v>-0.15469749051453899</v>
      </c>
      <c r="AB137">
        <v>0.52363411354107803</v>
      </c>
      <c r="AC137">
        <v>-0.16247078550601499</v>
      </c>
    </row>
    <row r="138" spans="1:29" x14ac:dyDescent="0.2">
      <c r="A138">
        <v>137</v>
      </c>
      <c r="B138" t="s">
        <v>302</v>
      </c>
      <c r="C138" t="s">
        <v>184</v>
      </c>
      <c r="D138" t="s">
        <v>188</v>
      </c>
      <c r="E138">
        <v>0.86031057300107605</v>
      </c>
      <c r="F138">
        <v>0.98218751235880197</v>
      </c>
      <c r="G138">
        <v>0.87657015036295904</v>
      </c>
      <c r="H138">
        <v>0.98122733922241701</v>
      </c>
      <c r="I138">
        <v>0.104657188859458</v>
      </c>
      <c r="J138">
        <v>0.12187693935772601</v>
      </c>
      <c r="K138">
        <v>0.87657015036295904</v>
      </c>
      <c r="L138">
        <v>0.86031057300107605</v>
      </c>
      <c r="M138">
        <v>0.105617361995843</v>
      </c>
      <c r="N138">
        <v>0.12187693935772601</v>
      </c>
      <c r="O138">
        <v>0.104657188859458</v>
      </c>
      <c r="P138">
        <v>0.120916766221341</v>
      </c>
      <c r="Q138" t="s">
        <v>1068</v>
      </c>
      <c r="R138" t="s">
        <v>1068</v>
      </c>
      <c r="S138" t="s">
        <v>1068</v>
      </c>
      <c r="T138" t="s">
        <v>1068</v>
      </c>
      <c r="U138" t="s">
        <v>944</v>
      </c>
      <c r="V138">
        <v>0</v>
      </c>
      <c r="W138" t="s">
        <v>944</v>
      </c>
      <c r="X138" t="s">
        <v>1176</v>
      </c>
      <c r="Y138">
        <v>1</v>
      </c>
      <c r="Z138">
        <v>0.48591887035681802</v>
      </c>
      <c r="AA138">
        <v>-0.143267847857525</v>
      </c>
      <c r="AB138">
        <v>0.55866412862642301</v>
      </c>
      <c r="AC138">
        <v>-0.157816363817529</v>
      </c>
    </row>
    <row r="139" spans="1:29" x14ac:dyDescent="0.2">
      <c r="A139">
        <v>138</v>
      </c>
      <c r="B139" t="s">
        <v>303</v>
      </c>
      <c r="C139" t="s">
        <v>184</v>
      </c>
      <c r="D139" t="s">
        <v>140</v>
      </c>
      <c r="E139">
        <v>-0.15694337092478999</v>
      </c>
      <c r="F139">
        <v>-0.89013064531599095</v>
      </c>
      <c r="G139">
        <v>-0.18855607008359701</v>
      </c>
      <c r="H139">
        <v>-1</v>
      </c>
      <c r="I139">
        <v>-0.81144392991640302</v>
      </c>
      <c r="J139">
        <v>-0.73318727439120102</v>
      </c>
      <c r="K139">
        <v>-0.15694337092478999</v>
      </c>
      <c r="L139">
        <v>-0.18855607008359701</v>
      </c>
      <c r="M139">
        <v>-0.73318727439120102</v>
      </c>
      <c r="N139">
        <v>-0.70157457523239397</v>
      </c>
      <c r="O139">
        <v>-0.84305662907520995</v>
      </c>
      <c r="P139">
        <v>-0.81144392991640302</v>
      </c>
      <c r="Q139" t="s">
        <v>1067</v>
      </c>
      <c r="R139" t="s">
        <v>1067</v>
      </c>
      <c r="S139" t="s">
        <v>1067</v>
      </c>
      <c r="T139" t="s">
        <v>1067</v>
      </c>
      <c r="U139" t="s">
        <v>1174</v>
      </c>
      <c r="V139">
        <v>1</v>
      </c>
      <c r="W139" t="s">
        <v>944</v>
      </c>
      <c r="X139" t="s">
        <v>1175</v>
      </c>
      <c r="Y139">
        <v>1</v>
      </c>
      <c r="Z139">
        <v>-0.35789724713898202</v>
      </c>
      <c r="AA139">
        <v>-0.22519764577493001</v>
      </c>
      <c r="AB139">
        <v>-0.32360422090277002</v>
      </c>
      <c r="AC139">
        <v>-0.269445943322762</v>
      </c>
    </row>
    <row r="140" spans="1:29" x14ac:dyDescent="0.2">
      <c r="A140">
        <v>139</v>
      </c>
      <c r="B140" t="s">
        <v>304</v>
      </c>
      <c r="C140" t="s">
        <v>184</v>
      </c>
      <c r="D140" t="s">
        <v>191</v>
      </c>
      <c r="E140">
        <v>-0.15329431478123901</v>
      </c>
      <c r="F140">
        <v>-1</v>
      </c>
      <c r="G140">
        <v>-0.21735716201149799</v>
      </c>
      <c r="H140">
        <v>-1</v>
      </c>
      <c r="I140">
        <v>-0.78264283798850198</v>
      </c>
      <c r="J140">
        <v>-0.84670568521876099</v>
      </c>
      <c r="K140">
        <v>-0.15329431478123901</v>
      </c>
      <c r="L140">
        <v>-0.21735716201149799</v>
      </c>
      <c r="M140">
        <v>-0.84670568521876099</v>
      </c>
      <c r="N140">
        <v>-0.78264283798850198</v>
      </c>
      <c r="O140">
        <v>-0.84670568521876099</v>
      </c>
      <c r="P140">
        <v>-0.78264283798850198</v>
      </c>
      <c r="Q140" t="s">
        <v>1067</v>
      </c>
      <c r="R140" t="s">
        <v>1067</v>
      </c>
      <c r="S140" t="s">
        <v>1067</v>
      </c>
      <c r="T140" t="s">
        <v>1067</v>
      </c>
      <c r="U140" t="s">
        <v>1174</v>
      </c>
      <c r="V140">
        <v>1</v>
      </c>
      <c r="W140" t="s">
        <v>944</v>
      </c>
      <c r="X140" t="s">
        <v>1175</v>
      </c>
      <c r="Y140">
        <v>1</v>
      </c>
      <c r="Z140">
        <v>-0.35746981285506102</v>
      </c>
      <c r="AA140">
        <v>-0.220507643114501</v>
      </c>
      <c r="AB140">
        <v>-0.34113841507762499</v>
      </c>
      <c r="AC140">
        <v>-0.27240930606358899</v>
      </c>
    </row>
    <row r="141" spans="1:29" x14ac:dyDescent="0.2">
      <c r="A141">
        <v>140</v>
      </c>
      <c r="B141" t="s">
        <v>305</v>
      </c>
      <c r="C141" t="s">
        <v>184</v>
      </c>
      <c r="D141" t="s">
        <v>193</v>
      </c>
      <c r="E141">
        <v>-0.16742181434942599</v>
      </c>
      <c r="F141">
        <v>-1</v>
      </c>
      <c r="G141">
        <v>-0.215531940571287</v>
      </c>
      <c r="H141">
        <v>-1</v>
      </c>
      <c r="I141">
        <v>-0.784468059428713</v>
      </c>
      <c r="J141">
        <v>-0.83257818565057395</v>
      </c>
      <c r="K141">
        <v>-0.16742181434942599</v>
      </c>
      <c r="L141">
        <v>-0.215531940571287</v>
      </c>
      <c r="M141">
        <v>-0.83257818565057395</v>
      </c>
      <c r="N141">
        <v>-0.784468059428713</v>
      </c>
      <c r="O141">
        <v>-0.83257818565057395</v>
      </c>
      <c r="P141">
        <v>-0.784468059428713</v>
      </c>
      <c r="Q141" t="s">
        <v>1067</v>
      </c>
      <c r="R141" t="s">
        <v>1067</v>
      </c>
      <c r="S141" t="s">
        <v>1067</v>
      </c>
      <c r="T141" t="s">
        <v>1067</v>
      </c>
      <c r="U141" t="s">
        <v>1174</v>
      </c>
      <c r="V141">
        <v>1</v>
      </c>
      <c r="W141" t="s">
        <v>944</v>
      </c>
      <c r="X141" t="s">
        <v>1175</v>
      </c>
      <c r="Y141">
        <v>1</v>
      </c>
      <c r="Z141">
        <v>-0.358568513558155</v>
      </c>
      <c r="AA141">
        <v>-0.21733937775395601</v>
      </c>
      <c r="AB141">
        <v>-0.34784834379901602</v>
      </c>
      <c r="AC141">
        <v>-0.27029041984020802</v>
      </c>
    </row>
    <row r="142" spans="1:29" x14ac:dyDescent="0.2">
      <c r="A142">
        <v>141</v>
      </c>
      <c r="B142" t="s">
        <v>306</v>
      </c>
      <c r="C142" t="s">
        <v>184</v>
      </c>
      <c r="D142" t="s">
        <v>142</v>
      </c>
      <c r="E142">
        <v>0.58627199772767802</v>
      </c>
      <c r="F142">
        <v>0.87823974124150195</v>
      </c>
      <c r="G142">
        <v>3.8853372323719199E-3</v>
      </c>
      <c r="H142">
        <v>0.88525952843357003</v>
      </c>
      <c r="I142">
        <v>0.88137419120119798</v>
      </c>
      <c r="J142">
        <v>0.29196774351382399</v>
      </c>
      <c r="K142">
        <v>0.58627199772767802</v>
      </c>
      <c r="L142">
        <v>3.8853372323719199E-3</v>
      </c>
      <c r="M142">
        <v>0.29196774351382399</v>
      </c>
      <c r="N142">
        <v>0.87435440400913</v>
      </c>
      <c r="O142">
        <v>0.29898753070589201</v>
      </c>
      <c r="P142">
        <v>0.88137419120119798</v>
      </c>
      <c r="Q142" t="s">
        <v>1068</v>
      </c>
      <c r="R142" t="s">
        <v>1068</v>
      </c>
      <c r="S142" t="s">
        <v>1173</v>
      </c>
      <c r="T142" t="s">
        <v>1068</v>
      </c>
      <c r="U142" t="s">
        <v>944</v>
      </c>
      <c r="V142">
        <v>0</v>
      </c>
      <c r="W142" t="s">
        <v>944</v>
      </c>
      <c r="X142" t="s">
        <v>1175</v>
      </c>
      <c r="Y142">
        <v>1</v>
      </c>
      <c r="Z142">
        <v>0.61159410824133398</v>
      </c>
      <c r="AA142">
        <v>-0.17158477607713701</v>
      </c>
      <c r="AB142">
        <v>0.68058920737441198</v>
      </c>
      <c r="AC142">
        <v>-0.14030282611112499</v>
      </c>
    </row>
    <row r="143" spans="1:29" x14ac:dyDescent="0.2">
      <c r="A143">
        <v>142</v>
      </c>
      <c r="B143" t="s">
        <v>307</v>
      </c>
      <c r="C143" t="s">
        <v>184</v>
      </c>
      <c r="D143" t="s">
        <v>144</v>
      </c>
      <c r="E143">
        <v>-1.2281083926576701E-2</v>
      </c>
      <c r="F143">
        <v>0.31997580564793399</v>
      </c>
      <c r="G143">
        <v>3.1807140709061302E-3</v>
      </c>
      <c r="H143">
        <v>0.22898014223961399</v>
      </c>
      <c r="I143">
        <v>0.22579942816870799</v>
      </c>
      <c r="J143">
        <v>0.33225688957451099</v>
      </c>
      <c r="K143">
        <v>3.1807140709061302E-3</v>
      </c>
      <c r="L143">
        <v>-1.2281083926576701E-2</v>
      </c>
      <c r="M143">
        <v>0.31679509157702801</v>
      </c>
      <c r="N143">
        <v>0.33225688957451099</v>
      </c>
      <c r="O143">
        <v>0.22579942816870799</v>
      </c>
      <c r="P143">
        <v>0.241261226166191</v>
      </c>
      <c r="Q143" t="s">
        <v>1173</v>
      </c>
      <c r="R143" t="s">
        <v>1068</v>
      </c>
      <c r="S143" t="s">
        <v>1173</v>
      </c>
      <c r="T143" t="s">
        <v>1068</v>
      </c>
      <c r="U143" t="s">
        <v>944</v>
      </c>
      <c r="V143">
        <v>0</v>
      </c>
      <c r="W143" t="s">
        <v>944</v>
      </c>
      <c r="X143" t="s">
        <v>1175</v>
      </c>
      <c r="Y143">
        <v>1</v>
      </c>
      <c r="Z143">
        <v>-0.215711586539926</v>
      </c>
      <c r="AA143">
        <v>-0.27126962001293897</v>
      </c>
      <c r="AB143">
        <v>-0.16697677789073201</v>
      </c>
      <c r="AC143">
        <v>-0.32840953619922397</v>
      </c>
    </row>
    <row r="144" spans="1:29" x14ac:dyDescent="0.2">
      <c r="A144">
        <v>143</v>
      </c>
      <c r="B144" t="s">
        <v>308</v>
      </c>
      <c r="C144" t="s">
        <v>184</v>
      </c>
      <c r="D144" t="s">
        <v>146</v>
      </c>
      <c r="E144">
        <v>-1.30604606315998E-2</v>
      </c>
      <c r="F144">
        <v>-0.152458912785292</v>
      </c>
      <c r="G144">
        <v>-0.19732572796256501</v>
      </c>
      <c r="H144">
        <v>-0.38212622121362499</v>
      </c>
      <c r="I144">
        <v>-0.18480049325105999</v>
      </c>
      <c r="J144">
        <v>-0.13939845215369201</v>
      </c>
      <c r="K144">
        <v>-1.30604606315998E-2</v>
      </c>
      <c r="L144">
        <v>-0.19732572796256501</v>
      </c>
      <c r="M144">
        <v>-0.13939845215369201</v>
      </c>
      <c r="N144">
        <v>4.4866815177272999E-2</v>
      </c>
      <c r="O144">
        <v>-0.369065760582025</v>
      </c>
      <c r="P144">
        <v>-0.18480049325105999</v>
      </c>
      <c r="Q144" t="s">
        <v>1173</v>
      </c>
      <c r="R144" t="s">
        <v>1067</v>
      </c>
      <c r="S144" t="s">
        <v>1067</v>
      </c>
      <c r="T144" t="s">
        <v>1067</v>
      </c>
      <c r="U144" t="s">
        <v>1174</v>
      </c>
      <c r="V144">
        <v>1</v>
      </c>
      <c r="W144" t="s">
        <v>1174</v>
      </c>
      <c r="X144" t="s">
        <v>1175</v>
      </c>
      <c r="Y144">
        <v>1</v>
      </c>
      <c r="Z144">
        <v>-0.188705294828514</v>
      </c>
      <c r="AA144">
        <v>-0.20556129757959801</v>
      </c>
      <c r="AB144">
        <v>-0.34857257320337898</v>
      </c>
      <c r="AC144">
        <v>-0.351896660934508</v>
      </c>
    </row>
    <row r="145" spans="1:29" x14ac:dyDescent="0.2">
      <c r="A145">
        <v>144</v>
      </c>
      <c r="B145" t="s">
        <v>309</v>
      </c>
      <c r="C145" t="s">
        <v>184</v>
      </c>
      <c r="D145" t="s">
        <v>200</v>
      </c>
      <c r="E145">
        <v>-0.18615305573042501</v>
      </c>
      <c r="F145">
        <v>0.52657862759127405</v>
      </c>
      <c r="G145">
        <v>-9.1557584815811693E-2</v>
      </c>
      <c r="H145">
        <v>0.46926686318899002</v>
      </c>
      <c r="I145">
        <v>0.56082444800480202</v>
      </c>
      <c r="J145">
        <v>0.71273168332169901</v>
      </c>
      <c r="K145">
        <v>-9.1557584815811693E-2</v>
      </c>
      <c r="L145">
        <v>-0.18615305573042501</v>
      </c>
      <c r="M145">
        <v>0.61813621240708605</v>
      </c>
      <c r="N145">
        <v>0.71273168332169901</v>
      </c>
      <c r="O145">
        <v>0.56082444800480202</v>
      </c>
      <c r="P145">
        <v>0.65541991891941498</v>
      </c>
      <c r="Q145" t="s">
        <v>1067</v>
      </c>
      <c r="R145" t="s">
        <v>1068</v>
      </c>
      <c r="S145" t="s">
        <v>1173</v>
      </c>
      <c r="T145" t="s">
        <v>1068</v>
      </c>
      <c r="U145" t="s">
        <v>944</v>
      </c>
      <c r="V145">
        <v>0</v>
      </c>
      <c r="W145" t="s">
        <v>944</v>
      </c>
      <c r="X145" t="s">
        <v>1175</v>
      </c>
      <c r="Y145">
        <v>1</v>
      </c>
      <c r="Z145">
        <v>-0.190871363063459</v>
      </c>
      <c r="AA145">
        <v>-0.23426992302178301</v>
      </c>
      <c r="AB145">
        <v>-4.5729705791516001E-2</v>
      </c>
      <c r="AC145">
        <v>-0.23621530343101901</v>
      </c>
    </row>
    <row r="146" spans="1:29" x14ac:dyDescent="0.2">
      <c r="A146">
        <v>145</v>
      </c>
      <c r="B146" t="s">
        <v>310</v>
      </c>
      <c r="C146" t="s">
        <v>184</v>
      </c>
      <c r="D146" t="s">
        <v>148</v>
      </c>
      <c r="E146">
        <v>-0.421662459718113</v>
      </c>
      <c r="F146">
        <v>-0.52019263968003604</v>
      </c>
      <c r="G146">
        <v>3.9278690847017496E-3</v>
      </c>
      <c r="H146">
        <v>-0.74009797106360198</v>
      </c>
      <c r="I146">
        <v>-0.74402584014830397</v>
      </c>
      <c r="J146">
        <v>-9.8530179961922995E-2</v>
      </c>
      <c r="K146">
        <v>3.9278690847017496E-3</v>
      </c>
      <c r="L146">
        <v>-0.421662459718113</v>
      </c>
      <c r="M146">
        <v>-0.52412050876473804</v>
      </c>
      <c r="N146">
        <v>-9.8530179961922995E-2</v>
      </c>
      <c r="O146">
        <v>-0.74402584014830397</v>
      </c>
      <c r="P146">
        <v>-0.31843551134548898</v>
      </c>
      <c r="Q146" t="s">
        <v>1067</v>
      </c>
      <c r="R146" t="s">
        <v>1067</v>
      </c>
      <c r="S146" t="s">
        <v>1173</v>
      </c>
      <c r="T146" t="s">
        <v>1067</v>
      </c>
      <c r="U146" t="s">
        <v>1174</v>
      </c>
      <c r="V146">
        <v>1</v>
      </c>
      <c r="W146" t="s">
        <v>944</v>
      </c>
      <c r="X146" t="s">
        <v>1175</v>
      </c>
      <c r="Y146">
        <v>0</v>
      </c>
      <c r="Z146">
        <v>-0.54802857501826896</v>
      </c>
      <c r="AA146">
        <v>-0.31133390838317998</v>
      </c>
      <c r="AB146">
        <v>-0.307868992060503</v>
      </c>
      <c r="AC146">
        <v>-0.26882809516290301</v>
      </c>
    </row>
    <row r="147" spans="1:29" x14ac:dyDescent="0.2">
      <c r="A147">
        <v>146</v>
      </c>
      <c r="B147" t="s">
        <v>311</v>
      </c>
      <c r="C147" t="s">
        <v>184</v>
      </c>
      <c r="D147" t="s">
        <v>150</v>
      </c>
      <c r="E147">
        <v>-1.2148225948432701E-2</v>
      </c>
      <c r="F147">
        <v>-0.156068828626202</v>
      </c>
      <c r="G147">
        <v>-0.113675680074963</v>
      </c>
      <c r="H147">
        <v>-0.38582122625131798</v>
      </c>
      <c r="I147">
        <v>-0.272145546176355</v>
      </c>
      <c r="J147">
        <v>-0.14392060267776899</v>
      </c>
      <c r="K147">
        <v>-1.2148225948432701E-2</v>
      </c>
      <c r="L147">
        <v>-0.113675680074963</v>
      </c>
      <c r="M147">
        <v>-0.14392060267776899</v>
      </c>
      <c r="N147">
        <v>-4.2393148551238997E-2</v>
      </c>
      <c r="O147">
        <v>-0.37367300030288497</v>
      </c>
      <c r="P147">
        <v>-0.272145546176355</v>
      </c>
      <c r="Q147" t="s">
        <v>1173</v>
      </c>
      <c r="R147" t="s">
        <v>1067</v>
      </c>
      <c r="S147" t="s">
        <v>1067</v>
      </c>
      <c r="T147" t="s">
        <v>1067</v>
      </c>
      <c r="U147" t="s">
        <v>1174</v>
      </c>
      <c r="V147">
        <v>1</v>
      </c>
      <c r="W147" t="s">
        <v>1174</v>
      </c>
      <c r="X147" t="s">
        <v>1175</v>
      </c>
      <c r="Y147">
        <v>1</v>
      </c>
      <c r="Z147">
        <v>-0.27767882670468103</v>
      </c>
      <c r="AA147">
        <v>-0.24247415024774399</v>
      </c>
      <c r="AB147">
        <v>-0.35162015708167599</v>
      </c>
      <c r="AC147">
        <v>-0.35255121160854602</v>
      </c>
    </row>
    <row r="148" spans="1:29" x14ac:dyDescent="0.2">
      <c r="A148">
        <v>147</v>
      </c>
      <c r="B148" t="s">
        <v>312</v>
      </c>
      <c r="C148" t="s">
        <v>184</v>
      </c>
      <c r="D148" t="s">
        <v>204</v>
      </c>
      <c r="E148">
        <v>0.42831740808671198</v>
      </c>
      <c r="F148">
        <v>-0.365322592610207</v>
      </c>
      <c r="G148">
        <v>0.20422291044055599</v>
      </c>
      <c r="H148">
        <v>-0.67729144226623095</v>
      </c>
      <c r="I148">
        <v>-0.88151435270678702</v>
      </c>
      <c r="J148">
        <v>-0.79364000069691898</v>
      </c>
      <c r="K148">
        <v>0.42831740808671198</v>
      </c>
      <c r="L148">
        <v>0.20422291044055599</v>
      </c>
      <c r="M148">
        <v>-0.79364000069691898</v>
      </c>
      <c r="N148">
        <v>-0.56954550305076301</v>
      </c>
      <c r="O148">
        <v>-1.10560885035294</v>
      </c>
      <c r="P148">
        <v>-0.88151435270678702</v>
      </c>
      <c r="Q148" t="s">
        <v>1068</v>
      </c>
      <c r="R148" t="s">
        <v>1067</v>
      </c>
      <c r="S148" t="s">
        <v>1068</v>
      </c>
      <c r="T148" t="s">
        <v>1067</v>
      </c>
      <c r="U148" t="s">
        <v>1174</v>
      </c>
      <c r="V148">
        <v>1</v>
      </c>
      <c r="W148" t="s">
        <v>1174</v>
      </c>
      <c r="X148" t="s">
        <v>1175</v>
      </c>
      <c r="Y148">
        <v>1</v>
      </c>
      <c r="Z148">
        <v>-0.457471067861841</v>
      </c>
      <c r="AA148">
        <v>-0.25983575870104197</v>
      </c>
      <c r="AB148">
        <v>-0.34462204855273598</v>
      </c>
      <c r="AC148">
        <v>-0.270453090848088</v>
      </c>
    </row>
    <row r="149" spans="1:29" x14ac:dyDescent="0.2">
      <c r="A149">
        <v>148</v>
      </c>
      <c r="B149" t="s">
        <v>313</v>
      </c>
      <c r="C149" t="s">
        <v>184</v>
      </c>
      <c r="D149" t="s">
        <v>152</v>
      </c>
      <c r="E149">
        <v>0.58611316886364595</v>
      </c>
      <c r="F149">
        <v>0.87877534938246904</v>
      </c>
      <c r="G149">
        <v>3.8853372323719199E-3</v>
      </c>
      <c r="H149">
        <v>0.88490113051127595</v>
      </c>
      <c r="I149">
        <v>0.881015793278904</v>
      </c>
      <c r="J149">
        <v>0.29266218051882298</v>
      </c>
      <c r="K149">
        <v>0.58611316886364595</v>
      </c>
      <c r="L149">
        <v>3.8853372323719199E-3</v>
      </c>
      <c r="M149">
        <v>0.29266218051882298</v>
      </c>
      <c r="N149">
        <v>0.87489001215009699</v>
      </c>
      <c r="O149">
        <v>0.29878796164763</v>
      </c>
      <c r="P149">
        <v>0.881015793278904</v>
      </c>
      <c r="Q149" t="s">
        <v>1068</v>
      </c>
      <c r="R149" t="s">
        <v>1068</v>
      </c>
      <c r="S149" t="s">
        <v>1173</v>
      </c>
      <c r="T149" t="s">
        <v>1068</v>
      </c>
      <c r="U149" t="s">
        <v>944</v>
      </c>
      <c r="V149">
        <v>0</v>
      </c>
      <c r="W149" t="s">
        <v>944</v>
      </c>
      <c r="X149" t="s">
        <v>1175</v>
      </c>
      <c r="Y149">
        <v>1</v>
      </c>
      <c r="Z149">
        <v>0.61172135341826805</v>
      </c>
      <c r="AA149">
        <v>-0.17156944213900099</v>
      </c>
      <c r="AB149">
        <v>0.68089913887527298</v>
      </c>
      <c r="AC149">
        <v>-0.14030180532374201</v>
      </c>
    </row>
    <row r="150" spans="1:29" x14ac:dyDescent="0.2">
      <c r="A150">
        <v>149</v>
      </c>
      <c r="B150" t="s">
        <v>314</v>
      </c>
      <c r="C150" t="s">
        <v>184</v>
      </c>
      <c r="D150" t="s">
        <v>207</v>
      </c>
      <c r="E150">
        <v>-0.183085253897698</v>
      </c>
      <c r="F150">
        <v>-0.63967614062159195</v>
      </c>
      <c r="G150">
        <v>-0.13786239407918799</v>
      </c>
      <c r="H150">
        <v>-1</v>
      </c>
      <c r="I150">
        <v>-0.86213760592081201</v>
      </c>
      <c r="J150">
        <v>-0.45659088672389397</v>
      </c>
      <c r="K150">
        <v>-0.13786239407918799</v>
      </c>
      <c r="L150">
        <v>-0.183085253897698</v>
      </c>
      <c r="M150">
        <v>-0.50181374654240396</v>
      </c>
      <c r="N150">
        <v>-0.45659088672389397</v>
      </c>
      <c r="O150">
        <v>-0.86213760592081201</v>
      </c>
      <c r="P150">
        <v>-0.81691474610230197</v>
      </c>
      <c r="Q150" t="s">
        <v>1067</v>
      </c>
      <c r="R150" t="s">
        <v>1067</v>
      </c>
      <c r="S150" t="s">
        <v>1067</v>
      </c>
      <c r="T150" t="s">
        <v>1067</v>
      </c>
      <c r="U150" t="s">
        <v>1174</v>
      </c>
      <c r="V150">
        <v>1</v>
      </c>
      <c r="W150" t="s">
        <v>944</v>
      </c>
      <c r="X150" t="s">
        <v>1175</v>
      </c>
      <c r="Y150">
        <v>1</v>
      </c>
      <c r="Z150">
        <v>-0.38039211629802</v>
      </c>
      <c r="AA150">
        <v>-0.244489756082828</v>
      </c>
      <c r="AB150">
        <v>-0.28126045755256901</v>
      </c>
      <c r="AC150">
        <v>-0.26115494003317302</v>
      </c>
    </row>
    <row r="151" spans="1:29" x14ac:dyDescent="0.2">
      <c r="A151">
        <v>150</v>
      </c>
      <c r="B151" t="s">
        <v>315</v>
      </c>
      <c r="C151" t="s">
        <v>184</v>
      </c>
      <c r="D151" t="s">
        <v>209</v>
      </c>
      <c r="E151">
        <v>-0.16782732667508199</v>
      </c>
      <c r="F151">
        <v>-0.96907338340572002</v>
      </c>
      <c r="G151">
        <v>-0.122292995398776</v>
      </c>
      <c r="H151">
        <v>-1</v>
      </c>
      <c r="I151">
        <v>-0.87770700460122397</v>
      </c>
      <c r="J151">
        <v>-0.80124605673063798</v>
      </c>
      <c r="K151">
        <v>-0.122292995398776</v>
      </c>
      <c r="L151">
        <v>-0.16782732667508199</v>
      </c>
      <c r="M151">
        <v>-0.846780388006944</v>
      </c>
      <c r="N151">
        <v>-0.80124605673063798</v>
      </c>
      <c r="O151">
        <v>-0.87770700460122397</v>
      </c>
      <c r="P151">
        <v>-0.83217267332491796</v>
      </c>
      <c r="Q151" t="s">
        <v>1067</v>
      </c>
      <c r="R151" t="s">
        <v>1067</v>
      </c>
      <c r="S151" t="s">
        <v>1067</v>
      </c>
      <c r="T151" t="s">
        <v>1067</v>
      </c>
      <c r="U151" t="s">
        <v>1174</v>
      </c>
      <c r="V151">
        <v>1</v>
      </c>
      <c r="W151" t="s">
        <v>944</v>
      </c>
      <c r="X151" t="s">
        <v>1175</v>
      </c>
      <c r="Y151">
        <v>1</v>
      </c>
      <c r="Z151">
        <v>-0.40119748733025901</v>
      </c>
      <c r="AA151">
        <v>-0.25252809272330201</v>
      </c>
      <c r="AB151">
        <v>-0.29151128534161602</v>
      </c>
      <c r="AC151">
        <v>-0.26533840806979198</v>
      </c>
    </row>
    <row r="152" spans="1:29" x14ac:dyDescent="0.2">
      <c r="A152">
        <v>151</v>
      </c>
      <c r="B152" t="s">
        <v>316</v>
      </c>
      <c r="C152" t="s">
        <v>184</v>
      </c>
      <c r="D152" t="s">
        <v>154</v>
      </c>
      <c r="E152">
        <v>0.39701804598861901</v>
      </c>
      <c r="F152">
        <v>-0.39153273710742897</v>
      </c>
      <c r="G152">
        <v>0.204222910370739</v>
      </c>
      <c r="H152">
        <v>-0.71642882743330105</v>
      </c>
      <c r="I152">
        <v>-0.92065173780403997</v>
      </c>
      <c r="J152">
        <v>-0.78855078309604798</v>
      </c>
      <c r="K152">
        <v>0.39701804598861901</v>
      </c>
      <c r="L152">
        <v>0.204222910370739</v>
      </c>
      <c r="M152">
        <v>-0.78855078309604798</v>
      </c>
      <c r="N152">
        <v>-0.595755647478168</v>
      </c>
      <c r="O152">
        <v>-1.1134468734219201</v>
      </c>
      <c r="P152">
        <v>-0.92065173780403997</v>
      </c>
      <c r="Q152" t="s">
        <v>1068</v>
      </c>
      <c r="R152" t="s">
        <v>1067</v>
      </c>
      <c r="S152" t="s">
        <v>1068</v>
      </c>
      <c r="T152" t="s">
        <v>1067</v>
      </c>
      <c r="U152" t="s">
        <v>1174</v>
      </c>
      <c r="V152">
        <v>1</v>
      </c>
      <c r="W152" t="s">
        <v>1174</v>
      </c>
      <c r="X152" t="s">
        <v>1175</v>
      </c>
      <c r="Y152">
        <v>1</v>
      </c>
      <c r="Z152">
        <v>-0.46031697468325</v>
      </c>
      <c r="AA152">
        <v>-0.26017871046809699</v>
      </c>
      <c r="AB152">
        <v>-0.347326956437018</v>
      </c>
      <c r="AC152">
        <v>-0.27074090989959798</v>
      </c>
    </row>
    <row r="153" spans="1:29" x14ac:dyDescent="0.2">
      <c r="A153">
        <v>152</v>
      </c>
      <c r="B153" t="s">
        <v>317</v>
      </c>
      <c r="C153" t="s">
        <v>184</v>
      </c>
      <c r="D153" t="s">
        <v>156</v>
      </c>
      <c r="E153">
        <v>-0.15915827216166001</v>
      </c>
      <c r="F153">
        <v>0.132496290302061</v>
      </c>
      <c r="G153">
        <v>3.8853371150780001E-3</v>
      </c>
      <c r="H153">
        <v>-3.6845160912342398E-2</v>
      </c>
      <c r="I153">
        <v>-4.0730498027420403E-2</v>
      </c>
      <c r="J153">
        <v>0.29165456246372101</v>
      </c>
      <c r="K153">
        <v>3.8853371150780001E-3</v>
      </c>
      <c r="L153">
        <v>-0.15915827216166001</v>
      </c>
      <c r="M153">
        <v>0.12861095318698301</v>
      </c>
      <c r="N153">
        <v>0.29165456246372101</v>
      </c>
      <c r="O153">
        <v>-4.0730498027420403E-2</v>
      </c>
      <c r="P153">
        <v>0.122313111249318</v>
      </c>
      <c r="Q153" t="s">
        <v>1067</v>
      </c>
      <c r="R153" t="s">
        <v>1068</v>
      </c>
      <c r="S153" t="s">
        <v>1173</v>
      </c>
      <c r="T153" t="s">
        <v>1173</v>
      </c>
      <c r="U153" t="s">
        <v>944</v>
      </c>
      <c r="V153">
        <v>1</v>
      </c>
      <c r="W153" t="s">
        <v>944</v>
      </c>
      <c r="X153" t="s">
        <v>1175</v>
      </c>
      <c r="Y153">
        <v>1</v>
      </c>
      <c r="Z153">
        <v>-0.32929712825312701</v>
      </c>
      <c r="AA153">
        <v>-0.28496878292926298</v>
      </c>
      <c r="AB153">
        <v>-7.0648487357710094E-2</v>
      </c>
      <c r="AC153">
        <v>-0.23598325952010199</v>
      </c>
    </row>
    <row r="154" spans="1:29" x14ac:dyDescent="0.2">
      <c r="A154">
        <v>153</v>
      </c>
      <c r="B154" t="s">
        <v>318</v>
      </c>
      <c r="C154" t="s">
        <v>184</v>
      </c>
      <c r="D154" t="s">
        <v>158</v>
      </c>
      <c r="E154">
        <v>-0.38862194026595398</v>
      </c>
      <c r="F154">
        <v>-0.70178052653188705</v>
      </c>
      <c r="G154">
        <v>-0.123738404338602</v>
      </c>
      <c r="H154">
        <v>-0.94741991989184304</v>
      </c>
      <c r="I154">
        <v>-0.82368151555324098</v>
      </c>
      <c r="J154">
        <v>-0.31315858626593301</v>
      </c>
      <c r="K154">
        <v>-0.123738404338602</v>
      </c>
      <c r="L154">
        <v>-0.38862194026595398</v>
      </c>
      <c r="M154">
        <v>-0.57804212219328499</v>
      </c>
      <c r="N154">
        <v>-0.31315858626593301</v>
      </c>
      <c r="O154">
        <v>-0.82368151555324098</v>
      </c>
      <c r="P154">
        <v>-0.55879797962588895</v>
      </c>
      <c r="Q154" t="s">
        <v>1067</v>
      </c>
      <c r="R154" t="s">
        <v>1067</v>
      </c>
      <c r="S154" t="s">
        <v>1067</v>
      </c>
      <c r="T154" t="s">
        <v>1067</v>
      </c>
      <c r="U154" t="s">
        <v>1174</v>
      </c>
      <c r="V154">
        <v>1</v>
      </c>
      <c r="W154" t="s">
        <v>944</v>
      </c>
      <c r="X154" t="s">
        <v>1175</v>
      </c>
      <c r="Y154">
        <v>1</v>
      </c>
      <c r="Z154">
        <v>-0.466437561279131</v>
      </c>
      <c r="AA154">
        <v>-0.261359927232581</v>
      </c>
      <c r="AB154">
        <v>-0.35379408519528899</v>
      </c>
      <c r="AC154">
        <v>-0.27155612687449798</v>
      </c>
    </row>
    <row r="155" spans="1:29" x14ac:dyDescent="0.2">
      <c r="A155">
        <v>154</v>
      </c>
      <c r="B155" t="s">
        <v>319</v>
      </c>
      <c r="C155" t="s">
        <v>184</v>
      </c>
      <c r="D155" t="s">
        <v>214</v>
      </c>
      <c r="E155">
        <v>-0.363425466152279</v>
      </c>
      <c r="F155">
        <v>-1</v>
      </c>
      <c r="G155">
        <v>-0.120315287548178</v>
      </c>
      <c r="H155">
        <v>-1</v>
      </c>
      <c r="I155">
        <v>-0.879684712451822</v>
      </c>
      <c r="J155">
        <v>-0.636574533847721</v>
      </c>
      <c r="K155">
        <v>-0.120315287548178</v>
      </c>
      <c r="L155">
        <v>-0.363425466152279</v>
      </c>
      <c r="M155">
        <v>-0.879684712451822</v>
      </c>
      <c r="N155">
        <v>-0.636574533847721</v>
      </c>
      <c r="O155">
        <v>-0.879684712451822</v>
      </c>
      <c r="P155">
        <v>-0.636574533847721</v>
      </c>
      <c r="Q155" t="s">
        <v>1067</v>
      </c>
      <c r="R155" t="s">
        <v>1067</v>
      </c>
      <c r="S155" t="s">
        <v>1067</v>
      </c>
      <c r="T155" t="s">
        <v>1067</v>
      </c>
      <c r="U155" t="s">
        <v>1174</v>
      </c>
      <c r="V155">
        <v>1</v>
      </c>
      <c r="W155" t="s">
        <v>944</v>
      </c>
      <c r="X155" t="s">
        <v>1175</v>
      </c>
      <c r="Y155">
        <v>1</v>
      </c>
      <c r="Z155">
        <v>-0.46892464830352298</v>
      </c>
      <c r="AA155">
        <v>-0.26138648570063999</v>
      </c>
      <c r="AB155">
        <v>-0.35781667936036698</v>
      </c>
      <c r="AC155">
        <v>-0.272168289543884</v>
      </c>
    </row>
    <row r="156" spans="1:29" x14ac:dyDescent="0.2">
      <c r="A156">
        <v>155</v>
      </c>
      <c r="B156" t="s">
        <v>320</v>
      </c>
      <c r="C156" t="s">
        <v>184</v>
      </c>
      <c r="D156" t="s">
        <v>160</v>
      </c>
      <c r="E156">
        <v>-0.15666343598344801</v>
      </c>
      <c r="F156">
        <v>-0.41809857853451599</v>
      </c>
      <c r="G156">
        <v>3.2350377676955899E-3</v>
      </c>
      <c r="H156">
        <v>-0.65681721341453403</v>
      </c>
      <c r="I156">
        <v>-0.66005225118222999</v>
      </c>
      <c r="J156">
        <v>-0.26143514255106798</v>
      </c>
      <c r="K156">
        <v>3.2350377676955899E-3</v>
      </c>
      <c r="L156">
        <v>-0.15666343598344801</v>
      </c>
      <c r="M156">
        <v>-0.421333616302212</v>
      </c>
      <c r="N156">
        <v>-0.26143514255106798</v>
      </c>
      <c r="O156">
        <v>-0.66005225118222999</v>
      </c>
      <c r="P156">
        <v>-0.50015377743108602</v>
      </c>
      <c r="Q156" t="s">
        <v>1067</v>
      </c>
      <c r="R156" t="s">
        <v>1067</v>
      </c>
      <c r="S156" t="s">
        <v>1173</v>
      </c>
      <c r="T156" t="s">
        <v>1067</v>
      </c>
      <c r="U156" t="s">
        <v>1174</v>
      </c>
      <c r="V156">
        <v>1</v>
      </c>
      <c r="W156" t="s">
        <v>944</v>
      </c>
      <c r="X156" t="s">
        <v>1175</v>
      </c>
      <c r="Y156">
        <v>1</v>
      </c>
      <c r="Z156">
        <v>-0.36802253520438499</v>
      </c>
      <c r="AA156">
        <v>-0.28942056257619397</v>
      </c>
      <c r="AB156">
        <v>-0.115521426349146</v>
      </c>
      <c r="AC156">
        <v>-0.24233036410290301</v>
      </c>
    </row>
    <row r="157" spans="1:29" x14ac:dyDescent="0.2">
      <c r="A157">
        <v>156</v>
      </c>
      <c r="B157" t="s">
        <v>321</v>
      </c>
      <c r="C157" t="s">
        <v>184</v>
      </c>
      <c r="D157" t="s">
        <v>162</v>
      </c>
      <c r="E157">
        <v>-1.2148225948432701E-2</v>
      </c>
      <c r="F157">
        <v>-0.15460916656752499</v>
      </c>
      <c r="G157">
        <v>-0.123974151955979</v>
      </c>
      <c r="H157">
        <v>-0.382703793533123</v>
      </c>
      <c r="I157">
        <v>-0.25872964157714401</v>
      </c>
      <c r="J157">
        <v>-0.14246094061909201</v>
      </c>
      <c r="K157">
        <v>-1.2148225948432701E-2</v>
      </c>
      <c r="L157">
        <v>-0.123974151955979</v>
      </c>
      <c r="M157">
        <v>-0.14246094061909201</v>
      </c>
      <c r="N157">
        <v>-3.0635014611546E-2</v>
      </c>
      <c r="O157">
        <v>-0.37055556758468999</v>
      </c>
      <c r="P157">
        <v>-0.25872964157714401</v>
      </c>
      <c r="Q157" t="s">
        <v>1173</v>
      </c>
      <c r="R157" t="s">
        <v>1067</v>
      </c>
      <c r="S157" t="s">
        <v>1067</v>
      </c>
      <c r="T157" t="s">
        <v>1067</v>
      </c>
      <c r="U157" t="s">
        <v>1174</v>
      </c>
      <c r="V157">
        <v>1</v>
      </c>
      <c r="W157" t="s">
        <v>1174</v>
      </c>
      <c r="X157" t="s">
        <v>1175</v>
      </c>
      <c r="Y157">
        <v>1</v>
      </c>
      <c r="Z157">
        <v>-0.25828062127471602</v>
      </c>
      <c r="AA157">
        <v>-0.23478355373811599</v>
      </c>
      <c r="AB157">
        <v>-0.35022759132186299</v>
      </c>
      <c r="AC157">
        <v>-0.35236913700231398</v>
      </c>
    </row>
    <row r="158" spans="1:29" x14ac:dyDescent="0.2">
      <c r="A158">
        <v>157</v>
      </c>
      <c r="B158" t="s">
        <v>322</v>
      </c>
      <c r="C158" t="s">
        <v>184</v>
      </c>
      <c r="D158" t="s">
        <v>218</v>
      </c>
      <c r="E158">
        <v>-0.169497796696681</v>
      </c>
      <c r="F158">
        <v>-0.173360496294377</v>
      </c>
      <c r="G158">
        <v>-0.15823136083361899</v>
      </c>
      <c r="H158">
        <v>-0.41735624223491002</v>
      </c>
      <c r="I158">
        <v>-0.25912488140129097</v>
      </c>
      <c r="J158">
        <v>-3.8626995976960002E-3</v>
      </c>
      <c r="K158">
        <v>-0.15823136083361899</v>
      </c>
      <c r="L158">
        <v>-0.169497796696681</v>
      </c>
      <c r="M158">
        <v>-1.5129135460758E-2</v>
      </c>
      <c r="N158">
        <v>-3.8626995976960002E-3</v>
      </c>
      <c r="O158">
        <v>-0.25912488140129097</v>
      </c>
      <c r="P158">
        <v>-0.247858445538229</v>
      </c>
      <c r="Q158" t="s">
        <v>1067</v>
      </c>
      <c r="R158" t="s">
        <v>1067</v>
      </c>
      <c r="S158" t="s">
        <v>1067</v>
      </c>
      <c r="T158" t="s">
        <v>1067</v>
      </c>
      <c r="U158" t="s">
        <v>1174</v>
      </c>
      <c r="V158">
        <v>1</v>
      </c>
      <c r="W158" t="s">
        <v>944</v>
      </c>
      <c r="X158" t="s">
        <v>1175</v>
      </c>
      <c r="Y158">
        <v>0</v>
      </c>
      <c r="Z158">
        <v>-3.3779457372017999E-2</v>
      </c>
      <c r="AA158">
        <v>-0.19612127519150499</v>
      </c>
      <c r="AB158">
        <v>5.9944952798986997E-2</v>
      </c>
      <c r="AC158">
        <v>-0.21882576519597099</v>
      </c>
    </row>
    <row r="159" spans="1:29" x14ac:dyDescent="0.2">
      <c r="A159">
        <v>158</v>
      </c>
      <c r="B159" t="s">
        <v>323</v>
      </c>
      <c r="C159" t="s">
        <v>184</v>
      </c>
      <c r="D159" t="s">
        <v>220</v>
      </c>
      <c r="E159">
        <v>-1.2148225948432701E-2</v>
      </c>
      <c r="F159">
        <v>-0.15568857649719001</v>
      </c>
      <c r="G159">
        <v>-0.13372301452082899</v>
      </c>
      <c r="H159">
        <v>-0.38131103645786302</v>
      </c>
      <c r="I159">
        <v>-0.247588021937034</v>
      </c>
      <c r="J159">
        <v>-0.143540350548757</v>
      </c>
      <c r="K159">
        <v>-1.2148225948432701E-2</v>
      </c>
      <c r="L159">
        <v>-0.13372301452082899</v>
      </c>
      <c r="M159">
        <v>-0.143540350548757</v>
      </c>
      <c r="N159">
        <v>-2.1965561976361E-2</v>
      </c>
      <c r="O159">
        <v>-0.36916281050943001</v>
      </c>
      <c r="P159">
        <v>-0.247588021937034</v>
      </c>
      <c r="Q159" t="s">
        <v>1173</v>
      </c>
      <c r="R159" t="s">
        <v>1067</v>
      </c>
      <c r="S159" t="s">
        <v>1067</v>
      </c>
      <c r="T159" t="s">
        <v>1067</v>
      </c>
      <c r="U159" t="s">
        <v>1174</v>
      </c>
      <c r="V159">
        <v>1</v>
      </c>
      <c r="W159" t="s">
        <v>1174</v>
      </c>
      <c r="X159" t="s">
        <v>1175</v>
      </c>
      <c r="Y159">
        <v>1</v>
      </c>
      <c r="Z159">
        <v>-0.24488148462148099</v>
      </c>
      <c r="AA159">
        <v>-0.22914919016954699</v>
      </c>
      <c r="AB159">
        <v>-0.35058864176462601</v>
      </c>
      <c r="AC159">
        <v>-0.35241634347477901</v>
      </c>
    </row>
    <row r="160" spans="1:29" x14ac:dyDescent="0.2">
      <c r="A160">
        <v>159</v>
      </c>
      <c r="B160" t="s">
        <v>324</v>
      </c>
      <c r="C160" t="s">
        <v>184</v>
      </c>
      <c r="D160" t="s">
        <v>164</v>
      </c>
      <c r="E160">
        <v>0.86032071479541705</v>
      </c>
      <c r="F160">
        <v>0.440418829112251</v>
      </c>
      <c r="G160">
        <v>-2.45227288537656E-2</v>
      </c>
      <c r="H160">
        <v>0.30386812635368998</v>
      </c>
      <c r="I160">
        <v>0.32839085520745598</v>
      </c>
      <c r="J160">
        <v>-0.419901885683166</v>
      </c>
      <c r="K160">
        <v>0.86032071479541705</v>
      </c>
      <c r="L160">
        <v>-2.45227288537656E-2</v>
      </c>
      <c r="M160">
        <v>-0.419901885683166</v>
      </c>
      <c r="N160">
        <v>0.46494155796601699</v>
      </c>
      <c r="O160">
        <v>-0.55645258844172696</v>
      </c>
      <c r="P160">
        <v>0.32839085520745598</v>
      </c>
      <c r="Q160" t="s">
        <v>1068</v>
      </c>
      <c r="R160" t="s">
        <v>1068</v>
      </c>
      <c r="S160" t="s">
        <v>1173</v>
      </c>
      <c r="T160" t="s">
        <v>1068</v>
      </c>
      <c r="U160" t="s">
        <v>1174</v>
      </c>
      <c r="V160">
        <v>0</v>
      </c>
      <c r="W160" t="s">
        <v>944</v>
      </c>
      <c r="X160" t="s">
        <v>1175</v>
      </c>
      <c r="Y160">
        <v>1</v>
      </c>
      <c r="Z160">
        <v>-0.13819641663882501</v>
      </c>
      <c r="AA160">
        <v>-0.25050902281760401</v>
      </c>
      <c r="AB160">
        <v>8.4457764013017994E-2</v>
      </c>
      <c r="AC160">
        <v>-0.21917263759355299</v>
      </c>
    </row>
    <row r="161" spans="1:29" x14ac:dyDescent="0.2">
      <c r="A161">
        <v>160</v>
      </c>
      <c r="B161" t="s">
        <v>325</v>
      </c>
      <c r="C161" t="s">
        <v>184</v>
      </c>
      <c r="D161" t="s">
        <v>166</v>
      </c>
      <c r="E161">
        <v>-1.2148225948432701E-2</v>
      </c>
      <c r="F161">
        <v>-6.5777225719816201E-2</v>
      </c>
      <c r="G161">
        <v>3.9278690106132903E-3</v>
      </c>
      <c r="H161">
        <v>-0.21606004295717099</v>
      </c>
      <c r="I161">
        <v>-0.219987911967784</v>
      </c>
      <c r="J161">
        <v>-5.3628999771383502E-2</v>
      </c>
      <c r="K161">
        <v>3.9278690106132903E-3</v>
      </c>
      <c r="L161">
        <v>-1.2148225948432701E-2</v>
      </c>
      <c r="M161">
        <v>-6.9705094730429504E-2</v>
      </c>
      <c r="N161">
        <v>-5.3628999771383502E-2</v>
      </c>
      <c r="O161">
        <v>-0.219987911967784</v>
      </c>
      <c r="P161">
        <v>-0.20391181700873801</v>
      </c>
      <c r="Q161" t="s">
        <v>1173</v>
      </c>
      <c r="R161" t="s">
        <v>1173</v>
      </c>
      <c r="S161" t="s">
        <v>1173</v>
      </c>
      <c r="T161" t="s">
        <v>1067</v>
      </c>
      <c r="U161" t="s">
        <v>1174</v>
      </c>
      <c r="V161">
        <v>1</v>
      </c>
      <c r="W161" t="s">
        <v>1174</v>
      </c>
      <c r="X161" t="s">
        <v>1175</v>
      </c>
      <c r="Y161">
        <v>0</v>
      </c>
      <c r="Z161">
        <v>-0.17054657399115999</v>
      </c>
      <c r="AA161">
        <v>-0.26584467420721303</v>
      </c>
      <c r="AB161">
        <v>-0.119989521790676</v>
      </c>
      <c r="AC161">
        <v>-0.32226606606716302</v>
      </c>
    </row>
    <row r="162" spans="1:29" x14ac:dyDescent="0.2">
      <c r="A162">
        <v>161</v>
      </c>
      <c r="B162" t="s">
        <v>326</v>
      </c>
      <c r="C162" t="s">
        <v>184</v>
      </c>
      <c r="D162" t="s">
        <v>226</v>
      </c>
      <c r="E162">
        <v>-0.42448495724662799</v>
      </c>
      <c r="F162">
        <v>-0.97126539323405703</v>
      </c>
      <c r="G162">
        <v>-0.10551084502776401</v>
      </c>
      <c r="H162">
        <v>-1</v>
      </c>
      <c r="I162">
        <v>-0.89448915497223602</v>
      </c>
      <c r="J162">
        <v>-0.54678043598742898</v>
      </c>
      <c r="K162">
        <v>-0.10551084502776401</v>
      </c>
      <c r="L162">
        <v>-0.42448495724662799</v>
      </c>
      <c r="M162">
        <v>-0.86575454820629305</v>
      </c>
      <c r="N162">
        <v>-0.54678043598742898</v>
      </c>
      <c r="O162">
        <v>-0.89448915497223602</v>
      </c>
      <c r="P162">
        <v>-0.57551504275337195</v>
      </c>
      <c r="Q162" t="s">
        <v>1067</v>
      </c>
      <c r="R162" t="s">
        <v>1067</v>
      </c>
      <c r="S162" t="s">
        <v>1067</v>
      </c>
      <c r="T162" t="s">
        <v>1067</v>
      </c>
      <c r="U162" t="s">
        <v>1174</v>
      </c>
      <c r="V162">
        <v>1</v>
      </c>
      <c r="W162" t="s">
        <v>944</v>
      </c>
      <c r="X162" t="s">
        <v>1175</v>
      </c>
      <c r="Y162">
        <v>1</v>
      </c>
      <c r="Z162">
        <v>-0.44763252291644601</v>
      </c>
      <c r="AA162">
        <v>-0.26094412834761999</v>
      </c>
      <c r="AB162">
        <v>-0.337570597594894</v>
      </c>
      <c r="AC162">
        <v>-0.27397857812653098</v>
      </c>
    </row>
    <row r="163" spans="1:29" x14ac:dyDescent="0.2">
      <c r="A163">
        <v>162</v>
      </c>
      <c r="B163" t="s">
        <v>327</v>
      </c>
      <c r="C163" t="s">
        <v>184</v>
      </c>
      <c r="D163" t="s">
        <v>168</v>
      </c>
      <c r="E163">
        <v>0.35230220297487302</v>
      </c>
      <c r="F163">
        <v>-0.18373101499212699</v>
      </c>
      <c r="G163">
        <v>-9.1216411911082207E-2</v>
      </c>
      <c r="H163">
        <v>-0.30928603279580402</v>
      </c>
      <c r="I163">
        <v>-0.21806962088472201</v>
      </c>
      <c r="J163">
        <v>-0.53603321796699999</v>
      </c>
      <c r="K163">
        <v>0.35230220297487302</v>
      </c>
      <c r="L163">
        <v>-9.1216411911082207E-2</v>
      </c>
      <c r="M163">
        <v>-0.53603321796699999</v>
      </c>
      <c r="N163">
        <v>-9.2514603081044797E-2</v>
      </c>
      <c r="O163">
        <v>-0.66158823577067705</v>
      </c>
      <c r="P163">
        <v>-0.21806962088472201</v>
      </c>
      <c r="Q163" t="s">
        <v>1068</v>
      </c>
      <c r="R163" t="s">
        <v>1067</v>
      </c>
      <c r="S163" t="s">
        <v>1173</v>
      </c>
      <c r="T163" t="s">
        <v>1067</v>
      </c>
      <c r="U163" t="s">
        <v>1174</v>
      </c>
      <c r="V163">
        <v>1</v>
      </c>
      <c r="W163" t="s">
        <v>1174</v>
      </c>
      <c r="X163" t="s">
        <v>1175</v>
      </c>
      <c r="Y163">
        <v>1</v>
      </c>
      <c r="Z163">
        <v>-0.46713711487871901</v>
      </c>
      <c r="AA163">
        <v>-0.26762470717959103</v>
      </c>
      <c r="AB163">
        <v>-0.34848118086018398</v>
      </c>
      <c r="AC163">
        <v>-0.27692368846127202</v>
      </c>
    </row>
    <row r="164" spans="1:29" x14ac:dyDescent="0.2">
      <c r="A164">
        <v>163</v>
      </c>
      <c r="B164" t="s">
        <v>328</v>
      </c>
      <c r="C164" t="s">
        <v>186</v>
      </c>
      <c r="D164" t="s">
        <v>129</v>
      </c>
      <c r="E164">
        <v>-0.30559183999350897</v>
      </c>
      <c r="F164">
        <v>-1</v>
      </c>
      <c r="G164">
        <v>-8.8805617266784098E-2</v>
      </c>
      <c r="H164">
        <v>-1</v>
      </c>
      <c r="I164">
        <v>-0.91119438273321596</v>
      </c>
      <c r="J164">
        <v>-0.69440816000649097</v>
      </c>
      <c r="K164">
        <v>-8.8805617266784098E-2</v>
      </c>
      <c r="L164">
        <v>-0.30559183999350897</v>
      </c>
      <c r="M164">
        <v>-0.91119438273321596</v>
      </c>
      <c r="N164">
        <v>-0.69440816000649097</v>
      </c>
      <c r="O164">
        <v>-0.91119438273321596</v>
      </c>
      <c r="P164">
        <v>-0.69440816000649097</v>
      </c>
      <c r="Q164" t="s">
        <v>1067</v>
      </c>
      <c r="R164" t="s">
        <v>1067</v>
      </c>
      <c r="S164" t="s">
        <v>1173</v>
      </c>
      <c r="T164" t="s">
        <v>1067</v>
      </c>
      <c r="U164" t="s">
        <v>1174</v>
      </c>
      <c r="V164">
        <v>1</v>
      </c>
      <c r="W164" t="s">
        <v>944</v>
      </c>
      <c r="X164" t="s">
        <v>1175</v>
      </c>
      <c r="Y164">
        <v>1</v>
      </c>
      <c r="Z164">
        <v>-0.466816902331461</v>
      </c>
      <c r="AA164">
        <v>-0.26922196060235498</v>
      </c>
      <c r="AB164">
        <v>-0.33397474263200799</v>
      </c>
      <c r="AC164">
        <v>-0.27135753758493197</v>
      </c>
    </row>
    <row r="165" spans="1:29" x14ac:dyDescent="0.2">
      <c r="A165">
        <v>164</v>
      </c>
      <c r="B165" t="s">
        <v>329</v>
      </c>
      <c r="C165" t="s">
        <v>186</v>
      </c>
      <c r="D165" t="s">
        <v>130</v>
      </c>
      <c r="E165">
        <v>-1.2120439388701601E-2</v>
      </c>
      <c r="F165">
        <v>7.6364314020550494E-2</v>
      </c>
      <c r="G165">
        <v>0.45674698088864601</v>
      </c>
      <c r="H165">
        <v>-0.104090353116987</v>
      </c>
      <c r="I165">
        <v>-0.56083733400563296</v>
      </c>
      <c r="J165">
        <v>8.8484753409252104E-2</v>
      </c>
      <c r="K165">
        <v>0.45674698088864601</v>
      </c>
      <c r="L165">
        <v>-1.2120439388701601E-2</v>
      </c>
      <c r="M165">
        <v>-0.38038266686809602</v>
      </c>
      <c r="N165">
        <v>8.8484753409252104E-2</v>
      </c>
      <c r="O165">
        <v>-0.56083733400563296</v>
      </c>
      <c r="P165">
        <v>-9.1969913728285405E-2</v>
      </c>
      <c r="Q165" t="s">
        <v>1173</v>
      </c>
      <c r="R165" t="s">
        <v>1173</v>
      </c>
      <c r="S165" t="s">
        <v>1068</v>
      </c>
      <c r="T165" t="s">
        <v>1067</v>
      </c>
      <c r="U165" t="s">
        <v>944</v>
      </c>
      <c r="V165">
        <v>1</v>
      </c>
      <c r="W165" t="s">
        <v>944</v>
      </c>
      <c r="X165" t="s">
        <v>1175</v>
      </c>
      <c r="Y165">
        <v>0</v>
      </c>
      <c r="Z165">
        <v>-0.24581884710858301</v>
      </c>
      <c r="AA165">
        <v>-0.20542466197710299</v>
      </c>
      <c r="AB165">
        <v>-0.43276091399159999</v>
      </c>
      <c r="AC165">
        <v>-0.36203639654837499</v>
      </c>
    </row>
    <row r="166" spans="1:29" x14ac:dyDescent="0.2">
      <c r="A166">
        <v>165</v>
      </c>
      <c r="B166" t="s">
        <v>330</v>
      </c>
      <c r="C166" t="s">
        <v>186</v>
      </c>
      <c r="D166" t="s">
        <v>132</v>
      </c>
      <c r="E166">
        <v>0.76913488181677403</v>
      </c>
      <c r="F166">
        <v>0.53592211486043595</v>
      </c>
      <c r="G166">
        <v>0.68686579286997296</v>
      </c>
      <c r="H166">
        <v>0.48658569064554402</v>
      </c>
      <c r="I166">
        <v>-0.20028010222442899</v>
      </c>
      <c r="J166">
        <v>-0.233212766956338</v>
      </c>
      <c r="K166">
        <v>0.76913488181677403</v>
      </c>
      <c r="L166">
        <v>0.68686579286997296</v>
      </c>
      <c r="M166">
        <v>-0.233212766956338</v>
      </c>
      <c r="N166">
        <v>-0.15094367800953701</v>
      </c>
      <c r="O166">
        <v>-0.28254919117123001</v>
      </c>
      <c r="P166">
        <v>-0.20028010222442899</v>
      </c>
      <c r="Q166" t="s">
        <v>1068</v>
      </c>
      <c r="R166" t="s">
        <v>1068</v>
      </c>
      <c r="S166" t="s">
        <v>1068</v>
      </c>
      <c r="T166" t="s">
        <v>1068</v>
      </c>
      <c r="U166" t="s">
        <v>1174</v>
      </c>
      <c r="V166">
        <v>1</v>
      </c>
      <c r="W166" t="s">
        <v>944</v>
      </c>
      <c r="X166" t="s">
        <v>1175</v>
      </c>
      <c r="Y166">
        <v>1</v>
      </c>
      <c r="Z166">
        <v>-0.51556777325936698</v>
      </c>
      <c r="AA166">
        <v>-0.27516818318337199</v>
      </c>
      <c r="AB166">
        <v>-0.39126441814659702</v>
      </c>
      <c r="AC166">
        <v>-0.280760740565066</v>
      </c>
    </row>
    <row r="167" spans="1:29" x14ac:dyDescent="0.2">
      <c r="A167">
        <v>166</v>
      </c>
      <c r="B167" t="s">
        <v>331</v>
      </c>
      <c r="C167" t="s">
        <v>186</v>
      </c>
      <c r="D167" t="s">
        <v>134</v>
      </c>
      <c r="E167">
        <v>5.23926525581054E-2</v>
      </c>
      <c r="F167">
        <v>-0.26289800203163499</v>
      </c>
      <c r="G167">
        <v>3.4968660292447702E-3</v>
      </c>
      <c r="H167">
        <v>-0.36811992343514999</v>
      </c>
      <c r="I167">
        <v>-0.37161678946439503</v>
      </c>
      <c r="J167">
        <v>-0.31529065458973998</v>
      </c>
      <c r="K167">
        <v>5.23926525581054E-2</v>
      </c>
      <c r="L167">
        <v>3.4968660292447702E-3</v>
      </c>
      <c r="M167">
        <v>-0.31529065458973998</v>
      </c>
      <c r="N167">
        <v>-0.26639486806087997</v>
      </c>
      <c r="O167">
        <v>-0.42051257599325498</v>
      </c>
      <c r="P167">
        <v>-0.37161678946439503</v>
      </c>
      <c r="Q167" t="s">
        <v>1173</v>
      </c>
      <c r="R167" t="s">
        <v>1067</v>
      </c>
      <c r="S167" t="s">
        <v>1173</v>
      </c>
      <c r="T167" t="s">
        <v>1067</v>
      </c>
      <c r="U167" t="s">
        <v>1174</v>
      </c>
      <c r="V167">
        <v>1</v>
      </c>
      <c r="W167" t="s">
        <v>1174</v>
      </c>
      <c r="X167" t="s">
        <v>1175</v>
      </c>
      <c r="Y167">
        <v>1</v>
      </c>
      <c r="Z167">
        <v>-0.38242222103159201</v>
      </c>
      <c r="AA167">
        <v>-0.29486687918906701</v>
      </c>
      <c r="AB167">
        <v>-0.31012310220412598</v>
      </c>
      <c r="AC167">
        <v>-0.33795911535374001</v>
      </c>
    </row>
    <row r="168" spans="1:29" x14ac:dyDescent="0.2">
      <c r="A168">
        <v>167</v>
      </c>
      <c r="B168" t="s">
        <v>332</v>
      </c>
      <c r="C168" t="s">
        <v>186</v>
      </c>
      <c r="D168" t="s">
        <v>136</v>
      </c>
      <c r="E168">
        <v>0.85364960354245001</v>
      </c>
      <c r="F168">
        <v>-0.88106364047848496</v>
      </c>
      <c r="G168">
        <v>3.4968661119043798E-3</v>
      </c>
      <c r="H168">
        <v>-1</v>
      </c>
      <c r="I168">
        <v>-1.0034968661118999</v>
      </c>
      <c r="J168">
        <v>-1.7347132440209301</v>
      </c>
      <c r="K168">
        <v>0.85364960354245001</v>
      </c>
      <c r="L168">
        <v>3.4968661119043798E-3</v>
      </c>
      <c r="M168">
        <v>-1.7347132440209301</v>
      </c>
      <c r="N168">
        <v>-0.88456050659038898</v>
      </c>
      <c r="O168">
        <v>-1.8536496035424499</v>
      </c>
      <c r="P168">
        <v>-1.0034968661118999</v>
      </c>
      <c r="Q168" t="s">
        <v>1068</v>
      </c>
      <c r="R168" t="s">
        <v>1067</v>
      </c>
      <c r="S168" t="s">
        <v>1173</v>
      </c>
      <c r="T168" t="s">
        <v>1067</v>
      </c>
      <c r="U168" t="s">
        <v>1174</v>
      </c>
      <c r="V168">
        <v>1</v>
      </c>
      <c r="W168" t="s">
        <v>1174</v>
      </c>
      <c r="X168" t="s">
        <v>1175</v>
      </c>
      <c r="Y168">
        <v>1</v>
      </c>
      <c r="Z168">
        <v>-0.46111310015850598</v>
      </c>
      <c r="AA168">
        <v>-0.30434968318601802</v>
      </c>
      <c r="AB168">
        <v>-0.19832148429546101</v>
      </c>
      <c r="AC168">
        <v>-0.25165369537399701</v>
      </c>
    </row>
    <row r="169" spans="1:29" x14ac:dyDescent="0.2">
      <c r="A169">
        <v>168</v>
      </c>
      <c r="B169" t="s">
        <v>333</v>
      </c>
      <c r="C169" t="s">
        <v>186</v>
      </c>
      <c r="D169" t="s">
        <v>138</v>
      </c>
      <c r="E169">
        <v>-0.12278516815241999</v>
      </c>
      <c r="F169">
        <v>-1</v>
      </c>
      <c r="G169">
        <v>-0.147730270359788</v>
      </c>
      <c r="H169">
        <v>-1</v>
      </c>
      <c r="I169">
        <v>-0.85226972964021197</v>
      </c>
      <c r="J169">
        <v>-0.87721483184757998</v>
      </c>
      <c r="K169">
        <v>-0.12278516815241999</v>
      </c>
      <c r="L169">
        <v>-0.147730270359788</v>
      </c>
      <c r="M169">
        <v>-0.87721483184757998</v>
      </c>
      <c r="N169">
        <v>-0.85226972964021197</v>
      </c>
      <c r="O169">
        <v>-0.87721483184757998</v>
      </c>
      <c r="P169">
        <v>-0.85226972964021197</v>
      </c>
      <c r="Q169" t="s">
        <v>1067</v>
      </c>
      <c r="R169" t="s">
        <v>1067</v>
      </c>
      <c r="S169" t="s">
        <v>1067</v>
      </c>
      <c r="T169" t="s">
        <v>1067</v>
      </c>
      <c r="U169" t="s">
        <v>1174</v>
      </c>
      <c r="V169">
        <v>1</v>
      </c>
      <c r="W169" t="s">
        <v>944</v>
      </c>
      <c r="X169" t="s">
        <v>1175</v>
      </c>
      <c r="Y169">
        <v>1</v>
      </c>
      <c r="Z169">
        <v>0.38941970754579602</v>
      </c>
      <c r="AA169">
        <v>-0.143826342293076</v>
      </c>
      <c r="AB169">
        <v>0.453958006876372</v>
      </c>
      <c r="AC169">
        <v>-0.17254716463257899</v>
      </c>
    </row>
    <row r="170" spans="1:29" x14ac:dyDescent="0.2">
      <c r="A170">
        <v>169</v>
      </c>
      <c r="B170" t="s">
        <v>334</v>
      </c>
      <c r="C170" t="s">
        <v>186</v>
      </c>
      <c r="D170" t="s">
        <v>182</v>
      </c>
      <c r="E170">
        <v>0.58775495193690597</v>
      </c>
      <c r="F170">
        <v>-0.68659451771469004</v>
      </c>
      <c r="G170">
        <v>0.44937153791013701</v>
      </c>
      <c r="H170">
        <v>-0.71105739093422504</v>
      </c>
      <c r="I170">
        <v>-1.1604289288443601</v>
      </c>
      <c r="J170">
        <v>-1.2743494696516</v>
      </c>
      <c r="K170">
        <v>0.58775495193690597</v>
      </c>
      <c r="L170">
        <v>0.44937153791013701</v>
      </c>
      <c r="M170">
        <v>-1.2743494696516</v>
      </c>
      <c r="N170">
        <v>-1.1359660556248301</v>
      </c>
      <c r="O170">
        <v>-1.29881234287113</v>
      </c>
      <c r="P170">
        <v>-1.1604289288443601</v>
      </c>
      <c r="Q170" t="s">
        <v>1068</v>
      </c>
      <c r="R170" t="s">
        <v>1067</v>
      </c>
      <c r="S170" t="s">
        <v>1068</v>
      </c>
      <c r="T170" t="s">
        <v>1067</v>
      </c>
      <c r="U170" t="s">
        <v>1174</v>
      </c>
      <c r="V170">
        <v>1</v>
      </c>
      <c r="W170" t="s">
        <v>1174</v>
      </c>
      <c r="X170" t="s">
        <v>1175</v>
      </c>
      <c r="Y170">
        <v>1</v>
      </c>
      <c r="Z170">
        <v>0.35737304525563601</v>
      </c>
      <c r="AA170">
        <v>-0.169117816374075</v>
      </c>
      <c r="AB170">
        <v>0.441581359780784</v>
      </c>
      <c r="AC170">
        <v>-0.172102722795418</v>
      </c>
    </row>
    <row r="171" spans="1:29" x14ac:dyDescent="0.2">
      <c r="A171">
        <v>170</v>
      </c>
      <c r="B171" t="s">
        <v>335</v>
      </c>
      <c r="C171" t="s">
        <v>186</v>
      </c>
      <c r="D171" t="s">
        <v>184</v>
      </c>
      <c r="E171">
        <v>0.57403377166676794</v>
      </c>
      <c r="F171">
        <v>0.22168821423007901</v>
      </c>
      <c r="G171">
        <v>0.51279144585434899</v>
      </c>
      <c r="H171">
        <v>6.8618640814474705E-2</v>
      </c>
      <c r="I171">
        <v>-0.444172805039874</v>
      </c>
      <c r="J171">
        <v>-0.35234555743668899</v>
      </c>
      <c r="K171">
        <v>0.57403377166676794</v>
      </c>
      <c r="L171">
        <v>0.51279144585434899</v>
      </c>
      <c r="M171">
        <v>-0.35234555743668899</v>
      </c>
      <c r="N171">
        <v>-0.29110323162426999</v>
      </c>
      <c r="O171">
        <v>-0.50541513085229295</v>
      </c>
      <c r="P171">
        <v>-0.444172805039874</v>
      </c>
      <c r="Q171" t="s">
        <v>1068</v>
      </c>
      <c r="R171" t="s">
        <v>1068</v>
      </c>
      <c r="S171" t="s">
        <v>1068</v>
      </c>
      <c r="T171" t="s">
        <v>1173</v>
      </c>
      <c r="U171" t="s">
        <v>1174</v>
      </c>
      <c r="V171">
        <v>1</v>
      </c>
      <c r="W171" t="s">
        <v>944</v>
      </c>
      <c r="X171" t="s">
        <v>1176</v>
      </c>
      <c r="Y171">
        <v>1</v>
      </c>
      <c r="Z171">
        <v>-0.39231485026134999</v>
      </c>
      <c r="AA171">
        <v>-0.23929040144386601</v>
      </c>
      <c r="AB171">
        <v>-0.32257178015830501</v>
      </c>
      <c r="AC171">
        <v>-0.26819054963983302</v>
      </c>
    </row>
    <row r="172" spans="1:29" x14ac:dyDescent="0.2">
      <c r="A172">
        <v>171</v>
      </c>
      <c r="B172" t="s">
        <v>336</v>
      </c>
      <c r="C172" t="s">
        <v>186</v>
      </c>
      <c r="D172" t="s">
        <v>188</v>
      </c>
      <c r="E172">
        <v>0.85947111369631402</v>
      </c>
      <c r="F172">
        <v>0.97637075207086599</v>
      </c>
      <c r="G172">
        <v>0.85378036455681905</v>
      </c>
      <c r="H172">
        <v>0.97718036698810595</v>
      </c>
      <c r="I172">
        <v>0.123400002431287</v>
      </c>
      <c r="J172">
        <v>0.116899638374552</v>
      </c>
      <c r="K172">
        <v>0.85947111369631402</v>
      </c>
      <c r="L172">
        <v>0.85378036455681905</v>
      </c>
      <c r="M172">
        <v>0.116899638374552</v>
      </c>
      <c r="N172">
        <v>0.12259038751404699</v>
      </c>
      <c r="O172">
        <v>0.11770925329179199</v>
      </c>
      <c r="P172">
        <v>0.123400002431287</v>
      </c>
      <c r="Q172" t="s">
        <v>1068</v>
      </c>
      <c r="R172" t="s">
        <v>1068</v>
      </c>
      <c r="S172" t="s">
        <v>1068</v>
      </c>
      <c r="T172" t="s">
        <v>1068</v>
      </c>
      <c r="U172" t="s">
        <v>944</v>
      </c>
      <c r="V172">
        <v>0</v>
      </c>
      <c r="W172" t="s">
        <v>944</v>
      </c>
      <c r="X172" t="s">
        <v>1176</v>
      </c>
      <c r="Y172">
        <v>1</v>
      </c>
      <c r="Z172">
        <v>0.39526709001515198</v>
      </c>
      <c r="AA172">
        <v>-0.15768817371706101</v>
      </c>
      <c r="AB172">
        <v>0.47661137486612998</v>
      </c>
      <c r="AC172">
        <v>-0.16744830110693201</v>
      </c>
    </row>
    <row r="173" spans="1:29" x14ac:dyDescent="0.2">
      <c r="A173">
        <v>172</v>
      </c>
      <c r="B173" t="s">
        <v>337</v>
      </c>
      <c r="C173" t="s">
        <v>186</v>
      </c>
      <c r="D173" t="s">
        <v>140</v>
      </c>
      <c r="E173">
        <v>-0.16147703116857001</v>
      </c>
      <c r="F173">
        <v>-1</v>
      </c>
      <c r="G173">
        <v>-0.176107126066644</v>
      </c>
      <c r="H173">
        <v>-1</v>
      </c>
      <c r="I173">
        <v>-0.82389287393335597</v>
      </c>
      <c r="J173">
        <v>-0.83852296883142996</v>
      </c>
      <c r="K173">
        <v>-0.16147703116857001</v>
      </c>
      <c r="L173">
        <v>-0.176107126066644</v>
      </c>
      <c r="M173">
        <v>-0.83852296883142996</v>
      </c>
      <c r="N173">
        <v>-0.82389287393335597</v>
      </c>
      <c r="O173">
        <v>-0.83852296883142996</v>
      </c>
      <c r="P173">
        <v>-0.82389287393335597</v>
      </c>
      <c r="Q173" t="s">
        <v>1067</v>
      </c>
      <c r="R173" t="s">
        <v>1067</v>
      </c>
      <c r="S173" t="s">
        <v>1067</v>
      </c>
      <c r="T173" t="s">
        <v>1067</v>
      </c>
      <c r="U173" t="s">
        <v>1174</v>
      </c>
      <c r="V173">
        <v>1</v>
      </c>
      <c r="W173" t="s">
        <v>944</v>
      </c>
      <c r="X173" t="s">
        <v>1175</v>
      </c>
      <c r="Y173">
        <v>1</v>
      </c>
      <c r="Z173">
        <v>-0.44854902748064801</v>
      </c>
      <c r="AA173">
        <v>-0.23961797163446599</v>
      </c>
      <c r="AB173">
        <v>-0.405656974663063</v>
      </c>
      <c r="AC173">
        <v>-0.27907788061216499</v>
      </c>
    </row>
    <row r="174" spans="1:29" x14ac:dyDescent="0.2">
      <c r="A174">
        <v>173</v>
      </c>
      <c r="B174" t="s">
        <v>338</v>
      </c>
      <c r="C174" t="s">
        <v>186</v>
      </c>
      <c r="D174" t="s">
        <v>191</v>
      </c>
      <c r="E174">
        <v>-0.15811948119996</v>
      </c>
      <c r="F174">
        <v>-1</v>
      </c>
      <c r="G174">
        <v>-0.20364679688638901</v>
      </c>
      <c r="H174">
        <v>-1</v>
      </c>
      <c r="I174">
        <v>-0.79635320311361102</v>
      </c>
      <c r="J174">
        <v>-0.84188051880004</v>
      </c>
      <c r="K174">
        <v>-0.15811948119996</v>
      </c>
      <c r="L174">
        <v>-0.20364679688638901</v>
      </c>
      <c r="M174">
        <v>-0.84188051880004</v>
      </c>
      <c r="N174">
        <v>-0.79635320311361102</v>
      </c>
      <c r="O174">
        <v>-0.84188051880004</v>
      </c>
      <c r="P174">
        <v>-0.79635320311361102</v>
      </c>
      <c r="Q174" t="s">
        <v>1067</v>
      </c>
      <c r="R174" t="s">
        <v>1067</v>
      </c>
      <c r="S174" t="s">
        <v>1067</v>
      </c>
      <c r="T174" t="s">
        <v>1067</v>
      </c>
      <c r="U174" t="s">
        <v>1174</v>
      </c>
      <c r="V174">
        <v>1</v>
      </c>
      <c r="W174" t="s">
        <v>944</v>
      </c>
      <c r="X174" t="s">
        <v>1175</v>
      </c>
      <c r="Y174">
        <v>1</v>
      </c>
      <c r="Z174">
        <v>-0.44812159319672701</v>
      </c>
      <c r="AA174">
        <v>-0.234927968974037</v>
      </c>
      <c r="AB174">
        <v>-0.42319116883791802</v>
      </c>
      <c r="AC174">
        <v>-0.28204124335299202</v>
      </c>
    </row>
    <row r="175" spans="1:29" x14ac:dyDescent="0.2">
      <c r="A175">
        <v>174</v>
      </c>
      <c r="B175" t="s">
        <v>339</v>
      </c>
      <c r="C175" t="s">
        <v>186</v>
      </c>
      <c r="D175" t="s">
        <v>193</v>
      </c>
      <c r="E175">
        <v>-0.184516080824837</v>
      </c>
      <c r="F175">
        <v>-1</v>
      </c>
      <c r="G175">
        <v>-0.20040873950025201</v>
      </c>
      <c r="H175">
        <v>-1</v>
      </c>
      <c r="I175">
        <v>-0.79959126049974805</v>
      </c>
      <c r="J175">
        <v>-0.81548391917516305</v>
      </c>
      <c r="K175">
        <v>-0.184516080824837</v>
      </c>
      <c r="L175">
        <v>-0.20040873950025201</v>
      </c>
      <c r="M175">
        <v>-0.81548391917516305</v>
      </c>
      <c r="N175">
        <v>-0.79959126049974805</v>
      </c>
      <c r="O175">
        <v>-0.81548391917516305</v>
      </c>
      <c r="P175">
        <v>-0.79959126049974805</v>
      </c>
      <c r="Q175" t="s">
        <v>1067</v>
      </c>
      <c r="R175" t="s">
        <v>1067</v>
      </c>
      <c r="S175" t="s">
        <v>1067</v>
      </c>
      <c r="T175" t="s">
        <v>1067</v>
      </c>
      <c r="U175" t="s">
        <v>1174</v>
      </c>
      <c r="V175">
        <v>1</v>
      </c>
      <c r="W175" t="s">
        <v>944</v>
      </c>
      <c r="X175" t="s">
        <v>1175</v>
      </c>
      <c r="Y175">
        <v>1</v>
      </c>
      <c r="Z175">
        <v>-0.44922029389982099</v>
      </c>
      <c r="AA175">
        <v>-0.23175970361349199</v>
      </c>
      <c r="AB175">
        <v>-0.429901097559309</v>
      </c>
      <c r="AC175">
        <v>-0.279922357129611</v>
      </c>
    </row>
    <row r="176" spans="1:29" x14ac:dyDescent="0.2">
      <c r="A176">
        <v>175</v>
      </c>
      <c r="B176" t="s">
        <v>340</v>
      </c>
      <c r="C176" t="s">
        <v>186</v>
      </c>
      <c r="D176" t="s">
        <v>142</v>
      </c>
      <c r="E176">
        <v>0.58316466601101502</v>
      </c>
      <c r="F176">
        <v>0.78644561522545697</v>
      </c>
      <c r="G176">
        <v>3.4968661119043798E-3</v>
      </c>
      <c r="H176">
        <v>0.78849707444960704</v>
      </c>
      <c r="I176">
        <v>0.78500020833770301</v>
      </c>
      <c r="J176">
        <v>0.20328094921444201</v>
      </c>
      <c r="K176">
        <v>0.58316466601101502</v>
      </c>
      <c r="L176">
        <v>3.4968661119043798E-3</v>
      </c>
      <c r="M176">
        <v>0.20328094921444201</v>
      </c>
      <c r="N176">
        <v>0.78294874911355306</v>
      </c>
      <c r="O176">
        <v>0.20533240843859199</v>
      </c>
      <c r="P176">
        <v>0.78500020833770301</v>
      </c>
      <c r="Q176" t="s">
        <v>1068</v>
      </c>
      <c r="R176" t="s">
        <v>1068</v>
      </c>
      <c r="S176" t="s">
        <v>1173</v>
      </c>
      <c r="T176" t="s">
        <v>1068</v>
      </c>
      <c r="U176" t="s">
        <v>944</v>
      </c>
      <c r="V176">
        <v>0</v>
      </c>
      <c r="W176" t="s">
        <v>944</v>
      </c>
      <c r="X176" t="s">
        <v>1175</v>
      </c>
      <c r="Y176">
        <v>1</v>
      </c>
      <c r="Z176">
        <v>0.52094232789966799</v>
      </c>
      <c r="AA176">
        <v>-0.186005101936673</v>
      </c>
      <c r="AB176">
        <v>0.598536453614119</v>
      </c>
      <c r="AC176">
        <v>-0.149934763400528</v>
      </c>
    </row>
    <row r="177" spans="1:29" x14ac:dyDescent="0.2">
      <c r="A177">
        <v>176</v>
      </c>
      <c r="B177" t="s">
        <v>341</v>
      </c>
      <c r="C177" t="s">
        <v>186</v>
      </c>
      <c r="D177" t="s">
        <v>144</v>
      </c>
      <c r="E177">
        <v>-1.17824724562364E-2</v>
      </c>
      <c r="F177">
        <v>-2.4891511730695499E-2</v>
      </c>
      <c r="G177">
        <v>5.2726124029288104E-3</v>
      </c>
      <c r="H177">
        <v>-0.19057138669902199</v>
      </c>
      <c r="I177">
        <v>-0.19584399910195099</v>
      </c>
      <c r="J177">
        <v>-1.3109039274459101E-2</v>
      </c>
      <c r="K177">
        <v>5.2726124029288104E-3</v>
      </c>
      <c r="L177">
        <v>-1.17824724562364E-2</v>
      </c>
      <c r="M177">
        <v>-3.01641241336243E-2</v>
      </c>
      <c r="N177">
        <v>-1.3109039274459101E-2</v>
      </c>
      <c r="O177">
        <v>-0.19584399910195099</v>
      </c>
      <c r="P177">
        <v>-0.17878891424278601</v>
      </c>
      <c r="Q177" t="s">
        <v>1173</v>
      </c>
      <c r="R177" t="s">
        <v>1173</v>
      </c>
      <c r="S177" t="s">
        <v>1173</v>
      </c>
      <c r="T177" t="s">
        <v>1067</v>
      </c>
      <c r="U177" t="s">
        <v>1174</v>
      </c>
      <c r="V177">
        <v>1</v>
      </c>
      <c r="W177" t="s">
        <v>944</v>
      </c>
      <c r="X177" t="s">
        <v>1175</v>
      </c>
      <c r="Y177">
        <v>0</v>
      </c>
      <c r="Z177">
        <v>-0.30636336688159199</v>
      </c>
      <c r="AA177">
        <v>-0.28568994587247498</v>
      </c>
      <c r="AB177">
        <v>-0.24902953165102501</v>
      </c>
      <c r="AC177">
        <v>-0.33804147348862701</v>
      </c>
    </row>
    <row r="178" spans="1:29" x14ac:dyDescent="0.2">
      <c r="A178">
        <v>177</v>
      </c>
      <c r="B178" t="s">
        <v>342</v>
      </c>
      <c r="C178" t="s">
        <v>186</v>
      </c>
      <c r="D178" t="s">
        <v>146</v>
      </c>
      <c r="E178">
        <v>-1.3338509232750701E-2</v>
      </c>
      <c r="F178">
        <v>-0.398638305246097</v>
      </c>
      <c r="G178">
        <v>-0.18618113739629399</v>
      </c>
      <c r="H178">
        <v>-0.66550107943863301</v>
      </c>
      <c r="I178">
        <v>-0.47931994204233902</v>
      </c>
      <c r="J178">
        <v>-0.38529979601334602</v>
      </c>
      <c r="K178">
        <v>-1.3338509232750701E-2</v>
      </c>
      <c r="L178">
        <v>-0.18618113739629399</v>
      </c>
      <c r="M178">
        <v>-0.38529979601334602</v>
      </c>
      <c r="N178">
        <v>-0.21245716784980301</v>
      </c>
      <c r="O178">
        <v>-0.65216257020588198</v>
      </c>
      <c r="P178">
        <v>-0.47931994204233902</v>
      </c>
      <c r="Q178" t="s">
        <v>1173</v>
      </c>
      <c r="R178" t="s">
        <v>1067</v>
      </c>
      <c r="S178" t="s">
        <v>1067</v>
      </c>
      <c r="T178" t="s">
        <v>1067</v>
      </c>
      <c r="U178" t="s">
        <v>1174</v>
      </c>
      <c r="V178">
        <v>1</v>
      </c>
      <c r="W178" t="s">
        <v>1174</v>
      </c>
      <c r="X178" t="s">
        <v>1175</v>
      </c>
      <c r="Y178">
        <v>1</v>
      </c>
      <c r="Z178">
        <v>-0.27935707517017999</v>
      </c>
      <c r="AA178">
        <v>-0.21998162343913399</v>
      </c>
      <c r="AB178">
        <v>-0.43062532696367301</v>
      </c>
      <c r="AC178">
        <v>-0.36152859822391098</v>
      </c>
    </row>
    <row r="179" spans="1:29" x14ac:dyDescent="0.2">
      <c r="A179">
        <v>178</v>
      </c>
      <c r="B179" t="s">
        <v>343</v>
      </c>
      <c r="C179" t="s">
        <v>186</v>
      </c>
      <c r="D179" t="s">
        <v>200</v>
      </c>
      <c r="E179">
        <v>-0.205182158417232</v>
      </c>
      <c r="F179">
        <v>-0.17937477009038899</v>
      </c>
      <c r="G179">
        <v>-8.4629183147892001E-2</v>
      </c>
      <c r="H179">
        <v>-0.355343362044094</v>
      </c>
      <c r="I179">
        <v>-0.27071417889620197</v>
      </c>
      <c r="J179">
        <v>2.5807388326843001E-2</v>
      </c>
      <c r="K179">
        <v>-8.4629183147892001E-2</v>
      </c>
      <c r="L179">
        <v>-0.205182158417232</v>
      </c>
      <c r="M179">
        <v>-9.4745586942497004E-2</v>
      </c>
      <c r="N179">
        <v>2.5807388326843001E-2</v>
      </c>
      <c r="O179">
        <v>-0.27071417889620197</v>
      </c>
      <c r="P179">
        <v>-0.150161203626862</v>
      </c>
      <c r="Q179" t="s">
        <v>1067</v>
      </c>
      <c r="R179" t="s">
        <v>1067</v>
      </c>
      <c r="S179" t="s">
        <v>1173</v>
      </c>
      <c r="T179" t="s">
        <v>1067</v>
      </c>
      <c r="U179" t="s">
        <v>944</v>
      </c>
      <c r="V179">
        <v>1</v>
      </c>
      <c r="W179" t="s">
        <v>944</v>
      </c>
      <c r="X179" t="s">
        <v>1175</v>
      </c>
      <c r="Y179">
        <v>0</v>
      </c>
      <c r="Z179">
        <v>-0.28152314340512502</v>
      </c>
      <c r="AA179">
        <v>-0.24869024888131899</v>
      </c>
      <c r="AB179">
        <v>-0.12778245955181</v>
      </c>
      <c r="AC179">
        <v>-0.24584724072042199</v>
      </c>
    </row>
    <row r="180" spans="1:29" x14ac:dyDescent="0.2">
      <c r="A180">
        <v>179</v>
      </c>
      <c r="B180" t="s">
        <v>344</v>
      </c>
      <c r="C180" t="s">
        <v>186</v>
      </c>
      <c r="D180" t="s">
        <v>148</v>
      </c>
      <c r="E180">
        <v>-0.42522083984921599</v>
      </c>
      <c r="F180">
        <v>-1</v>
      </c>
      <c r="G180">
        <v>3.5394145356364998E-3</v>
      </c>
      <c r="H180">
        <v>-1</v>
      </c>
      <c r="I180">
        <v>-1.00353941453564</v>
      </c>
      <c r="J180">
        <v>-0.57477916015078401</v>
      </c>
      <c r="K180">
        <v>3.5394145356364998E-3</v>
      </c>
      <c r="L180">
        <v>-0.42522083984921599</v>
      </c>
      <c r="M180">
        <v>-1.00353941453564</v>
      </c>
      <c r="N180">
        <v>-0.57477916015078401</v>
      </c>
      <c r="O180">
        <v>-1.00353941453564</v>
      </c>
      <c r="P180">
        <v>-0.57477916015078401</v>
      </c>
      <c r="Q180" t="s">
        <v>1067</v>
      </c>
      <c r="R180" t="s">
        <v>1067</v>
      </c>
      <c r="S180" t="s">
        <v>1173</v>
      </c>
      <c r="T180" t="s">
        <v>1067</v>
      </c>
      <c r="U180" t="s">
        <v>1174</v>
      </c>
      <c r="V180">
        <v>1</v>
      </c>
      <c r="W180" t="s">
        <v>944</v>
      </c>
      <c r="X180" t="s">
        <v>1175</v>
      </c>
      <c r="Y180">
        <v>1</v>
      </c>
      <c r="Z180">
        <v>-0.63868035535993495</v>
      </c>
      <c r="AA180">
        <v>-0.32575423424271599</v>
      </c>
      <c r="AB180">
        <v>-0.38992174582079703</v>
      </c>
      <c r="AC180">
        <v>-0.27846003245230599</v>
      </c>
    </row>
    <row r="181" spans="1:29" x14ac:dyDescent="0.2">
      <c r="A181">
        <v>180</v>
      </c>
      <c r="B181" t="s">
        <v>345</v>
      </c>
      <c r="C181" t="s">
        <v>186</v>
      </c>
      <c r="D181" t="s">
        <v>150</v>
      </c>
      <c r="E181">
        <v>-1.2351072043709801E-2</v>
      </c>
      <c r="F181">
        <v>-0.40430313563804099</v>
      </c>
      <c r="G181">
        <v>-8.7294345169270898E-2</v>
      </c>
      <c r="H181">
        <v>-0.68062992634295805</v>
      </c>
      <c r="I181">
        <v>-0.59333558117368701</v>
      </c>
      <c r="J181">
        <v>-0.39195206359433099</v>
      </c>
      <c r="K181">
        <v>-1.2351072043709801E-2</v>
      </c>
      <c r="L181">
        <v>-8.7294345169270898E-2</v>
      </c>
      <c r="M181">
        <v>-0.39195206359433099</v>
      </c>
      <c r="N181">
        <v>-0.31700879046877001</v>
      </c>
      <c r="O181">
        <v>-0.66827885429924805</v>
      </c>
      <c r="P181">
        <v>-0.59333558117368701</v>
      </c>
      <c r="Q181" t="s">
        <v>1173</v>
      </c>
      <c r="R181" t="s">
        <v>1067</v>
      </c>
      <c r="S181" t="s">
        <v>1173</v>
      </c>
      <c r="T181" t="s">
        <v>1067</v>
      </c>
      <c r="U181" t="s">
        <v>1174</v>
      </c>
      <c r="V181">
        <v>1</v>
      </c>
      <c r="W181" t="s">
        <v>1174</v>
      </c>
      <c r="X181" t="s">
        <v>1175</v>
      </c>
      <c r="Y181">
        <v>1</v>
      </c>
      <c r="Z181">
        <v>-0.36833060704634701</v>
      </c>
      <c r="AA181">
        <v>-0.25689447610728</v>
      </c>
      <c r="AB181">
        <v>-0.43367291084196902</v>
      </c>
      <c r="AC181">
        <v>-0.362183148897949</v>
      </c>
    </row>
    <row r="182" spans="1:29" x14ac:dyDescent="0.2">
      <c r="A182">
        <v>181</v>
      </c>
      <c r="B182" t="s">
        <v>346</v>
      </c>
      <c r="C182" t="s">
        <v>186</v>
      </c>
      <c r="D182" t="s">
        <v>204</v>
      </c>
      <c r="E182">
        <v>0.42610432106366902</v>
      </c>
      <c r="F182">
        <v>-1</v>
      </c>
      <c r="G182">
        <v>0.20317520273925099</v>
      </c>
      <c r="H182">
        <v>-1</v>
      </c>
      <c r="I182">
        <v>-1.2031752027392499</v>
      </c>
      <c r="J182">
        <v>-1.4261043210636699</v>
      </c>
      <c r="K182">
        <v>0.42610432106366902</v>
      </c>
      <c r="L182">
        <v>0.20317520273925099</v>
      </c>
      <c r="M182">
        <v>-1.4261043210636699</v>
      </c>
      <c r="N182">
        <v>-1.2031752027392499</v>
      </c>
      <c r="O182">
        <v>-1.4261043210636699</v>
      </c>
      <c r="P182">
        <v>-1.2031752027392499</v>
      </c>
      <c r="Q182" t="s">
        <v>1068</v>
      </c>
      <c r="R182" t="s">
        <v>1067</v>
      </c>
      <c r="S182" t="s">
        <v>1068</v>
      </c>
      <c r="T182" t="s">
        <v>1067</v>
      </c>
      <c r="U182" t="s">
        <v>1174</v>
      </c>
      <c r="V182">
        <v>1</v>
      </c>
      <c r="W182" t="s">
        <v>1174</v>
      </c>
      <c r="X182" t="s">
        <v>1175</v>
      </c>
      <c r="Y182">
        <v>1</v>
      </c>
      <c r="Z182">
        <v>-0.54812284820350698</v>
      </c>
      <c r="AA182">
        <v>-0.27425608456057798</v>
      </c>
      <c r="AB182">
        <v>-0.42667480231302901</v>
      </c>
      <c r="AC182">
        <v>-0.28008502813749098</v>
      </c>
    </row>
    <row r="183" spans="1:29" x14ac:dyDescent="0.2">
      <c r="A183">
        <v>182</v>
      </c>
      <c r="B183" t="s">
        <v>347</v>
      </c>
      <c r="C183" t="s">
        <v>186</v>
      </c>
      <c r="D183" t="s">
        <v>152</v>
      </c>
      <c r="E183">
        <v>0.58301250345329003</v>
      </c>
      <c r="F183">
        <v>0.78642227695852196</v>
      </c>
      <c r="G183">
        <v>3.4968661119043798E-3</v>
      </c>
      <c r="H183">
        <v>0.78784708862911101</v>
      </c>
      <c r="I183">
        <v>0.78435022251720699</v>
      </c>
      <c r="J183">
        <v>0.20340977350523201</v>
      </c>
      <c r="K183">
        <v>0.58301250345329003</v>
      </c>
      <c r="L183">
        <v>3.4968661119043798E-3</v>
      </c>
      <c r="M183">
        <v>0.20340977350523201</v>
      </c>
      <c r="N183">
        <v>0.78292541084661804</v>
      </c>
      <c r="O183">
        <v>0.20483458517582101</v>
      </c>
      <c r="P183">
        <v>0.78435022251720699</v>
      </c>
      <c r="Q183" t="s">
        <v>1068</v>
      </c>
      <c r="R183" t="s">
        <v>1068</v>
      </c>
      <c r="S183" t="s">
        <v>1173</v>
      </c>
      <c r="T183" t="s">
        <v>1068</v>
      </c>
      <c r="U183" t="s">
        <v>944</v>
      </c>
      <c r="V183">
        <v>0</v>
      </c>
      <c r="W183" t="s">
        <v>944</v>
      </c>
      <c r="X183" t="s">
        <v>1175</v>
      </c>
      <c r="Y183">
        <v>1</v>
      </c>
      <c r="Z183">
        <v>0.52106957307660295</v>
      </c>
      <c r="AA183">
        <v>-0.185989767998537</v>
      </c>
      <c r="AB183">
        <v>0.59884638511498001</v>
      </c>
      <c r="AC183">
        <v>-0.14993374261314499</v>
      </c>
    </row>
    <row r="184" spans="1:29" x14ac:dyDescent="0.2">
      <c r="A184">
        <v>183</v>
      </c>
      <c r="B184" t="s">
        <v>348</v>
      </c>
      <c r="C184" t="s">
        <v>186</v>
      </c>
      <c r="D184" t="s">
        <v>207</v>
      </c>
      <c r="E184">
        <v>-0.201842149098967</v>
      </c>
      <c r="F184">
        <v>-1</v>
      </c>
      <c r="G184">
        <v>-0.117155359267474</v>
      </c>
      <c r="H184">
        <v>-1</v>
      </c>
      <c r="I184">
        <v>-0.882844640732526</v>
      </c>
      <c r="J184">
        <v>-0.79815785090103297</v>
      </c>
      <c r="K184">
        <v>-0.117155359267474</v>
      </c>
      <c r="L184">
        <v>-0.201842149098967</v>
      </c>
      <c r="M184">
        <v>-0.882844640732526</v>
      </c>
      <c r="N184">
        <v>-0.79815785090103297</v>
      </c>
      <c r="O184">
        <v>-0.882844640732526</v>
      </c>
      <c r="P184">
        <v>-0.79815785090103297</v>
      </c>
      <c r="Q184" t="s">
        <v>1067</v>
      </c>
      <c r="R184" t="s">
        <v>1067</v>
      </c>
      <c r="S184" t="s">
        <v>1067</v>
      </c>
      <c r="T184" t="s">
        <v>1067</v>
      </c>
      <c r="U184" t="s">
        <v>1174</v>
      </c>
      <c r="V184">
        <v>1</v>
      </c>
      <c r="W184" t="s">
        <v>944</v>
      </c>
      <c r="X184" t="s">
        <v>1175</v>
      </c>
      <c r="Y184">
        <v>1</v>
      </c>
      <c r="Z184">
        <v>-0.47104389663968599</v>
      </c>
      <c r="AA184">
        <v>-0.25891008194236398</v>
      </c>
      <c r="AB184">
        <v>-0.36331321131286198</v>
      </c>
      <c r="AC184">
        <v>-0.270786877322576</v>
      </c>
    </row>
    <row r="185" spans="1:29" x14ac:dyDescent="0.2">
      <c r="A185">
        <v>184</v>
      </c>
      <c r="B185" t="s">
        <v>349</v>
      </c>
      <c r="C185" t="s">
        <v>186</v>
      </c>
      <c r="D185" t="s">
        <v>209</v>
      </c>
      <c r="E185">
        <v>-0.17424407953325799</v>
      </c>
      <c r="F185">
        <v>-1</v>
      </c>
      <c r="G185">
        <v>-0.11396436664658199</v>
      </c>
      <c r="H185">
        <v>-1</v>
      </c>
      <c r="I185">
        <v>-0.88603563335341795</v>
      </c>
      <c r="J185">
        <v>-0.82575592046674196</v>
      </c>
      <c r="K185">
        <v>-0.11396436664658199</v>
      </c>
      <c r="L185">
        <v>-0.17424407953325799</v>
      </c>
      <c r="M185">
        <v>-0.88603563335341795</v>
      </c>
      <c r="N185">
        <v>-0.82575592046674196</v>
      </c>
      <c r="O185">
        <v>-0.88603563335341795</v>
      </c>
      <c r="P185">
        <v>-0.82575592046674196</v>
      </c>
      <c r="Q185" t="s">
        <v>1067</v>
      </c>
      <c r="R185" t="s">
        <v>1067</v>
      </c>
      <c r="S185" t="s">
        <v>1067</v>
      </c>
      <c r="T185" t="s">
        <v>1067</v>
      </c>
      <c r="U185" t="s">
        <v>1174</v>
      </c>
      <c r="V185">
        <v>1</v>
      </c>
      <c r="W185" t="s">
        <v>944</v>
      </c>
      <c r="X185" t="s">
        <v>1175</v>
      </c>
      <c r="Y185">
        <v>1</v>
      </c>
      <c r="Z185">
        <v>-0.491849267671924</v>
      </c>
      <c r="AA185">
        <v>-0.26694841858283802</v>
      </c>
      <c r="AB185">
        <v>-0.373564039101909</v>
      </c>
      <c r="AC185">
        <v>-0.27497034535919501</v>
      </c>
    </row>
    <row r="186" spans="1:29" x14ac:dyDescent="0.2">
      <c r="A186">
        <v>185</v>
      </c>
      <c r="B186" t="s">
        <v>350</v>
      </c>
      <c r="C186" t="s">
        <v>186</v>
      </c>
      <c r="D186" t="s">
        <v>154</v>
      </c>
      <c r="E186">
        <v>0.393760297243123</v>
      </c>
      <c r="F186">
        <v>-1</v>
      </c>
      <c r="G186">
        <v>0.20317520269974401</v>
      </c>
      <c r="H186">
        <v>-1</v>
      </c>
      <c r="I186">
        <v>-1.20317520269974</v>
      </c>
      <c r="J186">
        <v>-1.39376029724312</v>
      </c>
      <c r="K186">
        <v>0.393760297243123</v>
      </c>
      <c r="L186">
        <v>0.20317520269974401</v>
      </c>
      <c r="M186">
        <v>-1.39376029724312</v>
      </c>
      <c r="N186">
        <v>-1.20317520269974</v>
      </c>
      <c r="O186">
        <v>-1.39376029724312</v>
      </c>
      <c r="P186">
        <v>-1.20317520269974</v>
      </c>
      <c r="Q186" t="s">
        <v>1068</v>
      </c>
      <c r="R186" t="s">
        <v>1067</v>
      </c>
      <c r="S186" t="s">
        <v>1068</v>
      </c>
      <c r="T186" t="s">
        <v>1067</v>
      </c>
      <c r="U186" t="s">
        <v>1174</v>
      </c>
      <c r="V186">
        <v>1</v>
      </c>
      <c r="W186" t="s">
        <v>1174</v>
      </c>
      <c r="X186" t="s">
        <v>1175</v>
      </c>
      <c r="Y186">
        <v>1</v>
      </c>
      <c r="Z186">
        <v>-0.55096875502491605</v>
      </c>
      <c r="AA186">
        <v>-0.27459903632763299</v>
      </c>
      <c r="AB186">
        <v>-0.42937971019731103</v>
      </c>
      <c r="AC186">
        <v>-0.28037284718900102</v>
      </c>
    </row>
    <row r="187" spans="1:29" x14ac:dyDescent="0.2">
      <c r="A187">
        <v>186</v>
      </c>
      <c r="B187" t="s">
        <v>351</v>
      </c>
      <c r="C187" t="s">
        <v>186</v>
      </c>
      <c r="D187" t="s">
        <v>156</v>
      </c>
      <c r="E187">
        <v>-0.16369681914606499</v>
      </c>
      <c r="F187">
        <v>-6.1449204824033397E-2</v>
      </c>
      <c r="G187">
        <v>3.4968660292447702E-3</v>
      </c>
      <c r="H187">
        <v>-0.209238754038715</v>
      </c>
      <c r="I187">
        <v>-0.21273562006796001</v>
      </c>
      <c r="J187">
        <v>0.102247614322032</v>
      </c>
      <c r="K187">
        <v>3.4968660292447702E-3</v>
      </c>
      <c r="L187">
        <v>-0.16369681914606499</v>
      </c>
      <c r="M187">
        <v>-6.4946070853278207E-2</v>
      </c>
      <c r="N187">
        <v>0.102247614322032</v>
      </c>
      <c r="O187">
        <v>-0.21273562006796001</v>
      </c>
      <c r="P187">
        <v>-4.5541934892650002E-2</v>
      </c>
      <c r="Q187" t="s">
        <v>1067</v>
      </c>
      <c r="R187" t="s">
        <v>1173</v>
      </c>
      <c r="S187" t="s">
        <v>1173</v>
      </c>
      <c r="T187" t="s">
        <v>1067</v>
      </c>
      <c r="U187" t="s">
        <v>944</v>
      </c>
      <c r="V187">
        <v>1</v>
      </c>
      <c r="W187" t="s">
        <v>944</v>
      </c>
      <c r="X187" t="s">
        <v>1175</v>
      </c>
      <c r="Y187">
        <v>1</v>
      </c>
      <c r="Z187">
        <v>-0.419948908594793</v>
      </c>
      <c r="AA187">
        <v>-0.29938910878879899</v>
      </c>
      <c r="AB187">
        <v>-0.15270124111800401</v>
      </c>
      <c r="AC187">
        <v>-0.245615196809505</v>
      </c>
    </row>
    <row r="188" spans="1:29" x14ac:dyDescent="0.2">
      <c r="A188">
        <v>187</v>
      </c>
      <c r="B188" t="s">
        <v>352</v>
      </c>
      <c r="C188" t="s">
        <v>186</v>
      </c>
      <c r="D188" t="s">
        <v>158</v>
      </c>
      <c r="E188">
        <v>-0.34909508353243601</v>
      </c>
      <c r="F188">
        <v>-1</v>
      </c>
      <c r="G188">
        <v>-0.11108844148364599</v>
      </c>
      <c r="H188">
        <v>-1</v>
      </c>
      <c r="I188">
        <v>-0.88891155851635395</v>
      </c>
      <c r="J188">
        <v>-0.65090491646756399</v>
      </c>
      <c r="K188">
        <v>-0.11108844148364599</v>
      </c>
      <c r="L188">
        <v>-0.34909508353243601</v>
      </c>
      <c r="M188">
        <v>-0.88891155851635395</v>
      </c>
      <c r="N188">
        <v>-0.65090491646756399</v>
      </c>
      <c r="O188">
        <v>-0.88891155851635395</v>
      </c>
      <c r="P188">
        <v>-0.65090491646756399</v>
      </c>
      <c r="Q188" t="s">
        <v>1067</v>
      </c>
      <c r="R188" t="s">
        <v>1067</v>
      </c>
      <c r="S188" t="s">
        <v>1067</v>
      </c>
      <c r="T188" t="s">
        <v>1067</v>
      </c>
      <c r="U188" t="s">
        <v>1174</v>
      </c>
      <c r="V188">
        <v>1</v>
      </c>
      <c r="W188" t="s">
        <v>944</v>
      </c>
      <c r="X188" t="s">
        <v>1175</v>
      </c>
      <c r="Y188">
        <v>1</v>
      </c>
      <c r="Z188">
        <v>-0.55708934162079704</v>
      </c>
      <c r="AA188">
        <v>-0.27578025309211701</v>
      </c>
      <c r="AB188">
        <v>-0.43584683895558202</v>
      </c>
      <c r="AC188">
        <v>-0.28118806416390102</v>
      </c>
    </row>
    <row r="189" spans="1:29" x14ac:dyDescent="0.2">
      <c r="A189">
        <v>188</v>
      </c>
      <c r="B189" t="s">
        <v>353</v>
      </c>
      <c r="C189" t="s">
        <v>186</v>
      </c>
      <c r="D189" t="s">
        <v>214</v>
      </c>
      <c r="E189">
        <v>-0.35158674644565102</v>
      </c>
      <c r="F189">
        <v>-1</v>
      </c>
      <c r="G189">
        <v>-0.11241472822463</v>
      </c>
      <c r="H189">
        <v>-1</v>
      </c>
      <c r="I189">
        <v>-0.88758527177537005</v>
      </c>
      <c r="J189">
        <v>-0.64841325355434898</v>
      </c>
      <c r="K189">
        <v>-0.11241472822463</v>
      </c>
      <c r="L189">
        <v>-0.35158674644565102</v>
      </c>
      <c r="M189">
        <v>-0.88758527177537005</v>
      </c>
      <c r="N189">
        <v>-0.64841325355434898</v>
      </c>
      <c r="O189">
        <v>-0.88758527177537005</v>
      </c>
      <c r="P189">
        <v>-0.64841325355434898</v>
      </c>
      <c r="Q189" t="s">
        <v>1067</v>
      </c>
      <c r="R189" t="s">
        <v>1067</v>
      </c>
      <c r="S189" t="s">
        <v>1067</v>
      </c>
      <c r="T189" t="s">
        <v>1067</v>
      </c>
      <c r="U189" t="s">
        <v>1174</v>
      </c>
      <c r="V189">
        <v>1</v>
      </c>
      <c r="W189" t="s">
        <v>944</v>
      </c>
      <c r="X189" t="s">
        <v>1175</v>
      </c>
      <c r="Y189">
        <v>1</v>
      </c>
      <c r="Z189">
        <v>-0.55957642864518897</v>
      </c>
      <c r="AA189">
        <v>-0.275806811560176</v>
      </c>
      <c r="AB189">
        <v>-0.43986943312066001</v>
      </c>
      <c r="AC189">
        <v>-0.28180022683328698</v>
      </c>
    </row>
    <row r="190" spans="1:29" x14ac:dyDescent="0.2">
      <c r="A190">
        <v>189</v>
      </c>
      <c r="B190" t="s">
        <v>354</v>
      </c>
      <c r="C190" t="s">
        <v>186</v>
      </c>
      <c r="D190" t="s">
        <v>160</v>
      </c>
      <c r="E190">
        <v>-0.16112795544785399</v>
      </c>
      <c r="F190">
        <v>-0.122742639569916</v>
      </c>
      <c r="G190">
        <v>2.8218492996902101E-3</v>
      </c>
      <c r="H190">
        <v>-0.25186688591979201</v>
      </c>
      <c r="I190">
        <v>-0.25468873521948199</v>
      </c>
      <c r="J190">
        <v>3.8385315877938003E-2</v>
      </c>
      <c r="K190">
        <v>2.8218492996902101E-3</v>
      </c>
      <c r="L190">
        <v>-0.16112795544785399</v>
      </c>
      <c r="M190">
        <v>-0.125564488869606</v>
      </c>
      <c r="N190">
        <v>3.8385315877938003E-2</v>
      </c>
      <c r="O190">
        <v>-0.25468873521948199</v>
      </c>
      <c r="P190">
        <v>-9.0738930471937998E-2</v>
      </c>
      <c r="Q190" t="s">
        <v>1067</v>
      </c>
      <c r="R190" t="s">
        <v>1067</v>
      </c>
      <c r="S190" t="s">
        <v>1173</v>
      </c>
      <c r="T190" t="s">
        <v>1067</v>
      </c>
      <c r="U190" t="s">
        <v>944</v>
      </c>
      <c r="V190">
        <v>1</v>
      </c>
      <c r="W190" t="s">
        <v>944</v>
      </c>
      <c r="X190" t="s">
        <v>1175</v>
      </c>
      <c r="Y190">
        <v>0</v>
      </c>
      <c r="Z190">
        <v>-0.45867431554605098</v>
      </c>
      <c r="AA190">
        <v>-0.30384088843572898</v>
      </c>
      <c r="AB190">
        <v>-0.19757418010944</v>
      </c>
      <c r="AC190">
        <v>-0.25196230139230602</v>
      </c>
    </row>
    <row r="191" spans="1:29" x14ac:dyDescent="0.2">
      <c r="A191">
        <v>190</v>
      </c>
      <c r="B191" t="s">
        <v>355</v>
      </c>
      <c r="C191" t="s">
        <v>186</v>
      </c>
      <c r="D191" t="s">
        <v>162</v>
      </c>
      <c r="E191">
        <v>-1.2351072043709801E-2</v>
      </c>
      <c r="F191">
        <v>-0.400857522850188</v>
      </c>
      <c r="G191">
        <v>-0.101152445953704</v>
      </c>
      <c r="H191">
        <v>-0.66315693480909299</v>
      </c>
      <c r="I191">
        <v>-0.56200448885538901</v>
      </c>
      <c r="J191">
        <v>-0.388506450806478</v>
      </c>
      <c r="K191">
        <v>-1.2351072043709801E-2</v>
      </c>
      <c r="L191">
        <v>-0.101152445953704</v>
      </c>
      <c r="M191">
        <v>-0.388506450806478</v>
      </c>
      <c r="N191">
        <v>-0.29970507689648401</v>
      </c>
      <c r="O191">
        <v>-0.65080586276538299</v>
      </c>
      <c r="P191">
        <v>-0.56200448885538901</v>
      </c>
      <c r="Q191" t="s">
        <v>1173</v>
      </c>
      <c r="R191" t="s">
        <v>1067</v>
      </c>
      <c r="S191" t="s">
        <v>1067</v>
      </c>
      <c r="T191" t="s">
        <v>1067</v>
      </c>
      <c r="U191" t="s">
        <v>1174</v>
      </c>
      <c r="V191">
        <v>1</v>
      </c>
      <c r="W191" t="s">
        <v>1174</v>
      </c>
      <c r="X191" t="s">
        <v>1175</v>
      </c>
      <c r="Y191">
        <v>1</v>
      </c>
      <c r="Z191">
        <v>-0.348932401616382</v>
      </c>
      <c r="AA191">
        <v>-0.249203879597652</v>
      </c>
      <c r="AB191">
        <v>-0.43228034508215601</v>
      </c>
      <c r="AC191">
        <v>-0.36200107429171702</v>
      </c>
    </row>
    <row r="192" spans="1:29" x14ac:dyDescent="0.2">
      <c r="A192">
        <v>191</v>
      </c>
      <c r="B192" t="s">
        <v>356</v>
      </c>
      <c r="C192" t="s">
        <v>186</v>
      </c>
      <c r="D192" t="s">
        <v>218</v>
      </c>
      <c r="E192">
        <v>-0.17532310179218999</v>
      </c>
      <c r="F192">
        <v>7.45401298805205E-2</v>
      </c>
      <c r="G192">
        <v>-0.147774474250147</v>
      </c>
      <c r="H192">
        <v>-4.33606815719563E-2</v>
      </c>
      <c r="I192">
        <v>0.10441379267819099</v>
      </c>
      <c r="J192">
        <v>0.24986323167270999</v>
      </c>
      <c r="K192">
        <v>-0.147774474250147</v>
      </c>
      <c r="L192">
        <v>-0.17532310179218999</v>
      </c>
      <c r="M192">
        <v>0.222314604130668</v>
      </c>
      <c r="N192">
        <v>0.24986323167270999</v>
      </c>
      <c r="O192">
        <v>0.10441379267819099</v>
      </c>
      <c r="P192">
        <v>0.13196242022023399</v>
      </c>
      <c r="Q192" t="s">
        <v>1067</v>
      </c>
      <c r="R192" t="s">
        <v>1173</v>
      </c>
      <c r="S192" t="s">
        <v>1067</v>
      </c>
      <c r="T192" t="s">
        <v>1173</v>
      </c>
      <c r="U192" t="s">
        <v>944</v>
      </c>
      <c r="V192">
        <v>0</v>
      </c>
      <c r="W192" t="s">
        <v>944</v>
      </c>
      <c r="X192" t="s">
        <v>1175</v>
      </c>
      <c r="Y192">
        <v>1</v>
      </c>
      <c r="Z192">
        <v>-0.124431237713684</v>
      </c>
      <c r="AA192">
        <v>-0.210541601051041</v>
      </c>
      <c r="AB192">
        <v>-2.21078009613065E-2</v>
      </c>
      <c r="AC192">
        <v>-0.228457702485374</v>
      </c>
    </row>
    <row r="193" spans="1:29" x14ac:dyDescent="0.2">
      <c r="A193">
        <v>192</v>
      </c>
      <c r="B193" t="s">
        <v>357</v>
      </c>
      <c r="C193" t="s">
        <v>186</v>
      </c>
      <c r="D193" t="s">
        <v>220</v>
      </c>
      <c r="E193">
        <v>-1.2351072043709801E-2</v>
      </c>
      <c r="F193">
        <v>-0.39847471131106299</v>
      </c>
      <c r="G193">
        <v>-0.12384184769762401</v>
      </c>
      <c r="H193">
        <v>-0.65798002986007098</v>
      </c>
      <c r="I193">
        <v>-0.53413818216244702</v>
      </c>
      <c r="J193">
        <v>-0.38612363926735299</v>
      </c>
      <c r="K193">
        <v>-1.2351072043709801E-2</v>
      </c>
      <c r="L193">
        <v>-0.12384184769762401</v>
      </c>
      <c r="M193">
        <v>-0.38612363926735299</v>
      </c>
      <c r="N193">
        <v>-0.27463286361343903</v>
      </c>
      <c r="O193">
        <v>-0.64562895781636098</v>
      </c>
      <c r="P193">
        <v>-0.53413818216244702</v>
      </c>
      <c r="Q193" t="s">
        <v>1173</v>
      </c>
      <c r="R193" t="s">
        <v>1067</v>
      </c>
      <c r="S193" t="s">
        <v>1067</v>
      </c>
      <c r="T193" t="s">
        <v>1067</v>
      </c>
      <c r="U193" t="s">
        <v>1174</v>
      </c>
      <c r="V193">
        <v>1</v>
      </c>
      <c r="W193" t="s">
        <v>1174</v>
      </c>
      <c r="X193" t="s">
        <v>1175</v>
      </c>
      <c r="Y193">
        <v>1</v>
      </c>
      <c r="Z193">
        <v>-0.335533264963148</v>
      </c>
      <c r="AA193">
        <v>-0.243569516029083</v>
      </c>
      <c r="AB193">
        <v>-0.43264139552491898</v>
      </c>
      <c r="AC193">
        <v>-0.362048280764182</v>
      </c>
    </row>
    <row r="194" spans="1:29" x14ac:dyDescent="0.2">
      <c r="A194">
        <v>193</v>
      </c>
      <c r="B194" t="s">
        <v>358</v>
      </c>
      <c r="C194" t="s">
        <v>186</v>
      </c>
      <c r="D194" t="s">
        <v>164</v>
      </c>
      <c r="E194">
        <v>0.86304028845584202</v>
      </c>
      <c r="F194">
        <v>-9.3019668772228101E-2</v>
      </c>
      <c r="G194">
        <v>3.7238598197755199E-4</v>
      </c>
      <c r="H194">
        <v>-1</v>
      </c>
      <c r="I194">
        <v>-1.00037238598198</v>
      </c>
      <c r="J194">
        <v>-0.95605995722807002</v>
      </c>
      <c r="K194">
        <v>0.86304028845584202</v>
      </c>
      <c r="L194">
        <v>3.7238598197755199E-4</v>
      </c>
      <c r="M194">
        <v>-0.95605995722807002</v>
      </c>
      <c r="N194">
        <v>-9.33920547542057E-2</v>
      </c>
      <c r="O194">
        <v>-1.8630402884558399</v>
      </c>
      <c r="P194">
        <v>-1.00037238598198</v>
      </c>
      <c r="Q194" t="s">
        <v>1068</v>
      </c>
      <c r="R194" t="s">
        <v>1173</v>
      </c>
      <c r="S194" t="s">
        <v>1173</v>
      </c>
      <c r="T194" t="s">
        <v>1067</v>
      </c>
      <c r="U194" t="s">
        <v>1174</v>
      </c>
      <c r="V194">
        <v>1</v>
      </c>
      <c r="W194" t="s">
        <v>1174</v>
      </c>
      <c r="X194" t="s">
        <v>1175</v>
      </c>
      <c r="Y194">
        <v>1</v>
      </c>
      <c r="Z194">
        <v>-0.228848196980491</v>
      </c>
      <c r="AA194">
        <v>-0.26492934867714002</v>
      </c>
      <c r="AB194">
        <v>2.4050102527244902E-3</v>
      </c>
      <c r="AC194">
        <v>-0.228804574882956</v>
      </c>
    </row>
    <row r="195" spans="1:29" x14ac:dyDescent="0.2">
      <c r="A195">
        <v>194</v>
      </c>
      <c r="B195" t="s">
        <v>359</v>
      </c>
      <c r="C195" t="s">
        <v>186</v>
      </c>
      <c r="D195" t="s">
        <v>166</v>
      </c>
      <c r="E195">
        <v>-1.2351072043709801E-2</v>
      </c>
      <c r="F195">
        <v>8.1459280842034797E-4</v>
      </c>
      <c r="G195">
        <v>3.5394145116372502E-3</v>
      </c>
      <c r="H195">
        <v>-0.23527365538943801</v>
      </c>
      <c r="I195">
        <v>-0.23881306990107501</v>
      </c>
      <c r="J195">
        <v>1.31656648521301E-2</v>
      </c>
      <c r="K195">
        <v>3.5394145116372502E-3</v>
      </c>
      <c r="L195">
        <v>-1.2351072043709801E-2</v>
      </c>
      <c r="M195">
        <v>-2.7248217032169002E-3</v>
      </c>
      <c r="N195">
        <v>1.31656648521301E-2</v>
      </c>
      <c r="O195">
        <v>-0.23881306990107501</v>
      </c>
      <c r="P195">
        <v>-0.22292258334572801</v>
      </c>
      <c r="Q195" t="s">
        <v>1173</v>
      </c>
      <c r="R195" t="s">
        <v>1173</v>
      </c>
      <c r="S195" t="s">
        <v>1173</v>
      </c>
      <c r="T195" t="s">
        <v>1067</v>
      </c>
      <c r="U195" t="s">
        <v>944</v>
      </c>
      <c r="V195">
        <v>1</v>
      </c>
      <c r="W195" t="s">
        <v>944</v>
      </c>
      <c r="X195" t="s">
        <v>1175</v>
      </c>
      <c r="Y195">
        <v>0</v>
      </c>
      <c r="Z195">
        <v>-0.26119835433282601</v>
      </c>
      <c r="AA195">
        <v>-0.28026500006674898</v>
      </c>
      <c r="AB195">
        <v>-0.20204227555096901</v>
      </c>
      <c r="AC195">
        <v>-0.331898003356566</v>
      </c>
    </row>
    <row r="196" spans="1:29" x14ac:dyDescent="0.2">
      <c r="A196">
        <v>195</v>
      </c>
      <c r="B196" t="s">
        <v>360</v>
      </c>
      <c r="C196" t="s">
        <v>186</v>
      </c>
      <c r="D196" t="s">
        <v>226</v>
      </c>
      <c r="E196">
        <v>-0.41869785160604001</v>
      </c>
      <c r="F196">
        <v>-1</v>
      </c>
      <c r="G196">
        <v>-8.8723699472768605E-2</v>
      </c>
      <c r="H196">
        <v>-1</v>
      </c>
      <c r="I196">
        <v>-0.91127630052723096</v>
      </c>
      <c r="J196">
        <v>-0.58130214839395999</v>
      </c>
      <c r="K196">
        <v>-8.8723699472768605E-2</v>
      </c>
      <c r="L196">
        <v>-0.41869785160604001</v>
      </c>
      <c r="M196">
        <v>-0.91127630052723096</v>
      </c>
      <c r="N196">
        <v>-0.58130214839395999</v>
      </c>
      <c r="O196">
        <v>-0.91127630052723096</v>
      </c>
      <c r="P196">
        <v>-0.58130214839395999</v>
      </c>
      <c r="Q196" t="s">
        <v>1067</v>
      </c>
      <c r="R196" t="s">
        <v>1067</v>
      </c>
      <c r="S196" t="s">
        <v>1173</v>
      </c>
      <c r="T196" t="s">
        <v>1067</v>
      </c>
      <c r="U196" t="s">
        <v>1174</v>
      </c>
      <c r="V196">
        <v>1</v>
      </c>
      <c r="W196" t="s">
        <v>944</v>
      </c>
      <c r="X196" t="s">
        <v>1175</v>
      </c>
      <c r="Y196">
        <v>1</v>
      </c>
      <c r="Z196">
        <v>-0.53828430325811105</v>
      </c>
      <c r="AA196">
        <v>-0.275364454207156</v>
      </c>
      <c r="AB196">
        <v>-0.41962335135518802</v>
      </c>
      <c r="AC196">
        <v>-0.28361051541593402</v>
      </c>
    </row>
    <row r="197" spans="1:29" x14ac:dyDescent="0.2">
      <c r="A197">
        <v>196</v>
      </c>
      <c r="B197" t="s">
        <v>361</v>
      </c>
      <c r="C197" t="s">
        <v>186</v>
      </c>
      <c r="D197" t="s">
        <v>168</v>
      </c>
      <c r="E197">
        <v>0.34394428446500702</v>
      </c>
      <c r="F197">
        <v>-1</v>
      </c>
      <c r="G197">
        <v>-8.4371893912818796E-2</v>
      </c>
      <c r="H197">
        <v>-1</v>
      </c>
      <c r="I197">
        <v>-0.91562810608718104</v>
      </c>
      <c r="J197">
        <v>-1.34394428446501</v>
      </c>
      <c r="K197">
        <v>0.34394428446500702</v>
      </c>
      <c r="L197">
        <v>-8.4371893912818796E-2</v>
      </c>
      <c r="M197">
        <v>-1.34394428446501</v>
      </c>
      <c r="N197">
        <v>-0.91562810608718104</v>
      </c>
      <c r="O197">
        <v>-1.34394428446501</v>
      </c>
      <c r="P197">
        <v>-0.91562810608718104</v>
      </c>
      <c r="Q197" t="s">
        <v>1068</v>
      </c>
      <c r="R197" t="s">
        <v>1067</v>
      </c>
      <c r="S197" t="s">
        <v>1173</v>
      </c>
      <c r="T197" t="s">
        <v>1067</v>
      </c>
      <c r="U197" t="s">
        <v>1174</v>
      </c>
      <c r="V197">
        <v>1</v>
      </c>
      <c r="W197" t="s">
        <v>1174</v>
      </c>
      <c r="X197" t="s">
        <v>1175</v>
      </c>
      <c r="Y197">
        <v>1</v>
      </c>
      <c r="Z197">
        <v>-0.55778889522038499</v>
      </c>
      <c r="AA197">
        <v>-0.28204503303912598</v>
      </c>
      <c r="AB197">
        <v>-0.43053393462047801</v>
      </c>
      <c r="AC197">
        <v>-0.286555625750675</v>
      </c>
    </row>
    <row r="198" spans="1:29" x14ac:dyDescent="0.2">
      <c r="A198">
        <v>197</v>
      </c>
      <c r="B198" t="s">
        <v>362</v>
      </c>
      <c r="C198" t="s">
        <v>188</v>
      </c>
      <c r="D198" t="s">
        <v>129</v>
      </c>
      <c r="E198">
        <v>-0.44974178458549002</v>
      </c>
      <c r="F198">
        <v>0.473116080935231</v>
      </c>
      <c r="G198">
        <v>-8.6337011034785194E-2</v>
      </c>
      <c r="H198">
        <v>0.464840612073667</v>
      </c>
      <c r="I198">
        <v>0.55117762310845198</v>
      </c>
      <c r="J198">
        <v>0.92285786552072102</v>
      </c>
      <c r="K198">
        <v>-8.6337011034785194E-2</v>
      </c>
      <c r="L198">
        <v>-0.44974178458549002</v>
      </c>
      <c r="M198">
        <v>0.55945309197001603</v>
      </c>
      <c r="N198">
        <v>0.92285786552072102</v>
      </c>
      <c r="O198">
        <v>0.55117762310845198</v>
      </c>
      <c r="P198">
        <v>0.91458239665915697</v>
      </c>
      <c r="Q198" t="s">
        <v>1067</v>
      </c>
      <c r="R198" t="s">
        <v>1068</v>
      </c>
      <c r="S198" t="s">
        <v>1173</v>
      </c>
      <c r="T198" t="s">
        <v>1068</v>
      </c>
      <c r="U198" t="s">
        <v>944</v>
      </c>
      <c r="V198">
        <v>0</v>
      </c>
      <c r="W198" t="s">
        <v>944</v>
      </c>
      <c r="X198" t="s">
        <v>1175</v>
      </c>
      <c r="Y198">
        <v>1</v>
      </c>
      <c r="Z198">
        <v>0.41141681828670701</v>
      </c>
      <c r="AA198">
        <v>-0.173199407016013</v>
      </c>
      <c r="AB198">
        <v>0.54726116615272002</v>
      </c>
      <c r="AC198">
        <v>-0.16098335176262701</v>
      </c>
    </row>
    <row r="199" spans="1:29" x14ac:dyDescent="0.2">
      <c r="A199">
        <v>198</v>
      </c>
      <c r="B199" t="s">
        <v>363</v>
      </c>
      <c r="C199" t="s">
        <v>188</v>
      </c>
      <c r="D199" t="s">
        <v>130</v>
      </c>
      <c r="E199">
        <v>2.7500888358607599E-3</v>
      </c>
      <c r="F199">
        <v>0.43050184316525902</v>
      </c>
      <c r="G199">
        <v>-4.7854927676914197E-2</v>
      </c>
      <c r="H199">
        <v>0.40314031374867598</v>
      </c>
      <c r="I199">
        <v>0.45099524142559</v>
      </c>
      <c r="J199">
        <v>0.42775175432939799</v>
      </c>
      <c r="K199">
        <v>2.7500888358607599E-3</v>
      </c>
      <c r="L199">
        <v>-4.7854927676914197E-2</v>
      </c>
      <c r="M199">
        <v>0.42775175432939799</v>
      </c>
      <c r="N199">
        <v>0.47835677084217298</v>
      </c>
      <c r="O199">
        <v>0.40039022491281501</v>
      </c>
      <c r="P199">
        <v>0.45099524142559</v>
      </c>
      <c r="Q199" t="s">
        <v>1173</v>
      </c>
      <c r="R199" t="s">
        <v>1068</v>
      </c>
      <c r="S199" t="s">
        <v>1173</v>
      </c>
      <c r="T199" t="s">
        <v>1068</v>
      </c>
      <c r="U199" t="s">
        <v>944</v>
      </c>
      <c r="V199">
        <v>0</v>
      </c>
      <c r="W199" t="s">
        <v>944</v>
      </c>
      <c r="X199" t="s">
        <v>1175</v>
      </c>
      <c r="Y199">
        <v>1</v>
      </c>
      <c r="Z199">
        <v>0.63241487350958503</v>
      </c>
      <c r="AA199">
        <v>-0.109402108390762</v>
      </c>
      <c r="AB199">
        <v>0.44847499479312802</v>
      </c>
      <c r="AC199">
        <v>-0.25166221072606998</v>
      </c>
    </row>
    <row r="200" spans="1:29" x14ac:dyDescent="0.2">
      <c r="A200">
        <v>199</v>
      </c>
      <c r="B200" t="s">
        <v>364</v>
      </c>
      <c r="C200" t="s">
        <v>188</v>
      </c>
      <c r="D200" t="s">
        <v>132</v>
      </c>
      <c r="E200">
        <v>0.77841007043966004</v>
      </c>
      <c r="F200">
        <v>0.96257702178431204</v>
      </c>
      <c r="G200">
        <v>0.80698720979663996</v>
      </c>
      <c r="H200">
        <v>0.96373646058479401</v>
      </c>
      <c r="I200">
        <v>0.15674925078815399</v>
      </c>
      <c r="J200">
        <v>0.184166951344652</v>
      </c>
      <c r="K200">
        <v>0.80698720979663996</v>
      </c>
      <c r="L200">
        <v>0.77841007043966004</v>
      </c>
      <c r="M200">
        <v>0.15558981198767199</v>
      </c>
      <c r="N200">
        <v>0.184166951344652</v>
      </c>
      <c r="O200">
        <v>0.15674925078815399</v>
      </c>
      <c r="P200">
        <v>0.185326390145134</v>
      </c>
      <c r="Q200" t="s">
        <v>1068</v>
      </c>
      <c r="R200" t="s">
        <v>1068</v>
      </c>
      <c r="S200" t="s">
        <v>1068</v>
      </c>
      <c r="T200" t="s">
        <v>1068</v>
      </c>
      <c r="U200" t="s">
        <v>944</v>
      </c>
      <c r="V200">
        <v>0</v>
      </c>
      <c r="W200" t="s">
        <v>944</v>
      </c>
      <c r="X200" t="s">
        <v>1175</v>
      </c>
      <c r="Y200">
        <v>1</v>
      </c>
      <c r="Z200">
        <v>0.36266594735880098</v>
      </c>
      <c r="AA200">
        <v>-0.17914562959703001</v>
      </c>
      <c r="AB200">
        <v>0.48997149063813</v>
      </c>
      <c r="AC200">
        <v>-0.17038655474276199</v>
      </c>
    </row>
    <row r="201" spans="1:29" x14ac:dyDescent="0.2">
      <c r="A201">
        <v>200</v>
      </c>
      <c r="B201" t="s">
        <v>365</v>
      </c>
      <c r="C201" t="s">
        <v>188</v>
      </c>
      <c r="D201" t="s">
        <v>134</v>
      </c>
      <c r="E201">
        <v>7.3458919640771295E-2</v>
      </c>
      <c r="F201">
        <v>0.48380176295204502</v>
      </c>
      <c r="G201">
        <v>1.49757742206222E-2</v>
      </c>
      <c r="H201">
        <v>0.35436506035687498</v>
      </c>
      <c r="I201">
        <v>0.33938928613625302</v>
      </c>
      <c r="J201">
        <v>0.41034284331127402</v>
      </c>
      <c r="K201">
        <v>7.3458919640771295E-2</v>
      </c>
      <c r="L201">
        <v>1.49757742206222E-2</v>
      </c>
      <c r="M201">
        <v>0.41034284331127402</v>
      </c>
      <c r="N201">
        <v>0.468825988731423</v>
      </c>
      <c r="O201">
        <v>0.28090614071610398</v>
      </c>
      <c r="P201">
        <v>0.33938928613625302</v>
      </c>
      <c r="Q201" t="s">
        <v>1173</v>
      </c>
      <c r="R201" t="s">
        <v>1068</v>
      </c>
      <c r="S201" t="s">
        <v>1173</v>
      </c>
      <c r="T201" t="s">
        <v>1068</v>
      </c>
      <c r="U201" t="s">
        <v>944</v>
      </c>
      <c r="V201">
        <v>0</v>
      </c>
      <c r="W201" t="s">
        <v>944</v>
      </c>
      <c r="X201" t="s">
        <v>1175</v>
      </c>
      <c r="Y201">
        <v>1</v>
      </c>
      <c r="Z201">
        <v>0.495811499586576</v>
      </c>
      <c r="AA201">
        <v>-0.198844325602725</v>
      </c>
      <c r="AB201">
        <v>0.57111280658060104</v>
      </c>
      <c r="AC201">
        <v>-0.227584929531435</v>
      </c>
    </row>
    <row r="202" spans="1:29" x14ac:dyDescent="0.2">
      <c r="A202">
        <v>201</v>
      </c>
      <c r="B202" t="s">
        <v>366</v>
      </c>
      <c r="C202" t="s">
        <v>188</v>
      </c>
      <c r="D202" t="s">
        <v>136</v>
      </c>
      <c r="E202">
        <v>-0.13350266971084199</v>
      </c>
      <c r="F202">
        <v>0.84111363912568704</v>
      </c>
      <c r="G202">
        <v>1.49757742206222E-2</v>
      </c>
      <c r="H202">
        <v>0.83244772485145402</v>
      </c>
      <c r="I202">
        <v>0.817471950630832</v>
      </c>
      <c r="J202">
        <v>0.97461630883652905</v>
      </c>
      <c r="K202">
        <v>1.49757742206222E-2</v>
      </c>
      <c r="L202">
        <v>-0.13350266971084199</v>
      </c>
      <c r="M202">
        <v>0.82613786490506502</v>
      </c>
      <c r="N202">
        <v>0.97461630883652905</v>
      </c>
      <c r="O202">
        <v>0.817471950630832</v>
      </c>
      <c r="P202">
        <v>0.96595039456229603</v>
      </c>
      <c r="Q202" t="s">
        <v>1067</v>
      </c>
      <c r="R202" t="s">
        <v>1068</v>
      </c>
      <c r="S202" t="s">
        <v>1173</v>
      </c>
      <c r="T202" t="s">
        <v>1068</v>
      </c>
      <c r="U202" t="s">
        <v>944</v>
      </c>
      <c r="V202">
        <v>0</v>
      </c>
      <c r="W202" t="s">
        <v>944</v>
      </c>
      <c r="X202" t="s">
        <v>1175</v>
      </c>
      <c r="Y202">
        <v>1</v>
      </c>
      <c r="Z202">
        <v>0.41712062045966097</v>
      </c>
      <c r="AA202">
        <v>-0.208327129599676</v>
      </c>
      <c r="AB202">
        <v>0.68291442448926698</v>
      </c>
      <c r="AC202">
        <v>-0.141279509551692</v>
      </c>
    </row>
    <row r="203" spans="1:29" x14ac:dyDescent="0.2">
      <c r="A203">
        <v>202</v>
      </c>
      <c r="B203" t="s">
        <v>367</v>
      </c>
      <c r="C203" t="s">
        <v>188</v>
      </c>
      <c r="D203" t="s">
        <v>138</v>
      </c>
      <c r="E203">
        <v>-8.0422992272310603E-2</v>
      </c>
      <c r="F203">
        <v>0.59759582244162301</v>
      </c>
      <c r="G203">
        <v>2.4474433492317701E-2</v>
      </c>
      <c r="H203">
        <v>0.60970391210492503</v>
      </c>
      <c r="I203">
        <v>0.58522947861260699</v>
      </c>
      <c r="J203">
        <v>0.67801881471393399</v>
      </c>
      <c r="K203">
        <v>2.4474433492317701E-2</v>
      </c>
      <c r="L203">
        <v>-8.0422992272310603E-2</v>
      </c>
      <c r="M203">
        <v>0.57312138894930498</v>
      </c>
      <c r="N203">
        <v>0.67801881471393399</v>
      </c>
      <c r="O203">
        <v>0.58522947861260699</v>
      </c>
      <c r="P203">
        <v>0.69012690437723601</v>
      </c>
      <c r="Q203" t="s">
        <v>1173</v>
      </c>
      <c r="R203" t="s">
        <v>1068</v>
      </c>
      <c r="S203" t="s">
        <v>1173</v>
      </c>
      <c r="T203" t="s">
        <v>1068</v>
      </c>
      <c r="U203" t="s">
        <v>944</v>
      </c>
      <c r="V203">
        <v>0</v>
      </c>
      <c r="W203" t="s">
        <v>944</v>
      </c>
      <c r="X203" t="s">
        <v>1175</v>
      </c>
      <c r="Y203">
        <v>1</v>
      </c>
      <c r="Z203">
        <v>1.26765342816396</v>
      </c>
      <c r="AA203">
        <v>-4.7803788706733998E-2</v>
      </c>
      <c r="AB203">
        <v>1.3351939156610999</v>
      </c>
      <c r="AC203">
        <v>-6.2172978810273997E-2</v>
      </c>
    </row>
    <row r="204" spans="1:29" x14ac:dyDescent="0.2">
      <c r="A204">
        <v>203</v>
      </c>
      <c r="B204" t="s">
        <v>368</v>
      </c>
      <c r="C204" t="s">
        <v>188</v>
      </c>
      <c r="D204" t="s">
        <v>182</v>
      </c>
      <c r="E204">
        <v>0.86514982066545498</v>
      </c>
      <c r="F204">
        <v>0.94734430976309703</v>
      </c>
      <c r="G204">
        <v>0.85772967294174995</v>
      </c>
      <c r="H204">
        <v>0.95346959138109399</v>
      </c>
      <c r="I204">
        <v>9.5739918439343999E-2</v>
      </c>
      <c r="J204">
        <v>8.2194489097642001E-2</v>
      </c>
      <c r="K204">
        <v>0.86514982066545498</v>
      </c>
      <c r="L204">
        <v>0.85772967294174995</v>
      </c>
      <c r="M204">
        <v>8.2194489097642001E-2</v>
      </c>
      <c r="N204">
        <v>8.9614636821347099E-2</v>
      </c>
      <c r="O204">
        <v>8.8319770715638998E-2</v>
      </c>
      <c r="P204">
        <v>9.5739918439343999E-2</v>
      </c>
      <c r="Q204" t="s">
        <v>1068</v>
      </c>
      <c r="R204" t="s">
        <v>1068</v>
      </c>
      <c r="S204" t="s">
        <v>1068</v>
      </c>
      <c r="T204" t="s">
        <v>1068</v>
      </c>
      <c r="U204" t="s">
        <v>944</v>
      </c>
      <c r="V204">
        <v>0</v>
      </c>
      <c r="W204" t="s">
        <v>944</v>
      </c>
      <c r="X204" t="s">
        <v>1175</v>
      </c>
      <c r="Y204">
        <v>0</v>
      </c>
      <c r="Z204">
        <v>1.2356067658737999</v>
      </c>
      <c r="AA204">
        <v>-7.3095262787733498E-2</v>
      </c>
      <c r="AB204">
        <v>1.32281726856551</v>
      </c>
      <c r="AC204">
        <v>-6.1728536973113E-2</v>
      </c>
    </row>
    <row r="205" spans="1:29" x14ac:dyDescent="0.2">
      <c r="A205">
        <v>204</v>
      </c>
      <c r="B205" t="s">
        <v>369</v>
      </c>
      <c r="C205" t="s">
        <v>188</v>
      </c>
      <c r="D205" t="s">
        <v>140</v>
      </c>
      <c r="E205">
        <v>-0.131694597245128</v>
      </c>
      <c r="F205">
        <v>0.59844860319540105</v>
      </c>
      <c r="G205">
        <v>-9.3552341595176294E-2</v>
      </c>
      <c r="H205">
        <v>0.57513152560480696</v>
      </c>
      <c r="I205">
        <v>0.66868386719998296</v>
      </c>
      <c r="J205">
        <v>0.73014320044052905</v>
      </c>
      <c r="K205">
        <v>-9.3552341595176294E-2</v>
      </c>
      <c r="L205">
        <v>-0.131694597245128</v>
      </c>
      <c r="M205">
        <v>0.69200094479057705</v>
      </c>
      <c r="N205">
        <v>0.73014320044052905</v>
      </c>
      <c r="O205">
        <v>0.66868386719998296</v>
      </c>
      <c r="P205">
        <v>0.70682612284993496</v>
      </c>
      <c r="Q205" t="s">
        <v>1067</v>
      </c>
      <c r="R205" t="s">
        <v>1068</v>
      </c>
      <c r="S205" t="s">
        <v>1173</v>
      </c>
      <c r="T205" t="s">
        <v>1068</v>
      </c>
      <c r="U205" t="s">
        <v>944</v>
      </c>
      <c r="V205">
        <v>0</v>
      </c>
      <c r="W205" t="s">
        <v>944</v>
      </c>
      <c r="X205" t="s">
        <v>1175</v>
      </c>
      <c r="Y205">
        <v>1</v>
      </c>
      <c r="Z205">
        <v>0.42968469313752</v>
      </c>
      <c r="AA205">
        <v>-0.14359541804812401</v>
      </c>
      <c r="AB205">
        <v>0.47557893412166502</v>
      </c>
      <c r="AC205">
        <v>-0.168703694789861</v>
      </c>
    </row>
    <row r="206" spans="1:29" x14ac:dyDescent="0.2">
      <c r="A206">
        <v>205</v>
      </c>
      <c r="B206" t="s">
        <v>370</v>
      </c>
      <c r="C206" t="s">
        <v>188</v>
      </c>
      <c r="D206" t="s">
        <v>142</v>
      </c>
      <c r="E206">
        <v>0.59974165794884704</v>
      </c>
      <c r="F206">
        <v>0.86718245988104103</v>
      </c>
      <c r="G206">
        <v>1.49757729102321E-2</v>
      </c>
      <c r="H206">
        <v>0.86581734060367699</v>
      </c>
      <c r="I206">
        <v>0.85084156769344499</v>
      </c>
      <c r="J206">
        <v>0.26744080193219399</v>
      </c>
      <c r="K206">
        <v>0.59974165794884704</v>
      </c>
      <c r="L206">
        <v>1.49757729102321E-2</v>
      </c>
      <c r="M206">
        <v>0.26744080193219399</v>
      </c>
      <c r="N206">
        <v>0.85220668697080904</v>
      </c>
      <c r="O206">
        <v>0.26607568265483</v>
      </c>
      <c r="P206">
        <v>0.85084156769344499</v>
      </c>
      <c r="Q206" t="s">
        <v>1068</v>
      </c>
      <c r="R206" t="s">
        <v>1068</v>
      </c>
      <c r="S206" t="s">
        <v>1173</v>
      </c>
      <c r="T206" t="s">
        <v>1068</v>
      </c>
      <c r="U206" t="s">
        <v>944</v>
      </c>
      <c r="V206">
        <v>0</v>
      </c>
      <c r="W206" t="s">
        <v>944</v>
      </c>
      <c r="X206" t="s">
        <v>1175</v>
      </c>
      <c r="Y206">
        <v>1</v>
      </c>
      <c r="Z206">
        <v>1.3991760485178399</v>
      </c>
      <c r="AA206">
        <v>-8.9982548350331495E-2</v>
      </c>
      <c r="AB206">
        <v>1.4797723623988499</v>
      </c>
      <c r="AC206">
        <v>-3.9560577578222997E-2</v>
      </c>
    </row>
    <row r="207" spans="1:29" x14ac:dyDescent="0.2">
      <c r="A207">
        <v>206</v>
      </c>
      <c r="B207" t="s">
        <v>371</v>
      </c>
      <c r="C207" t="s">
        <v>188</v>
      </c>
      <c r="D207" t="s">
        <v>144</v>
      </c>
      <c r="E207">
        <v>8.0295747843298591E-3</v>
      </c>
      <c r="F207">
        <v>0.69306308058619204</v>
      </c>
      <c r="G207">
        <v>1.9066346441720301E-2</v>
      </c>
      <c r="H207">
        <v>0.68602464405053198</v>
      </c>
      <c r="I207">
        <v>0.66695829760881198</v>
      </c>
      <c r="J207">
        <v>0.68503350580186195</v>
      </c>
      <c r="K207">
        <v>1.9066346441720301E-2</v>
      </c>
      <c r="L207">
        <v>8.0295747843298591E-3</v>
      </c>
      <c r="M207">
        <v>0.67399673414447203</v>
      </c>
      <c r="N207">
        <v>0.68503350580186195</v>
      </c>
      <c r="O207">
        <v>0.66695829760881198</v>
      </c>
      <c r="P207">
        <v>0.67799506926620201</v>
      </c>
      <c r="Q207" t="s">
        <v>1173</v>
      </c>
      <c r="R207" t="s">
        <v>1068</v>
      </c>
      <c r="S207" t="s">
        <v>1173</v>
      </c>
      <c r="T207" t="s">
        <v>1068</v>
      </c>
      <c r="U207" t="s">
        <v>944</v>
      </c>
      <c r="V207">
        <v>0</v>
      </c>
      <c r="W207" t="s">
        <v>944</v>
      </c>
      <c r="X207" t="s">
        <v>1175</v>
      </c>
      <c r="Y207">
        <v>1</v>
      </c>
      <c r="Z207">
        <v>0.57187035373657602</v>
      </c>
      <c r="AA207">
        <v>-0.189667392286134</v>
      </c>
      <c r="AB207">
        <v>0.63220637713370298</v>
      </c>
      <c r="AC207">
        <v>-0.22766728766632199</v>
      </c>
    </row>
    <row r="208" spans="1:29" x14ac:dyDescent="0.2">
      <c r="A208">
        <v>207</v>
      </c>
      <c r="B208" t="s">
        <v>372</v>
      </c>
      <c r="C208" t="s">
        <v>188</v>
      </c>
      <c r="D208" t="s">
        <v>146</v>
      </c>
      <c r="E208">
        <v>1.7583991884617301E-3</v>
      </c>
      <c r="F208">
        <v>0.43121980988930603</v>
      </c>
      <c r="G208">
        <v>-5.3504901228538702E-2</v>
      </c>
      <c r="H208">
        <v>0.40177973734636302</v>
      </c>
      <c r="I208">
        <v>0.45528463857490198</v>
      </c>
      <c r="J208">
        <v>0.42946141070084398</v>
      </c>
      <c r="K208">
        <v>1.7583991884617301E-3</v>
      </c>
      <c r="L208">
        <v>-5.3504901228538702E-2</v>
      </c>
      <c r="M208">
        <v>0.42946141070084398</v>
      </c>
      <c r="N208">
        <v>0.48472471111784499</v>
      </c>
      <c r="O208">
        <v>0.40002133815790097</v>
      </c>
      <c r="P208">
        <v>0.45528463857490198</v>
      </c>
      <c r="Q208" t="s">
        <v>1173</v>
      </c>
      <c r="R208" t="s">
        <v>1068</v>
      </c>
      <c r="S208" t="s">
        <v>1173</v>
      </c>
      <c r="T208" t="s">
        <v>1068</v>
      </c>
      <c r="U208" t="s">
        <v>944</v>
      </c>
      <c r="V208">
        <v>0</v>
      </c>
      <c r="W208" t="s">
        <v>944</v>
      </c>
      <c r="X208" t="s">
        <v>1175</v>
      </c>
      <c r="Y208">
        <v>1</v>
      </c>
      <c r="Z208">
        <v>0.59887664544798802</v>
      </c>
      <c r="AA208">
        <v>-0.12395906985279299</v>
      </c>
      <c r="AB208">
        <v>0.45061058182105501</v>
      </c>
      <c r="AC208">
        <v>-0.25115441240160602</v>
      </c>
    </row>
    <row r="209" spans="1:29" x14ac:dyDescent="0.2">
      <c r="A209">
        <v>208</v>
      </c>
      <c r="B209" t="s">
        <v>373</v>
      </c>
      <c r="C209" t="s">
        <v>188</v>
      </c>
      <c r="D209" t="s">
        <v>200</v>
      </c>
      <c r="E209">
        <v>-0.15366184666969199</v>
      </c>
      <c r="F209">
        <v>-1.8847962249443299E-2</v>
      </c>
      <c r="G209">
        <v>-7.8338856684152594E-2</v>
      </c>
      <c r="H209">
        <v>-0.28261877457946599</v>
      </c>
      <c r="I209">
        <v>-0.204279917895313</v>
      </c>
      <c r="J209">
        <v>0.134813884420249</v>
      </c>
      <c r="K209">
        <v>-7.8338856684152594E-2</v>
      </c>
      <c r="L209">
        <v>-0.15366184666969199</v>
      </c>
      <c r="M209">
        <v>5.9490894434709299E-2</v>
      </c>
      <c r="N209">
        <v>0.134813884420249</v>
      </c>
      <c r="O209">
        <v>-0.204279917895313</v>
      </c>
      <c r="P209">
        <v>-0.12895692790977401</v>
      </c>
      <c r="Q209" t="s">
        <v>1067</v>
      </c>
      <c r="R209" t="s">
        <v>1173</v>
      </c>
      <c r="S209" t="s">
        <v>1173</v>
      </c>
      <c r="T209" t="s">
        <v>1067</v>
      </c>
      <c r="U209" t="s">
        <v>944</v>
      </c>
      <c r="V209">
        <v>1</v>
      </c>
      <c r="W209" t="s">
        <v>944</v>
      </c>
      <c r="X209" t="s">
        <v>1175</v>
      </c>
      <c r="Y209">
        <v>1</v>
      </c>
      <c r="Z209">
        <v>0.59671057721304299</v>
      </c>
      <c r="AA209">
        <v>-0.15266769529497701</v>
      </c>
      <c r="AB209">
        <v>0.75345344923291802</v>
      </c>
      <c r="AC209">
        <v>-0.13547305489811801</v>
      </c>
    </row>
    <row r="210" spans="1:29" x14ac:dyDescent="0.2">
      <c r="A210">
        <v>209</v>
      </c>
      <c r="B210" t="s">
        <v>374</v>
      </c>
      <c r="C210" t="s">
        <v>188</v>
      </c>
      <c r="D210" t="s">
        <v>148</v>
      </c>
      <c r="E210">
        <v>-0.64140308012313496</v>
      </c>
      <c r="F210">
        <v>0.70662068929217303</v>
      </c>
      <c r="G210">
        <v>1.501783126321E-2</v>
      </c>
      <c r="H210">
        <v>0.700833802309349</v>
      </c>
      <c r="I210">
        <v>0.68581597104613901</v>
      </c>
      <c r="J210">
        <v>1.3480237694153101</v>
      </c>
      <c r="K210">
        <v>1.501783126321E-2</v>
      </c>
      <c r="L210">
        <v>-0.64140308012313496</v>
      </c>
      <c r="M210">
        <v>0.69160285802896304</v>
      </c>
      <c r="N210">
        <v>1.3480237694153101</v>
      </c>
      <c r="O210">
        <v>0.68581597104613901</v>
      </c>
      <c r="P210">
        <v>1.34223688243248</v>
      </c>
      <c r="Q210" t="s">
        <v>1067</v>
      </c>
      <c r="R210" t="s">
        <v>1068</v>
      </c>
      <c r="S210" t="s">
        <v>1173</v>
      </c>
      <c r="T210" t="s">
        <v>1068</v>
      </c>
      <c r="U210" t="s">
        <v>944</v>
      </c>
      <c r="V210">
        <v>0</v>
      </c>
      <c r="W210" t="s">
        <v>944</v>
      </c>
      <c r="X210" t="s">
        <v>1175</v>
      </c>
      <c r="Y210">
        <v>1</v>
      </c>
      <c r="Z210">
        <v>0.23955336525823301</v>
      </c>
      <c r="AA210">
        <v>-0.229731680656375</v>
      </c>
      <c r="AB210">
        <v>0.49131416296393099</v>
      </c>
      <c r="AC210">
        <v>-0.16808584663000101</v>
      </c>
    </row>
    <row r="211" spans="1:29" x14ac:dyDescent="0.2">
      <c r="A211">
        <v>210</v>
      </c>
      <c r="B211" t="s">
        <v>375</v>
      </c>
      <c r="C211" t="s">
        <v>188</v>
      </c>
      <c r="D211" t="s">
        <v>150</v>
      </c>
      <c r="E211">
        <v>2.8743719938567999E-3</v>
      </c>
      <c r="F211">
        <v>0.425505802398847</v>
      </c>
      <c r="G211">
        <v>-8.4420313487403004E-2</v>
      </c>
      <c r="H211">
        <v>0.39443060447300798</v>
      </c>
      <c r="I211">
        <v>0.47885091796041102</v>
      </c>
      <c r="J211">
        <v>0.42263143040499002</v>
      </c>
      <c r="K211">
        <v>2.8743719938567999E-3</v>
      </c>
      <c r="L211">
        <v>-8.4420313487403004E-2</v>
      </c>
      <c r="M211">
        <v>0.42263143040499002</v>
      </c>
      <c r="N211">
        <v>0.50992611588625003</v>
      </c>
      <c r="O211">
        <v>0.391556232479151</v>
      </c>
      <c r="P211">
        <v>0.47885091796041102</v>
      </c>
      <c r="Q211" t="s">
        <v>1173</v>
      </c>
      <c r="R211" t="s">
        <v>1068</v>
      </c>
      <c r="S211" t="s">
        <v>1173</v>
      </c>
      <c r="T211" t="s">
        <v>1068</v>
      </c>
      <c r="U211" t="s">
        <v>944</v>
      </c>
      <c r="V211">
        <v>0</v>
      </c>
      <c r="W211" t="s">
        <v>944</v>
      </c>
      <c r="X211" t="s">
        <v>1175</v>
      </c>
      <c r="Y211">
        <v>1</v>
      </c>
      <c r="Z211">
        <v>0.50990311357182105</v>
      </c>
      <c r="AA211">
        <v>-0.16087192252093799</v>
      </c>
      <c r="AB211">
        <v>0.447562997942759</v>
      </c>
      <c r="AC211">
        <v>-0.25180896307564499</v>
      </c>
    </row>
    <row r="212" spans="1:29" x14ac:dyDescent="0.2">
      <c r="A212">
        <v>211</v>
      </c>
      <c r="B212" t="s">
        <v>376</v>
      </c>
      <c r="C212" t="s">
        <v>188</v>
      </c>
      <c r="D212" t="s">
        <v>204</v>
      </c>
      <c r="E212">
        <v>0.44321642644091802</v>
      </c>
      <c r="F212">
        <v>-1</v>
      </c>
      <c r="G212">
        <v>0.253074864260804</v>
      </c>
      <c r="H212">
        <v>-1</v>
      </c>
      <c r="I212">
        <v>-1.2530748642608001</v>
      </c>
      <c r="J212">
        <v>-1.44321642644092</v>
      </c>
      <c r="K212">
        <v>0.44321642644091802</v>
      </c>
      <c r="L212">
        <v>0.253074864260804</v>
      </c>
      <c r="M212">
        <v>-1.44321642644092</v>
      </c>
      <c r="N212">
        <v>-1.2530748642608001</v>
      </c>
      <c r="O212">
        <v>-1.44321642644092</v>
      </c>
      <c r="P212">
        <v>-1.2530748642608001</v>
      </c>
      <c r="Q212" t="s">
        <v>1068</v>
      </c>
      <c r="R212" t="s">
        <v>1067</v>
      </c>
      <c r="S212" t="s">
        <v>1068</v>
      </c>
      <c r="T212" t="s">
        <v>1067</v>
      </c>
      <c r="U212" t="s">
        <v>1174</v>
      </c>
      <c r="V212">
        <v>1</v>
      </c>
      <c r="W212" t="s">
        <v>1174</v>
      </c>
      <c r="X212" t="s">
        <v>1175</v>
      </c>
      <c r="Y212">
        <v>1</v>
      </c>
      <c r="Z212">
        <v>0.33011087241466103</v>
      </c>
      <c r="AA212">
        <v>-0.178233530974237</v>
      </c>
      <c r="AB212">
        <v>0.45456110647169901</v>
      </c>
      <c r="AC212">
        <v>-0.16971084231518699</v>
      </c>
    </row>
    <row r="213" spans="1:29" x14ac:dyDescent="0.2">
      <c r="A213">
        <v>212</v>
      </c>
      <c r="B213" t="s">
        <v>377</v>
      </c>
      <c r="C213" t="s">
        <v>188</v>
      </c>
      <c r="D213" t="s">
        <v>152</v>
      </c>
      <c r="E213">
        <v>0.59958693932903995</v>
      </c>
      <c r="F213">
        <v>0.86713931108315101</v>
      </c>
      <c r="G213">
        <v>1.49757729102321E-2</v>
      </c>
      <c r="H213">
        <v>0.86574135836981803</v>
      </c>
      <c r="I213">
        <v>0.85076558545958603</v>
      </c>
      <c r="J213">
        <v>0.26755237175411101</v>
      </c>
      <c r="K213">
        <v>0.59958693932903995</v>
      </c>
      <c r="L213">
        <v>1.49757729102321E-2</v>
      </c>
      <c r="M213">
        <v>0.26755237175411101</v>
      </c>
      <c r="N213">
        <v>0.85216353817291901</v>
      </c>
      <c r="O213">
        <v>0.26615441904077802</v>
      </c>
      <c r="P213">
        <v>0.85076558545958603</v>
      </c>
      <c r="Q213" t="s">
        <v>1068</v>
      </c>
      <c r="R213" t="s">
        <v>1068</v>
      </c>
      <c r="S213" t="s">
        <v>1173</v>
      </c>
      <c r="T213" t="s">
        <v>1068</v>
      </c>
      <c r="U213" t="s">
        <v>944</v>
      </c>
      <c r="V213">
        <v>0</v>
      </c>
      <c r="W213" t="s">
        <v>944</v>
      </c>
      <c r="X213" t="s">
        <v>1175</v>
      </c>
      <c r="Y213">
        <v>1</v>
      </c>
      <c r="Z213">
        <v>1.39930329369477</v>
      </c>
      <c r="AA213">
        <v>-8.9967214412195504E-2</v>
      </c>
      <c r="AB213">
        <v>1.48008229389971</v>
      </c>
      <c r="AC213">
        <v>-3.95595567908405E-2</v>
      </c>
    </row>
    <row r="214" spans="1:29" x14ac:dyDescent="0.2">
      <c r="A214">
        <v>213</v>
      </c>
      <c r="B214" t="s">
        <v>378</v>
      </c>
      <c r="C214" t="s">
        <v>188</v>
      </c>
      <c r="D214" t="s">
        <v>154</v>
      </c>
      <c r="E214">
        <v>0.411390971733401</v>
      </c>
      <c r="F214">
        <v>-1</v>
      </c>
      <c r="G214">
        <v>0.253074864214964</v>
      </c>
      <c r="H214">
        <v>-1</v>
      </c>
      <c r="I214">
        <v>-1.2530748642149601</v>
      </c>
      <c r="J214">
        <v>-1.4113909717333999</v>
      </c>
      <c r="K214">
        <v>0.411390971733401</v>
      </c>
      <c r="L214">
        <v>0.253074864214964</v>
      </c>
      <c r="M214">
        <v>-1.4113909717333999</v>
      </c>
      <c r="N214">
        <v>-1.2530748642149601</v>
      </c>
      <c r="O214">
        <v>-1.4113909717333999</v>
      </c>
      <c r="P214">
        <v>-1.2530748642149601</v>
      </c>
      <c r="Q214" t="s">
        <v>1068</v>
      </c>
      <c r="R214" t="s">
        <v>1067</v>
      </c>
      <c r="S214" t="s">
        <v>1068</v>
      </c>
      <c r="T214" t="s">
        <v>1067</v>
      </c>
      <c r="U214" t="s">
        <v>1174</v>
      </c>
      <c r="V214">
        <v>1</v>
      </c>
      <c r="W214" t="s">
        <v>1174</v>
      </c>
      <c r="X214" t="s">
        <v>1175</v>
      </c>
      <c r="Y214">
        <v>1</v>
      </c>
      <c r="Z214">
        <v>0.32726496559325102</v>
      </c>
      <c r="AA214">
        <v>-0.17857648274129101</v>
      </c>
      <c r="AB214">
        <v>0.45185619858741599</v>
      </c>
      <c r="AC214">
        <v>-0.169998661366696</v>
      </c>
    </row>
    <row r="215" spans="1:29" x14ac:dyDescent="0.2">
      <c r="A215">
        <v>214</v>
      </c>
      <c r="B215" t="s">
        <v>379</v>
      </c>
      <c r="C215" t="s">
        <v>188</v>
      </c>
      <c r="D215" t="s">
        <v>156</v>
      </c>
      <c r="E215">
        <v>-0.133053220196724</v>
      </c>
      <c r="F215">
        <v>0.81573426686476203</v>
      </c>
      <c r="G215">
        <v>1.49757742206222E-2</v>
      </c>
      <c r="H215">
        <v>0.80211370774875301</v>
      </c>
      <c r="I215">
        <v>0.787137933528131</v>
      </c>
      <c r="J215">
        <v>0.94878748706148597</v>
      </c>
      <c r="K215">
        <v>1.49757742206222E-2</v>
      </c>
      <c r="L215">
        <v>-0.133053220196724</v>
      </c>
      <c r="M215">
        <v>0.80075849264414001</v>
      </c>
      <c r="N215">
        <v>0.94878748706148597</v>
      </c>
      <c r="O215">
        <v>0.787137933528131</v>
      </c>
      <c r="P215">
        <v>0.93516692794547696</v>
      </c>
      <c r="Q215" t="s">
        <v>1067</v>
      </c>
      <c r="R215" t="s">
        <v>1068</v>
      </c>
      <c r="S215" t="s">
        <v>1173</v>
      </c>
      <c r="T215" t="s">
        <v>1068</v>
      </c>
      <c r="U215" t="s">
        <v>944</v>
      </c>
      <c r="V215">
        <v>0</v>
      </c>
      <c r="W215" t="s">
        <v>944</v>
      </c>
      <c r="X215" t="s">
        <v>1175</v>
      </c>
      <c r="Y215">
        <v>1</v>
      </c>
      <c r="Z215">
        <v>0.45828481202337501</v>
      </c>
      <c r="AA215">
        <v>-0.203366555202457</v>
      </c>
      <c r="AB215">
        <v>0.72853466766672403</v>
      </c>
      <c r="AC215">
        <v>-0.13524101098720001</v>
      </c>
    </row>
    <row r="216" spans="1:29" x14ac:dyDescent="0.2">
      <c r="A216">
        <v>215</v>
      </c>
      <c r="B216" t="s">
        <v>380</v>
      </c>
      <c r="C216" t="s">
        <v>188</v>
      </c>
      <c r="D216" t="s">
        <v>158</v>
      </c>
      <c r="E216">
        <v>-0.46835139301787498</v>
      </c>
      <c r="F216">
        <v>0.65805409658057201</v>
      </c>
      <c r="G216">
        <v>-9.3061371924358594E-2</v>
      </c>
      <c r="H216">
        <v>0.641175740773682</v>
      </c>
      <c r="I216">
        <v>0.73423711269804104</v>
      </c>
      <c r="J216">
        <v>1.1264054895984501</v>
      </c>
      <c r="K216">
        <v>-9.3061371924358594E-2</v>
      </c>
      <c r="L216">
        <v>-0.46835139301787498</v>
      </c>
      <c r="M216">
        <v>0.75111546850493105</v>
      </c>
      <c r="N216">
        <v>1.1264054895984501</v>
      </c>
      <c r="O216">
        <v>0.73423711269804104</v>
      </c>
      <c r="P216">
        <v>1.10952713379156</v>
      </c>
      <c r="Q216" t="s">
        <v>1067</v>
      </c>
      <c r="R216" t="s">
        <v>1068</v>
      </c>
      <c r="S216" t="s">
        <v>1173</v>
      </c>
      <c r="T216" t="s">
        <v>1068</v>
      </c>
      <c r="U216" t="s">
        <v>944</v>
      </c>
      <c r="V216">
        <v>0</v>
      </c>
      <c r="W216" t="s">
        <v>944</v>
      </c>
      <c r="X216" t="s">
        <v>1175</v>
      </c>
      <c r="Y216">
        <v>1</v>
      </c>
      <c r="Z216">
        <v>0.32114437899737103</v>
      </c>
      <c r="AA216">
        <v>-0.179757699505775</v>
      </c>
      <c r="AB216">
        <v>0.445389069829146</v>
      </c>
      <c r="AC216">
        <v>-0.170813878341597</v>
      </c>
    </row>
    <row r="217" spans="1:29" x14ac:dyDescent="0.2">
      <c r="A217">
        <v>216</v>
      </c>
      <c r="B217" t="s">
        <v>381</v>
      </c>
      <c r="C217" t="s">
        <v>188</v>
      </c>
      <c r="D217" t="s">
        <v>160</v>
      </c>
      <c r="E217">
        <v>-0.13039835910056</v>
      </c>
      <c r="F217">
        <v>0.79109460569492596</v>
      </c>
      <c r="G217">
        <v>1.36437532367661E-2</v>
      </c>
      <c r="H217">
        <v>0.77470222150536505</v>
      </c>
      <c r="I217">
        <v>0.76105846826859902</v>
      </c>
      <c r="J217">
        <v>0.92149296479548604</v>
      </c>
      <c r="K217">
        <v>1.36437532367661E-2</v>
      </c>
      <c r="L217">
        <v>-0.13039835910056</v>
      </c>
      <c r="M217">
        <v>0.77745085245816004</v>
      </c>
      <c r="N217">
        <v>0.92149296479548604</v>
      </c>
      <c r="O217">
        <v>0.76105846826859902</v>
      </c>
      <c r="P217">
        <v>0.90510058060592502</v>
      </c>
      <c r="Q217" t="s">
        <v>1067</v>
      </c>
      <c r="R217" t="s">
        <v>1068</v>
      </c>
      <c r="S217" t="s">
        <v>1173</v>
      </c>
      <c r="T217" t="s">
        <v>1068</v>
      </c>
      <c r="U217" t="s">
        <v>944</v>
      </c>
      <c r="V217">
        <v>0</v>
      </c>
      <c r="W217" t="s">
        <v>944</v>
      </c>
      <c r="X217" t="s">
        <v>1175</v>
      </c>
      <c r="Y217">
        <v>1</v>
      </c>
      <c r="Z217">
        <v>0.41955940507211698</v>
      </c>
      <c r="AA217">
        <v>-0.207818334849388</v>
      </c>
      <c r="AB217">
        <v>0.68366172867528796</v>
      </c>
      <c r="AC217">
        <v>-0.141588115570002</v>
      </c>
    </row>
    <row r="218" spans="1:29" x14ac:dyDescent="0.2">
      <c r="A218">
        <v>217</v>
      </c>
      <c r="B218" t="s">
        <v>382</v>
      </c>
      <c r="C218" t="s">
        <v>188</v>
      </c>
      <c r="D218" t="s">
        <v>162</v>
      </c>
      <c r="E218">
        <v>2.8743719940223099E-3</v>
      </c>
      <c r="F218">
        <v>0.42940296546707102</v>
      </c>
      <c r="G218">
        <v>-9.5599664792292705E-2</v>
      </c>
      <c r="H218">
        <v>0.40078022005012098</v>
      </c>
      <c r="I218">
        <v>0.49637988484241402</v>
      </c>
      <c r="J218">
        <v>0.426528593473049</v>
      </c>
      <c r="K218">
        <v>2.8743719940223099E-3</v>
      </c>
      <c r="L218">
        <v>-9.5599664792292705E-2</v>
      </c>
      <c r="M218">
        <v>0.426528593473049</v>
      </c>
      <c r="N218">
        <v>0.525002630259364</v>
      </c>
      <c r="O218">
        <v>0.39790584805609902</v>
      </c>
      <c r="P218">
        <v>0.49637988484241402</v>
      </c>
      <c r="Q218" t="s">
        <v>1173</v>
      </c>
      <c r="R218" t="s">
        <v>1068</v>
      </c>
      <c r="S218" t="s">
        <v>1173</v>
      </c>
      <c r="T218" t="s">
        <v>1068</v>
      </c>
      <c r="U218" t="s">
        <v>944</v>
      </c>
      <c r="V218">
        <v>0</v>
      </c>
      <c r="W218" t="s">
        <v>944</v>
      </c>
      <c r="X218" t="s">
        <v>1175</v>
      </c>
      <c r="Y218">
        <v>1</v>
      </c>
      <c r="Z218">
        <v>0.52930131900178601</v>
      </c>
      <c r="AA218">
        <v>-0.15318132601131099</v>
      </c>
      <c r="AB218">
        <v>0.448955563702572</v>
      </c>
      <c r="AC218">
        <v>-0.251626888469413</v>
      </c>
    </row>
    <row r="219" spans="1:29" x14ac:dyDescent="0.2">
      <c r="A219">
        <v>218</v>
      </c>
      <c r="B219" t="s">
        <v>383</v>
      </c>
      <c r="C219" t="s">
        <v>188</v>
      </c>
      <c r="D219" t="s">
        <v>220</v>
      </c>
      <c r="E219">
        <v>2.8743719938567999E-3</v>
      </c>
      <c r="F219">
        <v>0.42698826851347899</v>
      </c>
      <c r="G219">
        <v>-0.109679326596894</v>
      </c>
      <c r="H219">
        <v>0.39781525885938401</v>
      </c>
      <c r="I219">
        <v>0.50749458545627801</v>
      </c>
      <c r="J219">
        <v>0.424113896519622</v>
      </c>
      <c r="K219">
        <v>2.8743719938567999E-3</v>
      </c>
      <c r="L219">
        <v>-0.109679326596894</v>
      </c>
      <c r="M219">
        <v>0.424113896519622</v>
      </c>
      <c r="N219">
        <v>0.53666759511037299</v>
      </c>
      <c r="O219">
        <v>0.39494088686552697</v>
      </c>
      <c r="P219">
        <v>0.50749458545627801</v>
      </c>
      <c r="Q219" t="s">
        <v>1173</v>
      </c>
      <c r="R219" t="s">
        <v>1068</v>
      </c>
      <c r="S219" t="s">
        <v>1067</v>
      </c>
      <c r="T219" t="s">
        <v>1068</v>
      </c>
      <c r="U219" t="s">
        <v>944</v>
      </c>
      <c r="V219">
        <v>0</v>
      </c>
      <c r="W219" t="s">
        <v>944</v>
      </c>
      <c r="X219" t="s">
        <v>1175</v>
      </c>
      <c r="Y219">
        <v>1</v>
      </c>
      <c r="Z219">
        <v>0.54270045565502001</v>
      </c>
      <c r="AA219">
        <v>-0.14754696244274201</v>
      </c>
      <c r="AB219">
        <v>0.44859451325980798</v>
      </c>
      <c r="AC219">
        <v>-0.25167409494187798</v>
      </c>
    </row>
    <row r="220" spans="1:29" x14ac:dyDescent="0.2">
      <c r="A220">
        <v>219</v>
      </c>
      <c r="B220" t="s">
        <v>384</v>
      </c>
      <c r="C220" t="s">
        <v>188</v>
      </c>
      <c r="D220" t="s">
        <v>164</v>
      </c>
      <c r="E220">
        <v>0.86430269541540505</v>
      </c>
      <c r="F220">
        <v>0.95866317500679998</v>
      </c>
      <c r="G220">
        <v>-6.1801174354734603E-2</v>
      </c>
      <c r="H220">
        <v>0.95376339131515497</v>
      </c>
      <c r="I220">
        <v>1.01556456566989</v>
      </c>
      <c r="J220">
        <v>9.4360479591394902E-2</v>
      </c>
      <c r="K220">
        <v>0.86430269541540505</v>
      </c>
      <c r="L220">
        <v>-6.1801174354734603E-2</v>
      </c>
      <c r="M220">
        <v>9.4360479591394902E-2</v>
      </c>
      <c r="N220">
        <v>1.02046434936153</v>
      </c>
      <c r="O220">
        <v>8.9460695899749906E-2</v>
      </c>
      <c r="P220">
        <v>1.01556456566989</v>
      </c>
      <c r="Q220" t="s">
        <v>1068</v>
      </c>
      <c r="R220" t="s">
        <v>1068</v>
      </c>
      <c r="S220" t="s">
        <v>1173</v>
      </c>
      <c r="T220" t="s">
        <v>1068</v>
      </c>
      <c r="U220" t="s">
        <v>944</v>
      </c>
      <c r="V220">
        <v>0</v>
      </c>
      <c r="W220" t="s">
        <v>944</v>
      </c>
      <c r="X220" t="s">
        <v>1175</v>
      </c>
      <c r="Y220">
        <v>0</v>
      </c>
      <c r="Z220">
        <v>0.64938552363767699</v>
      </c>
      <c r="AA220">
        <v>-0.16890679509079901</v>
      </c>
      <c r="AB220">
        <v>0.88364091903745201</v>
      </c>
      <c r="AC220">
        <v>-0.118430389060651</v>
      </c>
    </row>
    <row r="221" spans="1:29" x14ac:dyDescent="0.2">
      <c r="A221">
        <v>220</v>
      </c>
      <c r="B221" t="s">
        <v>385</v>
      </c>
      <c r="C221" t="s">
        <v>188</v>
      </c>
      <c r="D221" t="s">
        <v>166</v>
      </c>
      <c r="E221">
        <v>2.8743719938122201E-3</v>
      </c>
      <c r="F221">
        <v>-0.10131471637221801</v>
      </c>
      <c r="G221">
        <v>1.5017832578993501E-2</v>
      </c>
      <c r="H221">
        <v>-0.214644962040621</v>
      </c>
      <c r="I221">
        <v>-0.229662794619615</v>
      </c>
      <c r="J221">
        <v>-0.10418908836603</v>
      </c>
      <c r="K221">
        <v>1.5017832578993501E-2</v>
      </c>
      <c r="L221">
        <v>2.8743719938122201E-3</v>
      </c>
      <c r="M221">
        <v>-0.11633254895121201</v>
      </c>
      <c r="N221">
        <v>-0.10418908836603</v>
      </c>
      <c r="O221">
        <v>-0.229662794619615</v>
      </c>
      <c r="P221">
        <v>-0.21751933403443299</v>
      </c>
      <c r="Q221" t="s">
        <v>1173</v>
      </c>
      <c r="R221" t="s">
        <v>1067</v>
      </c>
      <c r="S221" t="s">
        <v>1173</v>
      </c>
      <c r="T221" t="s">
        <v>1067</v>
      </c>
      <c r="U221" t="s">
        <v>1174</v>
      </c>
      <c r="V221">
        <v>1</v>
      </c>
      <c r="W221" t="s">
        <v>1174</v>
      </c>
      <c r="X221" t="s">
        <v>1175</v>
      </c>
      <c r="Y221">
        <v>1</v>
      </c>
      <c r="Z221">
        <v>0.61703536628534195</v>
      </c>
      <c r="AA221">
        <v>-0.184242446480408</v>
      </c>
      <c r="AB221">
        <v>0.67919363323375803</v>
      </c>
      <c r="AC221">
        <v>-0.22152381753426201</v>
      </c>
    </row>
    <row r="222" spans="1:29" x14ac:dyDescent="0.2">
      <c r="A222">
        <v>221</v>
      </c>
      <c r="B222" t="s">
        <v>386</v>
      </c>
      <c r="C222" t="s">
        <v>188</v>
      </c>
      <c r="D222" t="s">
        <v>226</v>
      </c>
      <c r="E222">
        <v>-0.56213759228753202</v>
      </c>
      <c r="F222">
        <v>0.55681128355474097</v>
      </c>
      <c r="G222">
        <v>-6.06356166205093E-2</v>
      </c>
      <c r="H222">
        <v>0.53823670929156697</v>
      </c>
      <c r="I222">
        <v>0.59887232591207595</v>
      </c>
      <c r="J222">
        <v>1.1189488758422701</v>
      </c>
      <c r="K222">
        <v>-6.06356166205093E-2</v>
      </c>
      <c r="L222">
        <v>-0.56213759228753202</v>
      </c>
      <c r="M222">
        <v>0.61744690017524995</v>
      </c>
      <c r="N222">
        <v>1.1189488758422701</v>
      </c>
      <c r="O222">
        <v>0.59887232591207595</v>
      </c>
      <c r="P222">
        <v>1.1003743015791001</v>
      </c>
      <c r="Q222" t="s">
        <v>1067</v>
      </c>
      <c r="R222" t="s">
        <v>1068</v>
      </c>
      <c r="S222" t="s">
        <v>1173</v>
      </c>
      <c r="T222" t="s">
        <v>1068</v>
      </c>
      <c r="U222" t="s">
        <v>944</v>
      </c>
      <c r="V222">
        <v>0</v>
      </c>
      <c r="W222" t="s">
        <v>944</v>
      </c>
      <c r="X222" t="s">
        <v>1175</v>
      </c>
      <c r="Y222">
        <v>1</v>
      </c>
      <c r="Z222">
        <v>0.33994941736005602</v>
      </c>
      <c r="AA222">
        <v>-0.17934190062081401</v>
      </c>
      <c r="AB222">
        <v>0.46161255742953999</v>
      </c>
      <c r="AC222">
        <v>-0.17323632959363</v>
      </c>
    </row>
    <row r="223" spans="1:29" x14ac:dyDescent="0.2">
      <c r="A223">
        <v>222</v>
      </c>
      <c r="B223" t="s">
        <v>387</v>
      </c>
      <c r="C223" t="s">
        <v>188</v>
      </c>
      <c r="D223" t="s">
        <v>168</v>
      </c>
      <c r="E223">
        <v>0.37343804544154902</v>
      </c>
      <c r="F223">
        <v>0.79715329974448201</v>
      </c>
      <c r="G223">
        <v>-7.8114914861153406E-2</v>
      </c>
      <c r="H223">
        <v>0.77811509884103602</v>
      </c>
      <c r="I223">
        <v>0.85623001370218899</v>
      </c>
      <c r="J223">
        <v>0.423715254302933</v>
      </c>
      <c r="K223">
        <v>0.37343804544154902</v>
      </c>
      <c r="L223">
        <v>-7.8114914861153406E-2</v>
      </c>
      <c r="M223">
        <v>0.423715254302933</v>
      </c>
      <c r="N223">
        <v>0.87526821460563498</v>
      </c>
      <c r="O223">
        <v>0.40467705339948701</v>
      </c>
      <c r="P223">
        <v>0.85623001370218899</v>
      </c>
      <c r="Q223" t="s">
        <v>1068</v>
      </c>
      <c r="R223" t="s">
        <v>1068</v>
      </c>
      <c r="S223" t="s">
        <v>1173</v>
      </c>
      <c r="T223" t="s">
        <v>1068</v>
      </c>
      <c r="U223" t="s">
        <v>944</v>
      </c>
      <c r="V223">
        <v>0</v>
      </c>
      <c r="W223" t="s">
        <v>944</v>
      </c>
      <c r="X223" t="s">
        <v>1175</v>
      </c>
      <c r="Y223">
        <v>1</v>
      </c>
      <c r="Z223">
        <v>0.32044482539778302</v>
      </c>
      <c r="AA223">
        <v>-0.18602247945278499</v>
      </c>
      <c r="AB223">
        <v>0.45070197416425001</v>
      </c>
      <c r="AC223">
        <v>-0.17618143992836999</v>
      </c>
    </row>
    <row r="224" spans="1:29" x14ac:dyDescent="0.2">
      <c r="A224">
        <v>223</v>
      </c>
      <c r="B224" t="s">
        <v>388</v>
      </c>
      <c r="C224" t="s">
        <v>140</v>
      </c>
      <c r="D224" t="s">
        <v>130</v>
      </c>
      <c r="E224">
        <v>-1.13034982133956E-2</v>
      </c>
      <c r="F224">
        <v>0.39784918810035902</v>
      </c>
      <c r="G224">
        <v>0.48359432809163599</v>
      </c>
      <c r="H224">
        <v>0.28258637230747602</v>
      </c>
      <c r="I224">
        <v>-0.20100795578416</v>
      </c>
      <c r="J224">
        <v>0.40915268631375501</v>
      </c>
      <c r="K224">
        <v>0.48359432809163599</v>
      </c>
      <c r="L224">
        <v>-1.13034982133956E-2</v>
      </c>
      <c r="M224">
        <v>-8.5745139991277003E-2</v>
      </c>
      <c r="N224">
        <v>0.40915268631375501</v>
      </c>
      <c r="O224">
        <v>-0.20100795578416</v>
      </c>
      <c r="P224">
        <v>0.29388987052087201</v>
      </c>
      <c r="Q224" t="s">
        <v>1173</v>
      </c>
      <c r="R224" t="s">
        <v>1068</v>
      </c>
      <c r="S224" t="s">
        <v>1068</v>
      </c>
      <c r="T224" t="s">
        <v>1068</v>
      </c>
      <c r="U224" t="s">
        <v>944</v>
      </c>
      <c r="V224">
        <v>1</v>
      </c>
      <c r="W224" t="s">
        <v>944</v>
      </c>
      <c r="X224" t="s">
        <v>1175</v>
      </c>
      <c r="Y224">
        <v>1</v>
      </c>
      <c r="Z224">
        <v>-0.21140124398621499</v>
      </c>
      <c r="AA224">
        <v>-0.19133190630816699</v>
      </c>
      <c r="AB224">
        <v>-0.43379335473606501</v>
      </c>
      <c r="AC224">
        <v>-0.36329179023130398</v>
      </c>
    </row>
    <row r="225" spans="1:29" x14ac:dyDescent="0.2">
      <c r="A225">
        <v>224</v>
      </c>
      <c r="B225" t="s">
        <v>389</v>
      </c>
      <c r="C225" t="s">
        <v>140</v>
      </c>
      <c r="D225" t="s">
        <v>132</v>
      </c>
      <c r="E225">
        <v>-0.13132310889968399</v>
      </c>
      <c r="F225">
        <v>-1</v>
      </c>
      <c r="G225">
        <v>-0.11864792302931</v>
      </c>
      <c r="H225">
        <v>-1</v>
      </c>
      <c r="I225">
        <v>-0.88135207697068996</v>
      </c>
      <c r="J225">
        <v>-0.86867689110031598</v>
      </c>
      <c r="K225">
        <v>-0.11864792302931</v>
      </c>
      <c r="L225">
        <v>-0.13132310889968399</v>
      </c>
      <c r="M225">
        <v>-0.88135207697068996</v>
      </c>
      <c r="N225">
        <v>-0.86867689110031598</v>
      </c>
      <c r="O225">
        <v>-0.88135207697068996</v>
      </c>
      <c r="P225">
        <v>-0.86867689110031598</v>
      </c>
      <c r="Q225" t="s">
        <v>1067</v>
      </c>
      <c r="R225" t="s">
        <v>1067</v>
      </c>
      <c r="S225" t="s">
        <v>1067</v>
      </c>
      <c r="T225" t="s">
        <v>1067</v>
      </c>
      <c r="U225" t="s">
        <v>1174</v>
      </c>
      <c r="V225">
        <v>1</v>
      </c>
      <c r="W225" t="s">
        <v>944</v>
      </c>
      <c r="X225" t="s">
        <v>1175</v>
      </c>
      <c r="Y225">
        <v>1</v>
      </c>
      <c r="Z225">
        <v>-0.48115017013699901</v>
      </c>
      <c r="AA225">
        <v>-0.26107542751443502</v>
      </c>
      <c r="AB225">
        <v>-0.39229685889106197</v>
      </c>
      <c r="AC225">
        <v>-0.28201613424799499</v>
      </c>
    </row>
    <row r="226" spans="1:29" x14ac:dyDescent="0.2">
      <c r="A226">
        <v>225</v>
      </c>
      <c r="B226" t="s">
        <v>390</v>
      </c>
      <c r="C226" t="s">
        <v>140</v>
      </c>
      <c r="D226" t="s">
        <v>150</v>
      </c>
      <c r="E226">
        <v>-1.1426034349795E-2</v>
      </c>
      <c r="F226">
        <v>-0.31026760758491001</v>
      </c>
      <c r="G226">
        <v>-0.12630417790471299</v>
      </c>
      <c r="H226">
        <v>-0.57905341233977603</v>
      </c>
      <c r="I226">
        <v>-0.45274923443506299</v>
      </c>
      <c r="J226">
        <v>-0.29884157323511501</v>
      </c>
      <c r="K226">
        <v>-1.1426034349795E-2</v>
      </c>
      <c r="L226">
        <v>-0.12630417790471299</v>
      </c>
      <c r="M226">
        <v>-0.29884157323511501</v>
      </c>
      <c r="N226">
        <v>-0.18396342968019699</v>
      </c>
      <c r="O226">
        <v>-0.56762737798998097</v>
      </c>
      <c r="P226">
        <v>-0.45274923443506299</v>
      </c>
      <c r="Q226" t="s">
        <v>1173</v>
      </c>
      <c r="R226" t="s">
        <v>1067</v>
      </c>
      <c r="S226" t="s">
        <v>1067</v>
      </c>
      <c r="T226" t="s">
        <v>1067</v>
      </c>
      <c r="U226" t="s">
        <v>1174</v>
      </c>
      <c r="V226">
        <v>1</v>
      </c>
      <c r="W226" t="s">
        <v>1174</v>
      </c>
      <c r="X226" t="s">
        <v>1175</v>
      </c>
      <c r="Y226">
        <v>1</v>
      </c>
      <c r="Z226">
        <v>-0.33391300392397899</v>
      </c>
      <c r="AA226">
        <v>-0.242801720438343</v>
      </c>
      <c r="AB226">
        <v>-0.43470535158643397</v>
      </c>
      <c r="AC226">
        <v>-0.36343854258087799</v>
      </c>
    </row>
    <row r="227" spans="1:29" x14ac:dyDescent="0.2">
      <c r="A227">
        <v>226</v>
      </c>
      <c r="B227" t="s">
        <v>391</v>
      </c>
      <c r="C227" t="s">
        <v>140</v>
      </c>
      <c r="D227" t="s">
        <v>158</v>
      </c>
      <c r="E227">
        <v>-0.36722454242470798</v>
      </c>
      <c r="F227">
        <v>-1</v>
      </c>
      <c r="G227">
        <v>-0.148518309668625</v>
      </c>
      <c r="H227">
        <v>-1</v>
      </c>
      <c r="I227">
        <v>-0.851481690331375</v>
      </c>
      <c r="J227">
        <v>-0.63277545757529197</v>
      </c>
      <c r="K227">
        <v>-0.148518309668625</v>
      </c>
      <c r="L227">
        <v>-0.36722454242470798</v>
      </c>
      <c r="M227">
        <v>-0.851481690331375</v>
      </c>
      <c r="N227">
        <v>-0.63277545757529197</v>
      </c>
      <c r="O227">
        <v>-0.851481690331375</v>
      </c>
      <c r="P227">
        <v>-0.63277545757529197</v>
      </c>
      <c r="Q227" t="s">
        <v>1067</v>
      </c>
      <c r="R227" t="s">
        <v>1067</v>
      </c>
      <c r="S227" t="s">
        <v>1067</v>
      </c>
      <c r="T227" t="s">
        <v>1067</v>
      </c>
      <c r="U227" t="s">
        <v>1174</v>
      </c>
      <c r="V227">
        <v>1</v>
      </c>
      <c r="W227" t="s">
        <v>944</v>
      </c>
      <c r="X227" t="s">
        <v>1175</v>
      </c>
      <c r="Y227">
        <v>1</v>
      </c>
      <c r="Z227">
        <v>-0.52267173849842896</v>
      </c>
      <c r="AA227">
        <v>-0.26168749742317998</v>
      </c>
      <c r="AB227">
        <v>-0.43687927970004697</v>
      </c>
      <c r="AC227">
        <v>-0.28244345784683</v>
      </c>
    </row>
    <row r="228" spans="1:29" x14ac:dyDescent="0.2">
      <c r="A228">
        <v>227</v>
      </c>
      <c r="B228" t="s">
        <v>392</v>
      </c>
      <c r="C228" t="s">
        <v>140</v>
      </c>
      <c r="D228" t="s">
        <v>168</v>
      </c>
      <c r="E228">
        <v>0.207464042455519</v>
      </c>
      <c r="F228">
        <v>-1</v>
      </c>
      <c r="G228">
        <v>-0.10255694743626199</v>
      </c>
      <c r="H228">
        <v>-1</v>
      </c>
      <c r="I228">
        <v>-0.89744305256373802</v>
      </c>
      <c r="J228">
        <v>-1.2074640424555201</v>
      </c>
      <c r="K228">
        <v>0.207464042455519</v>
      </c>
      <c r="L228">
        <v>-0.10255694743626199</v>
      </c>
      <c r="M228">
        <v>-1.2074640424555201</v>
      </c>
      <c r="N228">
        <v>-0.89744305256373802</v>
      </c>
      <c r="O228">
        <v>-1.2074640424555201</v>
      </c>
      <c r="P228">
        <v>-0.89744305256373802</v>
      </c>
      <c r="Q228" t="s">
        <v>1068</v>
      </c>
      <c r="R228" t="s">
        <v>1067</v>
      </c>
      <c r="S228" t="s">
        <v>1067</v>
      </c>
      <c r="T228" t="s">
        <v>1067</v>
      </c>
      <c r="U228" t="s">
        <v>1174</v>
      </c>
      <c r="V228">
        <v>1</v>
      </c>
      <c r="W228" t="s">
        <v>1174</v>
      </c>
      <c r="X228" t="s">
        <v>1175</v>
      </c>
      <c r="Y228">
        <v>1</v>
      </c>
      <c r="Z228">
        <v>-0.52337129209801703</v>
      </c>
      <c r="AA228">
        <v>-0.26795227737019001</v>
      </c>
      <c r="AB228">
        <v>-0.43156637536494202</v>
      </c>
      <c r="AC228">
        <v>-0.28781101943360399</v>
      </c>
    </row>
    <row r="229" spans="1:29" x14ac:dyDescent="0.2">
      <c r="A229">
        <v>228</v>
      </c>
      <c r="B229" t="s">
        <v>393</v>
      </c>
      <c r="C229" t="s">
        <v>191</v>
      </c>
      <c r="D229" t="s">
        <v>129</v>
      </c>
      <c r="E229">
        <v>0.102350178883757</v>
      </c>
      <c r="F229">
        <v>-1</v>
      </c>
      <c r="G229">
        <v>0.13213792973692201</v>
      </c>
      <c r="H229">
        <v>-1</v>
      </c>
      <c r="I229">
        <v>-1.1321379297369201</v>
      </c>
      <c r="J229">
        <v>-1.10235017888376</v>
      </c>
      <c r="K229">
        <v>0.13213792973692201</v>
      </c>
      <c r="L229">
        <v>0.102350178883757</v>
      </c>
      <c r="M229">
        <v>-1.1321379297369201</v>
      </c>
      <c r="N229">
        <v>-1.10235017888376</v>
      </c>
      <c r="O229">
        <v>-1.1321379297369201</v>
      </c>
      <c r="P229">
        <v>-1.10235017888376</v>
      </c>
      <c r="Q229" t="s">
        <v>1068</v>
      </c>
      <c r="R229" t="s">
        <v>1067</v>
      </c>
      <c r="S229" t="s">
        <v>1068</v>
      </c>
      <c r="T229" t="s">
        <v>1067</v>
      </c>
      <c r="U229" t="s">
        <v>1174</v>
      </c>
      <c r="V229">
        <v>1</v>
      </c>
      <c r="W229" t="s">
        <v>1174</v>
      </c>
      <c r="X229" t="s">
        <v>1175</v>
      </c>
      <c r="Y229">
        <v>1</v>
      </c>
      <c r="Z229">
        <v>-0.43197186492517198</v>
      </c>
      <c r="AA229">
        <v>-0.25043920227298999</v>
      </c>
      <c r="AB229">
        <v>-0.35254137755132797</v>
      </c>
      <c r="AC229">
        <v>-0.27557629400868699</v>
      </c>
    </row>
    <row r="230" spans="1:29" x14ac:dyDescent="0.2">
      <c r="A230">
        <v>229</v>
      </c>
      <c r="B230" t="s">
        <v>394</v>
      </c>
      <c r="C230" t="s">
        <v>191</v>
      </c>
      <c r="D230" t="s">
        <v>130</v>
      </c>
      <c r="E230">
        <v>6.93691214322756E-3</v>
      </c>
      <c r="F230">
        <v>0.29505830330227201</v>
      </c>
      <c r="G230">
        <v>0.457472955105857</v>
      </c>
      <c r="H230">
        <v>0.15247273404846601</v>
      </c>
      <c r="I230">
        <v>-0.305000221057391</v>
      </c>
      <c r="J230">
        <v>0.288121391159044</v>
      </c>
      <c r="K230">
        <v>0.457472955105857</v>
      </c>
      <c r="L230">
        <v>6.93691214322756E-3</v>
      </c>
      <c r="M230">
        <v>-0.162414651803585</v>
      </c>
      <c r="N230">
        <v>0.288121391159044</v>
      </c>
      <c r="O230">
        <v>-0.305000221057391</v>
      </c>
      <c r="P230">
        <v>0.14553582190523801</v>
      </c>
      <c r="Q230" t="s">
        <v>1173</v>
      </c>
      <c r="R230" t="s">
        <v>1068</v>
      </c>
      <c r="S230" t="s">
        <v>1068</v>
      </c>
      <c r="T230" t="s">
        <v>1068</v>
      </c>
      <c r="U230" t="s">
        <v>944</v>
      </c>
      <c r="V230">
        <v>1</v>
      </c>
      <c r="W230" t="s">
        <v>944</v>
      </c>
      <c r="X230" t="s">
        <v>1175</v>
      </c>
      <c r="Y230">
        <v>1</v>
      </c>
      <c r="Z230">
        <v>-0.21097380970229401</v>
      </c>
      <c r="AA230">
        <v>-0.186641903647738</v>
      </c>
      <c r="AB230">
        <v>-0.45132754891091997</v>
      </c>
      <c r="AC230">
        <v>-0.36625515297213102</v>
      </c>
    </row>
    <row r="231" spans="1:29" x14ac:dyDescent="0.2">
      <c r="A231">
        <v>230</v>
      </c>
      <c r="B231" t="s">
        <v>395</v>
      </c>
      <c r="C231" t="s">
        <v>191</v>
      </c>
      <c r="D231" t="s">
        <v>132</v>
      </c>
      <c r="E231">
        <v>-0.127223656705028</v>
      </c>
      <c r="F231">
        <v>-1</v>
      </c>
      <c r="G231">
        <v>-0.14138525267062699</v>
      </c>
      <c r="H231">
        <v>-1</v>
      </c>
      <c r="I231">
        <v>-0.85861474732937304</v>
      </c>
      <c r="J231">
        <v>-0.872776343294972</v>
      </c>
      <c r="K231">
        <v>-0.127223656705028</v>
      </c>
      <c r="L231">
        <v>-0.14138525267062699</v>
      </c>
      <c r="M231">
        <v>-0.872776343294972</v>
      </c>
      <c r="N231">
        <v>-0.85861474732937304</v>
      </c>
      <c r="O231">
        <v>-0.872776343294972</v>
      </c>
      <c r="P231">
        <v>-0.85861474732937304</v>
      </c>
      <c r="Q231" t="s">
        <v>1067</v>
      </c>
      <c r="R231" t="s">
        <v>1067</v>
      </c>
      <c r="S231" t="s">
        <v>1067</v>
      </c>
      <c r="T231" t="s">
        <v>1067</v>
      </c>
      <c r="U231" t="s">
        <v>1174</v>
      </c>
      <c r="V231">
        <v>1</v>
      </c>
      <c r="W231" t="s">
        <v>944</v>
      </c>
      <c r="X231" t="s">
        <v>1175</v>
      </c>
      <c r="Y231">
        <v>1</v>
      </c>
      <c r="Z231">
        <v>-0.48072273585307801</v>
      </c>
      <c r="AA231">
        <v>-0.256385424854007</v>
      </c>
      <c r="AB231">
        <v>-0.40983105306591699</v>
      </c>
      <c r="AC231">
        <v>-0.28497949698882202</v>
      </c>
    </row>
    <row r="232" spans="1:29" x14ac:dyDescent="0.2">
      <c r="A232">
        <v>231</v>
      </c>
      <c r="B232" t="s">
        <v>396</v>
      </c>
      <c r="C232" t="s">
        <v>191</v>
      </c>
      <c r="D232" t="s">
        <v>134</v>
      </c>
      <c r="E232">
        <v>6.6915763752032204E-2</v>
      </c>
      <c r="F232">
        <v>-0.52097737767053198</v>
      </c>
      <c r="G232">
        <v>-1.0614256323030801E-2</v>
      </c>
      <c r="H232">
        <v>-0.77684887288746296</v>
      </c>
      <c r="I232">
        <v>-0.76623461656443204</v>
      </c>
      <c r="J232">
        <v>-0.58789314142256399</v>
      </c>
      <c r="K232">
        <v>6.6915763752032204E-2</v>
      </c>
      <c r="L232">
        <v>-1.0614256323030801E-2</v>
      </c>
      <c r="M232">
        <v>-0.58789314142256399</v>
      </c>
      <c r="N232">
        <v>-0.51036312134750095</v>
      </c>
      <c r="O232">
        <v>-0.84376463663949497</v>
      </c>
      <c r="P232">
        <v>-0.76623461656443204</v>
      </c>
      <c r="Q232" t="s">
        <v>1173</v>
      </c>
      <c r="R232" t="s">
        <v>1067</v>
      </c>
      <c r="S232" t="s">
        <v>1173</v>
      </c>
      <c r="T232" t="s">
        <v>1067</v>
      </c>
      <c r="U232" t="s">
        <v>1174</v>
      </c>
      <c r="V232">
        <v>1</v>
      </c>
      <c r="W232" t="s">
        <v>1174</v>
      </c>
      <c r="X232" t="s">
        <v>1175</v>
      </c>
      <c r="Y232">
        <v>1</v>
      </c>
      <c r="Z232">
        <v>-0.34757718362530299</v>
      </c>
      <c r="AA232">
        <v>-0.27608412085970202</v>
      </c>
      <c r="AB232">
        <v>-0.32868973712344601</v>
      </c>
      <c r="AC232">
        <v>-0.34217787177749498</v>
      </c>
    </row>
    <row r="233" spans="1:29" x14ac:dyDescent="0.2">
      <c r="A233">
        <v>232</v>
      </c>
      <c r="B233" t="s">
        <v>397</v>
      </c>
      <c r="C233" t="s">
        <v>191</v>
      </c>
      <c r="D233" t="s">
        <v>136</v>
      </c>
      <c r="E233">
        <v>-0.142868445833783</v>
      </c>
      <c r="F233">
        <v>-0.34501240138926098</v>
      </c>
      <c r="G233">
        <v>-1.0614256183494999E-2</v>
      </c>
      <c r="H233">
        <v>-0.54426562475329099</v>
      </c>
      <c r="I233">
        <v>-0.533651368569796</v>
      </c>
      <c r="J233">
        <v>-0.20214395555547801</v>
      </c>
      <c r="K233">
        <v>-1.0614256183494999E-2</v>
      </c>
      <c r="L233">
        <v>-0.142868445833783</v>
      </c>
      <c r="M233">
        <v>-0.334398145205766</v>
      </c>
      <c r="N233">
        <v>-0.20214395555547801</v>
      </c>
      <c r="O233">
        <v>-0.533651368569796</v>
      </c>
      <c r="P233">
        <v>-0.40139717891950799</v>
      </c>
      <c r="Q233" t="s">
        <v>1067</v>
      </c>
      <c r="R233" t="s">
        <v>1067</v>
      </c>
      <c r="S233" t="s">
        <v>1173</v>
      </c>
      <c r="T233" t="s">
        <v>1067</v>
      </c>
      <c r="U233" t="s">
        <v>1174</v>
      </c>
      <c r="V233">
        <v>1</v>
      </c>
      <c r="W233" t="s">
        <v>944</v>
      </c>
      <c r="X233" t="s">
        <v>1175</v>
      </c>
      <c r="Y233">
        <v>1</v>
      </c>
      <c r="Z233">
        <v>-0.42626806275221801</v>
      </c>
      <c r="AA233">
        <v>-0.28556692485665303</v>
      </c>
      <c r="AB233">
        <v>-0.21688811921478099</v>
      </c>
      <c r="AC233">
        <v>-0.25587245179775198</v>
      </c>
    </row>
    <row r="234" spans="1:29" x14ac:dyDescent="0.2">
      <c r="A234">
        <v>233</v>
      </c>
      <c r="B234" t="s">
        <v>398</v>
      </c>
      <c r="C234" t="s">
        <v>191</v>
      </c>
      <c r="D234" t="s">
        <v>138</v>
      </c>
      <c r="E234">
        <v>-0.11359355675145</v>
      </c>
      <c r="F234">
        <v>0.13395387963579999</v>
      </c>
      <c r="G234">
        <v>-0.14434810562734399</v>
      </c>
      <c r="H234">
        <v>1.42079959733259E-2</v>
      </c>
      <c r="I234">
        <v>0.15855610160066999</v>
      </c>
      <c r="J234">
        <v>0.24754743638724999</v>
      </c>
      <c r="K234">
        <v>-0.11359355675145</v>
      </c>
      <c r="L234">
        <v>-0.14434810562734399</v>
      </c>
      <c r="M234">
        <v>0.24754743638724999</v>
      </c>
      <c r="N234">
        <v>0.27830198526314398</v>
      </c>
      <c r="O234">
        <v>0.127801552724776</v>
      </c>
      <c r="P234">
        <v>0.15855610160066999</v>
      </c>
      <c r="Q234" t="s">
        <v>1067</v>
      </c>
      <c r="R234" t="s">
        <v>1068</v>
      </c>
      <c r="S234" t="s">
        <v>1067</v>
      </c>
      <c r="T234" t="s">
        <v>1173</v>
      </c>
      <c r="U234" t="s">
        <v>944</v>
      </c>
      <c r="V234">
        <v>0</v>
      </c>
      <c r="W234" t="s">
        <v>944</v>
      </c>
      <c r="X234" t="s">
        <v>1175</v>
      </c>
      <c r="Y234">
        <v>1</v>
      </c>
      <c r="Z234">
        <v>0.42426474495208499</v>
      </c>
      <c r="AA234">
        <v>-0.12504358396371101</v>
      </c>
      <c r="AB234">
        <v>0.43539137195705202</v>
      </c>
      <c r="AC234">
        <v>-0.17676592105633401</v>
      </c>
    </row>
    <row r="235" spans="1:29" x14ac:dyDescent="0.2">
      <c r="A235">
        <v>234</v>
      </c>
      <c r="B235" t="s">
        <v>399</v>
      </c>
      <c r="C235" t="s">
        <v>191</v>
      </c>
      <c r="D235" t="s">
        <v>182</v>
      </c>
      <c r="E235">
        <v>-0.12665170444361401</v>
      </c>
      <c r="F235">
        <v>0.50080197565000795</v>
      </c>
      <c r="G235">
        <v>-0.14390672440243099</v>
      </c>
      <c r="H235">
        <v>0.48091212796799099</v>
      </c>
      <c r="I235">
        <v>0.62481885237042201</v>
      </c>
      <c r="J235">
        <v>0.62745368009362201</v>
      </c>
      <c r="K235">
        <v>-0.12665170444361401</v>
      </c>
      <c r="L235">
        <v>-0.14390672440243099</v>
      </c>
      <c r="M235">
        <v>0.62745368009362201</v>
      </c>
      <c r="N235">
        <v>0.64470870005243897</v>
      </c>
      <c r="O235">
        <v>0.60756383241160505</v>
      </c>
      <c r="P235">
        <v>0.62481885237042201</v>
      </c>
      <c r="Q235" t="s">
        <v>1067</v>
      </c>
      <c r="R235" t="s">
        <v>1068</v>
      </c>
      <c r="S235" t="s">
        <v>1067</v>
      </c>
      <c r="T235" t="s">
        <v>1068</v>
      </c>
      <c r="U235" t="s">
        <v>944</v>
      </c>
      <c r="V235">
        <v>0</v>
      </c>
      <c r="W235" t="s">
        <v>944</v>
      </c>
      <c r="X235" t="s">
        <v>1175</v>
      </c>
      <c r="Y235">
        <v>1</v>
      </c>
      <c r="Z235">
        <v>0.39221808266192398</v>
      </c>
      <c r="AA235">
        <v>-0.15033505804471001</v>
      </c>
      <c r="AB235">
        <v>0.42301472486146402</v>
      </c>
      <c r="AC235">
        <v>-0.17632147921917299</v>
      </c>
    </row>
    <row r="236" spans="1:29" x14ac:dyDescent="0.2">
      <c r="A236">
        <v>235</v>
      </c>
      <c r="B236" t="s">
        <v>400</v>
      </c>
      <c r="C236" t="s">
        <v>191</v>
      </c>
      <c r="D236" t="s">
        <v>188</v>
      </c>
      <c r="E236">
        <v>-0.12753928501766501</v>
      </c>
      <c r="F236">
        <v>0.51775328250477004</v>
      </c>
      <c r="G236">
        <v>-7.3970413024799994E-2</v>
      </c>
      <c r="H236">
        <v>0.48658171690709501</v>
      </c>
      <c r="I236">
        <v>0.56055212993189496</v>
      </c>
      <c r="J236">
        <v>0.64529256752243502</v>
      </c>
      <c r="K236">
        <v>-7.3970413024799994E-2</v>
      </c>
      <c r="L236">
        <v>-0.12753928501766501</v>
      </c>
      <c r="M236">
        <v>0.59172369552957005</v>
      </c>
      <c r="N236">
        <v>0.64529256752243502</v>
      </c>
      <c r="O236">
        <v>0.56055212993189496</v>
      </c>
      <c r="P236">
        <v>0.61412100192476005</v>
      </c>
      <c r="Q236" t="s">
        <v>1067</v>
      </c>
      <c r="R236" t="s">
        <v>1068</v>
      </c>
      <c r="S236" t="s">
        <v>1173</v>
      </c>
      <c r="T236" t="s">
        <v>1068</v>
      </c>
      <c r="U236" t="s">
        <v>944</v>
      </c>
      <c r="V236">
        <v>0</v>
      </c>
      <c r="W236" t="s">
        <v>944</v>
      </c>
      <c r="X236" t="s">
        <v>1175</v>
      </c>
      <c r="Y236">
        <v>1</v>
      </c>
      <c r="Z236">
        <v>0.430112127421441</v>
      </c>
      <c r="AA236">
        <v>-0.13890541538769599</v>
      </c>
      <c r="AB236">
        <v>0.45804473994681</v>
      </c>
      <c r="AC236">
        <v>-0.17166705753068701</v>
      </c>
    </row>
    <row r="237" spans="1:29" x14ac:dyDescent="0.2">
      <c r="A237">
        <v>236</v>
      </c>
      <c r="B237" t="s">
        <v>1177</v>
      </c>
      <c r="C237" t="s">
        <v>191</v>
      </c>
      <c r="D237" t="s">
        <v>140</v>
      </c>
      <c r="E237">
        <v>0.99794981251411996</v>
      </c>
      <c r="F237">
        <v>0.89608030244521497</v>
      </c>
      <c r="G237">
        <v>0.88823227201948696</v>
      </c>
      <c r="H237">
        <v>0.87039327221759499</v>
      </c>
      <c r="I237">
        <v>-1.7838999801891998E-2</v>
      </c>
      <c r="J237">
        <v>-0.101869510068905</v>
      </c>
      <c r="K237">
        <v>0.99794981251411996</v>
      </c>
      <c r="L237">
        <v>0.88823227201948696</v>
      </c>
      <c r="M237">
        <v>-0.101869510068905</v>
      </c>
      <c r="N237">
        <v>7.8480304257280108E-3</v>
      </c>
      <c r="O237">
        <v>-0.127556540296525</v>
      </c>
      <c r="P237">
        <v>-1.7838999801891998E-2</v>
      </c>
      <c r="Q237" t="s">
        <v>1068</v>
      </c>
      <c r="R237" t="s">
        <v>1068</v>
      </c>
      <c r="S237" t="s">
        <v>1068</v>
      </c>
      <c r="T237" t="s">
        <v>1068</v>
      </c>
      <c r="U237" t="s">
        <v>1174</v>
      </c>
      <c r="V237">
        <v>1</v>
      </c>
      <c r="W237" t="s">
        <v>944</v>
      </c>
      <c r="X237" t="s">
        <v>1176</v>
      </c>
      <c r="Y237">
        <v>1</v>
      </c>
      <c r="Z237">
        <v>-0.41370399007435898</v>
      </c>
      <c r="AA237">
        <v>-0.220835213305101</v>
      </c>
      <c r="AB237">
        <v>-0.42422360958238298</v>
      </c>
      <c r="AC237">
        <v>-0.28329663703592101</v>
      </c>
    </row>
    <row r="238" spans="1:29" x14ac:dyDescent="0.2">
      <c r="A238">
        <v>237</v>
      </c>
      <c r="B238" t="s">
        <v>401</v>
      </c>
      <c r="C238" t="s">
        <v>191</v>
      </c>
      <c r="D238" t="s">
        <v>142</v>
      </c>
      <c r="E238">
        <v>-0.143597222109867</v>
      </c>
      <c r="F238">
        <v>0.441743143427271</v>
      </c>
      <c r="G238">
        <v>-1.0614255957343499E-2</v>
      </c>
      <c r="H238">
        <v>0.451726578237027</v>
      </c>
      <c r="I238">
        <v>0.46234083419437</v>
      </c>
      <c r="J238">
        <v>0.58534036553713797</v>
      </c>
      <c r="K238">
        <v>-1.0614255957343499E-2</v>
      </c>
      <c r="L238">
        <v>-0.143597222109867</v>
      </c>
      <c r="M238">
        <v>0.452357399384615</v>
      </c>
      <c r="N238">
        <v>0.58534036553713797</v>
      </c>
      <c r="O238">
        <v>0.46234083419437</v>
      </c>
      <c r="P238">
        <v>0.59532380034689403</v>
      </c>
      <c r="Q238" t="s">
        <v>1067</v>
      </c>
      <c r="R238" t="s">
        <v>1068</v>
      </c>
      <c r="S238" t="s">
        <v>1173</v>
      </c>
      <c r="T238" t="s">
        <v>1068</v>
      </c>
      <c r="U238" t="s">
        <v>944</v>
      </c>
      <c r="V238">
        <v>0</v>
      </c>
      <c r="W238" t="s">
        <v>944</v>
      </c>
      <c r="X238" t="s">
        <v>1175</v>
      </c>
      <c r="Y238">
        <v>1</v>
      </c>
      <c r="Z238">
        <v>0.55578736530595696</v>
      </c>
      <c r="AA238">
        <v>-0.167222343607308</v>
      </c>
      <c r="AB238">
        <v>0.57996981869479902</v>
      </c>
      <c r="AC238">
        <v>-0.15415351982428299</v>
      </c>
    </row>
    <row r="239" spans="1:29" x14ac:dyDescent="0.2">
      <c r="A239">
        <v>238</v>
      </c>
      <c r="B239" t="s">
        <v>402</v>
      </c>
      <c r="C239" t="s">
        <v>191</v>
      </c>
      <c r="D239" t="s">
        <v>144</v>
      </c>
      <c r="E239">
        <v>6.9748318857068298E-3</v>
      </c>
      <c r="F239">
        <v>-0.24237985939954201</v>
      </c>
      <c r="G239">
        <v>-1.0872077885211599E-2</v>
      </c>
      <c r="H239">
        <v>-0.48089333046822003</v>
      </c>
      <c r="I239">
        <v>-0.47002125258300798</v>
      </c>
      <c r="J239">
        <v>-0.24935469128524901</v>
      </c>
      <c r="K239">
        <v>6.9748318857068298E-3</v>
      </c>
      <c r="L239">
        <v>-1.0872077885211599E-2</v>
      </c>
      <c r="M239">
        <v>-0.24935469128524901</v>
      </c>
      <c r="N239">
        <v>-0.23150778151432999</v>
      </c>
      <c r="O239">
        <v>-0.48786816235392699</v>
      </c>
      <c r="P239">
        <v>-0.47002125258300798</v>
      </c>
      <c r="Q239" t="s">
        <v>1173</v>
      </c>
      <c r="R239" t="s">
        <v>1067</v>
      </c>
      <c r="S239" t="s">
        <v>1173</v>
      </c>
      <c r="T239" t="s">
        <v>1067</v>
      </c>
      <c r="U239" t="s">
        <v>1174</v>
      </c>
      <c r="V239">
        <v>1</v>
      </c>
      <c r="W239" t="s">
        <v>1174</v>
      </c>
      <c r="X239" t="s">
        <v>1175</v>
      </c>
      <c r="Y239">
        <v>1</v>
      </c>
      <c r="Z239">
        <v>-0.27151832947530302</v>
      </c>
      <c r="AA239">
        <v>-0.26690718754310999</v>
      </c>
      <c r="AB239">
        <v>-0.26759616657034502</v>
      </c>
      <c r="AC239">
        <v>-0.34226022991238197</v>
      </c>
    </row>
    <row r="240" spans="1:29" x14ac:dyDescent="0.2">
      <c r="A240">
        <v>239</v>
      </c>
      <c r="B240" t="s">
        <v>403</v>
      </c>
      <c r="C240" t="s">
        <v>191</v>
      </c>
      <c r="D240" t="s">
        <v>146</v>
      </c>
      <c r="E240">
        <v>7.9538624116810494E-3</v>
      </c>
      <c r="F240">
        <v>0.58017698246396898</v>
      </c>
      <c r="G240">
        <v>0.63837642765337099</v>
      </c>
      <c r="H240">
        <v>0.49881788385114101</v>
      </c>
      <c r="I240">
        <v>-0.13955854380223001</v>
      </c>
      <c r="J240">
        <v>0.57222312005228804</v>
      </c>
      <c r="K240">
        <v>0.63837642765337099</v>
      </c>
      <c r="L240">
        <v>7.9538624116810494E-3</v>
      </c>
      <c r="M240">
        <v>-5.8199445189402003E-2</v>
      </c>
      <c r="N240">
        <v>0.57222312005228804</v>
      </c>
      <c r="O240">
        <v>-0.13955854380223001</v>
      </c>
      <c r="P240">
        <v>0.49086402143946001</v>
      </c>
      <c r="Q240" t="s">
        <v>1173</v>
      </c>
      <c r="R240" t="s">
        <v>1068</v>
      </c>
      <c r="S240" t="s">
        <v>1068</v>
      </c>
      <c r="T240" t="s">
        <v>1068</v>
      </c>
      <c r="U240" t="s">
        <v>944</v>
      </c>
      <c r="V240">
        <v>1</v>
      </c>
      <c r="W240" t="s">
        <v>944</v>
      </c>
      <c r="X240" t="s">
        <v>1175</v>
      </c>
      <c r="Y240">
        <v>1</v>
      </c>
      <c r="Z240">
        <v>-0.24451203776389099</v>
      </c>
      <c r="AA240">
        <v>-0.201198865109769</v>
      </c>
      <c r="AB240">
        <v>-0.44919196188299299</v>
      </c>
      <c r="AC240">
        <v>-0.365747354647666</v>
      </c>
    </row>
    <row r="241" spans="1:29" x14ac:dyDescent="0.2">
      <c r="A241">
        <v>240</v>
      </c>
      <c r="B241" t="s">
        <v>404</v>
      </c>
      <c r="C241" t="s">
        <v>191</v>
      </c>
      <c r="D241" t="s">
        <v>200</v>
      </c>
      <c r="E241">
        <v>-0.18166147773321001</v>
      </c>
      <c r="F241">
        <v>-0.21930176602068999</v>
      </c>
      <c r="G241">
        <v>-0.12521427237830199</v>
      </c>
      <c r="H241">
        <v>-0.39750379635398397</v>
      </c>
      <c r="I241">
        <v>-0.27228952397568201</v>
      </c>
      <c r="J241">
        <v>-3.7640288287479999E-2</v>
      </c>
      <c r="K241">
        <v>-0.12521427237830199</v>
      </c>
      <c r="L241">
        <v>-0.18166147773321001</v>
      </c>
      <c r="M241">
        <v>-9.4087493642387998E-2</v>
      </c>
      <c r="N241">
        <v>-3.7640288287479999E-2</v>
      </c>
      <c r="O241">
        <v>-0.27228952397568201</v>
      </c>
      <c r="P241">
        <v>-0.21584231862077399</v>
      </c>
      <c r="Q241" t="s">
        <v>1067</v>
      </c>
      <c r="R241" t="s">
        <v>1067</v>
      </c>
      <c r="S241" t="s">
        <v>1067</v>
      </c>
      <c r="T241" t="s">
        <v>1067</v>
      </c>
      <c r="U241" t="s">
        <v>1174</v>
      </c>
      <c r="V241">
        <v>1</v>
      </c>
      <c r="W241" t="s">
        <v>944</v>
      </c>
      <c r="X241" t="s">
        <v>1175</v>
      </c>
      <c r="Y241">
        <v>0</v>
      </c>
      <c r="Z241">
        <v>-0.24667810599883599</v>
      </c>
      <c r="AA241">
        <v>-0.229907490551954</v>
      </c>
      <c r="AB241">
        <v>-0.14634909447113001</v>
      </c>
      <c r="AC241">
        <v>-0.25006599714417799</v>
      </c>
    </row>
    <row r="242" spans="1:29" x14ac:dyDescent="0.2">
      <c r="A242">
        <v>241</v>
      </c>
      <c r="B242" t="s">
        <v>405</v>
      </c>
      <c r="C242" t="s">
        <v>191</v>
      </c>
      <c r="D242" t="s">
        <v>148</v>
      </c>
      <c r="E242">
        <v>-0.477090351969647</v>
      </c>
      <c r="F242">
        <v>-1</v>
      </c>
      <c r="G242">
        <v>-1.05711053268874E-2</v>
      </c>
      <c r="H242">
        <v>-1</v>
      </c>
      <c r="I242">
        <v>-0.98942889467311301</v>
      </c>
      <c r="J242">
        <v>-0.522909648030353</v>
      </c>
      <c r="K242">
        <v>-1.05711053268874E-2</v>
      </c>
      <c r="L242">
        <v>-0.477090351969647</v>
      </c>
      <c r="M242">
        <v>-0.98942889467311301</v>
      </c>
      <c r="N242">
        <v>-0.522909648030353</v>
      </c>
      <c r="O242">
        <v>-0.98942889467311301</v>
      </c>
      <c r="P242">
        <v>-0.522909648030353</v>
      </c>
      <c r="Q242" t="s">
        <v>1067</v>
      </c>
      <c r="R242" t="s">
        <v>1067</v>
      </c>
      <c r="S242" t="s">
        <v>1173</v>
      </c>
      <c r="T242" t="s">
        <v>1067</v>
      </c>
      <c r="U242" t="s">
        <v>1174</v>
      </c>
      <c r="V242">
        <v>1</v>
      </c>
      <c r="W242" t="s">
        <v>944</v>
      </c>
      <c r="X242" t="s">
        <v>1175</v>
      </c>
      <c r="Y242">
        <v>1</v>
      </c>
      <c r="Z242">
        <v>-0.60383531795364598</v>
      </c>
      <c r="AA242">
        <v>-0.306971475913351</v>
      </c>
      <c r="AB242">
        <v>-0.40848838074011701</v>
      </c>
      <c r="AC242">
        <v>-0.28267878887606102</v>
      </c>
    </row>
    <row r="243" spans="1:29" x14ac:dyDescent="0.2">
      <c r="A243">
        <v>242</v>
      </c>
      <c r="B243" t="s">
        <v>406</v>
      </c>
      <c r="C243" t="s">
        <v>191</v>
      </c>
      <c r="D243" t="s">
        <v>150</v>
      </c>
      <c r="E243">
        <v>6.7939809761570699E-3</v>
      </c>
      <c r="F243">
        <v>-0.41969041492113301</v>
      </c>
      <c r="G243">
        <v>-0.14855393688140001</v>
      </c>
      <c r="H243">
        <v>-0.72106407521719496</v>
      </c>
      <c r="I243">
        <v>-0.572510138335795</v>
      </c>
      <c r="J243">
        <v>-0.42648439589728998</v>
      </c>
      <c r="K243">
        <v>6.7939809761570699E-3</v>
      </c>
      <c r="L243">
        <v>-0.14855393688140001</v>
      </c>
      <c r="M243">
        <v>-0.42648439589728998</v>
      </c>
      <c r="N243">
        <v>-0.27113647803973301</v>
      </c>
      <c r="O243">
        <v>-0.72785805619335198</v>
      </c>
      <c r="P243">
        <v>-0.572510138335795</v>
      </c>
      <c r="Q243" t="s">
        <v>1173</v>
      </c>
      <c r="R243" t="s">
        <v>1067</v>
      </c>
      <c r="S243" t="s">
        <v>1067</v>
      </c>
      <c r="T243" t="s">
        <v>1067</v>
      </c>
      <c r="U243" t="s">
        <v>1174</v>
      </c>
      <c r="V243">
        <v>1</v>
      </c>
      <c r="W243" t="s">
        <v>1174</v>
      </c>
      <c r="X243" t="s">
        <v>1175</v>
      </c>
      <c r="Y243">
        <v>1</v>
      </c>
      <c r="Z243">
        <v>-0.33348556964005799</v>
      </c>
      <c r="AA243">
        <v>-0.23811171777791501</v>
      </c>
      <c r="AB243">
        <v>-0.452239545761289</v>
      </c>
      <c r="AC243">
        <v>-0.36640190532170502</v>
      </c>
    </row>
    <row r="244" spans="1:29" x14ac:dyDescent="0.2">
      <c r="A244">
        <v>243</v>
      </c>
      <c r="B244" t="s">
        <v>407</v>
      </c>
      <c r="C244" t="s">
        <v>191</v>
      </c>
      <c r="D244" t="s">
        <v>204</v>
      </c>
      <c r="E244">
        <v>-0.31425652397406501</v>
      </c>
      <c r="F244">
        <v>-1</v>
      </c>
      <c r="G244">
        <v>-0.158921861040417</v>
      </c>
      <c r="H244">
        <v>-1</v>
      </c>
      <c r="I244">
        <v>-0.84107813895958305</v>
      </c>
      <c r="J244">
        <v>-0.68574347602593499</v>
      </c>
      <c r="K244">
        <v>-0.158921861040417</v>
      </c>
      <c r="L244">
        <v>-0.31425652397406501</v>
      </c>
      <c r="M244">
        <v>-0.84107813895958305</v>
      </c>
      <c r="N244">
        <v>-0.68574347602593499</v>
      </c>
      <c r="O244">
        <v>-0.84107813895958305</v>
      </c>
      <c r="P244">
        <v>-0.68574347602593499</v>
      </c>
      <c r="Q244" t="s">
        <v>1067</v>
      </c>
      <c r="R244" t="s">
        <v>1067</v>
      </c>
      <c r="S244" t="s">
        <v>1067</v>
      </c>
      <c r="T244" t="s">
        <v>1067</v>
      </c>
      <c r="U244" t="s">
        <v>1174</v>
      </c>
      <c r="V244">
        <v>1</v>
      </c>
      <c r="W244" t="s">
        <v>944</v>
      </c>
      <c r="X244" t="s">
        <v>1175</v>
      </c>
      <c r="Y244">
        <v>1</v>
      </c>
      <c r="Z244">
        <v>-0.51327781079721801</v>
      </c>
      <c r="AA244">
        <v>-0.25547332623121299</v>
      </c>
      <c r="AB244">
        <v>-0.44524143723234899</v>
      </c>
      <c r="AC244">
        <v>-0.284303784561247</v>
      </c>
    </row>
    <row r="245" spans="1:29" x14ac:dyDescent="0.2">
      <c r="A245">
        <v>244</v>
      </c>
      <c r="B245" t="s">
        <v>408</v>
      </c>
      <c r="C245" t="s">
        <v>191</v>
      </c>
      <c r="D245" t="s">
        <v>152</v>
      </c>
      <c r="E245">
        <v>-0.14351217531764199</v>
      </c>
      <c r="F245">
        <v>0.44114288805275897</v>
      </c>
      <c r="G245">
        <v>-1.0614255957343499E-2</v>
      </c>
      <c r="H245">
        <v>0.45167943242088299</v>
      </c>
      <c r="I245">
        <v>0.46229368837822599</v>
      </c>
      <c r="J245">
        <v>0.58465506337040096</v>
      </c>
      <c r="K245">
        <v>-1.0614255957343499E-2</v>
      </c>
      <c r="L245">
        <v>-0.14351217531764199</v>
      </c>
      <c r="M245">
        <v>0.45175714401010197</v>
      </c>
      <c r="N245">
        <v>0.58465506337040096</v>
      </c>
      <c r="O245">
        <v>0.46229368837822599</v>
      </c>
      <c r="P245">
        <v>0.59519160773852497</v>
      </c>
      <c r="Q245" t="s">
        <v>1067</v>
      </c>
      <c r="R245" t="s">
        <v>1068</v>
      </c>
      <c r="S245" t="s">
        <v>1173</v>
      </c>
      <c r="T245" t="s">
        <v>1068</v>
      </c>
      <c r="U245" t="s">
        <v>944</v>
      </c>
      <c r="V245">
        <v>0</v>
      </c>
      <c r="W245" t="s">
        <v>944</v>
      </c>
      <c r="X245" t="s">
        <v>1175</v>
      </c>
      <c r="Y245">
        <v>1</v>
      </c>
      <c r="Z245">
        <v>0.55591461048289104</v>
      </c>
      <c r="AA245">
        <v>-0.16720700966917201</v>
      </c>
      <c r="AB245">
        <v>0.58027975019565903</v>
      </c>
      <c r="AC245">
        <v>-0.15415249903690101</v>
      </c>
    </row>
    <row r="246" spans="1:29" x14ac:dyDescent="0.2">
      <c r="A246">
        <v>245</v>
      </c>
      <c r="B246" t="s">
        <v>409</v>
      </c>
      <c r="C246" t="s">
        <v>191</v>
      </c>
      <c r="D246" t="s">
        <v>154</v>
      </c>
      <c r="E246">
        <v>-0.32782297673740901</v>
      </c>
      <c r="F246">
        <v>-1</v>
      </c>
      <c r="G246">
        <v>-0.15892186119805901</v>
      </c>
      <c r="H246">
        <v>-1</v>
      </c>
      <c r="I246">
        <v>-0.84107813880194104</v>
      </c>
      <c r="J246">
        <v>-0.67217702326259099</v>
      </c>
      <c r="K246">
        <v>-0.15892186119805901</v>
      </c>
      <c r="L246">
        <v>-0.32782297673740901</v>
      </c>
      <c r="M246">
        <v>-0.84107813880194104</v>
      </c>
      <c r="N246">
        <v>-0.67217702326259099</v>
      </c>
      <c r="O246">
        <v>-0.84107813880194104</v>
      </c>
      <c r="P246">
        <v>-0.67217702326259099</v>
      </c>
      <c r="Q246" t="s">
        <v>1067</v>
      </c>
      <c r="R246" t="s">
        <v>1067</v>
      </c>
      <c r="S246" t="s">
        <v>1067</v>
      </c>
      <c r="T246" t="s">
        <v>1067</v>
      </c>
      <c r="U246" t="s">
        <v>1174</v>
      </c>
      <c r="V246">
        <v>1</v>
      </c>
      <c r="W246" t="s">
        <v>944</v>
      </c>
      <c r="X246" t="s">
        <v>1175</v>
      </c>
      <c r="Y246">
        <v>1</v>
      </c>
      <c r="Z246">
        <v>-0.51612371761862796</v>
      </c>
      <c r="AA246">
        <v>-0.255816277998268</v>
      </c>
      <c r="AB246">
        <v>-0.44794634511663201</v>
      </c>
      <c r="AC246">
        <v>-0.28459160361275598</v>
      </c>
    </row>
    <row r="247" spans="1:29" x14ac:dyDescent="0.2">
      <c r="A247">
        <v>246</v>
      </c>
      <c r="B247" t="s">
        <v>410</v>
      </c>
      <c r="C247" t="s">
        <v>191</v>
      </c>
      <c r="D247" t="s">
        <v>156</v>
      </c>
      <c r="E247">
        <v>-0.15542621120705799</v>
      </c>
      <c r="F247">
        <v>-0.15981434413429199</v>
      </c>
      <c r="G247">
        <v>-1.0614256323030801E-2</v>
      </c>
      <c r="H247">
        <v>-0.34076528659094402</v>
      </c>
      <c r="I247">
        <v>-0.33015103026791298</v>
      </c>
      <c r="J247">
        <v>-4.388132927234E-3</v>
      </c>
      <c r="K247">
        <v>-1.0614256323030801E-2</v>
      </c>
      <c r="L247">
        <v>-0.15542621120705799</v>
      </c>
      <c r="M247">
        <v>-0.14920008781126101</v>
      </c>
      <c r="N247">
        <v>-4.388132927234E-3</v>
      </c>
      <c r="O247">
        <v>-0.33015103026791298</v>
      </c>
      <c r="P247">
        <v>-0.185339075383886</v>
      </c>
      <c r="Q247" t="s">
        <v>1067</v>
      </c>
      <c r="R247" t="s">
        <v>1067</v>
      </c>
      <c r="S247" t="s">
        <v>1173</v>
      </c>
      <c r="T247" t="s">
        <v>1067</v>
      </c>
      <c r="U247" t="s">
        <v>1174</v>
      </c>
      <c r="V247">
        <v>1</v>
      </c>
      <c r="W247" t="s">
        <v>944</v>
      </c>
      <c r="X247" t="s">
        <v>1175</v>
      </c>
      <c r="Y247">
        <v>0</v>
      </c>
      <c r="Z247">
        <v>-0.38510387118850398</v>
      </c>
      <c r="AA247">
        <v>-0.280606350459434</v>
      </c>
      <c r="AB247">
        <v>-0.17126787603732399</v>
      </c>
      <c r="AC247">
        <v>-0.24983395323325999</v>
      </c>
    </row>
    <row r="248" spans="1:29" x14ac:dyDescent="0.2">
      <c r="A248">
        <v>247</v>
      </c>
      <c r="B248" t="s">
        <v>411</v>
      </c>
      <c r="C248" t="s">
        <v>191</v>
      </c>
      <c r="D248" t="s">
        <v>158</v>
      </c>
      <c r="E248">
        <v>-0.37490448498864898</v>
      </c>
      <c r="F248">
        <v>-1</v>
      </c>
      <c r="G248">
        <v>-0.16087933614364699</v>
      </c>
      <c r="H248">
        <v>-1</v>
      </c>
      <c r="I248">
        <v>-0.83912066385635298</v>
      </c>
      <c r="J248">
        <v>-0.62509551501135097</v>
      </c>
      <c r="K248">
        <v>-0.16087933614364699</v>
      </c>
      <c r="L248">
        <v>-0.37490448498864898</v>
      </c>
      <c r="M248">
        <v>-0.83912066385635298</v>
      </c>
      <c r="N248">
        <v>-0.62509551501135097</v>
      </c>
      <c r="O248">
        <v>-0.83912066385635298</v>
      </c>
      <c r="P248">
        <v>-0.62509551501135097</v>
      </c>
      <c r="Q248" t="s">
        <v>1067</v>
      </c>
      <c r="R248" t="s">
        <v>1067</v>
      </c>
      <c r="S248" t="s">
        <v>1067</v>
      </c>
      <c r="T248" t="s">
        <v>1067</v>
      </c>
      <c r="U248" t="s">
        <v>1174</v>
      </c>
      <c r="V248">
        <v>1</v>
      </c>
      <c r="W248" t="s">
        <v>944</v>
      </c>
      <c r="X248" t="s">
        <v>1175</v>
      </c>
      <c r="Y248">
        <v>1</v>
      </c>
      <c r="Z248">
        <v>-0.52224430421450796</v>
      </c>
      <c r="AA248">
        <v>-0.25699749476275202</v>
      </c>
      <c r="AB248">
        <v>-0.454413473874902</v>
      </c>
      <c r="AC248">
        <v>-0.28540682058765698</v>
      </c>
    </row>
    <row r="249" spans="1:29" x14ac:dyDescent="0.2">
      <c r="A249">
        <v>248</v>
      </c>
      <c r="B249" t="s">
        <v>412</v>
      </c>
      <c r="C249" t="s">
        <v>191</v>
      </c>
      <c r="D249" t="s">
        <v>160</v>
      </c>
      <c r="E249">
        <v>-0.14094256538014799</v>
      </c>
      <c r="F249">
        <v>-0.59081174610443099</v>
      </c>
      <c r="G249">
        <v>-1.1356311468298699E-2</v>
      </c>
      <c r="H249">
        <v>-0.966409405187864</v>
      </c>
      <c r="I249">
        <v>-0.95505309371956504</v>
      </c>
      <c r="J249">
        <v>-0.449869180724283</v>
      </c>
      <c r="K249">
        <v>-1.1356311468298699E-2</v>
      </c>
      <c r="L249">
        <v>-0.14094256538014799</v>
      </c>
      <c r="M249">
        <v>-0.57945543463613203</v>
      </c>
      <c r="N249">
        <v>-0.449869180724283</v>
      </c>
      <c r="O249">
        <v>-0.95505309371956504</v>
      </c>
      <c r="P249">
        <v>-0.82546683980771596</v>
      </c>
      <c r="Q249" t="s">
        <v>1067</v>
      </c>
      <c r="R249" t="s">
        <v>1067</v>
      </c>
      <c r="S249" t="s">
        <v>1173</v>
      </c>
      <c r="T249" t="s">
        <v>1067</v>
      </c>
      <c r="U249" t="s">
        <v>1174</v>
      </c>
      <c r="V249">
        <v>1</v>
      </c>
      <c r="W249" t="s">
        <v>944</v>
      </c>
      <c r="X249" t="s">
        <v>1175</v>
      </c>
      <c r="Y249">
        <v>1</v>
      </c>
      <c r="Z249">
        <v>-0.42382927813976201</v>
      </c>
      <c r="AA249">
        <v>-0.28505813010636399</v>
      </c>
      <c r="AB249">
        <v>-0.21614081502876001</v>
      </c>
      <c r="AC249">
        <v>-0.25618105781606199</v>
      </c>
    </row>
    <row r="250" spans="1:29" x14ac:dyDescent="0.2">
      <c r="A250">
        <v>249</v>
      </c>
      <c r="B250" t="s">
        <v>413</v>
      </c>
      <c r="C250" t="s">
        <v>191</v>
      </c>
      <c r="D250" t="s">
        <v>162</v>
      </c>
      <c r="E250">
        <v>6.7939809763924702E-3</v>
      </c>
      <c r="F250">
        <v>-0.41469544954103199</v>
      </c>
      <c r="G250">
        <v>-0.16201717433894</v>
      </c>
      <c r="H250">
        <v>-0.71268301287386904</v>
      </c>
      <c r="I250">
        <v>-0.55066583853492901</v>
      </c>
      <c r="J250">
        <v>-0.42148943051742399</v>
      </c>
      <c r="K250">
        <v>6.7939809763924702E-3</v>
      </c>
      <c r="L250">
        <v>-0.16201717433894</v>
      </c>
      <c r="M250">
        <v>-0.42148943051742399</v>
      </c>
      <c r="N250">
        <v>-0.25267827520209202</v>
      </c>
      <c r="O250">
        <v>-0.71947699385026198</v>
      </c>
      <c r="P250">
        <v>-0.55066583853492901</v>
      </c>
      <c r="Q250" t="s">
        <v>1173</v>
      </c>
      <c r="R250" t="s">
        <v>1067</v>
      </c>
      <c r="S250" t="s">
        <v>1067</v>
      </c>
      <c r="T250" t="s">
        <v>1067</v>
      </c>
      <c r="U250" t="s">
        <v>1174</v>
      </c>
      <c r="V250">
        <v>1</v>
      </c>
      <c r="W250" t="s">
        <v>1174</v>
      </c>
      <c r="X250" t="s">
        <v>1175</v>
      </c>
      <c r="Y250">
        <v>1</v>
      </c>
      <c r="Z250">
        <v>-0.31408736421009298</v>
      </c>
      <c r="AA250">
        <v>-0.23042112126828701</v>
      </c>
      <c r="AB250">
        <v>-0.45084698000147599</v>
      </c>
      <c r="AC250">
        <v>-0.36621983071547298</v>
      </c>
    </row>
    <row r="251" spans="1:29" x14ac:dyDescent="0.2">
      <c r="A251">
        <v>250</v>
      </c>
      <c r="B251" t="s">
        <v>414</v>
      </c>
      <c r="C251" t="s">
        <v>191</v>
      </c>
      <c r="D251" t="s">
        <v>220</v>
      </c>
      <c r="E251">
        <v>6.7939809761570699E-3</v>
      </c>
      <c r="F251">
        <v>-0.41745429643500598</v>
      </c>
      <c r="G251">
        <v>-0.17431934376441699</v>
      </c>
      <c r="H251">
        <v>-0.71334653855022601</v>
      </c>
      <c r="I251">
        <v>-0.53902719478580896</v>
      </c>
      <c r="J251">
        <v>-0.424248277411163</v>
      </c>
      <c r="K251">
        <v>6.7939809761570699E-3</v>
      </c>
      <c r="L251">
        <v>-0.17431934376441699</v>
      </c>
      <c r="M251">
        <v>-0.424248277411163</v>
      </c>
      <c r="N251">
        <v>-0.24313495267058899</v>
      </c>
      <c r="O251">
        <v>-0.72014051952638303</v>
      </c>
      <c r="P251">
        <v>-0.53902719478580896</v>
      </c>
      <c r="Q251" t="s">
        <v>1173</v>
      </c>
      <c r="R251" t="s">
        <v>1067</v>
      </c>
      <c r="S251" t="s">
        <v>1067</v>
      </c>
      <c r="T251" t="s">
        <v>1067</v>
      </c>
      <c r="U251" t="s">
        <v>1174</v>
      </c>
      <c r="V251">
        <v>1</v>
      </c>
      <c r="W251" t="s">
        <v>1174</v>
      </c>
      <c r="X251" t="s">
        <v>1175</v>
      </c>
      <c r="Y251">
        <v>1</v>
      </c>
      <c r="Z251">
        <v>-0.30068822755685898</v>
      </c>
      <c r="AA251">
        <v>-0.22478675769971801</v>
      </c>
      <c r="AB251">
        <v>-0.45120803044423902</v>
      </c>
      <c r="AC251">
        <v>-0.36626703718793802</v>
      </c>
    </row>
    <row r="252" spans="1:29" x14ac:dyDescent="0.2">
      <c r="A252">
        <v>251</v>
      </c>
      <c r="B252" t="s">
        <v>415</v>
      </c>
      <c r="C252" t="s">
        <v>191</v>
      </c>
      <c r="D252" t="s">
        <v>164</v>
      </c>
      <c r="E252">
        <v>-0.12540775888641001</v>
      </c>
      <c r="F252">
        <v>-8.1676764552589501E-2</v>
      </c>
      <c r="G252">
        <v>-5.66655361606369E-3</v>
      </c>
      <c r="H252">
        <v>-0.26154336817609602</v>
      </c>
      <c r="I252">
        <v>-0.25587681456003197</v>
      </c>
      <c r="J252">
        <v>4.3730994333820501E-2</v>
      </c>
      <c r="K252">
        <v>-5.66655361606369E-3</v>
      </c>
      <c r="L252">
        <v>-0.12540775888641001</v>
      </c>
      <c r="M252">
        <v>-7.6010210936525796E-2</v>
      </c>
      <c r="N252">
        <v>4.3730994333820501E-2</v>
      </c>
      <c r="O252">
        <v>-0.25587681456003197</v>
      </c>
      <c r="P252">
        <v>-0.13613560928968599</v>
      </c>
      <c r="Q252" t="s">
        <v>1067</v>
      </c>
      <c r="R252" t="s">
        <v>1173</v>
      </c>
      <c r="S252" t="s">
        <v>1173</v>
      </c>
      <c r="T252" t="s">
        <v>1067</v>
      </c>
      <c r="U252" t="s">
        <v>944</v>
      </c>
      <c r="V252">
        <v>1</v>
      </c>
      <c r="W252" t="s">
        <v>944</v>
      </c>
      <c r="X252" t="s">
        <v>1175</v>
      </c>
      <c r="Y252">
        <v>0</v>
      </c>
      <c r="Z252">
        <v>-0.194003159574202</v>
      </c>
      <c r="AA252">
        <v>-0.246146590347775</v>
      </c>
      <c r="AB252">
        <v>-1.61616246665955E-2</v>
      </c>
      <c r="AC252">
        <v>-0.23302333130671099</v>
      </c>
    </row>
    <row r="253" spans="1:29" x14ac:dyDescent="0.2">
      <c r="A253">
        <v>252</v>
      </c>
      <c r="B253" t="s">
        <v>416</v>
      </c>
      <c r="C253" t="s">
        <v>191</v>
      </c>
      <c r="D253" t="s">
        <v>166</v>
      </c>
      <c r="E253">
        <v>6.7939809763924702E-3</v>
      </c>
      <c r="F253">
        <v>-0.131731974074109</v>
      </c>
      <c r="G253">
        <v>-1.05711053268874E-2</v>
      </c>
      <c r="H253">
        <v>-0.34950495432588202</v>
      </c>
      <c r="I253">
        <v>-0.33893384899899498</v>
      </c>
      <c r="J253">
        <v>-0.138525955050501</v>
      </c>
      <c r="K253">
        <v>6.7939809763924702E-3</v>
      </c>
      <c r="L253">
        <v>-1.05711053268874E-2</v>
      </c>
      <c r="M253">
        <v>-0.138525955050501</v>
      </c>
      <c r="N253">
        <v>-0.121160868747222</v>
      </c>
      <c r="O253">
        <v>-0.35629893530227402</v>
      </c>
      <c r="P253">
        <v>-0.33893384899899498</v>
      </c>
      <c r="Q253" t="s">
        <v>1173</v>
      </c>
      <c r="R253" t="s">
        <v>1067</v>
      </c>
      <c r="S253" t="s">
        <v>1173</v>
      </c>
      <c r="T253" t="s">
        <v>1067</v>
      </c>
      <c r="U253" t="s">
        <v>1174</v>
      </c>
      <c r="V253">
        <v>1</v>
      </c>
      <c r="W253" t="s">
        <v>1174</v>
      </c>
      <c r="X253" t="s">
        <v>1175</v>
      </c>
      <c r="Y253">
        <v>1</v>
      </c>
      <c r="Z253">
        <v>-0.22635331692653701</v>
      </c>
      <c r="AA253">
        <v>-0.26148224173738399</v>
      </c>
      <c r="AB253">
        <v>-0.22060891047028899</v>
      </c>
      <c r="AC253">
        <v>-0.33611675978032202</v>
      </c>
    </row>
    <row r="254" spans="1:29" x14ac:dyDescent="0.2">
      <c r="A254">
        <v>253</v>
      </c>
      <c r="B254" t="s">
        <v>417</v>
      </c>
      <c r="C254" t="s">
        <v>191</v>
      </c>
      <c r="D254" t="s">
        <v>226</v>
      </c>
      <c r="E254">
        <v>-0.470698030351067</v>
      </c>
      <c r="F254">
        <v>-0.36233161477616299</v>
      </c>
      <c r="G254">
        <v>0.43700802313058201</v>
      </c>
      <c r="H254">
        <v>-0.64253505129516897</v>
      </c>
      <c r="I254">
        <v>-1.0795430744257499</v>
      </c>
      <c r="J254">
        <v>0.10836641557490399</v>
      </c>
      <c r="K254">
        <v>0.43700802313058201</v>
      </c>
      <c r="L254">
        <v>-0.470698030351067</v>
      </c>
      <c r="M254">
        <v>-0.799339637906745</v>
      </c>
      <c r="N254">
        <v>0.10836641557490399</v>
      </c>
      <c r="O254">
        <v>-1.0795430744257499</v>
      </c>
      <c r="P254">
        <v>-0.171837020944102</v>
      </c>
      <c r="Q254" t="s">
        <v>1067</v>
      </c>
      <c r="R254" t="s">
        <v>1067</v>
      </c>
      <c r="S254" t="s">
        <v>1068</v>
      </c>
      <c r="T254" t="s">
        <v>1067</v>
      </c>
      <c r="U254" t="s">
        <v>944</v>
      </c>
      <c r="V254">
        <v>1</v>
      </c>
      <c r="W254" t="s">
        <v>944</v>
      </c>
      <c r="X254" t="s">
        <v>1175</v>
      </c>
      <c r="Y254">
        <v>1</v>
      </c>
      <c r="Z254">
        <v>-0.50343926585182297</v>
      </c>
      <c r="AA254">
        <v>-0.25658169587779101</v>
      </c>
      <c r="AB254">
        <v>-0.438189986274508</v>
      </c>
      <c r="AC254">
        <v>-0.28782927183968998</v>
      </c>
    </row>
    <row r="255" spans="1:29" x14ac:dyDescent="0.2">
      <c r="A255">
        <v>254</v>
      </c>
      <c r="B255" t="s">
        <v>418</v>
      </c>
      <c r="C255" t="s">
        <v>191</v>
      </c>
      <c r="D255" t="s">
        <v>168</v>
      </c>
      <c r="E255">
        <v>0.18288989791218399</v>
      </c>
      <c r="F255">
        <v>-1</v>
      </c>
      <c r="G255">
        <v>-0.12484436766331</v>
      </c>
      <c r="H255">
        <v>-1</v>
      </c>
      <c r="I255">
        <v>-0.87515563233669003</v>
      </c>
      <c r="J255">
        <v>-1.18288989791218</v>
      </c>
      <c r="K255">
        <v>0.18288989791218399</v>
      </c>
      <c r="L255">
        <v>-0.12484436766331</v>
      </c>
      <c r="M255">
        <v>-1.18288989791218</v>
      </c>
      <c r="N255">
        <v>-0.87515563233669003</v>
      </c>
      <c r="O255">
        <v>-1.18288989791218</v>
      </c>
      <c r="P255">
        <v>-0.87515563233669003</v>
      </c>
      <c r="Q255" t="s">
        <v>1068</v>
      </c>
      <c r="R255" t="s">
        <v>1067</v>
      </c>
      <c r="S255" t="s">
        <v>1067</v>
      </c>
      <c r="T255" t="s">
        <v>1067</v>
      </c>
      <c r="U255" t="s">
        <v>1174</v>
      </c>
      <c r="V255">
        <v>1</v>
      </c>
      <c r="W255" t="s">
        <v>1174</v>
      </c>
      <c r="X255" t="s">
        <v>1175</v>
      </c>
      <c r="Y255">
        <v>1</v>
      </c>
      <c r="Z255">
        <v>-0.52294385781409602</v>
      </c>
      <c r="AA255">
        <v>-0.26326227470976099</v>
      </c>
      <c r="AB255">
        <v>-0.44910056953979699</v>
      </c>
      <c r="AC255">
        <v>-0.29077438217443102</v>
      </c>
    </row>
    <row r="256" spans="1:29" x14ac:dyDescent="0.2">
      <c r="A256">
        <v>255</v>
      </c>
      <c r="B256" t="s">
        <v>419</v>
      </c>
      <c r="C256" t="s">
        <v>193</v>
      </c>
      <c r="D256" t="s">
        <v>129</v>
      </c>
      <c r="E256">
        <v>-0.31001923749893501</v>
      </c>
      <c r="F256">
        <v>-1</v>
      </c>
      <c r="G256">
        <v>-0.13471605795359601</v>
      </c>
      <c r="H256">
        <v>-1</v>
      </c>
      <c r="I256">
        <v>-0.86528394204640402</v>
      </c>
      <c r="J256">
        <v>-0.68998076250106499</v>
      </c>
      <c r="K256">
        <v>-0.13471605795359601</v>
      </c>
      <c r="L256">
        <v>-0.31001923749893501</v>
      </c>
      <c r="M256">
        <v>-0.86528394204640402</v>
      </c>
      <c r="N256">
        <v>-0.68998076250106499</v>
      </c>
      <c r="O256">
        <v>-0.86528394204640402</v>
      </c>
      <c r="P256">
        <v>-0.68998076250106499</v>
      </c>
      <c r="Q256" t="s">
        <v>1067</v>
      </c>
      <c r="R256" t="s">
        <v>1067</v>
      </c>
      <c r="S256" t="s">
        <v>1067</v>
      </c>
      <c r="T256" t="s">
        <v>1067</v>
      </c>
      <c r="U256" t="s">
        <v>1174</v>
      </c>
      <c r="V256">
        <v>1</v>
      </c>
      <c r="W256" t="s">
        <v>944</v>
      </c>
      <c r="X256" t="s">
        <v>1175</v>
      </c>
      <c r="Y256">
        <v>1</v>
      </c>
      <c r="Z256">
        <v>-0.43307056562826601</v>
      </c>
      <c r="AA256">
        <v>-0.24727093691244401</v>
      </c>
      <c r="AB256">
        <v>-0.35925130627271901</v>
      </c>
      <c r="AC256">
        <v>-0.27345740778530703</v>
      </c>
    </row>
    <row r="257" spans="1:29" x14ac:dyDescent="0.2">
      <c r="A257">
        <v>256</v>
      </c>
      <c r="B257" t="s">
        <v>420</v>
      </c>
      <c r="C257" t="s">
        <v>193</v>
      </c>
      <c r="D257" t="s">
        <v>130</v>
      </c>
      <c r="E257">
        <v>-1.13039288429427E-2</v>
      </c>
      <c r="F257">
        <v>0.30130244026262398</v>
      </c>
      <c r="G257">
        <v>0.455128754660243</v>
      </c>
      <c r="H257">
        <v>0.158981562191404</v>
      </c>
      <c r="I257">
        <v>-0.29614719246883903</v>
      </c>
      <c r="J257">
        <v>0.31260636910556699</v>
      </c>
      <c r="K257">
        <v>0.455128754660243</v>
      </c>
      <c r="L257">
        <v>-1.13039288429427E-2</v>
      </c>
      <c r="M257">
        <v>-0.15382631439761901</v>
      </c>
      <c r="N257">
        <v>0.31260636910556699</v>
      </c>
      <c r="O257">
        <v>-0.29614719246883903</v>
      </c>
      <c r="P257">
        <v>0.17028549103434701</v>
      </c>
      <c r="Q257" t="s">
        <v>1173</v>
      </c>
      <c r="R257" t="s">
        <v>1068</v>
      </c>
      <c r="S257" t="s">
        <v>1068</v>
      </c>
      <c r="T257" t="s">
        <v>1068</v>
      </c>
      <c r="U257" t="s">
        <v>944</v>
      </c>
      <c r="V257">
        <v>1</v>
      </c>
      <c r="W257" t="s">
        <v>944</v>
      </c>
      <c r="X257" t="s">
        <v>1175</v>
      </c>
      <c r="Y257">
        <v>1</v>
      </c>
      <c r="Z257">
        <v>-0.21207251040538799</v>
      </c>
      <c r="AA257">
        <v>-0.18347363828719301</v>
      </c>
      <c r="AB257">
        <v>-0.45803747763231001</v>
      </c>
      <c r="AC257">
        <v>-0.36413626674874999</v>
      </c>
    </row>
    <row r="258" spans="1:29" x14ac:dyDescent="0.2">
      <c r="A258">
        <v>257</v>
      </c>
      <c r="B258" t="s">
        <v>421</v>
      </c>
      <c r="C258" t="s">
        <v>193</v>
      </c>
      <c r="D258" t="s">
        <v>132</v>
      </c>
      <c r="E258">
        <v>-0.15469651324582401</v>
      </c>
      <c r="F258">
        <v>-1</v>
      </c>
      <c r="G258">
        <v>-0.14557934052393201</v>
      </c>
      <c r="H258">
        <v>-1</v>
      </c>
      <c r="I258">
        <v>-0.85442065947606805</v>
      </c>
      <c r="J258">
        <v>-0.84530348675417599</v>
      </c>
      <c r="K258">
        <v>-0.14557934052393201</v>
      </c>
      <c r="L258">
        <v>-0.15469651324582401</v>
      </c>
      <c r="M258">
        <v>-0.85442065947606805</v>
      </c>
      <c r="N258">
        <v>-0.84530348675417599</v>
      </c>
      <c r="O258">
        <v>-0.85442065947606805</v>
      </c>
      <c r="P258">
        <v>-0.84530348675417599</v>
      </c>
      <c r="Q258" t="s">
        <v>1067</v>
      </c>
      <c r="R258" t="s">
        <v>1067</v>
      </c>
      <c r="S258" t="s">
        <v>1067</v>
      </c>
      <c r="T258" t="s">
        <v>1067</v>
      </c>
      <c r="U258" t="s">
        <v>1174</v>
      </c>
      <c r="V258">
        <v>1</v>
      </c>
      <c r="W258" t="s">
        <v>944</v>
      </c>
      <c r="X258" t="s">
        <v>1175</v>
      </c>
      <c r="Y258">
        <v>1</v>
      </c>
      <c r="Z258">
        <v>-0.48182143655617199</v>
      </c>
      <c r="AA258">
        <v>-0.25321715949346102</v>
      </c>
      <c r="AB258">
        <v>-0.41654098178730797</v>
      </c>
      <c r="AC258">
        <v>-0.282860610765441</v>
      </c>
    </row>
    <row r="259" spans="1:29" x14ac:dyDescent="0.2">
      <c r="A259">
        <v>258</v>
      </c>
      <c r="B259" t="s">
        <v>422</v>
      </c>
      <c r="C259" t="s">
        <v>193</v>
      </c>
      <c r="D259" t="s">
        <v>134</v>
      </c>
      <c r="E259">
        <v>4.8470730092202499E-2</v>
      </c>
      <c r="F259">
        <v>-0.21719501955901499</v>
      </c>
      <c r="G259">
        <v>4.8051832172648998E-3</v>
      </c>
      <c r="H259">
        <v>-0.39010241427062198</v>
      </c>
      <c r="I259">
        <v>-0.39490759748788701</v>
      </c>
      <c r="J259">
        <v>-0.26566574965121698</v>
      </c>
      <c r="K259">
        <v>4.8470730092202499E-2</v>
      </c>
      <c r="L259">
        <v>4.8051832172648998E-3</v>
      </c>
      <c r="M259">
        <v>-0.26566574965121698</v>
      </c>
      <c r="N259">
        <v>-0.22200020277627999</v>
      </c>
      <c r="O259">
        <v>-0.43857314436282402</v>
      </c>
      <c r="P259">
        <v>-0.39490759748788701</v>
      </c>
      <c r="Q259" t="s">
        <v>1173</v>
      </c>
      <c r="R259" t="s">
        <v>1067</v>
      </c>
      <c r="S259" t="s">
        <v>1173</v>
      </c>
      <c r="T259" t="s">
        <v>1067</v>
      </c>
      <c r="U259" t="s">
        <v>1174</v>
      </c>
      <c r="V259">
        <v>1</v>
      </c>
      <c r="W259" t="s">
        <v>1174</v>
      </c>
      <c r="X259" t="s">
        <v>1175</v>
      </c>
      <c r="Y259">
        <v>1</v>
      </c>
      <c r="Z259">
        <v>-0.34867588432839702</v>
      </c>
      <c r="AA259">
        <v>-0.27291585549915598</v>
      </c>
      <c r="AB259">
        <v>-0.33539966584483699</v>
      </c>
      <c r="AC259">
        <v>-0.34005898555411401</v>
      </c>
    </row>
    <row r="260" spans="1:29" x14ac:dyDescent="0.2">
      <c r="A260">
        <v>259</v>
      </c>
      <c r="B260" t="s">
        <v>423</v>
      </c>
      <c r="C260" t="s">
        <v>193</v>
      </c>
      <c r="D260" t="s">
        <v>136</v>
      </c>
      <c r="E260">
        <v>-0.16822316842346799</v>
      </c>
      <c r="F260">
        <v>-0.51828265649147398</v>
      </c>
      <c r="G260">
        <v>4.8051829349085896E-3</v>
      </c>
      <c r="H260">
        <v>-0.76238642799633805</v>
      </c>
      <c r="I260">
        <v>-0.76719161093124699</v>
      </c>
      <c r="J260">
        <v>-0.35005948806800602</v>
      </c>
      <c r="K260">
        <v>4.8051829349085896E-3</v>
      </c>
      <c r="L260">
        <v>-0.16822316842346799</v>
      </c>
      <c r="M260">
        <v>-0.52308783942638304</v>
      </c>
      <c r="N260">
        <v>-0.35005948806800602</v>
      </c>
      <c r="O260">
        <v>-0.76719161093124699</v>
      </c>
      <c r="P260">
        <v>-0.59416325957286997</v>
      </c>
      <c r="Q260" t="s">
        <v>1067</v>
      </c>
      <c r="R260" t="s">
        <v>1067</v>
      </c>
      <c r="S260" t="s">
        <v>1173</v>
      </c>
      <c r="T260" t="s">
        <v>1067</v>
      </c>
      <c r="U260" t="s">
        <v>1174</v>
      </c>
      <c r="V260">
        <v>1</v>
      </c>
      <c r="W260" t="s">
        <v>944</v>
      </c>
      <c r="X260" t="s">
        <v>1175</v>
      </c>
      <c r="Y260">
        <v>1</v>
      </c>
      <c r="Z260">
        <v>-0.42736676345531199</v>
      </c>
      <c r="AA260">
        <v>-0.28239865949610699</v>
      </c>
      <c r="AB260">
        <v>-0.223598047936172</v>
      </c>
      <c r="AC260">
        <v>-0.25375356557437201</v>
      </c>
    </row>
    <row r="261" spans="1:29" x14ac:dyDescent="0.2">
      <c r="A261">
        <v>260</v>
      </c>
      <c r="B261" t="s">
        <v>424</v>
      </c>
      <c r="C261" t="s">
        <v>193</v>
      </c>
      <c r="D261" t="s">
        <v>138</v>
      </c>
      <c r="E261">
        <v>-0.14185735600414801</v>
      </c>
      <c r="F261">
        <v>0.102306695420202</v>
      </c>
      <c r="G261">
        <v>-0.21847052477738799</v>
      </c>
      <c r="H261">
        <v>-4.8145108744424098E-2</v>
      </c>
      <c r="I261">
        <v>0.170325416032964</v>
      </c>
      <c r="J261">
        <v>0.24416405142434999</v>
      </c>
      <c r="K261">
        <v>-0.14185735600414801</v>
      </c>
      <c r="L261">
        <v>-0.21847052477738799</v>
      </c>
      <c r="M261">
        <v>0.24416405142434999</v>
      </c>
      <c r="N261">
        <v>0.32077722019758997</v>
      </c>
      <c r="O261">
        <v>9.3712247259723894E-2</v>
      </c>
      <c r="P261">
        <v>0.170325416032964</v>
      </c>
      <c r="Q261" t="s">
        <v>1067</v>
      </c>
      <c r="R261" t="s">
        <v>1068</v>
      </c>
      <c r="S261" t="s">
        <v>1067</v>
      </c>
      <c r="T261" t="s">
        <v>1173</v>
      </c>
      <c r="U261" t="s">
        <v>944</v>
      </c>
      <c r="V261">
        <v>0</v>
      </c>
      <c r="W261" t="s">
        <v>944</v>
      </c>
      <c r="X261" t="s">
        <v>1175</v>
      </c>
      <c r="Y261">
        <v>1</v>
      </c>
      <c r="Z261">
        <v>0.42316604424899101</v>
      </c>
      <c r="AA261">
        <v>-0.121875318603165</v>
      </c>
      <c r="AB261">
        <v>0.42868144323566099</v>
      </c>
      <c r="AC261">
        <v>-0.17464703483295399</v>
      </c>
    </row>
    <row r="262" spans="1:29" x14ac:dyDescent="0.2">
      <c r="A262">
        <v>261</v>
      </c>
      <c r="B262" t="s">
        <v>425</v>
      </c>
      <c r="C262" t="s">
        <v>193</v>
      </c>
      <c r="D262" t="s">
        <v>182</v>
      </c>
      <c r="E262">
        <v>-0.15377882513780899</v>
      </c>
      <c r="F262">
        <v>0.38124779146249099</v>
      </c>
      <c r="G262">
        <v>-0.13756545813464399</v>
      </c>
      <c r="H262">
        <v>0.360004518296975</v>
      </c>
      <c r="I262">
        <v>0.49756997643161899</v>
      </c>
      <c r="J262">
        <v>0.53502661660030004</v>
      </c>
      <c r="K262">
        <v>-0.13756545813464399</v>
      </c>
      <c r="L262">
        <v>-0.15377882513780899</v>
      </c>
      <c r="M262">
        <v>0.51881324959713504</v>
      </c>
      <c r="N262">
        <v>0.53502661660030004</v>
      </c>
      <c r="O262">
        <v>0.49756997643161899</v>
      </c>
      <c r="P262">
        <v>0.51378334343478405</v>
      </c>
      <c r="Q262" t="s">
        <v>1067</v>
      </c>
      <c r="R262" t="s">
        <v>1068</v>
      </c>
      <c r="S262" t="s">
        <v>1067</v>
      </c>
      <c r="T262" t="s">
        <v>1068</v>
      </c>
      <c r="U262" t="s">
        <v>944</v>
      </c>
      <c r="V262">
        <v>0</v>
      </c>
      <c r="W262" t="s">
        <v>944</v>
      </c>
      <c r="X262" t="s">
        <v>1175</v>
      </c>
      <c r="Y262">
        <v>1</v>
      </c>
      <c r="Z262">
        <v>0.39111938195883</v>
      </c>
      <c r="AA262">
        <v>-0.14716679268416499</v>
      </c>
      <c r="AB262">
        <v>0.41630479614007299</v>
      </c>
      <c r="AC262">
        <v>-0.17420259299579299</v>
      </c>
    </row>
    <row r="263" spans="1:29" x14ac:dyDescent="0.2">
      <c r="A263">
        <v>262</v>
      </c>
      <c r="B263" t="s">
        <v>426</v>
      </c>
      <c r="C263" t="s">
        <v>193</v>
      </c>
      <c r="D263" t="s">
        <v>188</v>
      </c>
      <c r="E263">
        <v>-0.15574173030858299</v>
      </c>
      <c r="F263">
        <v>0.38018105634121702</v>
      </c>
      <c r="G263">
        <v>-0.14127081638505101</v>
      </c>
      <c r="H263">
        <v>0.34885731734556102</v>
      </c>
      <c r="I263">
        <v>0.49012813373061198</v>
      </c>
      <c r="J263">
        <v>0.53592278664979998</v>
      </c>
      <c r="K263">
        <v>-0.14127081638505101</v>
      </c>
      <c r="L263">
        <v>-0.15574173030858299</v>
      </c>
      <c r="M263">
        <v>0.52145187272626803</v>
      </c>
      <c r="N263">
        <v>0.53592278664979998</v>
      </c>
      <c r="O263">
        <v>0.49012813373061198</v>
      </c>
      <c r="P263">
        <v>0.50459904765414398</v>
      </c>
      <c r="Q263" t="s">
        <v>1067</v>
      </c>
      <c r="R263" t="s">
        <v>1068</v>
      </c>
      <c r="S263" t="s">
        <v>1067</v>
      </c>
      <c r="T263" t="s">
        <v>1068</v>
      </c>
      <c r="U263" t="s">
        <v>944</v>
      </c>
      <c r="V263">
        <v>0</v>
      </c>
      <c r="W263" t="s">
        <v>944</v>
      </c>
      <c r="X263" t="s">
        <v>1175</v>
      </c>
      <c r="Y263">
        <v>1</v>
      </c>
      <c r="Z263">
        <v>0.42901342671834702</v>
      </c>
      <c r="AA263">
        <v>-0.13573715002715001</v>
      </c>
      <c r="AB263">
        <v>0.45133481122541902</v>
      </c>
      <c r="AC263">
        <v>-0.16954817130730701</v>
      </c>
    </row>
    <row r="264" spans="1:29" x14ac:dyDescent="0.2">
      <c r="A264">
        <v>263</v>
      </c>
      <c r="B264" t="s">
        <v>427</v>
      </c>
      <c r="C264" t="s">
        <v>193</v>
      </c>
      <c r="D264" t="s">
        <v>140</v>
      </c>
      <c r="E264">
        <v>0.99809059054256299</v>
      </c>
      <c r="F264">
        <v>0.871297963142734</v>
      </c>
      <c r="G264">
        <v>0.88422422009021195</v>
      </c>
      <c r="H264">
        <v>-1</v>
      </c>
      <c r="I264">
        <v>-1.88422422009021</v>
      </c>
      <c r="J264">
        <v>-0.12679262739982899</v>
      </c>
      <c r="K264">
        <v>0.99809059054256299</v>
      </c>
      <c r="L264">
        <v>0.88422422009021195</v>
      </c>
      <c r="M264">
        <v>-0.12679262739982899</v>
      </c>
      <c r="N264">
        <v>-1.2926256947477999E-2</v>
      </c>
      <c r="O264">
        <v>-1.9980905905425601</v>
      </c>
      <c r="P264">
        <v>-1.88422422009021</v>
      </c>
      <c r="Q264" t="s">
        <v>1068</v>
      </c>
      <c r="R264" t="s">
        <v>1068</v>
      </c>
      <c r="S264" t="s">
        <v>1068</v>
      </c>
      <c r="T264" t="s">
        <v>1067</v>
      </c>
      <c r="U264" t="s">
        <v>1174</v>
      </c>
      <c r="V264">
        <v>1</v>
      </c>
      <c r="W264" t="s">
        <v>944</v>
      </c>
      <c r="X264" t="s">
        <v>1176</v>
      </c>
      <c r="Y264">
        <v>1</v>
      </c>
      <c r="Z264">
        <v>-0.41480269077745302</v>
      </c>
      <c r="AA264">
        <v>-0.21766694794455499</v>
      </c>
      <c r="AB264">
        <v>-0.43093353830377401</v>
      </c>
      <c r="AC264">
        <v>-0.28117775081253998</v>
      </c>
    </row>
    <row r="265" spans="1:29" x14ac:dyDescent="0.2">
      <c r="A265">
        <v>264</v>
      </c>
      <c r="B265" t="s">
        <v>428</v>
      </c>
      <c r="C265" t="s">
        <v>193</v>
      </c>
      <c r="D265" t="s">
        <v>191</v>
      </c>
      <c r="E265">
        <v>0.99838563531297198</v>
      </c>
      <c r="F265">
        <v>0.866564645212625</v>
      </c>
      <c r="G265">
        <v>0.91125852469004498</v>
      </c>
      <c r="H265">
        <v>-1</v>
      </c>
      <c r="I265">
        <v>-1.91125852469004</v>
      </c>
      <c r="J265">
        <v>-0.13182099010034701</v>
      </c>
      <c r="K265">
        <v>0.99838563531297198</v>
      </c>
      <c r="L265">
        <v>0.91125852469004498</v>
      </c>
      <c r="M265">
        <v>-0.13182099010034701</v>
      </c>
      <c r="N265">
        <v>-4.4693879477419998E-2</v>
      </c>
      <c r="O265">
        <v>-1.9983856353129701</v>
      </c>
      <c r="P265">
        <v>-1.91125852469004</v>
      </c>
      <c r="Q265" t="s">
        <v>1068</v>
      </c>
      <c r="R265" t="s">
        <v>1068</v>
      </c>
      <c r="S265" t="s">
        <v>1068</v>
      </c>
      <c r="T265" t="s">
        <v>1067</v>
      </c>
      <c r="U265" t="s">
        <v>1174</v>
      </c>
      <c r="V265">
        <v>1</v>
      </c>
      <c r="W265" t="s">
        <v>944</v>
      </c>
      <c r="X265" t="s">
        <v>1176</v>
      </c>
      <c r="Y265">
        <v>1</v>
      </c>
      <c r="Z265">
        <v>-0.41437525649353202</v>
      </c>
      <c r="AA265">
        <v>-0.212976945284127</v>
      </c>
      <c r="AB265">
        <v>-0.44846773247862898</v>
      </c>
      <c r="AC265">
        <v>-0.28414111355336702</v>
      </c>
    </row>
    <row r="266" spans="1:29" x14ac:dyDescent="0.2">
      <c r="A266">
        <v>265</v>
      </c>
      <c r="B266" t="s">
        <v>429</v>
      </c>
      <c r="C266" t="s">
        <v>193</v>
      </c>
      <c r="D266" t="s">
        <v>142</v>
      </c>
      <c r="E266">
        <v>-0.17062049780626401</v>
      </c>
      <c r="F266">
        <v>0.28210500377502401</v>
      </c>
      <c r="G266">
        <v>4.80518279136546E-3</v>
      </c>
      <c r="H266">
        <v>0.297640132890792</v>
      </c>
      <c r="I266">
        <v>0.292834950099427</v>
      </c>
      <c r="J266">
        <v>0.45272550158128799</v>
      </c>
      <c r="K266">
        <v>4.80518279136546E-3</v>
      </c>
      <c r="L266">
        <v>-0.17062049780626401</v>
      </c>
      <c r="M266">
        <v>0.27729982098365902</v>
      </c>
      <c r="N266">
        <v>0.45272550158128799</v>
      </c>
      <c r="O266">
        <v>0.292834950099427</v>
      </c>
      <c r="P266">
        <v>0.46826063069705598</v>
      </c>
      <c r="Q266" t="s">
        <v>1067</v>
      </c>
      <c r="R266" t="s">
        <v>1068</v>
      </c>
      <c r="S266" t="s">
        <v>1173</v>
      </c>
      <c r="T266" t="s">
        <v>1068</v>
      </c>
      <c r="U266" t="s">
        <v>944</v>
      </c>
      <c r="V266">
        <v>0</v>
      </c>
      <c r="W266" t="s">
        <v>944</v>
      </c>
      <c r="X266" t="s">
        <v>1175</v>
      </c>
      <c r="Y266">
        <v>1</v>
      </c>
      <c r="Z266">
        <v>0.55468866460286304</v>
      </c>
      <c r="AA266">
        <v>-0.16405407824676199</v>
      </c>
      <c r="AB266">
        <v>0.57325988997340804</v>
      </c>
      <c r="AC266">
        <v>-0.152034633600903</v>
      </c>
    </row>
    <row r="267" spans="1:29" x14ac:dyDescent="0.2">
      <c r="A267">
        <v>266</v>
      </c>
      <c r="B267" t="s">
        <v>430</v>
      </c>
      <c r="C267" t="s">
        <v>193</v>
      </c>
      <c r="D267" t="s">
        <v>144</v>
      </c>
      <c r="E267">
        <v>-1.12864467133903E-2</v>
      </c>
      <c r="F267">
        <v>-0.105163064507053</v>
      </c>
      <c r="G267">
        <v>3.96124161421685E-3</v>
      </c>
      <c r="H267">
        <v>-0.22502596500879701</v>
      </c>
      <c r="I267">
        <v>-0.228987206623014</v>
      </c>
      <c r="J267">
        <v>-9.3876617793662701E-2</v>
      </c>
      <c r="K267">
        <v>3.96124161421685E-3</v>
      </c>
      <c r="L267">
        <v>-1.12864467133903E-2</v>
      </c>
      <c r="M267">
        <v>-0.10912430612127</v>
      </c>
      <c r="N267">
        <v>-9.3876617793662701E-2</v>
      </c>
      <c r="O267">
        <v>-0.228987206623014</v>
      </c>
      <c r="P267">
        <v>-0.21373951829540699</v>
      </c>
      <c r="Q267" t="s">
        <v>1173</v>
      </c>
      <c r="R267" t="s">
        <v>1067</v>
      </c>
      <c r="S267" t="s">
        <v>1173</v>
      </c>
      <c r="T267" t="s">
        <v>1067</v>
      </c>
      <c r="U267" t="s">
        <v>1174</v>
      </c>
      <c r="V267">
        <v>1</v>
      </c>
      <c r="W267" t="s">
        <v>1174</v>
      </c>
      <c r="X267" t="s">
        <v>1175</v>
      </c>
      <c r="Y267">
        <v>0</v>
      </c>
      <c r="Z267">
        <v>-0.272617030178397</v>
      </c>
      <c r="AA267">
        <v>-0.26373892218256501</v>
      </c>
      <c r="AB267">
        <v>-0.274306095291736</v>
      </c>
      <c r="AC267">
        <v>-0.34014134368900201</v>
      </c>
    </row>
    <row r="268" spans="1:29" x14ac:dyDescent="0.2">
      <c r="A268">
        <v>267</v>
      </c>
      <c r="B268" t="s">
        <v>431</v>
      </c>
      <c r="C268" t="s">
        <v>193</v>
      </c>
      <c r="D268" t="s">
        <v>146</v>
      </c>
      <c r="E268">
        <v>-9.3780752098381309E-3</v>
      </c>
      <c r="F268">
        <v>0.70455544878670695</v>
      </c>
      <c r="G268">
        <v>0.76749134449210199</v>
      </c>
      <c r="H268">
        <v>0.65842204825134798</v>
      </c>
      <c r="I268">
        <v>-0.109069296240754</v>
      </c>
      <c r="J268">
        <v>0.71393352399654497</v>
      </c>
      <c r="K268">
        <v>0.76749134449210199</v>
      </c>
      <c r="L268">
        <v>-9.3780752098381309E-3</v>
      </c>
      <c r="M268">
        <v>-6.2935895705394998E-2</v>
      </c>
      <c r="N268">
        <v>0.71393352399654497</v>
      </c>
      <c r="O268">
        <v>-0.109069296240754</v>
      </c>
      <c r="P268">
        <v>0.667800123461186</v>
      </c>
      <c r="Q268" t="s">
        <v>1173</v>
      </c>
      <c r="R268" t="s">
        <v>1068</v>
      </c>
      <c r="S268" t="s">
        <v>1068</v>
      </c>
      <c r="T268" t="s">
        <v>1068</v>
      </c>
      <c r="U268" t="s">
        <v>944</v>
      </c>
      <c r="V268">
        <v>1</v>
      </c>
      <c r="W268" t="s">
        <v>944</v>
      </c>
      <c r="X268" t="s">
        <v>1175</v>
      </c>
      <c r="Y268">
        <v>1</v>
      </c>
      <c r="Z268">
        <v>-0.245610738466985</v>
      </c>
      <c r="AA268">
        <v>-0.19803059974922399</v>
      </c>
      <c r="AB268">
        <v>-0.45590189060438302</v>
      </c>
      <c r="AC268">
        <v>-0.36362846842428598</v>
      </c>
    </row>
    <row r="269" spans="1:29" x14ac:dyDescent="0.2">
      <c r="A269">
        <v>268</v>
      </c>
      <c r="B269" t="s">
        <v>432</v>
      </c>
      <c r="C269" t="s">
        <v>193</v>
      </c>
      <c r="D269" t="s">
        <v>200</v>
      </c>
      <c r="E269">
        <v>-0.209908498261204</v>
      </c>
      <c r="F269">
        <v>-0.54573864483622403</v>
      </c>
      <c r="G269">
        <v>-0.12969493516851399</v>
      </c>
      <c r="H269">
        <v>-0.73375346758794902</v>
      </c>
      <c r="I269">
        <v>-0.60405853241943497</v>
      </c>
      <c r="J269">
        <v>-0.33583014657502003</v>
      </c>
      <c r="K269">
        <v>-0.12969493516851399</v>
      </c>
      <c r="L269">
        <v>-0.209908498261204</v>
      </c>
      <c r="M269">
        <v>-0.41604370966770998</v>
      </c>
      <c r="N269">
        <v>-0.33583014657502003</v>
      </c>
      <c r="O269">
        <v>-0.60405853241943497</v>
      </c>
      <c r="P269">
        <v>-0.52384496932674496</v>
      </c>
      <c r="Q269" t="s">
        <v>1067</v>
      </c>
      <c r="R269" t="s">
        <v>1067</v>
      </c>
      <c r="S269" t="s">
        <v>1067</v>
      </c>
      <c r="T269" t="s">
        <v>1067</v>
      </c>
      <c r="U269" t="s">
        <v>1174</v>
      </c>
      <c r="V269">
        <v>1</v>
      </c>
      <c r="W269" t="s">
        <v>944</v>
      </c>
      <c r="X269" t="s">
        <v>1175</v>
      </c>
      <c r="Y269">
        <v>1</v>
      </c>
      <c r="Z269">
        <v>-0.24777680670193</v>
      </c>
      <c r="AA269">
        <v>-0.22673922519140799</v>
      </c>
      <c r="AB269">
        <v>-0.15305902319251999</v>
      </c>
      <c r="AC269">
        <v>-0.24794711092079699</v>
      </c>
    </row>
    <row r="270" spans="1:29" x14ac:dyDescent="0.2">
      <c r="A270">
        <v>269</v>
      </c>
      <c r="B270" t="s">
        <v>433</v>
      </c>
      <c r="C270" t="s">
        <v>193</v>
      </c>
      <c r="D270" t="s">
        <v>148</v>
      </c>
      <c r="E270">
        <v>-0.45931410162416503</v>
      </c>
      <c r="F270">
        <v>-1</v>
      </c>
      <c r="G270">
        <v>4.8474056090876102E-3</v>
      </c>
      <c r="H270">
        <v>-1</v>
      </c>
      <c r="I270">
        <v>-1.0048474056090899</v>
      </c>
      <c r="J270">
        <v>-0.54068589837583503</v>
      </c>
      <c r="K270">
        <v>4.8474056090876102E-3</v>
      </c>
      <c r="L270">
        <v>-0.45931410162416503</v>
      </c>
      <c r="M270">
        <v>-1.0048474056090899</v>
      </c>
      <c r="N270">
        <v>-0.54068589837583503</v>
      </c>
      <c r="O270">
        <v>-1.0048474056090899</v>
      </c>
      <c r="P270">
        <v>-0.54068589837583503</v>
      </c>
      <c r="Q270" t="s">
        <v>1067</v>
      </c>
      <c r="R270" t="s">
        <v>1067</v>
      </c>
      <c r="S270" t="s">
        <v>1173</v>
      </c>
      <c r="T270" t="s">
        <v>1067</v>
      </c>
      <c r="U270" t="s">
        <v>1174</v>
      </c>
      <c r="V270">
        <v>1</v>
      </c>
      <c r="W270" t="s">
        <v>944</v>
      </c>
      <c r="X270" t="s">
        <v>1175</v>
      </c>
      <c r="Y270">
        <v>1</v>
      </c>
      <c r="Z270">
        <v>-0.60493401865674001</v>
      </c>
      <c r="AA270">
        <v>-0.30380321055280601</v>
      </c>
      <c r="AB270">
        <v>-0.41519830946150799</v>
      </c>
      <c r="AC270">
        <v>-0.28055990265268099</v>
      </c>
    </row>
    <row r="271" spans="1:29" x14ac:dyDescent="0.2">
      <c r="A271">
        <v>270</v>
      </c>
      <c r="B271" t="s">
        <v>434</v>
      </c>
      <c r="C271" t="s">
        <v>193</v>
      </c>
      <c r="D271" t="s">
        <v>150</v>
      </c>
      <c r="E271">
        <v>-1.16149106653054E-2</v>
      </c>
      <c r="F271">
        <v>-0.35709310002175298</v>
      </c>
      <c r="G271">
        <v>-0.152732090561776</v>
      </c>
      <c r="H271">
        <v>-0.539280954482386</v>
      </c>
      <c r="I271">
        <v>-0.38654886392061</v>
      </c>
      <c r="J271">
        <v>-0.34547818935644797</v>
      </c>
      <c r="K271">
        <v>-1.16149106653054E-2</v>
      </c>
      <c r="L271">
        <v>-0.152732090561776</v>
      </c>
      <c r="M271">
        <v>-0.34547818935644797</v>
      </c>
      <c r="N271">
        <v>-0.20436100945997701</v>
      </c>
      <c r="O271">
        <v>-0.52766604381708104</v>
      </c>
      <c r="P271">
        <v>-0.38654886392061</v>
      </c>
      <c r="Q271" t="s">
        <v>1173</v>
      </c>
      <c r="R271" t="s">
        <v>1067</v>
      </c>
      <c r="S271" t="s">
        <v>1067</v>
      </c>
      <c r="T271" t="s">
        <v>1067</v>
      </c>
      <c r="U271" t="s">
        <v>1174</v>
      </c>
      <c r="V271">
        <v>1</v>
      </c>
      <c r="W271" t="s">
        <v>1174</v>
      </c>
      <c r="X271" t="s">
        <v>1175</v>
      </c>
      <c r="Y271">
        <v>1</v>
      </c>
      <c r="Z271">
        <v>-0.33458427034315202</v>
      </c>
      <c r="AA271">
        <v>-0.234943452417369</v>
      </c>
      <c r="AB271">
        <v>-0.45894947448267998</v>
      </c>
      <c r="AC271">
        <v>-0.364283019098324</v>
      </c>
    </row>
    <row r="272" spans="1:29" x14ac:dyDescent="0.2">
      <c r="A272">
        <v>271</v>
      </c>
      <c r="B272" t="s">
        <v>435</v>
      </c>
      <c r="C272" t="s">
        <v>193</v>
      </c>
      <c r="D272" t="s">
        <v>204</v>
      </c>
      <c r="E272">
        <v>-0.32386185766930298</v>
      </c>
      <c r="F272">
        <v>-1</v>
      </c>
      <c r="G272">
        <v>-0.164511307042531</v>
      </c>
      <c r="H272">
        <v>-1</v>
      </c>
      <c r="I272">
        <v>-0.83548869295746897</v>
      </c>
      <c r="J272">
        <v>-0.67613814233069702</v>
      </c>
      <c r="K272">
        <v>-0.164511307042531</v>
      </c>
      <c r="L272">
        <v>-0.32386185766930298</v>
      </c>
      <c r="M272">
        <v>-0.83548869295746897</v>
      </c>
      <c r="N272">
        <v>-0.67613814233069702</v>
      </c>
      <c r="O272">
        <v>-0.83548869295746897</v>
      </c>
      <c r="P272">
        <v>-0.67613814233069702</v>
      </c>
      <c r="Q272" t="s">
        <v>1067</v>
      </c>
      <c r="R272" t="s">
        <v>1067</v>
      </c>
      <c r="S272" t="s">
        <v>1067</v>
      </c>
      <c r="T272" t="s">
        <v>1067</v>
      </c>
      <c r="U272" t="s">
        <v>1174</v>
      </c>
      <c r="V272">
        <v>1</v>
      </c>
      <c r="W272" t="s">
        <v>944</v>
      </c>
      <c r="X272" t="s">
        <v>1175</v>
      </c>
      <c r="Y272">
        <v>1</v>
      </c>
      <c r="Z272">
        <v>-0.51437651150031205</v>
      </c>
      <c r="AA272">
        <v>-0.25230506087066801</v>
      </c>
      <c r="AB272">
        <v>-0.45195136595374003</v>
      </c>
      <c r="AC272">
        <v>-0.28218489833786597</v>
      </c>
    </row>
    <row r="273" spans="1:29" x14ac:dyDescent="0.2">
      <c r="A273">
        <v>272</v>
      </c>
      <c r="B273" t="s">
        <v>436</v>
      </c>
      <c r="C273" t="s">
        <v>193</v>
      </c>
      <c r="D273" t="s">
        <v>152</v>
      </c>
      <c r="E273">
        <v>-0.17056212025480799</v>
      </c>
      <c r="F273">
        <v>0.28518838138254499</v>
      </c>
      <c r="G273">
        <v>4.80518279136546E-3</v>
      </c>
      <c r="H273">
        <v>0.30298919313587502</v>
      </c>
      <c r="I273">
        <v>0.29818401034450998</v>
      </c>
      <c r="J273">
        <v>0.45575050163735298</v>
      </c>
      <c r="K273">
        <v>4.80518279136546E-3</v>
      </c>
      <c r="L273">
        <v>-0.17056212025480799</v>
      </c>
      <c r="M273">
        <v>0.28038319859117999</v>
      </c>
      <c r="N273">
        <v>0.45575050163735298</v>
      </c>
      <c r="O273">
        <v>0.29818401034450998</v>
      </c>
      <c r="P273">
        <v>0.47355131339068302</v>
      </c>
      <c r="Q273" t="s">
        <v>1067</v>
      </c>
      <c r="R273" t="s">
        <v>1068</v>
      </c>
      <c r="S273" t="s">
        <v>1173</v>
      </c>
      <c r="T273" t="s">
        <v>1068</v>
      </c>
      <c r="U273" t="s">
        <v>944</v>
      </c>
      <c r="V273">
        <v>0</v>
      </c>
      <c r="W273" t="s">
        <v>944</v>
      </c>
      <c r="X273" t="s">
        <v>1175</v>
      </c>
      <c r="Y273">
        <v>1</v>
      </c>
      <c r="Z273">
        <v>0.554815909779798</v>
      </c>
      <c r="AA273">
        <v>-0.164038744308627</v>
      </c>
      <c r="AB273">
        <v>0.57356982147426805</v>
      </c>
      <c r="AC273">
        <v>-0.15203361281352001</v>
      </c>
    </row>
    <row r="274" spans="1:29" x14ac:dyDescent="0.2">
      <c r="A274">
        <v>273</v>
      </c>
      <c r="B274" t="s">
        <v>437</v>
      </c>
      <c r="C274" t="s">
        <v>193</v>
      </c>
      <c r="D274" t="s">
        <v>154</v>
      </c>
      <c r="E274">
        <v>-0.35830801303584198</v>
      </c>
      <c r="F274">
        <v>-1</v>
      </c>
      <c r="G274">
        <v>-0.16451130720821699</v>
      </c>
      <c r="H274">
        <v>-1</v>
      </c>
      <c r="I274">
        <v>-0.83548869279178295</v>
      </c>
      <c r="J274">
        <v>-0.64169198696415797</v>
      </c>
      <c r="K274">
        <v>-0.16451130720821699</v>
      </c>
      <c r="L274">
        <v>-0.35830801303584198</v>
      </c>
      <c r="M274">
        <v>-0.83548869279178295</v>
      </c>
      <c r="N274">
        <v>-0.64169198696415797</v>
      </c>
      <c r="O274">
        <v>-0.83548869279178295</v>
      </c>
      <c r="P274">
        <v>-0.64169198696415797</v>
      </c>
      <c r="Q274" t="s">
        <v>1067</v>
      </c>
      <c r="R274" t="s">
        <v>1067</v>
      </c>
      <c r="S274" t="s">
        <v>1067</v>
      </c>
      <c r="T274" t="s">
        <v>1067</v>
      </c>
      <c r="U274" t="s">
        <v>1174</v>
      </c>
      <c r="V274">
        <v>1</v>
      </c>
      <c r="W274" t="s">
        <v>944</v>
      </c>
      <c r="X274" t="s">
        <v>1175</v>
      </c>
      <c r="Y274">
        <v>1</v>
      </c>
      <c r="Z274">
        <v>-0.517222418321722</v>
      </c>
      <c r="AA274">
        <v>-0.25264801263772202</v>
      </c>
      <c r="AB274">
        <v>-0.45465627383802198</v>
      </c>
      <c r="AC274">
        <v>-0.28247271738937602</v>
      </c>
    </row>
    <row r="275" spans="1:29" x14ac:dyDescent="0.2">
      <c r="A275">
        <v>274</v>
      </c>
      <c r="B275" t="s">
        <v>438</v>
      </c>
      <c r="C275" t="s">
        <v>193</v>
      </c>
      <c r="D275" t="s">
        <v>156</v>
      </c>
      <c r="E275">
        <v>-0.18184100166886599</v>
      </c>
      <c r="F275">
        <v>-0.45845553245420501</v>
      </c>
      <c r="G275">
        <v>4.8051832172648998E-3</v>
      </c>
      <c r="H275">
        <v>-0.74640863841490601</v>
      </c>
      <c r="I275">
        <v>-0.75121382163217099</v>
      </c>
      <c r="J275">
        <v>-0.27661453078533899</v>
      </c>
      <c r="K275">
        <v>4.8051832172648998E-3</v>
      </c>
      <c r="L275">
        <v>-0.18184100166886599</v>
      </c>
      <c r="M275">
        <v>-0.46326071567146998</v>
      </c>
      <c r="N275">
        <v>-0.27661453078533899</v>
      </c>
      <c r="O275">
        <v>-0.75121382163217099</v>
      </c>
      <c r="P275">
        <v>-0.56456763674604005</v>
      </c>
      <c r="Q275" t="s">
        <v>1067</v>
      </c>
      <c r="R275" t="s">
        <v>1067</v>
      </c>
      <c r="S275" t="s">
        <v>1173</v>
      </c>
      <c r="T275" t="s">
        <v>1067</v>
      </c>
      <c r="U275" t="s">
        <v>1174</v>
      </c>
      <c r="V275">
        <v>1</v>
      </c>
      <c r="W275" t="s">
        <v>944</v>
      </c>
      <c r="X275" t="s">
        <v>1175</v>
      </c>
      <c r="Y275">
        <v>1</v>
      </c>
      <c r="Z275">
        <v>-0.38620257189159801</v>
      </c>
      <c r="AA275">
        <v>-0.27743808509888801</v>
      </c>
      <c r="AB275">
        <v>-0.177977804758715</v>
      </c>
      <c r="AC275">
        <v>-0.24771506700988</v>
      </c>
    </row>
    <row r="276" spans="1:29" x14ac:dyDescent="0.2">
      <c r="A276">
        <v>275</v>
      </c>
      <c r="B276" t="s">
        <v>439</v>
      </c>
      <c r="C276" t="s">
        <v>193</v>
      </c>
      <c r="D276" t="s">
        <v>158</v>
      </c>
      <c r="E276">
        <v>-0.36684778213261798</v>
      </c>
      <c r="F276">
        <v>-1</v>
      </c>
      <c r="G276">
        <v>-0.166269748416082</v>
      </c>
      <c r="H276">
        <v>-1</v>
      </c>
      <c r="I276">
        <v>-0.833730251583918</v>
      </c>
      <c r="J276">
        <v>-0.63315221786738196</v>
      </c>
      <c r="K276">
        <v>-0.166269748416082</v>
      </c>
      <c r="L276">
        <v>-0.36684778213261798</v>
      </c>
      <c r="M276">
        <v>-0.833730251583918</v>
      </c>
      <c r="N276">
        <v>-0.63315221786738196</v>
      </c>
      <c r="O276">
        <v>-0.833730251583918</v>
      </c>
      <c r="P276">
        <v>-0.63315221786738196</v>
      </c>
      <c r="Q276" t="s">
        <v>1067</v>
      </c>
      <c r="R276" t="s">
        <v>1067</v>
      </c>
      <c r="S276" t="s">
        <v>1067</v>
      </c>
      <c r="T276" t="s">
        <v>1067</v>
      </c>
      <c r="U276" t="s">
        <v>1174</v>
      </c>
      <c r="V276">
        <v>1</v>
      </c>
      <c r="W276" t="s">
        <v>944</v>
      </c>
      <c r="X276" t="s">
        <v>1175</v>
      </c>
      <c r="Y276">
        <v>1</v>
      </c>
      <c r="Z276">
        <v>-0.52334300491760199</v>
      </c>
      <c r="AA276">
        <v>-0.25382922940220598</v>
      </c>
      <c r="AB276">
        <v>-0.46112340259629298</v>
      </c>
      <c r="AC276">
        <v>-0.28328793436427602</v>
      </c>
    </row>
    <row r="277" spans="1:29" x14ac:dyDescent="0.2">
      <c r="A277">
        <v>276</v>
      </c>
      <c r="B277" t="s">
        <v>440</v>
      </c>
      <c r="C277" t="s">
        <v>193</v>
      </c>
      <c r="D277" t="s">
        <v>160</v>
      </c>
      <c r="E277">
        <v>-0.166969202481354</v>
      </c>
      <c r="F277">
        <v>-0.54040322194819002</v>
      </c>
      <c r="G277">
        <v>3.8819325869176601E-3</v>
      </c>
      <c r="H277">
        <v>-0.72747956882898901</v>
      </c>
      <c r="I277">
        <v>-0.73136150141590694</v>
      </c>
      <c r="J277">
        <v>-0.37343401946683602</v>
      </c>
      <c r="K277">
        <v>3.8819325869176601E-3</v>
      </c>
      <c r="L277">
        <v>-0.166969202481354</v>
      </c>
      <c r="M277">
        <v>-0.54428515453510795</v>
      </c>
      <c r="N277">
        <v>-0.37343401946683602</v>
      </c>
      <c r="O277">
        <v>-0.73136150141590694</v>
      </c>
      <c r="P277">
        <v>-0.56051036634763496</v>
      </c>
      <c r="Q277" t="s">
        <v>1067</v>
      </c>
      <c r="R277" t="s">
        <v>1067</v>
      </c>
      <c r="S277" t="s">
        <v>1173</v>
      </c>
      <c r="T277" t="s">
        <v>1067</v>
      </c>
      <c r="U277" t="s">
        <v>1174</v>
      </c>
      <c r="V277">
        <v>1</v>
      </c>
      <c r="W277" t="s">
        <v>944</v>
      </c>
      <c r="X277" t="s">
        <v>1175</v>
      </c>
      <c r="Y277">
        <v>1</v>
      </c>
      <c r="Z277">
        <v>-0.42492797884285599</v>
      </c>
      <c r="AA277">
        <v>-0.28188986474581901</v>
      </c>
      <c r="AB277">
        <v>-0.22285074375014999</v>
      </c>
      <c r="AC277">
        <v>-0.25406217159268102</v>
      </c>
    </row>
    <row r="278" spans="1:29" x14ac:dyDescent="0.2">
      <c r="A278">
        <v>277</v>
      </c>
      <c r="B278" t="s">
        <v>441</v>
      </c>
      <c r="C278" t="s">
        <v>193</v>
      </c>
      <c r="D278" t="s">
        <v>162</v>
      </c>
      <c r="E278">
        <v>-1.16149106653054E-2</v>
      </c>
      <c r="F278">
        <v>-0.354891792277716</v>
      </c>
      <c r="G278">
        <v>-0.15654713921708499</v>
      </c>
      <c r="H278">
        <v>-0.52888038890232303</v>
      </c>
      <c r="I278">
        <v>-0.37233324968523801</v>
      </c>
      <c r="J278">
        <v>-0.34327688161241099</v>
      </c>
      <c r="K278">
        <v>-1.16149106653054E-2</v>
      </c>
      <c r="L278">
        <v>-0.15654713921708499</v>
      </c>
      <c r="M278">
        <v>-0.34327688161241099</v>
      </c>
      <c r="N278">
        <v>-0.19834465306063101</v>
      </c>
      <c r="O278">
        <v>-0.51726547823701796</v>
      </c>
      <c r="P278">
        <v>-0.37233324968523801</v>
      </c>
      <c r="Q278" t="s">
        <v>1173</v>
      </c>
      <c r="R278" t="s">
        <v>1067</v>
      </c>
      <c r="S278" t="s">
        <v>1067</v>
      </c>
      <c r="T278" t="s">
        <v>1067</v>
      </c>
      <c r="U278" t="s">
        <v>1174</v>
      </c>
      <c r="V278">
        <v>1</v>
      </c>
      <c r="W278" t="s">
        <v>1174</v>
      </c>
      <c r="X278" t="s">
        <v>1175</v>
      </c>
      <c r="Y278">
        <v>1</v>
      </c>
      <c r="Z278">
        <v>-0.31518606491318701</v>
      </c>
      <c r="AA278">
        <v>-0.227252855907742</v>
      </c>
      <c r="AB278">
        <v>-0.45755690872286697</v>
      </c>
      <c r="AC278">
        <v>-0.36410094449209202</v>
      </c>
    </row>
    <row r="279" spans="1:29" x14ac:dyDescent="0.2">
      <c r="A279">
        <v>278</v>
      </c>
      <c r="B279" t="s">
        <v>442</v>
      </c>
      <c r="C279" t="s">
        <v>193</v>
      </c>
      <c r="D279" t="s">
        <v>220</v>
      </c>
      <c r="E279">
        <v>-1.16149106653054E-2</v>
      </c>
      <c r="F279">
        <v>-0.35433716917043301</v>
      </c>
      <c r="G279">
        <v>-0.16972070181433199</v>
      </c>
      <c r="H279">
        <v>-0.53092181058398102</v>
      </c>
      <c r="I279">
        <v>-0.361201108769649</v>
      </c>
      <c r="J279">
        <v>-0.342722258505128</v>
      </c>
      <c r="K279">
        <v>-1.16149106653054E-2</v>
      </c>
      <c r="L279">
        <v>-0.16972070181433199</v>
      </c>
      <c r="M279">
        <v>-0.342722258505128</v>
      </c>
      <c r="N279">
        <v>-0.18461646735610099</v>
      </c>
      <c r="O279">
        <v>-0.51930689991867596</v>
      </c>
      <c r="P279">
        <v>-0.361201108769649</v>
      </c>
      <c r="Q279" t="s">
        <v>1173</v>
      </c>
      <c r="R279" t="s">
        <v>1067</v>
      </c>
      <c r="S279" t="s">
        <v>1067</v>
      </c>
      <c r="T279" t="s">
        <v>1067</v>
      </c>
      <c r="U279" t="s">
        <v>1174</v>
      </c>
      <c r="V279">
        <v>1</v>
      </c>
      <c r="W279" t="s">
        <v>1174</v>
      </c>
      <c r="X279" t="s">
        <v>1175</v>
      </c>
      <c r="Y279">
        <v>1</v>
      </c>
      <c r="Z279">
        <v>-0.30178692825995301</v>
      </c>
      <c r="AA279">
        <v>-0.221618492339173</v>
      </c>
      <c r="AB279">
        <v>-0.45791795916563</v>
      </c>
      <c r="AC279">
        <v>-0.36414815096455699</v>
      </c>
    </row>
    <row r="280" spans="1:29" x14ac:dyDescent="0.2">
      <c r="A280">
        <v>279</v>
      </c>
      <c r="B280" t="s">
        <v>443</v>
      </c>
      <c r="C280" t="s">
        <v>193</v>
      </c>
      <c r="D280" t="s">
        <v>164</v>
      </c>
      <c r="E280">
        <v>-0.15195199737800599</v>
      </c>
      <c r="F280">
        <v>-0.34024350289157401</v>
      </c>
      <c r="G280">
        <v>-9.3800373803797892E-3</v>
      </c>
      <c r="H280">
        <v>-0.54609036721592696</v>
      </c>
      <c r="I280">
        <v>-0.53671032983554701</v>
      </c>
      <c r="J280">
        <v>-0.18829150551356799</v>
      </c>
      <c r="K280">
        <v>-9.3800373803797892E-3</v>
      </c>
      <c r="L280">
        <v>-0.15195199737800599</v>
      </c>
      <c r="M280">
        <v>-0.330863465511194</v>
      </c>
      <c r="N280">
        <v>-0.18829150551356799</v>
      </c>
      <c r="O280">
        <v>-0.53671032983554701</v>
      </c>
      <c r="P280">
        <v>-0.394138369837921</v>
      </c>
      <c r="Q280" t="s">
        <v>1067</v>
      </c>
      <c r="R280" t="s">
        <v>1067</v>
      </c>
      <c r="S280" t="s">
        <v>1173</v>
      </c>
      <c r="T280" t="s">
        <v>1067</v>
      </c>
      <c r="U280" t="s">
        <v>1174</v>
      </c>
      <c r="V280">
        <v>1</v>
      </c>
      <c r="W280" t="s">
        <v>944</v>
      </c>
      <c r="X280" t="s">
        <v>1175</v>
      </c>
      <c r="Y280">
        <v>1</v>
      </c>
      <c r="Z280">
        <v>-0.19510186027729601</v>
      </c>
      <c r="AA280">
        <v>-0.24297832498722999</v>
      </c>
      <c r="AB280">
        <v>-2.28715533879865E-2</v>
      </c>
      <c r="AC280">
        <v>-0.23090444508333099</v>
      </c>
    </row>
    <row r="281" spans="1:29" x14ac:dyDescent="0.2">
      <c r="A281">
        <v>280</v>
      </c>
      <c r="B281" t="s">
        <v>444</v>
      </c>
      <c r="C281" t="s">
        <v>193</v>
      </c>
      <c r="D281" t="s">
        <v>166</v>
      </c>
      <c r="E281">
        <v>-1.16149106653054E-2</v>
      </c>
      <c r="F281">
        <v>7.6733848994861196E-4</v>
      </c>
      <c r="G281">
        <v>4.8474056090876102E-3</v>
      </c>
      <c r="H281">
        <v>-0.107058740075202</v>
      </c>
      <c r="I281">
        <v>-0.11190614568429</v>
      </c>
      <c r="J281">
        <v>1.2382249155254E-2</v>
      </c>
      <c r="K281">
        <v>4.8474056090876102E-3</v>
      </c>
      <c r="L281">
        <v>-1.16149106653054E-2</v>
      </c>
      <c r="M281">
        <v>-4.0800671191389996E-3</v>
      </c>
      <c r="N281">
        <v>1.2382249155254E-2</v>
      </c>
      <c r="O281">
        <v>-0.11190614568429</v>
      </c>
      <c r="P281">
        <v>-9.5443829409896597E-2</v>
      </c>
      <c r="Q281" t="s">
        <v>1173</v>
      </c>
      <c r="R281" t="s">
        <v>1173</v>
      </c>
      <c r="S281" t="s">
        <v>1173</v>
      </c>
      <c r="T281" t="s">
        <v>1067</v>
      </c>
      <c r="U281" t="s">
        <v>944</v>
      </c>
      <c r="V281">
        <v>1</v>
      </c>
      <c r="W281" t="s">
        <v>944</v>
      </c>
      <c r="X281" t="s">
        <v>1175</v>
      </c>
      <c r="Y281">
        <v>0</v>
      </c>
      <c r="Z281">
        <v>-0.22745201762963099</v>
      </c>
      <c r="AA281">
        <v>-0.25831397637683901</v>
      </c>
      <c r="AB281">
        <v>-0.22731883919168</v>
      </c>
      <c r="AC281">
        <v>-0.33399787355694099</v>
      </c>
    </row>
    <row r="282" spans="1:29" x14ac:dyDescent="0.2">
      <c r="A282">
        <v>281</v>
      </c>
      <c r="B282" t="s">
        <v>445</v>
      </c>
      <c r="C282" t="s">
        <v>193</v>
      </c>
      <c r="D282" t="s">
        <v>226</v>
      </c>
      <c r="E282">
        <v>-0.45641132593697697</v>
      </c>
      <c r="F282">
        <v>1.6202354334889101E-2</v>
      </c>
      <c r="G282">
        <v>0.64672150520772498</v>
      </c>
      <c r="H282">
        <v>-0.22010639981377</v>
      </c>
      <c r="I282">
        <v>-0.86682790502149498</v>
      </c>
      <c r="J282">
        <v>0.47261368027186601</v>
      </c>
      <c r="K282">
        <v>0.64672150520772498</v>
      </c>
      <c r="L282">
        <v>-0.45641132593697697</v>
      </c>
      <c r="M282">
        <v>-0.63051915087283605</v>
      </c>
      <c r="N282">
        <v>0.47261368027186601</v>
      </c>
      <c r="O282">
        <v>-0.86682790502149498</v>
      </c>
      <c r="P282">
        <v>0.236304926123207</v>
      </c>
      <c r="Q282" t="s">
        <v>1067</v>
      </c>
      <c r="R282" t="s">
        <v>1173</v>
      </c>
      <c r="S282" t="s">
        <v>1068</v>
      </c>
      <c r="T282" t="s">
        <v>1067</v>
      </c>
      <c r="U282" t="s">
        <v>944</v>
      </c>
      <c r="V282">
        <v>1</v>
      </c>
      <c r="W282" t="s">
        <v>944</v>
      </c>
      <c r="X282" t="s">
        <v>1175</v>
      </c>
      <c r="Y282">
        <v>1</v>
      </c>
      <c r="Z282">
        <v>-0.50453796655491701</v>
      </c>
      <c r="AA282">
        <v>-0.25341343051724502</v>
      </c>
      <c r="AB282">
        <v>-0.44489991499589898</v>
      </c>
      <c r="AC282">
        <v>-0.28571038561630901</v>
      </c>
    </row>
    <row r="283" spans="1:29" x14ac:dyDescent="0.2">
      <c r="A283">
        <v>282</v>
      </c>
      <c r="B283" t="s">
        <v>446</v>
      </c>
      <c r="C283" t="s">
        <v>193</v>
      </c>
      <c r="D283" t="s">
        <v>168</v>
      </c>
      <c r="E283">
        <v>7.7326194652312094E-2</v>
      </c>
      <c r="F283">
        <v>-1</v>
      </c>
      <c r="G283">
        <v>-0.129337014257038</v>
      </c>
      <c r="H283">
        <v>-1</v>
      </c>
      <c r="I283">
        <v>-0.87066298574296197</v>
      </c>
      <c r="J283">
        <v>-1.0773261946523101</v>
      </c>
      <c r="K283">
        <v>7.7326194652312094E-2</v>
      </c>
      <c r="L283">
        <v>-0.129337014257038</v>
      </c>
      <c r="M283">
        <v>-1.0773261946523101</v>
      </c>
      <c r="N283">
        <v>-0.87066298574296197</v>
      </c>
      <c r="O283">
        <v>-1.0773261946523101</v>
      </c>
      <c r="P283">
        <v>-0.87066298574296197</v>
      </c>
      <c r="Q283" t="s">
        <v>1173</v>
      </c>
      <c r="R283" t="s">
        <v>1067</v>
      </c>
      <c r="S283" t="s">
        <v>1067</v>
      </c>
      <c r="T283" t="s">
        <v>1067</v>
      </c>
      <c r="U283" t="s">
        <v>1174</v>
      </c>
      <c r="V283">
        <v>1</v>
      </c>
      <c r="W283" t="s">
        <v>1174</v>
      </c>
      <c r="X283" t="s">
        <v>1175</v>
      </c>
      <c r="Y283">
        <v>1</v>
      </c>
      <c r="Z283">
        <v>-0.52404255851718995</v>
      </c>
      <c r="AA283">
        <v>-0.260094009349216</v>
      </c>
      <c r="AB283">
        <v>-0.45581049826118802</v>
      </c>
      <c r="AC283">
        <v>-0.28865549595105</v>
      </c>
    </row>
    <row r="284" spans="1:29" x14ac:dyDescent="0.2">
      <c r="A284">
        <v>283</v>
      </c>
      <c r="B284" t="s">
        <v>447</v>
      </c>
      <c r="C284" t="s">
        <v>142</v>
      </c>
      <c r="D284" t="s">
        <v>130</v>
      </c>
      <c r="E284">
        <v>-1.26503537663514E-2</v>
      </c>
      <c r="F284">
        <v>0.59206497108239498</v>
      </c>
      <c r="G284">
        <v>-9.1013834872847206E-3</v>
      </c>
      <c r="H284">
        <v>0.62742393764261495</v>
      </c>
      <c r="I284">
        <v>0.63652532112990001</v>
      </c>
      <c r="J284">
        <v>0.60471532484874602</v>
      </c>
      <c r="K284">
        <v>-9.1013834872847206E-3</v>
      </c>
      <c r="L284">
        <v>-1.26503537663514E-2</v>
      </c>
      <c r="M284">
        <v>0.60116635456968004</v>
      </c>
      <c r="N284">
        <v>0.60471532484874602</v>
      </c>
      <c r="O284">
        <v>0.63652532112990001</v>
      </c>
      <c r="P284">
        <v>0.64007429140896599</v>
      </c>
      <c r="Q284" t="s">
        <v>1173</v>
      </c>
      <c r="R284" t="s">
        <v>1068</v>
      </c>
      <c r="S284" t="s">
        <v>1173</v>
      </c>
      <c r="T284" t="s">
        <v>1068</v>
      </c>
      <c r="U284" t="s">
        <v>944</v>
      </c>
      <c r="V284">
        <v>0</v>
      </c>
      <c r="W284" t="s">
        <v>944</v>
      </c>
      <c r="X284" t="s">
        <v>1175</v>
      </c>
      <c r="Y284">
        <v>1</v>
      </c>
      <c r="Z284">
        <v>0.75809011139409999</v>
      </c>
      <c r="AA284">
        <v>-0.13771903661037399</v>
      </c>
      <c r="AB284">
        <v>0.57040007354111699</v>
      </c>
      <c r="AC284">
        <v>-0.23414867301966599</v>
      </c>
    </row>
    <row r="285" spans="1:29" x14ac:dyDescent="0.2">
      <c r="A285">
        <v>284</v>
      </c>
      <c r="B285" t="s">
        <v>448</v>
      </c>
      <c r="C285" t="s">
        <v>142</v>
      </c>
      <c r="D285" t="s">
        <v>132</v>
      </c>
      <c r="E285">
        <v>0.44051100787363501</v>
      </c>
      <c r="F285">
        <v>0.74584785068410198</v>
      </c>
      <c r="G285">
        <v>3.2065115006352902E-3</v>
      </c>
      <c r="H285">
        <v>0.756262799824164</v>
      </c>
      <c r="I285">
        <v>0.753056288323529</v>
      </c>
      <c r="J285">
        <v>0.30533684281046702</v>
      </c>
      <c r="K285">
        <v>0.44051100787363501</v>
      </c>
      <c r="L285">
        <v>3.2065115006352902E-3</v>
      </c>
      <c r="M285">
        <v>0.30533684281046702</v>
      </c>
      <c r="N285">
        <v>0.74264133918346698</v>
      </c>
      <c r="O285">
        <v>0.31575179195052899</v>
      </c>
      <c r="P285">
        <v>0.753056288323529</v>
      </c>
      <c r="Q285" t="s">
        <v>1068</v>
      </c>
      <c r="R285" t="s">
        <v>1068</v>
      </c>
      <c r="S285" t="s">
        <v>1173</v>
      </c>
      <c r="T285" t="s">
        <v>1068</v>
      </c>
      <c r="U285" t="s">
        <v>944</v>
      </c>
      <c r="V285">
        <v>0</v>
      </c>
      <c r="W285" t="s">
        <v>944</v>
      </c>
      <c r="X285" t="s">
        <v>1175</v>
      </c>
      <c r="Y285">
        <v>1</v>
      </c>
      <c r="Z285">
        <v>0.48834118524331699</v>
      </c>
      <c r="AA285">
        <v>-0.207462557816643</v>
      </c>
      <c r="AB285">
        <v>0.61189656938612003</v>
      </c>
      <c r="AC285">
        <v>-0.152873017036358</v>
      </c>
    </row>
    <row r="286" spans="1:29" x14ac:dyDescent="0.2">
      <c r="A286">
        <v>285</v>
      </c>
      <c r="B286" t="s">
        <v>449</v>
      </c>
      <c r="C286" t="s">
        <v>142</v>
      </c>
      <c r="D286" t="s">
        <v>140</v>
      </c>
      <c r="E286">
        <v>-0.147659080875257</v>
      </c>
      <c r="F286">
        <v>0.53572545819631001</v>
      </c>
      <c r="G286">
        <v>4.0532102771722199E-3</v>
      </c>
      <c r="H286">
        <v>0.54560616587421396</v>
      </c>
      <c r="I286">
        <v>0.54155295559704197</v>
      </c>
      <c r="J286">
        <v>0.68338453907156704</v>
      </c>
      <c r="K286">
        <v>4.0532102771722199E-3</v>
      </c>
      <c r="L286">
        <v>-0.147659080875257</v>
      </c>
      <c r="M286">
        <v>0.53167224791913803</v>
      </c>
      <c r="N286">
        <v>0.68338453907156704</v>
      </c>
      <c r="O286">
        <v>0.54155295559704197</v>
      </c>
      <c r="P286">
        <v>0.69326524674947099</v>
      </c>
      <c r="Q286" t="s">
        <v>1067</v>
      </c>
      <c r="R286" t="s">
        <v>1068</v>
      </c>
      <c r="S286" t="s">
        <v>1173</v>
      </c>
      <c r="T286" t="s">
        <v>1068</v>
      </c>
      <c r="U286" t="s">
        <v>944</v>
      </c>
      <c r="V286">
        <v>0</v>
      </c>
      <c r="W286" t="s">
        <v>944</v>
      </c>
      <c r="X286" t="s">
        <v>1175</v>
      </c>
      <c r="Y286">
        <v>1</v>
      </c>
      <c r="Z286">
        <v>0.55535993102203596</v>
      </c>
      <c r="AA286">
        <v>-0.17191234626773699</v>
      </c>
      <c r="AB286">
        <v>0.59750401286965404</v>
      </c>
      <c r="AC286">
        <v>-0.15119015708345701</v>
      </c>
    </row>
    <row r="287" spans="1:29" x14ac:dyDescent="0.2">
      <c r="A287">
        <v>286</v>
      </c>
      <c r="B287" t="s">
        <v>450</v>
      </c>
      <c r="C287" t="s">
        <v>142</v>
      </c>
      <c r="D287" t="s">
        <v>146</v>
      </c>
      <c r="E287">
        <v>-1.3655740600627299E-2</v>
      </c>
      <c r="F287">
        <v>0.59154500033583302</v>
      </c>
      <c r="G287">
        <v>-1.06707654464256E-2</v>
      </c>
      <c r="H287">
        <v>0.62688326647477599</v>
      </c>
      <c r="I287">
        <v>0.63755403192120197</v>
      </c>
      <c r="J287">
        <v>0.60520074093646004</v>
      </c>
      <c r="K287">
        <v>-1.06707654464256E-2</v>
      </c>
      <c r="L287">
        <v>-1.3655740600627299E-2</v>
      </c>
      <c r="M287">
        <v>0.60221576578225899</v>
      </c>
      <c r="N287">
        <v>0.60520074093646004</v>
      </c>
      <c r="O287">
        <v>0.63755403192120197</v>
      </c>
      <c r="P287">
        <v>0.64053900707540301</v>
      </c>
      <c r="Q287" t="s">
        <v>1173</v>
      </c>
      <c r="R287" t="s">
        <v>1068</v>
      </c>
      <c r="S287" t="s">
        <v>1173</v>
      </c>
      <c r="T287" t="s">
        <v>1068</v>
      </c>
      <c r="U287" t="s">
        <v>944</v>
      </c>
      <c r="V287">
        <v>0</v>
      </c>
      <c r="W287" t="s">
        <v>944</v>
      </c>
      <c r="X287" t="s">
        <v>1175</v>
      </c>
      <c r="Y287">
        <v>1</v>
      </c>
      <c r="Z287">
        <v>0.72455188333250398</v>
      </c>
      <c r="AA287">
        <v>-0.15227599807240499</v>
      </c>
      <c r="AB287">
        <v>0.57253566056904404</v>
      </c>
      <c r="AC287">
        <v>-0.23364087469520201</v>
      </c>
    </row>
    <row r="288" spans="1:29" x14ac:dyDescent="0.2">
      <c r="A288">
        <v>287</v>
      </c>
      <c r="B288" t="s">
        <v>451</v>
      </c>
      <c r="C288" t="s">
        <v>142</v>
      </c>
      <c r="D288" t="s">
        <v>150</v>
      </c>
      <c r="E288">
        <v>-1.2531180505102201E-2</v>
      </c>
      <c r="F288">
        <v>0.59599043765108695</v>
      </c>
      <c r="G288">
        <v>2.8189892910165299E-3</v>
      </c>
      <c r="H288">
        <v>0.63114193679134201</v>
      </c>
      <c r="I288">
        <v>0.62832294750032502</v>
      </c>
      <c r="J288">
        <v>0.60852161815618899</v>
      </c>
      <c r="K288">
        <v>2.8189892910165299E-3</v>
      </c>
      <c r="L288">
        <v>-1.2531180505102201E-2</v>
      </c>
      <c r="M288">
        <v>0.59317144836006996</v>
      </c>
      <c r="N288">
        <v>0.60852161815618899</v>
      </c>
      <c r="O288">
        <v>0.62832294750032502</v>
      </c>
      <c r="P288">
        <v>0.64367311729644405</v>
      </c>
      <c r="Q288" t="s">
        <v>1173</v>
      </c>
      <c r="R288" t="s">
        <v>1068</v>
      </c>
      <c r="S288" t="s">
        <v>1173</v>
      </c>
      <c r="T288" t="s">
        <v>1068</v>
      </c>
      <c r="U288" t="s">
        <v>944</v>
      </c>
      <c r="V288">
        <v>0</v>
      </c>
      <c r="W288" t="s">
        <v>944</v>
      </c>
      <c r="X288" t="s">
        <v>1175</v>
      </c>
      <c r="Y288">
        <v>1</v>
      </c>
      <c r="Z288">
        <v>0.63557835145633701</v>
      </c>
      <c r="AA288">
        <v>-0.189188850740551</v>
      </c>
      <c r="AB288">
        <v>0.56948807669074797</v>
      </c>
      <c r="AC288">
        <v>-0.234295425369241</v>
      </c>
    </row>
    <row r="289" spans="1:29" x14ac:dyDescent="0.2">
      <c r="A289">
        <v>288</v>
      </c>
      <c r="B289" t="s">
        <v>452</v>
      </c>
      <c r="C289" t="s">
        <v>142</v>
      </c>
      <c r="D289" t="s">
        <v>204</v>
      </c>
      <c r="E289">
        <v>0.65607788031594605</v>
      </c>
      <c r="F289">
        <v>0.70015098627500005</v>
      </c>
      <c r="G289">
        <v>3.29568408604716E-3</v>
      </c>
      <c r="H289">
        <v>0.70620245709868101</v>
      </c>
      <c r="I289">
        <v>0.70290677301263405</v>
      </c>
      <c r="J289">
        <v>4.4073105959053997E-2</v>
      </c>
      <c r="K289">
        <v>0.65607788031594605</v>
      </c>
      <c r="L289">
        <v>3.29568408604716E-3</v>
      </c>
      <c r="M289">
        <v>4.4073105959053997E-2</v>
      </c>
      <c r="N289">
        <v>0.69685530218895297</v>
      </c>
      <c r="O289">
        <v>5.0124576782734999E-2</v>
      </c>
      <c r="P289">
        <v>0.70290677301263405</v>
      </c>
      <c r="Q289" t="s">
        <v>1068</v>
      </c>
      <c r="R289" t="s">
        <v>1068</v>
      </c>
      <c r="S289" t="s">
        <v>1173</v>
      </c>
      <c r="T289" t="s">
        <v>1068</v>
      </c>
      <c r="U289" t="s">
        <v>944</v>
      </c>
      <c r="V289">
        <v>0</v>
      </c>
      <c r="W289" t="s">
        <v>944</v>
      </c>
      <c r="X289" t="s">
        <v>1176</v>
      </c>
      <c r="Y289">
        <v>0</v>
      </c>
      <c r="Z289">
        <v>0.45578611029917698</v>
      </c>
      <c r="AA289">
        <v>-0.20655045919384901</v>
      </c>
      <c r="AB289">
        <v>0.57648618521968797</v>
      </c>
      <c r="AC289">
        <v>-0.152197304608783</v>
      </c>
    </row>
    <row r="290" spans="1:29" x14ac:dyDescent="0.2">
      <c r="A290">
        <v>289</v>
      </c>
      <c r="B290" t="s">
        <v>453</v>
      </c>
      <c r="C290" t="s">
        <v>142</v>
      </c>
      <c r="D290" t="s">
        <v>152</v>
      </c>
      <c r="E290">
        <v>-0.68882322244718597</v>
      </c>
      <c r="F290">
        <v>0.52612747882147903</v>
      </c>
      <c r="G290">
        <v>6.24830315384597E-3</v>
      </c>
      <c r="H290">
        <v>0.59373345716310999</v>
      </c>
      <c r="I290">
        <v>0.58748515400926404</v>
      </c>
      <c r="J290">
        <v>1.21495070126866</v>
      </c>
      <c r="K290">
        <v>6.24830315384597E-3</v>
      </c>
      <c r="L290">
        <v>-0.68882322244718597</v>
      </c>
      <c r="M290">
        <v>0.51987917566763298</v>
      </c>
      <c r="N290">
        <v>1.21495070126866</v>
      </c>
      <c r="O290">
        <v>0.58748515400926404</v>
      </c>
      <c r="P290">
        <v>1.2825566796103001</v>
      </c>
      <c r="Q290" t="s">
        <v>1067</v>
      </c>
      <c r="R290" t="s">
        <v>1068</v>
      </c>
      <c r="S290" t="s">
        <v>1173</v>
      </c>
      <c r="T290" t="s">
        <v>1068</v>
      </c>
      <c r="U290" t="s">
        <v>944</v>
      </c>
      <c r="V290">
        <v>0</v>
      </c>
      <c r="W290" t="s">
        <v>944</v>
      </c>
      <c r="X290" t="s">
        <v>1176</v>
      </c>
      <c r="Y290">
        <v>1</v>
      </c>
      <c r="Z290">
        <v>1.5249785315792901</v>
      </c>
      <c r="AA290">
        <v>-0.118284142631808</v>
      </c>
      <c r="AB290">
        <v>1.6020073726477</v>
      </c>
      <c r="AC290">
        <v>-2.2046019084436499E-2</v>
      </c>
    </row>
    <row r="291" spans="1:29" x14ac:dyDescent="0.2">
      <c r="A291">
        <v>290</v>
      </c>
      <c r="B291" t="s">
        <v>454</v>
      </c>
      <c r="C291" t="s">
        <v>142</v>
      </c>
      <c r="D291" t="s">
        <v>158</v>
      </c>
      <c r="E291">
        <v>0.94865858623391397</v>
      </c>
      <c r="F291">
        <v>0.71388158739508301</v>
      </c>
      <c r="G291">
        <v>3.78906793698267E-3</v>
      </c>
      <c r="H291">
        <v>0.46569693706633197</v>
      </c>
      <c r="I291">
        <v>0.461907869129349</v>
      </c>
      <c r="J291">
        <v>-0.23477699883883099</v>
      </c>
      <c r="K291">
        <v>0.94865858623391397</v>
      </c>
      <c r="L291">
        <v>3.78906793698267E-3</v>
      </c>
      <c r="M291">
        <v>-0.23477699883883099</v>
      </c>
      <c r="N291">
        <v>0.71009251945810004</v>
      </c>
      <c r="O291">
        <v>-0.482961649167582</v>
      </c>
      <c r="P291">
        <v>0.461907869129349</v>
      </c>
      <c r="Q291" t="s">
        <v>1068</v>
      </c>
      <c r="R291" t="s">
        <v>1068</v>
      </c>
      <c r="S291" t="s">
        <v>1173</v>
      </c>
      <c r="T291" t="s">
        <v>1068</v>
      </c>
      <c r="U291" t="s">
        <v>1174</v>
      </c>
      <c r="V291">
        <v>0</v>
      </c>
      <c r="W291" t="s">
        <v>944</v>
      </c>
      <c r="X291" t="s">
        <v>1175</v>
      </c>
      <c r="Y291">
        <v>1</v>
      </c>
      <c r="Z291">
        <v>0.44681961688188698</v>
      </c>
      <c r="AA291">
        <v>-0.20807462772538801</v>
      </c>
      <c r="AB291">
        <v>0.56731414857713502</v>
      </c>
      <c r="AC291">
        <v>-0.15330034063519299</v>
      </c>
    </row>
    <row r="292" spans="1:29" x14ac:dyDescent="0.2">
      <c r="A292">
        <v>291</v>
      </c>
      <c r="B292" t="s">
        <v>455</v>
      </c>
      <c r="C292" t="s">
        <v>142</v>
      </c>
      <c r="D292" t="s">
        <v>162</v>
      </c>
      <c r="E292">
        <v>-1.2531180505102201E-2</v>
      </c>
      <c r="F292">
        <v>0.58987813607811301</v>
      </c>
      <c r="G292">
        <v>2.4437613115931801E-3</v>
      </c>
      <c r="H292">
        <v>0.625831466029664</v>
      </c>
      <c r="I292">
        <v>0.62338770471807103</v>
      </c>
      <c r="J292">
        <v>0.60240931658321495</v>
      </c>
      <c r="K292">
        <v>2.4437613115931801E-3</v>
      </c>
      <c r="L292">
        <v>-1.2531180505102201E-2</v>
      </c>
      <c r="M292">
        <v>0.58743437476652005</v>
      </c>
      <c r="N292">
        <v>0.60240931658321495</v>
      </c>
      <c r="O292">
        <v>0.62338770471807103</v>
      </c>
      <c r="P292">
        <v>0.63836264653476604</v>
      </c>
      <c r="Q292" t="s">
        <v>1173</v>
      </c>
      <c r="R292" t="s">
        <v>1068</v>
      </c>
      <c r="S292" t="s">
        <v>1173</v>
      </c>
      <c r="T292" t="s">
        <v>1068</v>
      </c>
      <c r="U292" t="s">
        <v>944</v>
      </c>
      <c r="V292">
        <v>0</v>
      </c>
      <c r="W292" t="s">
        <v>944</v>
      </c>
      <c r="X292" t="s">
        <v>1175</v>
      </c>
      <c r="Y292">
        <v>1</v>
      </c>
      <c r="Z292">
        <v>0.65497655688630196</v>
      </c>
      <c r="AA292">
        <v>-0.181498254230923</v>
      </c>
      <c r="AB292">
        <v>0.57088064245056103</v>
      </c>
      <c r="AC292">
        <v>-0.23411335076300899</v>
      </c>
    </row>
    <row r="293" spans="1:29" x14ac:dyDescent="0.2">
      <c r="A293">
        <v>292</v>
      </c>
      <c r="B293" t="s">
        <v>456</v>
      </c>
      <c r="C293" t="s">
        <v>142</v>
      </c>
      <c r="D293" t="s">
        <v>168</v>
      </c>
      <c r="E293">
        <v>6.7361937368107402E-2</v>
      </c>
      <c r="F293">
        <v>0.69592652600556804</v>
      </c>
      <c r="G293">
        <v>1.7263178086548901E-2</v>
      </c>
      <c r="H293">
        <v>0.72319003828133899</v>
      </c>
      <c r="I293">
        <v>0.70592686019479001</v>
      </c>
      <c r="J293">
        <v>0.62856458863746101</v>
      </c>
      <c r="K293">
        <v>6.7361937368107402E-2</v>
      </c>
      <c r="L293">
        <v>1.7263178086548901E-2</v>
      </c>
      <c r="M293">
        <v>0.62856458863746101</v>
      </c>
      <c r="N293">
        <v>0.67866334791901906</v>
      </c>
      <c r="O293">
        <v>0.65582810091323196</v>
      </c>
      <c r="P293">
        <v>0.70592686019479001</v>
      </c>
      <c r="Q293" t="s">
        <v>1173</v>
      </c>
      <c r="R293" t="s">
        <v>1068</v>
      </c>
      <c r="S293" t="s">
        <v>1173</v>
      </c>
      <c r="T293" t="s">
        <v>1068</v>
      </c>
      <c r="U293" t="s">
        <v>944</v>
      </c>
      <c r="V293">
        <v>0</v>
      </c>
      <c r="W293" t="s">
        <v>944</v>
      </c>
      <c r="X293" t="s">
        <v>1175</v>
      </c>
      <c r="Y293">
        <v>1</v>
      </c>
      <c r="Z293">
        <v>0.44612006328229897</v>
      </c>
      <c r="AA293">
        <v>-0.21433940767239701</v>
      </c>
      <c r="AB293">
        <v>0.57262705291224003</v>
      </c>
      <c r="AC293">
        <v>-0.158667902221966</v>
      </c>
    </row>
    <row r="294" spans="1:29" x14ac:dyDescent="0.2">
      <c r="A294">
        <v>293</v>
      </c>
      <c r="B294" t="s">
        <v>457</v>
      </c>
      <c r="C294" t="s">
        <v>196</v>
      </c>
      <c r="D294" t="s">
        <v>129</v>
      </c>
      <c r="E294">
        <v>0.86984572633122703</v>
      </c>
      <c r="F294">
        <v>0.84827616525569405</v>
      </c>
      <c r="G294">
        <v>0.78023987791057003</v>
      </c>
      <c r="H294">
        <v>0.83677792069488399</v>
      </c>
      <c r="I294">
        <v>5.6538042784313999E-2</v>
      </c>
      <c r="J294">
        <v>-2.1569561075533001E-2</v>
      </c>
      <c r="K294">
        <v>0.86984572633122703</v>
      </c>
      <c r="L294">
        <v>0.78023987791057003</v>
      </c>
      <c r="M294">
        <v>-2.1569561075533001E-2</v>
      </c>
      <c r="N294">
        <v>6.8036287345124E-2</v>
      </c>
      <c r="O294">
        <v>-3.3067805636342998E-2</v>
      </c>
      <c r="P294">
        <v>5.6538042784313999E-2</v>
      </c>
      <c r="Q294" t="s">
        <v>1068</v>
      </c>
      <c r="R294" t="s">
        <v>1068</v>
      </c>
      <c r="S294" t="s">
        <v>1068</v>
      </c>
      <c r="T294" t="s">
        <v>1068</v>
      </c>
      <c r="U294" t="s">
        <v>1174</v>
      </c>
      <c r="V294">
        <v>0</v>
      </c>
      <c r="W294" t="s">
        <v>944</v>
      </c>
      <c r="X294" t="s">
        <v>1176</v>
      </c>
      <c r="Y294">
        <v>0</v>
      </c>
      <c r="Z294">
        <v>-0.22622445125923099</v>
      </c>
      <c r="AA294">
        <v>-0.241917304806888</v>
      </c>
      <c r="AB294">
        <v>-4.4399169213395998E-2</v>
      </c>
      <c r="AC294">
        <v>-0.223247008130004</v>
      </c>
    </row>
    <row r="295" spans="1:29" x14ac:dyDescent="0.2">
      <c r="A295">
        <v>294</v>
      </c>
      <c r="B295" t="s">
        <v>458</v>
      </c>
      <c r="C295" t="s">
        <v>196</v>
      </c>
      <c r="D295" t="s">
        <v>130</v>
      </c>
      <c r="E295">
        <v>-0.12588704052100899</v>
      </c>
      <c r="F295">
        <v>0.47098583604591099</v>
      </c>
      <c r="G295">
        <v>0.486710935223515</v>
      </c>
      <c r="H295">
        <v>0.41971829785394199</v>
      </c>
      <c r="I295">
        <v>-6.6992637369573005E-2</v>
      </c>
      <c r="J295">
        <v>0.59687287656692001</v>
      </c>
      <c r="K295">
        <v>0.486710935223515</v>
      </c>
      <c r="L295">
        <v>-0.12588704052100899</v>
      </c>
      <c r="M295">
        <v>-1.5725099177604E-2</v>
      </c>
      <c r="N295">
        <v>0.59687287656692001</v>
      </c>
      <c r="O295">
        <v>-6.6992637369573005E-2</v>
      </c>
      <c r="P295">
        <v>0.54560533837495095</v>
      </c>
      <c r="Q295" t="s">
        <v>1067</v>
      </c>
      <c r="R295" t="s">
        <v>1068</v>
      </c>
      <c r="S295" t="s">
        <v>1068</v>
      </c>
      <c r="T295" t="s">
        <v>1068</v>
      </c>
      <c r="U295" t="s">
        <v>944</v>
      </c>
      <c r="V295">
        <v>1</v>
      </c>
      <c r="W295" t="s">
        <v>944</v>
      </c>
      <c r="X295" t="s">
        <v>1175</v>
      </c>
      <c r="Y295">
        <v>1</v>
      </c>
      <c r="Z295">
        <v>-5.2263960363530503E-3</v>
      </c>
      <c r="AA295">
        <v>-0.17812000618163601</v>
      </c>
      <c r="AB295">
        <v>-0.14318534057298701</v>
      </c>
      <c r="AC295">
        <v>-0.313925867093447</v>
      </c>
    </row>
    <row r="296" spans="1:29" x14ac:dyDescent="0.2">
      <c r="A296">
        <v>295</v>
      </c>
      <c r="B296" t="s">
        <v>459</v>
      </c>
      <c r="C296" t="s">
        <v>196</v>
      </c>
      <c r="D296" t="s">
        <v>132</v>
      </c>
      <c r="E296">
        <v>0.72249475306020605</v>
      </c>
      <c r="F296">
        <v>0.59443135203984399</v>
      </c>
      <c r="G296">
        <v>0.61114469621841505</v>
      </c>
      <c r="H296">
        <v>0.55717917280954199</v>
      </c>
      <c r="I296">
        <v>-5.3965523408873103E-2</v>
      </c>
      <c r="J296">
        <v>-0.12806340102036201</v>
      </c>
      <c r="K296">
        <v>0.72249475306020605</v>
      </c>
      <c r="L296">
        <v>0.61114469621841505</v>
      </c>
      <c r="M296">
        <v>-0.12806340102036201</v>
      </c>
      <c r="N296">
        <v>-1.67133441785711E-2</v>
      </c>
      <c r="O296">
        <v>-0.16531558025066401</v>
      </c>
      <c r="P296">
        <v>-5.3965523408873103E-2</v>
      </c>
      <c r="Q296" t="s">
        <v>1068</v>
      </c>
      <c r="R296" t="s">
        <v>1068</v>
      </c>
      <c r="S296" t="s">
        <v>1068</v>
      </c>
      <c r="T296" t="s">
        <v>1068</v>
      </c>
      <c r="U296" t="s">
        <v>1174</v>
      </c>
      <c r="V296">
        <v>1</v>
      </c>
      <c r="W296" t="s">
        <v>944</v>
      </c>
      <c r="X296" t="s">
        <v>1175</v>
      </c>
      <c r="Y296">
        <v>1</v>
      </c>
      <c r="Z296">
        <v>-0.27497532218713699</v>
      </c>
      <c r="AA296">
        <v>-0.24786352738790399</v>
      </c>
      <c r="AB296">
        <v>-0.10168884472798501</v>
      </c>
      <c r="AC296">
        <v>-0.232650211110139</v>
      </c>
    </row>
    <row r="297" spans="1:29" x14ac:dyDescent="0.2">
      <c r="A297">
        <v>296</v>
      </c>
      <c r="B297" t="s">
        <v>460</v>
      </c>
      <c r="C297" t="s">
        <v>196</v>
      </c>
      <c r="D297" t="s">
        <v>134</v>
      </c>
      <c r="E297">
        <v>-5.2527644496491097E-2</v>
      </c>
      <c r="F297">
        <v>-6.2189968010369502E-2</v>
      </c>
      <c r="G297">
        <v>1.3022040560156E-2</v>
      </c>
      <c r="H297">
        <v>-0.159480495576968</v>
      </c>
      <c r="I297">
        <v>-0.17250253613712399</v>
      </c>
      <c r="J297">
        <v>-9.6623235138784003E-3</v>
      </c>
      <c r="K297">
        <v>1.3022040560156E-2</v>
      </c>
      <c r="L297">
        <v>-5.2527644496491097E-2</v>
      </c>
      <c r="M297">
        <v>-7.5212008570525499E-2</v>
      </c>
      <c r="N297">
        <v>-9.6623235138784003E-3</v>
      </c>
      <c r="O297">
        <v>-0.17250253613712399</v>
      </c>
      <c r="P297">
        <v>-0.106952851080477</v>
      </c>
      <c r="Q297" t="s">
        <v>1173</v>
      </c>
      <c r="R297" t="s">
        <v>1173</v>
      </c>
      <c r="S297" t="s">
        <v>1173</v>
      </c>
      <c r="T297" t="s">
        <v>1067</v>
      </c>
      <c r="U297" t="s">
        <v>1174</v>
      </c>
      <c r="V297">
        <v>1</v>
      </c>
      <c r="W297" t="s">
        <v>944</v>
      </c>
      <c r="X297" t="s">
        <v>1175</v>
      </c>
      <c r="Y297">
        <v>0</v>
      </c>
      <c r="Z297">
        <v>-0.141829769959362</v>
      </c>
      <c r="AA297">
        <v>-0.26756222339359997</v>
      </c>
      <c r="AB297">
        <v>-2.0547528785514E-2</v>
      </c>
      <c r="AC297">
        <v>-0.28984858589881202</v>
      </c>
    </row>
    <row r="298" spans="1:29" x14ac:dyDescent="0.2">
      <c r="A298">
        <v>297</v>
      </c>
      <c r="B298" t="s">
        <v>461</v>
      </c>
      <c r="C298" t="s">
        <v>196</v>
      </c>
      <c r="D298" t="s">
        <v>136</v>
      </c>
      <c r="E298">
        <v>0.855703174250938</v>
      </c>
      <c r="F298">
        <v>0.70263391188208302</v>
      </c>
      <c r="G298">
        <v>1.3022040560156E-2</v>
      </c>
      <c r="H298">
        <v>0.69818267411457502</v>
      </c>
      <c r="I298">
        <v>0.68516063355441903</v>
      </c>
      <c r="J298">
        <v>-0.15306926236885501</v>
      </c>
      <c r="K298">
        <v>0.855703174250938</v>
      </c>
      <c r="L298">
        <v>1.3022040560156E-2</v>
      </c>
      <c r="M298">
        <v>-0.15306926236885501</v>
      </c>
      <c r="N298">
        <v>0.68961187132192703</v>
      </c>
      <c r="O298">
        <v>-0.15752050013636301</v>
      </c>
      <c r="P298">
        <v>0.68516063355441903</v>
      </c>
      <c r="Q298" t="s">
        <v>1068</v>
      </c>
      <c r="R298" t="s">
        <v>1068</v>
      </c>
      <c r="S298" t="s">
        <v>1173</v>
      </c>
      <c r="T298" t="s">
        <v>1068</v>
      </c>
      <c r="U298" t="s">
        <v>1174</v>
      </c>
      <c r="V298">
        <v>0</v>
      </c>
      <c r="W298" t="s">
        <v>944</v>
      </c>
      <c r="X298" t="s">
        <v>1175</v>
      </c>
      <c r="Y298">
        <v>1</v>
      </c>
      <c r="Z298">
        <v>-0.220520649086277</v>
      </c>
      <c r="AA298">
        <v>-0.27704502739055098</v>
      </c>
      <c r="AB298">
        <v>9.1254089123151E-2</v>
      </c>
      <c r="AC298">
        <v>-0.20354316591906901</v>
      </c>
    </row>
    <row r="299" spans="1:29" x14ac:dyDescent="0.2">
      <c r="A299">
        <v>298</v>
      </c>
      <c r="B299" t="s">
        <v>462</v>
      </c>
      <c r="C299" t="s">
        <v>196</v>
      </c>
      <c r="D299" t="s">
        <v>138</v>
      </c>
      <c r="E299">
        <v>-0.24502668256018001</v>
      </c>
      <c r="F299">
        <v>4.3181831286188001E-2</v>
      </c>
      <c r="G299">
        <v>-0.14723046343000701</v>
      </c>
      <c r="H299">
        <v>-4.8380219685394701E-2</v>
      </c>
      <c r="I299">
        <v>9.8850243744612307E-2</v>
      </c>
      <c r="J299">
        <v>0.28820851384636798</v>
      </c>
      <c r="K299">
        <v>-0.14723046343000701</v>
      </c>
      <c r="L299">
        <v>-0.24502668256018001</v>
      </c>
      <c r="M299">
        <v>0.190412294716195</v>
      </c>
      <c r="N299">
        <v>0.28820851384636798</v>
      </c>
      <c r="O299">
        <v>9.8850243744612307E-2</v>
      </c>
      <c r="P299">
        <v>0.19664646287478499</v>
      </c>
      <c r="Q299" t="s">
        <v>1067</v>
      </c>
      <c r="R299" t="s">
        <v>1173</v>
      </c>
      <c r="S299" t="s">
        <v>1067</v>
      </c>
      <c r="T299" t="s">
        <v>1173</v>
      </c>
      <c r="U299" t="s">
        <v>944</v>
      </c>
      <c r="V299">
        <v>0</v>
      </c>
      <c r="W299" t="s">
        <v>944</v>
      </c>
      <c r="X299" t="s">
        <v>1175</v>
      </c>
      <c r="Y299">
        <v>1</v>
      </c>
      <c r="Z299">
        <v>0.63001215861802595</v>
      </c>
      <c r="AA299">
        <v>-0.116521686497608</v>
      </c>
      <c r="AB299">
        <v>0.74353358029498395</v>
      </c>
      <c r="AC299">
        <v>-0.12443663517765099</v>
      </c>
    </row>
    <row r="300" spans="1:29" x14ac:dyDescent="0.2">
      <c r="A300">
        <v>299</v>
      </c>
      <c r="B300" t="s">
        <v>463</v>
      </c>
      <c r="C300" t="s">
        <v>196</v>
      </c>
      <c r="D300" t="s">
        <v>182</v>
      </c>
      <c r="E300">
        <v>-0.25816529533456301</v>
      </c>
      <c r="F300">
        <v>0.474547719978546</v>
      </c>
      <c r="G300">
        <v>-7.8501756021139193E-2</v>
      </c>
      <c r="H300">
        <v>0.46605244907760202</v>
      </c>
      <c r="I300">
        <v>0.54455420509874097</v>
      </c>
      <c r="J300">
        <v>0.73271301531310895</v>
      </c>
      <c r="K300">
        <v>-7.8501756021139193E-2</v>
      </c>
      <c r="L300">
        <v>-0.25816529533456301</v>
      </c>
      <c r="M300">
        <v>0.55304947599968501</v>
      </c>
      <c r="N300">
        <v>0.73271301531310895</v>
      </c>
      <c r="O300">
        <v>0.54455420509874097</v>
      </c>
      <c r="P300">
        <v>0.72421774441216502</v>
      </c>
      <c r="Q300" t="s">
        <v>1067</v>
      </c>
      <c r="R300" t="s">
        <v>1068</v>
      </c>
      <c r="S300" t="s">
        <v>1173</v>
      </c>
      <c r="T300" t="s">
        <v>1068</v>
      </c>
      <c r="U300" t="s">
        <v>944</v>
      </c>
      <c r="V300">
        <v>0</v>
      </c>
      <c r="W300" t="s">
        <v>944</v>
      </c>
      <c r="X300" t="s">
        <v>1175</v>
      </c>
      <c r="Y300">
        <v>1</v>
      </c>
      <c r="Z300">
        <v>0.597965496327866</v>
      </c>
      <c r="AA300">
        <v>-0.14181316057860799</v>
      </c>
      <c r="AB300">
        <v>0.73115693319939601</v>
      </c>
      <c r="AC300">
        <v>-0.12399219334049</v>
      </c>
    </row>
    <row r="301" spans="1:29" x14ac:dyDescent="0.2">
      <c r="A301">
        <v>300</v>
      </c>
      <c r="B301" t="s">
        <v>464</v>
      </c>
      <c r="C301" t="s">
        <v>196</v>
      </c>
      <c r="D301" t="s">
        <v>184</v>
      </c>
      <c r="E301">
        <v>-0.29835036819317001</v>
      </c>
      <c r="F301">
        <v>-0.28318028211683499</v>
      </c>
      <c r="G301">
        <v>-0.15178712946095799</v>
      </c>
      <c r="H301">
        <v>-0.433051651940634</v>
      </c>
      <c r="I301">
        <v>-0.28126452247967598</v>
      </c>
      <c r="J301">
        <v>1.5170086076335E-2</v>
      </c>
      <c r="K301">
        <v>-0.15178712946095799</v>
      </c>
      <c r="L301">
        <v>-0.29835036819317001</v>
      </c>
      <c r="M301">
        <v>-0.131393152655877</v>
      </c>
      <c r="N301">
        <v>1.5170086076335E-2</v>
      </c>
      <c r="O301">
        <v>-0.28126452247967598</v>
      </c>
      <c r="P301">
        <v>-0.13470128374746401</v>
      </c>
      <c r="Q301" t="s">
        <v>1067</v>
      </c>
      <c r="R301" t="s">
        <v>1067</v>
      </c>
      <c r="S301" t="s">
        <v>1067</v>
      </c>
      <c r="T301" t="s">
        <v>1067</v>
      </c>
      <c r="U301" t="s">
        <v>944</v>
      </c>
      <c r="V301">
        <v>1</v>
      </c>
      <c r="W301" t="s">
        <v>944</v>
      </c>
      <c r="X301" t="s">
        <v>1175</v>
      </c>
      <c r="Y301">
        <v>0</v>
      </c>
      <c r="Z301">
        <v>-0.15172239918912001</v>
      </c>
      <c r="AA301">
        <v>-0.211985745648399</v>
      </c>
      <c r="AB301">
        <v>-3.2996206739692502E-2</v>
      </c>
      <c r="AC301">
        <v>-0.220080020184905</v>
      </c>
    </row>
    <row r="302" spans="1:29" x14ac:dyDescent="0.2">
      <c r="A302">
        <v>301</v>
      </c>
      <c r="B302" t="s">
        <v>465</v>
      </c>
      <c r="C302" t="s">
        <v>196</v>
      </c>
      <c r="D302" t="s">
        <v>186</v>
      </c>
      <c r="E302">
        <v>-0.30449932865992002</v>
      </c>
      <c r="F302">
        <v>-1</v>
      </c>
      <c r="G302">
        <v>-0.13201939040823801</v>
      </c>
      <c r="H302">
        <v>-1</v>
      </c>
      <c r="I302">
        <v>-0.86798060959176204</v>
      </c>
      <c r="J302">
        <v>-0.69550067134007998</v>
      </c>
      <c r="K302">
        <v>-0.13201939040823801</v>
      </c>
      <c r="L302">
        <v>-0.30449932865992002</v>
      </c>
      <c r="M302">
        <v>-0.86798060959176204</v>
      </c>
      <c r="N302">
        <v>-0.69550067134007998</v>
      </c>
      <c r="O302">
        <v>-0.86798060959176204</v>
      </c>
      <c r="P302">
        <v>-0.69550067134007998</v>
      </c>
      <c r="Q302" t="s">
        <v>1067</v>
      </c>
      <c r="R302" t="s">
        <v>1067</v>
      </c>
      <c r="S302" t="s">
        <v>1067</v>
      </c>
      <c r="T302" t="s">
        <v>1067</v>
      </c>
      <c r="U302" t="s">
        <v>1174</v>
      </c>
      <c r="V302">
        <v>1</v>
      </c>
      <c r="W302" t="s">
        <v>944</v>
      </c>
      <c r="X302" t="s">
        <v>1175</v>
      </c>
      <c r="Y302">
        <v>1</v>
      </c>
      <c r="Z302">
        <v>-0.24237417953078599</v>
      </c>
      <c r="AA302">
        <v>-0.22640607150793499</v>
      </c>
      <c r="AB302">
        <v>-0.115048960499986</v>
      </c>
      <c r="AC302">
        <v>-0.229711957474308</v>
      </c>
    </row>
    <row r="303" spans="1:29" x14ac:dyDescent="0.2">
      <c r="A303">
        <v>302</v>
      </c>
      <c r="B303" t="s">
        <v>466</v>
      </c>
      <c r="C303" t="s">
        <v>196</v>
      </c>
      <c r="D303" t="s">
        <v>188</v>
      </c>
      <c r="E303">
        <v>-0.25644469596935798</v>
      </c>
      <c r="F303">
        <v>0.26338578784806499</v>
      </c>
      <c r="G303">
        <v>-0.102723681221681</v>
      </c>
      <c r="H303">
        <v>0.22539782499451999</v>
      </c>
      <c r="I303">
        <v>0.32812150621620101</v>
      </c>
      <c r="J303">
        <v>0.51983048381742303</v>
      </c>
      <c r="K303">
        <v>-0.102723681221681</v>
      </c>
      <c r="L303">
        <v>-0.25644469596935798</v>
      </c>
      <c r="M303">
        <v>0.36610946906974601</v>
      </c>
      <c r="N303">
        <v>0.51983048381742303</v>
      </c>
      <c r="O303">
        <v>0.32812150621620101</v>
      </c>
      <c r="P303">
        <v>0.48184252096387797</v>
      </c>
      <c r="Q303" t="s">
        <v>1067</v>
      </c>
      <c r="R303" t="s">
        <v>1068</v>
      </c>
      <c r="S303" t="s">
        <v>1067</v>
      </c>
      <c r="T303" t="s">
        <v>1068</v>
      </c>
      <c r="U303" t="s">
        <v>944</v>
      </c>
      <c r="V303">
        <v>0</v>
      </c>
      <c r="W303" t="s">
        <v>944</v>
      </c>
      <c r="X303" t="s">
        <v>1175</v>
      </c>
      <c r="Y303">
        <v>1</v>
      </c>
      <c r="Z303">
        <v>0.63585954108738196</v>
      </c>
      <c r="AA303">
        <v>-0.130383517921593</v>
      </c>
      <c r="AB303">
        <v>0.76618694828474199</v>
      </c>
      <c r="AC303">
        <v>-0.119337771652004</v>
      </c>
    </row>
    <row r="304" spans="1:29" x14ac:dyDescent="0.2">
      <c r="A304">
        <v>303</v>
      </c>
      <c r="B304" t="s">
        <v>467</v>
      </c>
      <c r="C304" t="s">
        <v>196</v>
      </c>
      <c r="D304" t="s">
        <v>140</v>
      </c>
      <c r="E304">
        <v>3.7868951780570502E-2</v>
      </c>
      <c r="F304">
        <v>-0.25701290113268199</v>
      </c>
      <c r="G304">
        <v>0.116581992711128</v>
      </c>
      <c r="H304">
        <v>-0.39884814302815802</v>
      </c>
      <c r="I304">
        <v>-0.51543013573928598</v>
      </c>
      <c r="J304">
        <v>-0.29488185291325197</v>
      </c>
      <c r="K304">
        <v>0.116581992711128</v>
      </c>
      <c r="L304">
        <v>3.7868951780570502E-2</v>
      </c>
      <c r="M304">
        <v>-0.37359489384381001</v>
      </c>
      <c r="N304">
        <v>-0.29488185291325197</v>
      </c>
      <c r="O304">
        <v>-0.51543013573928598</v>
      </c>
      <c r="P304">
        <v>-0.436717094808729</v>
      </c>
      <c r="Q304" t="s">
        <v>1173</v>
      </c>
      <c r="R304" t="s">
        <v>1067</v>
      </c>
      <c r="S304" t="s">
        <v>1068</v>
      </c>
      <c r="T304" t="s">
        <v>1067</v>
      </c>
      <c r="U304" t="s">
        <v>1174</v>
      </c>
      <c r="V304">
        <v>1</v>
      </c>
      <c r="W304" t="s">
        <v>1174</v>
      </c>
      <c r="X304" t="s">
        <v>1175</v>
      </c>
      <c r="Y304">
        <v>1</v>
      </c>
      <c r="Z304">
        <v>-0.207956576408418</v>
      </c>
      <c r="AA304">
        <v>-0.21231331583899801</v>
      </c>
      <c r="AB304">
        <v>-0.116081401244451</v>
      </c>
      <c r="AC304">
        <v>-0.23096735115723699</v>
      </c>
    </row>
    <row r="305" spans="1:29" x14ac:dyDescent="0.2">
      <c r="A305">
        <v>304</v>
      </c>
      <c r="B305" t="s">
        <v>468</v>
      </c>
      <c r="C305" t="s">
        <v>196</v>
      </c>
      <c r="D305" t="s">
        <v>191</v>
      </c>
      <c r="E305">
        <v>8.4591249135263599E-2</v>
      </c>
      <c r="F305">
        <v>-0.35835018992381101</v>
      </c>
      <c r="G305">
        <v>0.16694155914008299</v>
      </c>
      <c r="H305">
        <v>-0.51463001700578304</v>
      </c>
      <c r="I305">
        <v>-0.68157157614586605</v>
      </c>
      <c r="J305">
        <v>-0.44294143905907502</v>
      </c>
      <c r="K305">
        <v>0.16694155914008299</v>
      </c>
      <c r="L305">
        <v>8.4591249135263599E-2</v>
      </c>
      <c r="M305">
        <v>-0.52529174906389398</v>
      </c>
      <c r="N305">
        <v>-0.44294143905907502</v>
      </c>
      <c r="O305">
        <v>-0.68157157614586605</v>
      </c>
      <c r="P305">
        <v>-0.59922126614104698</v>
      </c>
      <c r="Q305" t="s">
        <v>1173</v>
      </c>
      <c r="R305" t="s">
        <v>1067</v>
      </c>
      <c r="S305" t="s">
        <v>1068</v>
      </c>
      <c r="T305" t="s">
        <v>1067</v>
      </c>
      <c r="U305" t="s">
        <v>1174</v>
      </c>
      <c r="V305">
        <v>1</v>
      </c>
      <c r="W305" t="s">
        <v>1174</v>
      </c>
      <c r="X305" t="s">
        <v>1175</v>
      </c>
      <c r="Y305">
        <v>1</v>
      </c>
      <c r="Z305">
        <v>-0.207529142124497</v>
      </c>
      <c r="AA305">
        <v>-0.20762331317857</v>
      </c>
      <c r="AB305">
        <v>-0.13361559541930601</v>
      </c>
      <c r="AC305">
        <v>-0.233930713898064</v>
      </c>
    </row>
    <row r="306" spans="1:29" x14ac:dyDescent="0.2">
      <c r="A306">
        <v>305</v>
      </c>
      <c r="B306" t="s">
        <v>469</v>
      </c>
      <c r="C306" t="s">
        <v>196</v>
      </c>
      <c r="D306" t="s">
        <v>193</v>
      </c>
      <c r="E306">
        <v>-0.324091680158898</v>
      </c>
      <c r="F306">
        <v>-1</v>
      </c>
      <c r="G306">
        <v>-0.20735161105434599</v>
      </c>
      <c r="H306">
        <v>-1</v>
      </c>
      <c r="I306">
        <v>-0.79264838894565404</v>
      </c>
      <c r="J306">
        <v>-0.675908319841102</v>
      </c>
      <c r="K306">
        <v>-0.20735161105434599</v>
      </c>
      <c r="L306">
        <v>-0.324091680158898</v>
      </c>
      <c r="M306">
        <v>-0.79264838894565404</v>
      </c>
      <c r="N306">
        <v>-0.675908319841102</v>
      </c>
      <c r="O306">
        <v>-0.79264838894565404</v>
      </c>
      <c r="P306">
        <v>-0.675908319841102</v>
      </c>
      <c r="Q306" t="s">
        <v>1067</v>
      </c>
      <c r="R306" t="s">
        <v>1067</v>
      </c>
      <c r="S306" t="s">
        <v>1067</v>
      </c>
      <c r="T306" t="s">
        <v>1067</v>
      </c>
      <c r="U306" t="s">
        <v>1174</v>
      </c>
      <c r="V306">
        <v>1</v>
      </c>
      <c r="W306" t="s">
        <v>944</v>
      </c>
      <c r="X306" t="s">
        <v>1175</v>
      </c>
      <c r="Y306">
        <v>1</v>
      </c>
      <c r="Z306">
        <v>-0.208627842827591</v>
      </c>
      <c r="AA306">
        <v>-0.20445504781802401</v>
      </c>
      <c r="AB306">
        <v>-0.14032552414069699</v>
      </c>
      <c r="AC306">
        <v>-0.231811827674683</v>
      </c>
    </row>
    <row r="307" spans="1:29" x14ac:dyDescent="0.2">
      <c r="A307">
        <v>306</v>
      </c>
      <c r="B307" t="s">
        <v>470</v>
      </c>
      <c r="C307" t="s">
        <v>196</v>
      </c>
      <c r="D307" t="s">
        <v>142</v>
      </c>
      <c r="E307">
        <v>0.21233011354055401</v>
      </c>
      <c r="F307">
        <v>0.80781085276070697</v>
      </c>
      <c r="G307">
        <v>1.3022040560156E-2</v>
      </c>
      <c r="H307">
        <v>0.82755391164928305</v>
      </c>
      <c r="I307">
        <v>0.81453187108912695</v>
      </c>
      <c r="J307">
        <v>0.59548073922015299</v>
      </c>
      <c r="K307">
        <v>0.21233011354055401</v>
      </c>
      <c r="L307">
        <v>1.3022040560156E-2</v>
      </c>
      <c r="M307">
        <v>0.59548073922015299</v>
      </c>
      <c r="N307">
        <v>0.79478881220055098</v>
      </c>
      <c r="O307">
        <v>0.61522379810872896</v>
      </c>
      <c r="P307">
        <v>0.81453187108912695</v>
      </c>
      <c r="Q307" t="s">
        <v>1068</v>
      </c>
      <c r="R307" t="s">
        <v>1068</v>
      </c>
      <c r="S307" t="s">
        <v>1173</v>
      </c>
      <c r="T307" t="s">
        <v>1068</v>
      </c>
      <c r="U307" t="s">
        <v>944</v>
      </c>
      <c r="V307">
        <v>0</v>
      </c>
      <c r="W307" t="s">
        <v>944</v>
      </c>
      <c r="X307" t="s">
        <v>1175</v>
      </c>
      <c r="Y307">
        <v>1</v>
      </c>
      <c r="Z307">
        <v>0.76153477897189803</v>
      </c>
      <c r="AA307">
        <v>-0.15870044614120599</v>
      </c>
      <c r="AB307">
        <v>0.88811202703273096</v>
      </c>
      <c r="AC307">
        <v>-0.1018242339456</v>
      </c>
    </row>
    <row r="308" spans="1:29" x14ac:dyDescent="0.2">
      <c r="A308">
        <v>307</v>
      </c>
      <c r="B308" t="s">
        <v>471</v>
      </c>
      <c r="C308" t="s">
        <v>196</v>
      </c>
      <c r="D308" t="s">
        <v>144</v>
      </c>
      <c r="E308">
        <v>-0.14732991345750801</v>
      </c>
      <c r="F308">
        <v>-0.151187736435551</v>
      </c>
      <c r="G308">
        <v>1.4728124794212E-2</v>
      </c>
      <c r="H308">
        <v>-0.267521614835663</v>
      </c>
      <c r="I308">
        <v>-0.28224973962987498</v>
      </c>
      <c r="J308">
        <v>-3.8578229780429898E-3</v>
      </c>
      <c r="K308">
        <v>1.4728124794212E-2</v>
      </c>
      <c r="L308">
        <v>-0.14732991345750801</v>
      </c>
      <c r="M308">
        <v>-0.16591586122976301</v>
      </c>
      <c r="N308">
        <v>-3.8578229780429898E-3</v>
      </c>
      <c r="O308">
        <v>-0.28224973962987498</v>
      </c>
      <c r="P308">
        <v>-0.12019170137815501</v>
      </c>
      <c r="Q308" t="s">
        <v>1067</v>
      </c>
      <c r="R308" t="s">
        <v>1067</v>
      </c>
      <c r="S308" t="s">
        <v>1173</v>
      </c>
      <c r="T308" t="s">
        <v>1067</v>
      </c>
      <c r="U308" t="s">
        <v>1174</v>
      </c>
      <c r="V308">
        <v>1</v>
      </c>
      <c r="W308" t="s">
        <v>944</v>
      </c>
      <c r="X308" t="s">
        <v>1175</v>
      </c>
      <c r="Y308">
        <v>0</v>
      </c>
      <c r="Z308">
        <v>-6.5770915809361993E-2</v>
      </c>
      <c r="AA308">
        <v>-0.258385290077008</v>
      </c>
      <c r="AB308">
        <v>4.0546041767586999E-2</v>
      </c>
      <c r="AC308">
        <v>-0.28993094403369901</v>
      </c>
    </row>
    <row r="309" spans="1:29" x14ac:dyDescent="0.2">
      <c r="A309">
        <v>308</v>
      </c>
      <c r="B309" t="s">
        <v>472</v>
      </c>
      <c r="C309" t="s">
        <v>196</v>
      </c>
      <c r="D309" t="s">
        <v>146</v>
      </c>
      <c r="E309">
        <v>-0.127086047696777</v>
      </c>
      <c r="F309">
        <v>-0.13291527341041501</v>
      </c>
      <c r="G309">
        <v>-0.16877682934065999</v>
      </c>
      <c r="H309">
        <v>-0.26261529816661999</v>
      </c>
      <c r="I309">
        <v>-9.3838468825960003E-2</v>
      </c>
      <c r="J309">
        <v>-5.8292257136379998E-3</v>
      </c>
      <c r="K309">
        <v>-0.127086047696777</v>
      </c>
      <c r="L309">
        <v>-0.16877682934065999</v>
      </c>
      <c r="M309">
        <v>-5.8292257136379998E-3</v>
      </c>
      <c r="N309">
        <v>3.5861555930245002E-2</v>
      </c>
      <c r="O309">
        <v>-0.13552925046984299</v>
      </c>
      <c r="P309">
        <v>-9.3838468825960003E-2</v>
      </c>
      <c r="Q309" t="s">
        <v>1067</v>
      </c>
      <c r="R309" t="s">
        <v>1067</v>
      </c>
      <c r="S309" t="s">
        <v>1067</v>
      </c>
      <c r="T309" t="s">
        <v>1067</v>
      </c>
      <c r="U309" t="s">
        <v>1174</v>
      </c>
      <c r="V309">
        <v>1</v>
      </c>
      <c r="W309" t="s">
        <v>944</v>
      </c>
      <c r="X309" t="s">
        <v>1175</v>
      </c>
      <c r="Y309">
        <v>0</v>
      </c>
      <c r="Z309">
        <v>-3.876462409795E-2</v>
      </c>
      <c r="AA309">
        <v>-0.19267696764366701</v>
      </c>
      <c r="AB309">
        <v>-0.14104975354506</v>
      </c>
      <c r="AC309">
        <v>-0.31341806876898298</v>
      </c>
    </row>
    <row r="310" spans="1:29" x14ac:dyDescent="0.2">
      <c r="A310">
        <v>309</v>
      </c>
      <c r="B310" t="s">
        <v>473</v>
      </c>
      <c r="C310" t="s">
        <v>196</v>
      </c>
      <c r="D310" t="s">
        <v>200</v>
      </c>
      <c r="E310">
        <v>0.75758561387998402</v>
      </c>
      <c r="F310">
        <v>0.86401707140894402</v>
      </c>
      <c r="G310">
        <v>0.573056127854218</v>
      </c>
      <c r="H310">
        <v>0.84706562461545098</v>
      </c>
      <c r="I310">
        <v>0.27400949676123298</v>
      </c>
      <c r="J310">
        <v>0.10643145752895999</v>
      </c>
      <c r="K310">
        <v>0.75758561387998402</v>
      </c>
      <c r="L310">
        <v>0.573056127854218</v>
      </c>
      <c r="M310">
        <v>0.10643145752895999</v>
      </c>
      <c r="N310">
        <v>0.29096094355472601</v>
      </c>
      <c r="O310">
        <v>8.9480010735467005E-2</v>
      </c>
      <c r="P310">
        <v>0.27400949676123298</v>
      </c>
      <c r="Q310" t="s">
        <v>1068</v>
      </c>
      <c r="R310" t="s">
        <v>1068</v>
      </c>
      <c r="S310" t="s">
        <v>1068</v>
      </c>
      <c r="T310" t="s">
        <v>1068</v>
      </c>
      <c r="U310" t="s">
        <v>944</v>
      </c>
      <c r="V310">
        <v>0</v>
      </c>
      <c r="W310" t="s">
        <v>944</v>
      </c>
      <c r="X310" t="s">
        <v>1175</v>
      </c>
      <c r="Y310">
        <v>1</v>
      </c>
      <c r="Z310">
        <v>-4.0930692332895001E-2</v>
      </c>
      <c r="AA310">
        <v>-0.22138559308585201</v>
      </c>
      <c r="AB310">
        <v>0.16179311386680301</v>
      </c>
      <c r="AC310">
        <v>-0.197736711265494</v>
      </c>
    </row>
    <row r="311" spans="1:29" x14ac:dyDescent="0.2">
      <c r="A311">
        <v>310</v>
      </c>
      <c r="B311" t="s">
        <v>474</v>
      </c>
      <c r="C311" t="s">
        <v>196</v>
      </c>
      <c r="D311" t="s">
        <v>148</v>
      </c>
      <c r="E311">
        <v>-0.57021224525162795</v>
      </c>
      <c r="F311">
        <v>-1</v>
      </c>
      <c r="G311">
        <v>1.30641823386386E-2</v>
      </c>
      <c r="H311">
        <v>-1</v>
      </c>
      <c r="I311">
        <v>-1.0130641823386399</v>
      </c>
      <c r="J311">
        <v>-0.429787754748372</v>
      </c>
      <c r="K311">
        <v>1.30641823386386E-2</v>
      </c>
      <c r="L311">
        <v>-0.57021224525162795</v>
      </c>
      <c r="M311">
        <v>-1.0130641823386399</v>
      </c>
      <c r="N311">
        <v>-0.429787754748372</v>
      </c>
      <c r="O311">
        <v>-1.0130641823386399</v>
      </c>
      <c r="P311">
        <v>-0.429787754748372</v>
      </c>
      <c r="Q311" t="s">
        <v>1067</v>
      </c>
      <c r="R311" t="s">
        <v>1067</v>
      </c>
      <c r="S311" t="s">
        <v>1173</v>
      </c>
      <c r="T311" t="s">
        <v>1067</v>
      </c>
      <c r="U311" t="s">
        <v>1174</v>
      </c>
      <c r="V311">
        <v>1</v>
      </c>
      <c r="W311" t="s">
        <v>944</v>
      </c>
      <c r="X311" t="s">
        <v>1175</v>
      </c>
      <c r="Y311">
        <v>1</v>
      </c>
      <c r="Z311">
        <v>-0.39808790428770502</v>
      </c>
      <c r="AA311">
        <v>-0.29844957844724901</v>
      </c>
      <c r="AB311">
        <v>-0.100346172402185</v>
      </c>
      <c r="AC311">
        <v>-0.230349502997378</v>
      </c>
    </row>
    <row r="312" spans="1:29" x14ac:dyDescent="0.2">
      <c r="A312">
        <v>311</v>
      </c>
      <c r="B312" t="s">
        <v>475</v>
      </c>
      <c r="C312" t="s">
        <v>196</v>
      </c>
      <c r="D312" t="s">
        <v>150</v>
      </c>
      <c r="E312">
        <v>-0.12582588112847801</v>
      </c>
      <c r="F312">
        <v>-0.13045455512769599</v>
      </c>
      <c r="G312">
        <v>-8.1396368295315394E-2</v>
      </c>
      <c r="H312">
        <v>-0.25846067613731399</v>
      </c>
      <c r="I312">
        <v>-0.177064307841999</v>
      </c>
      <c r="J312">
        <v>-4.6286739992179903E-3</v>
      </c>
      <c r="K312">
        <v>-8.1396368295315394E-2</v>
      </c>
      <c r="L312">
        <v>-0.12582588112847801</v>
      </c>
      <c r="M312">
        <v>-4.9058186832380599E-2</v>
      </c>
      <c r="N312">
        <v>-4.6286739992179903E-3</v>
      </c>
      <c r="O312">
        <v>-0.177064307841999</v>
      </c>
      <c r="P312">
        <v>-0.13263479500883599</v>
      </c>
      <c r="Q312" t="s">
        <v>1067</v>
      </c>
      <c r="R312" t="s">
        <v>1067</v>
      </c>
      <c r="S312" t="s">
        <v>1173</v>
      </c>
      <c r="T312" t="s">
        <v>1067</v>
      </c>
      <c r="U312" t="s">
        <v>1174</v>
      </c>
      <c r="V312">
        <v>1</v>
      </c>
      <c r="W312" t="s">
        <v>944</v>
      </c>
      <c r="X312" t="s">
        <v>1175</v>
      </c>
      <c r="Y312">
        <v>0</v>
      </c>
      <c r="Z312">
        <v>-0.127738155974117</v>
      </c>
      <c r="AA312">
        <v>-0.22958982031181299</v>
      </c>
      <c r="AB312">
        <v>-0.14409733742335701</v>
      </c>
      <c r="AC312">
        <v>-0.31407261944302201</v>
      </c>
    </row>
    <row r="313" spans="1:29" x14ac:dyDescent="0.2">
      <c r="A313">
        <v>312</v>
      </c>
      <c r="B313" t="s">
        <v>476</v>
      </c>
      <c r="C313" t="s">
        <v>196</v>
      </c>
      <c r="D313" t="s">
        <v>204</v>
      </c>
      <c r="E313">
        <v>-1.2174102310317E-2</v>
      </c>
      <c r="F313">
        <v>-1</v>
      </c>
      <c r="G313">
        <v>4.1236202626167798E-2</v>
      </c>
      <c r="H313">
        <v>-1</v>
      </c>
      <c r="I313">
        <v>-1.0412362026261699</v>
      </c>
      <c r="J313">
        <v>-0.98782589768968299</v>
      </c>
      <c r="K313">
        <v>4.1236202626167798E-2</v>
      </c>
      <c r="L313">
        <v>-1.2174102310317E-2</v>
      </c>
      <c r="M313">
        <v>-1.0412362026261699</v>
      </c>
      <c r="N313">
        <v>-0.98782589768968299</v>
      </c>
      <c r="O313">
        <v>-1.0412362026261699</v>
      </c>
      <c r="P313">
        <v>-0.98782589768968299</v>
      </c>
      <c r="Q313" t="s">
        <v>1173</v>
      </c>
      <c r="R313" t="s">
        <v>1067</v>
      </c>
      <c r="S313" t="s">
        <v>1173</v>
      </c>
      <c r="T313" t="s">
        <v>1067</v>
      </c>
      <c r="U313" t="s">
        <v>1174</v>
      </c>
      <c r="V313">
        <v>1</v>
      </c>
      <c r="W313" t="s">
        <v>1174</v>
      </c>
      <c r="X313" t="s">
        <v>1175</v>
      </c>
      <c r="Y313">
        <v>1</v>
      </c>
      <c r="Z313">
        <v>-0.307530397131277</v>
      </c>
      <c r="AA313">
        <v>-0.246951428765111</v>
      </c>
      <c r="AB313">
        <v>-0.137099228894417</v>
      </c>
      <c r="AC313">
        <v>-0.23197449868256301</v>
      </c>
    </row>
    <row r="314" spans="1:29" x14ac:dyDescent="0.2">
      <c r="A314">
        <v>313</v>
      </c>
      <c r="B314" t="s">
        <v>477</v>
      </c>
      <c r="C314" t="s">
        <v>196</v>
      </c>
      <c r="D314" t="s">
        <v>152</v>
      </c>
      <c r="E314">
        <v>0.211932624915182</v>
      </c>
      <c r="F314">
        <v>0.80774027683433303</v>
      </c>
      <c r="G314">
        <v>1.3022040560156E-2</v>
      </c>
      <c r="H314">
        <v>0.82740889980766097</v>
      </c>
      <c r="I314">
        <v>0.81438685924750498</v>
      </c>
      <c r="J314">
        <v>0.59580765191915097</v>
      </c>
      <c r="K314">
        <v>0.211932624915182</v>
      </c>
      <c r="L314">
        <v>1.3022040560156E-2</v>
      </c>
      <c r="M314">
        <v>0.59580765191915097</v>
      </c>
      <c r="N314">
        <v>0.79471823627417704</v>
      </c>
      <c r="O314">
        <v>0.61547627489247902</v>
      </c>
      <c r="P314">
        <v>0.81438685924750498</v>
      </c>
      <c r="Q314" t="s">
        <v>1068</v>
      </c>
      <c r="R314" t="s">
        <v>1068</v>
      </c>
      <c r="S314" t="s">
        <v>1173</v>
      </c>
      <c r="T314" t="s">
        <v>1068</v>
      </c>
      <c r="U314" t="s">
        <v>944</v>
      </c>
      <c r="V314">
        <v>0</v>
      </c>
      <c r="W314" t="s">
        <v>944</v>
      </c>
      <c r="X314" t="s">
        <v>1175</v>
      </c>
      <c r="Y314">
        <v>1</v>
      </c>
      <c r="Z314">
        <v>0.76166202414883299</v>
      </c>
      <c r="AA314">
        <v>-0.15868511220306999</v>
      </c>
      <c r="AB314">
        <v>0.88842195853359096</v>
      </c>
      <c r="AC314">
        <v>-0.101823213158217</v>
      </c>
    </row>
    <row r="315" spans="1:29" x14ac:dyDescent="0.2">
      <c r="A315">
        <v>314</v>
      </c>
      <c r="B315" t="s">
        <v>478</v>
      </c>
      <c r="C315" t="s">
        <v>196</v>
      </c>
      <c r="D315" t="s">
        <v>207</v>
      </c>
      <c r="E315">
        <v>-0.33185575202303602</v>
      </c>
      <c r="F315">
        <v>-0.21476984920577</v>
      </c>
      <c r="G315">
        <v>-0.103544875270355</v>
      </c>
      <c r="H315">
        <v>-0.357403389857263</v>
      </c>
      <c r="I315">
        <v>-0.253858514586908</v>
      </c>
      <c r="J315">
        <v>0.117085902817266</v>
      </c>
      <c r="K315">
        <v>-0.103544875270355</v>
      </c>
      <c r="L315">
        <v>-0.33185575202303602</v>
      </c>
      <c r="M315">
        <v>-0.111224973935415</v>
      </c>
      <c r="N315">
        <v>0.117085902817266</v>
      </c>
      <c r="O315">
        <v>-0.253858514586908</v>
      </c>
      <c r="P315">
        <v>-2.5547637834227001E-2</v>
      </c>
      <c r="Q315" t="s">
        <v>1067</v>
      </c>
      <c r="R315" t="s">
        <v>1067</v>
      </c>
      <c r="S315" t="s">
        <v>1067</v>
      </c>
      <c r="T315" t="s">
        <v>1067</v>
      </c>
      <c r="U315" t="s">
        <v>944</v>
      </c>
      <c r="V315">
        <v>1</v>
      </c>
      <c r="W315" t="s">
        <v>944</v>
      </c>
      <c r="X315" t="s">
        <v>1175</v>
      </c>
      <c r="Y315">
        <v>1</v>
      </c>
      <c r="Z315">
        <v>-0.230451445567457</v>
      </c>
      <c r="AA315">
        <v>-0.231605426146897</v>
      </c>
      <c r="AB315">
        <v>-7.3737637894250002E-2</v>
      </c>
      <c r="AC315">
        <v>-0.222676347867649</v>
      </c>
    </row>
    <row r="316" spans="1:29" x14ac:dyDescent="0.2">
      <c r="A316">
        <v>315</v>
      </c>
      <c r="B316" t="s">
        <v>479</v>
      </c>
      <c r="C316" t="s">
        <v>196</v>
      </c>
      <c r="D316" t="s">
        <v>209</v>
      </c>
      <c r="E316">
        <v>0.62478702953380405</v>
      </c>
      <c r="F316">
        <v>0.53439716668230297</v>
      </c>
      <c r="G316">
        <v>0.50215685047077796</v>
      </c>
      <c r="H316">
        <v>0.47663722960141403</v>
      </c>
      <c r="I316">
        <v>-2.55196208693639E-2</v>
      </c>
      <c r="J316">
        <v>-9.0389862851501093E-2</v>
      </c>
      <c r="K316">
        <v>0.62478702953380405</v>
      </c>
      <c r="L316">
        <v>0.50215685047077796</v>
      </c>
      <c r="M316">
        <v>-9.0389862851501093E-2</v>
      </c>
      <c r="N316">
        <v>3.2240316211524997E-2</v>
      </c>
      <c r="O316">
        <v>-0.14814979993239</v>
      </c>
      <c r="P316">
        <v>-2.55196208693639E-2</v>
      </c>
      <c r="Q316" t="s">
        <v>1068</v>
      </c>
      <c r="R316" t="s">
        <v>1068</v>
      </c>
      <c r="S316" t="s">
        <v>1068</v>
      </c>
      <c r="T316" t="s">
        <v>1068</v>
      </c>
      <c r="U316" t="s">
        <v>1174</v>
      </c>
      <c r="V316">
        <v>1</v>
      </c>
      <c r="W316" t="s">
        <v>944</v>
      </c>
      <c r="X316" t="s">
        <v>1175</v>
      </c>
      <c r="Y316">
        <v>0</v>
      </c>
      <c r="Z316">
        <v>-0.25125681659969501</v>
      </c>
      <c r="AA316">
        <v>-0.23964376278737101</v>
      </c>
      <c r="AB316">
        <v>-8.3988465683297001E-2</v>
      </c>
      <c r="AC316">
        <v>-0.22685981590426699</v>
      </c>
    </row>
    <row r="317" spans="1:29" x14ac:dyDescent="0.2">
      <c r="A317">
        <v>316</v>
      </c>
      <c r="B317" t="s">
        <v>480</v>
      </c>
      <c r="C317" t="s">
        <v>196</v>
      </c>
      <c r="D317" t="s">
        <v>154</v>
      </c>
      <c r="E317">
        <v>-5.6963053602400303E-2</v>
      </c>
      <c r="F317">
        <v>-1</v>
      </c>
      <c r="G317">
        <v>4.12362025673274E-2</v>
      </c>
      <c r="H317">
        <v>-1</v>
      </c>
      <c r="I317">
        <v>-1.0412362025673301</v>
      </c>
      <c r="J317">
        <v>-0.94303694639760005</v>
      </c>
      <c r="K317">
        <v>4.12362025673274E-2</v>
      </c>
      <c r="L317">
        <v>-5.6963053602400303E-2</v>
      </c>
      <c r="M317">
        <v>-1.0412362025673301</v>
      </c>
      <c r="N317">
        <v>-0.94303694639760005</v>
      </c>
      <c r="O317">
        <v>-1.0412362025673301</v>
      </c>
      <c r="P317">
        <v>-0.94303694639760005</v>
      </c>
      <c r="Q317" t="s">
        <v>1173</v>
      </c>
      <c r="R317" t="s">
        <v>1067</v>
      </c>
      <c r="S317" t="s">
        <v>1173</v>
      </c>
      <c r="T317" t="s">
        <v>1067</v>
      </c>
      <c r="U317" t="s">
        <v>1174</v>
      </c>
      <c r="V317">
        <v>1</v>
      </c>
      <c r="W317" t="s">
        <v>944</v>
      </c>
      <c r="X317" t="s">
        <v>1175</v>
      </c>
      <c r="Y317">
        <v>1</v>
      </c>
      <c r="Z317">
        <v>-0.310376303952687</v>
      </c>
      <c r="AA317">
        <v>-0.24729438053216499</v>
      </c>
      <c r="AB317">
        <v>-0.13980413677869899</v>
      </c>
      <c r="AC317">
        <v>-0.23226231773407299</v>
      </c>
    </row>
    <row r="318" spans="1:29" x14ac:dyDescent="0.2">
      <c r="A318">
        <v>317</v>
      </c>
      <c r="B318" t="s">
        <v>481</v>
      </c>
      <c r="C318" t="s">
        <v>196</v>
      </c>
      <c r="D318" t="s">
        <v>156</v>
      </c>
      <c r="E318">
        <v>-0.30082209257466003</v>
      </c>
      <c r="F318">
        <v>0.19944844408651299</v>
      </c>
      <c r="G318">
        <v>1.3022040560156E-2</v>
      </c>
      <c r="H318">
        <v>0.111424530607832</v>
      </c>
      <c r="I318">
        <v>9.8402490047675997E-2</v>
      </c>
      <c r="J318">
        <v>0.50027053666117305</v>
      </c>
      <c r="K318">
        <v>1.3022040560156E-2</v>
      </c>
      <c r="L318">
        <v>-0.30082209257466003</v>
      </c>
      <c r="M318">
        <v>0.186426403526357</v>
      </c>
      <c r="N318">
        <v>0.50027053666117305</v>
      </c>
      <c r="O318">
        <v>9.8402490047675997E-2</v>
      </c>
      <c r="P318">
        <v>0.412246623182492</v>
      </c>
      <c r="Q318" t="s">
        <v>1067</v>
      </c>
      <c r="R318" t="s">
        <v>1068</v>
      </c>
      <c r="S318" t="s">
        <v>1173</v>
      </c>
      <c r="T318" t="s">
        <v>1068</v>
      </c>
      <c r="U318" t="s">
        <v>944</v>
      </c>
      <c r="V318">
        <v>0</v>
      </c>
      <c r="W318" t="s">
        <v>944</v>
      </c>
      <c r="X318" t="s">
        <v>1175</v>
      </c>
      <c r="Y318">
        <v>1</v>
      </c>
      <c r="Z318">
        <v>-0.17935645752256299</v>
      </c>
      <c r="AA318">
        <v>-0.272084452993332</v>
      </c>
      <c r="AB318">
        <v>0.136874332300608</v>
      </c>
      <c r="AC318">
        <v>-0.197504667354577</v>
      </c>
    </row>
    <row r="319" spans="1:29" x14ac:dyDescent="0.2">
      <c r="A319">
        <v>318</v>
      </c>
      <c r="B319" t="s">
        <v>482</v>
      </c>
      <c r="C319" t="s">
        <v>196</v>
      </c>
      <c r="D319" t="s">
        <v>158</v>
      </c>
      <c r="E319">
        <v>-0.46668933467686202</v>
      </c>
      <c r="F319">
        <v>-1</v>
      </c>
      <c r="G319">
        <v>-0.102551500740569</v>
      </c>
      <c r="H319">
        <v>-1</v>
      </c>
      <c r="I319">
        <v>-0.89744849925943104</v>
      </c>
      <c r="J319">
        <v>-0.53331066532313798</v>
      </c>
      <c r="K319">
        <v>-0.102551500740569</v>
      </c>
      <c r="L319">
        <v>-0.46668933467686202</v>
      </c>
      <c r="M319">
        <v>-0.89744849925943104</v>
      </c>
      <c r="N319">
        <v>-0.53331066532313798</v>
      </c>
      <c r="O319">
        <v>-0.89744849925943104</v>
      </c>
      <c r="P319">
        <v>-0.53331066532313798</v>
      </c>
      <c r="Q319" t="s">
        <v>1067</v>
      </c>
      <c r="R319" t="s">
        <v>1067</v>
      </c>
      <c r="S319" t="s">
        <v>1067</v>
      </c>
      <c r="T319" t="s">
        <v>1067</v>
      </c>
      <c r="U319" t="s">
        <v>1174</v>
      </c>
      <c r="V319">
        <v>1</v>
      </c>
      <c r="W319" t="s">
        <v>944</v>
      </c>
      <c r="X319" t="s">
        <v>1175</v>
      </c>
      <c r="Y319">
        <v>1</v>
      </c>
      <c r="Z319">
        <v>-0.316496890548567</v>
      </c>
      <c r="AA319">
        <v>-0.24847559729665</v>
      </c>
      <c r="AB319">
        <v>-0.14627126553697001</v>
      </c>
      <c r="AC319">
        <v>-0.23307753470897399</v>
      </c>
    </row>
    <row r="320" spans="1:29" x14ac:dyDescent="0.2">
      <c r="A320">
        <v>319</v>
      </c>
      <c r="B320" t="s">
        <v>483</v>
      </c>
      <c r="C320" t="s">
        <v>196</v>
      </c>
      <c r="D320" t="s">
        <v>214</v>
      </c>
      <c r="E320">
        <v>-0.46600259614161499</v>
      </c>
      <c r="F320">
        <v>-1</v>
      </c>
      <c r="G320">
        <v>-8.6456583097636999E-2</v>
      </c>
      <c r="H320">
        <v>-1</v>
      </c>
      <c r="I320">
        <v>-0.91354341690236296</v>
      </c>
      <c r="J320">
        <v>-0.53399740385838501</v>
      </c>
      <c r="K320">
        <v>-8.6456583097636999E-2</v>
      </c>
      <c r="L320">
        <v>-0.46600259614161499</v>
      </c>
      <c r="M320">
        <v>-0.91354341690236296</v>
      </c>
      <c r="N320">
        <v>-0.53399740385838501</v>
      </c>
      <c r="O320">
        <v>-0.91354341690236296</v>
      </c>
      <c r="P320">
        <v>-0.53399740385838501</v>
      </c>
      <c r="Q320" t="s">
        <v>1067</v>
      </c>
      <c r="R320" t="s">
        <v>1067</v>
      </c>
      <c r="S320" t="s">
        <v>1173</v>
      </c>
      <c r="T320" t="s">
        <v>1067</v>
      </c>
      <c r="U320" t="s">
        <v>1174</v>
      </c>
      <c r="V320">
        <v>1</v>
      </c>
      <c r="W320" t="s">
        <v>944</v>
      </c>
      <c r="X320" t="s">
        <v>1175</v>
      </c>
      <c r="Y320">
        <v>1</v>
      </c>
      <c r="Z320">
        <v>-0.31898397757295899</v>
      </c>
      <c r="AA320">
        <v>-0.24850215576470799</v>
      </c>
      <c r="AB320">
        <v>-0.150293859702048</v>
      </c>
      <c r="AC320">
        <v>-0.23368969737836001</v>
      </c>
    </row>
    <row r="321" spans="1:29" x14ac:dyDescent="0.2">
      <c r="A321">
        <v>320</v>
      </c>
      <c r="B321" t="s">
        <v>484</v>
      </c>
      <c r="C321" t="s">
        <v>196</v>
      </c>
      <c r="D321" t="s">
        <v>160</v>
      </c>
      <c r="E321">
        <v>0.19791826628615999</v>
      </c>
      <c r="F321">
        <v>0.35254870352866802</v>
      </c>
      <c r="G321">
        <v>1.24712436658667E-2</v>
      </c>
      <c r="H321">
        <v>0.29270666400398498</v>
      </c>
      <c r="I321">
        <v>0.28023542033811799</v>
      </c>
      <c r="J321">
        <v>0.154630437242508</v>
      </c>
      <c r="K321">
        <v>0.19791826628615999</v>
      </c>
      <c r="L321">
        <v>1.24712436658667E-2</v>
      </c>
      <c r="M321">
        <v>0.154630437242508</v>
      </c>
      <c r="N321">
        <v>0.34007745986280102</v>
      </c>
      <c r="O321">
        <v>9.4788397717825004E-2</v>
      </c>
      <c r="P321">
        <v>0.28023542033811799</v>
      </c>
      <c r="Q321" t="s">
        <v>1068</v>
      </c>
      <c r="R321" t="s">
        <v>1068</v>
      </c>
      <c r="S321" t="s">
        <v>1173</v>
      </c>
      <c r="T321" t="s">
        <v>1068</v>
      </c>
      <c r="U321" t="s">
        <v>944</v>
      </c>
      <c r="V321">
        <v>0</v>
      </c>
      <c r="W321" t="s">
        <v>944</v>
      </c>
      <c r="X321" t="s">
        <v>1175</v>
      </c>
      <c r="Y321">
        <v>1</v>
      </c>
      <c r="Z321">
        <v>-0.218081864473821</v>
      </c>
      <c r="AA321">
        <v>-0.276536232640262</v>
      </c>
      <c r="AB321">
        <v>9.2001393309172494E-2</v>
      </c>
      <c r="AC321">
        <v>-0.203851771937378</v>
      </c>
    </row>
    <row r="322" spans="1:29" x14ac:dyDescent="0.2">
      <c r="A322">
        <v>321</v>
      </c>
      <c r="B322" t="s">
        <v>485</v>
      </c>
      <c r="C322" t="s">
        <v>196</v>
      </c>
      <c r="D322" t="s">
        <v>162</v>
      </c>
      <c r="E322">
        <v>-0.12582588112847801</v>
      </c>
      <c r="F322">
        <v>-8.7469711536811004E-2</v>
      </c>
      <c r="G322">
        <v>-4.5267693427938301E-2</v>
      </c>
      <c r="H322">
        <v>-0.206154498442847</v>
      </c>
      <c r="I322">
        <v>-0.16088680501490901</v>
      </c>
      <c r="J322">
        <v>3.8356169591667003E-2</v>
      </c>
      <c r="K322">
        <v>-4.5267693427938301E-2</v>
      </c>
      <c r="L322">
        <v>-0.12582588112847801</v>
      </c>
      <c r="M322">
        <v>-4.2202018108872703E-2</v>
      </c>
      <c r="N322">
        <v>3.8356169591667003E-2</v>
      </c>
      <c r="O322">
        <v>-0.16088680501490901</v>
      </c>
      <c r="P322">
        <v>-8.0328617314368994E-2</v>
      </c>
      <c r="Q322" t="s">
        <v>1067</v>
      </c>
      <c r="R322" t="s">
        <v>1173</v>
      </c>
      <c r="S322" t="s">
        <v>1173</v>
      </c>
      <c r="T322" t="s">
        <v>1067</v>
      </c>
      <c r="U322" t="s">
        <v>944</v>
      </c>
      <c r="V322">
        <v>1</v>
      </c>
      <c r="W322" t="s">
        <v>944</v>
      </c>
      <c r="X322" t="s">
        <v>1175</v>
      </c>
      <c r="Y322">
        <v>0</v>
      </c>
      <c r="Z322">
        <v>-0.10833995054415201</v>
      </c>
      <c r="AA322">
        <v>-0.22189922380218499</v>
      </c>
      <c r="AB322">
        <v>-0.14270477166354401</v>
      </c>
      <c r="AC322">
        <v>-0.31389054483679002</v>
      </c>
    </row>
    <row r="323" spans="1:29" x14ac:dyDescent="0.2">
      <c r="A323">
        <v>322</v>
      </c>
      <c r="B323" t="s">
        <v>486</v>
      </c>
      <c r="C323" t="s">
        <v>196</v>
      </c>
      <c r="D323" t="s">
        <v>218</v>
      </c>
      <c r="E323">
        <v>-0.29995594752955601</v>
      </c>
      <c r="F323">
        <v>0.55339929573212099</v>
      </c>
      <c r="G323">
        <v>-0.13287612663052201</v>
      </c>
      <c r="H323">
        <v>0.50319503086210704</v>
      </c>
      <c r="I323">
        <v>0.63607115749262899</v>
      </c>
      <c r="J323">
        <v>0.853355243261677</v>
      </c>
      <c r="K323">
        <v>-0.13287612663052201</v>
      </c>
      <c r="L323">
        <v>-0.29995594752955601</v>
      </c>
      <c r="M323">
        <v>0.68627542236264305</v>
      </c>
      <c r="N323">
        <v>0.853355243261677</v>
      </c>
      <c r="O323">
        <v>0.63607115749262899</v>
      </c>
      <c r="P323">
        <v>0.80315097839166305</v>
      </c>
      <c r="Q323" t="s">
        <v>1067</v>
      </c>
      <c r="R323" t="s">
        <v>1068</v>
      </c>
      <c r="S323" t="s">
        <v>1067</v>
      </c>
      <c r="T323" t="s">
        <v>1068</v>
      </c>
      <c r="U323" t="s">
        <v>944</v>
      </c>
      <c r="V323">
        <v>0</v>
      </c>
      <c r="W323" t="s">
        <v>944</v>
      </c>
      <c r="X323" t="s">
        <v>1175</v>
      </c>
      <c r="Y323">
        <v>1</v>
      </c>
      <c r="Z323">
        <v>0.116161213358546</v>
      </c>
      <c r="AA323">
        <v>-0.18323694525557299</v>
      </c>
      <c r="AB323">
        <v>0.26746777245730602</v>
      </c>
      <c r="AC323">
        <v>-0.18034717303044601</v>
      </c>
    </row>
    <row r="324" spans="1:29" x14ac:dyDescent="0.2">
      <c r="A324">
        <v>323</v>
      </c>
      <c r="B324" t="s">
        <v>487</v>
      </c>
      <c r="C324" t="s">
        <v>196</v>
      </c>
      <c r="D324" t="s">
        <v>220</v>
      </c>
      <c r="E324">
        <v>-0.12582588112847801</v>
      </c>
      <c r="F324">
        <v>-0.13092328519403701</v>
      </c>
      <c r="G324">
        <v>-9.7790974634015496E-2</v>
      </c>
      <c r="H324">
        <v>-0.25648845005992599</v>
      </c>
      <c r="I324">
        <v>-0.15869747542591001</v>
      </c>
      <c r="J324">
        <v>-5.0974040655589999E-3</v>
      </c>
      <c r="K324">
        <v>-9.7790974634015496E-2</v>
      </c>
      <c r="L324">
        <v>-0.12582588112847801</v>
      </c>
      <c r="M324">
        <v>-3.31323105600215E-2</v>
      </c>
      <c r="N324">
        <v>-5.0974040655589999E-3</v>
      </c>
      <c r="O324">
        <v>-0.15869747542591001</v>
      </c>
      <c r="P324">
        <v>-0.13066256893144801</v>
      </c>
      <c r="Q324" t="s">
        <v>1067</v>
      </c>
      <c r="R324" t="s">
        <v>1067</v>
      </c>
      <c r="S324" t="s">
        <v>1173</v>
      </c>
      <c r="T324" t="s">
        <v>1067</v>
      </c>
      <c r="U324" t="s">
        <v>1174</v>
      </c>
      <c r="V324">
        <v>1</v>
      </c>
      <c r="W324" t="s">
        <v>944</v>
      </c>
      <c r="X324" t="s">
        <v>1175</v>
      </c>
      <c r="Y324">
        <v>0</v>
      </c>
      <c r="Z324">
        <v>-9.4940813890917505E-2</v>
      </c>
      <c r="AA324">
        <v>-0.21626486023361599</v>
      </c>
      <c r="AB324">
        <v>-0.143065822106307</v>
      </c>
      <c r="AC324">
        <v>-0.313937751309254</v>
      </c>
    </row>
    <row r="325" spans="1:29" x14ac:dyDescent="0.2">
      <c r="A325">
        <v>324</v>
      </c>
      <c r="B325" t="s">
        <v>488</v>
      </c>
      <c r="C325" t="s">
        <v>196</v>
      </c>
      <c r="D325" t="s">
        <v>164</v>
      </c>
      <c r="E325">
        <v>0.63488247213594795</v>
      </c>
      <c r="F325">
        <v>0.35034182854868801</v>
      </c>
      <c r="G325">
        <v>2.0190522511705101E-3</v>
      </c>
      <c r="H325">
        <v>5.6985615149910303E-2</v>
      </c>
      <c r="I325">
        <v>5.4966562898739801E-2</v>
      </c>
      <c r="J325">
        <v>-0.28454064358726</v>
      </c>
      <c r="K325">
        <v>0.63488247213594795</v>
      </c>
      <c r="L325">
        <v>2.0190522511705101E-3</v>
      </c>
      <c r="M325">
        <v>-0.28454064358726</v>
      </c>
      <c r="N325">
        <v>0.34832277629751801</v>
      </c>
      <c r="O325">
        <v>-0.57789685698603799</v>
      </c>
      <c r="P325">
        <v>5.4966562898739801E-2</v>
      </c>
      <c r="Q325" t="s">
        <v>1068</v>
      </c>
      <c r="R325" t="s">
        <v>1068</v>
      </c>
      <c r="S325" t="s">
        <v>1173</v>
      </c>
      <c r="T325" t="s">
        <v>1173</v>
      </c>
      <c r="U325" t="s">
        <v>1174</v>
      </c>
      <c r="V325">
        <v>0</v>
      </c>
      <c r="W325" t="s">
        <v>944</v>
      </c>
      <c r="X325" t="s">
        <v>1175</v>
      </c>
      <c r="Y325">
        <v>1</v>
      </c>
      <c r="Z325">
        <v>1.1744254091738999E-2</v>
      </c>
      <c r="AA325">
        <v>-0.23762469288167301</v>
      </c>
      <c r="AB325">
        <v>0.291980583671337</v>
      </c>
      <c r="AC325">
        <v>-0.180694045428028</v>
      </c>
    </row>
    <row r="326" spans="1:29" x14ac:dyDescent="0.2">
      <c r="A326">
        <v>325</v>
      </c>
      <c r="B326" t="s">
        <v>489</v>
      </c>
      <c r="C326" t="s">
        <v>196</v>
      </c>
      <c r="D326" t="s">
        <v>166</v>
      </c>
      <c r="E326">
        <v>-0.12582588112847801</v>
      </c>
      <c r="F326">
        <v>3.32959707471389E-4</v>
      </c>
      <c r="G326">
        <v>1.30641823386386E-2</v>
      </c>
      <c r="H326">
        <v>-9.9189846394783204E-2</v>
      </c>
      <c r="I326">
        <v>-0.112254028733422</v>
      </c>
      <c r="J326">
        <v>0.126158840835949</v>
      </c>
      <c r="K326">
        <v>1.30641823386386E-2</v>
      </c>
      <c r="L326">
        <v>-0.12582588112847801</v>
      </c>
      <c r="M326">
        <v>-1.27312226311672E-2</v>
      </c>
      <c r="N326">
        <v>0.126158840835949</v>
      </c>
      <c r="O326">
        <v>-0.112254028733422</v>
      </c>
      <c r="P326">
        <v>2.6636034733694799E-2</v>
      </c>
      <c r="Q326" t="s">
        <v>1067</v>
      </c>
      <c r="R326" t="s">
        <v>1173</v>
      </c>
      <c r="S326" t="s">
        <v>1173</v>
      </c>
      <c r="T326" t="s">
        <v>1173</v>
      </c>
      <c r="U326" t="s">
        <v>944</v>
      </c>
      <c r="V326">
        <v>1</v>
      </c>
      <c r="W326" t="s">
        <v>944</v>
      </c>
      <c r="X326" t="s">
        <v>1175</v>
      </c>
      <c r="Y326">
        <v>1</v>
      </c>
      <c r="Z326">
        <v>-2.0605903260596099E-2</v>
      </c>
      <c r="AA326">
        <v>-0.252960344271282</v>
      </c>
      <c r="AB326">
        <v>8.7533297867642995E-2</v>
      </c>
      <c r="AC326">
        <v>-0.283787473901638</v>
      </c>
    </row>
    <row r="327" spans="1:29" x14ac:dyDescent="0.2">
      <c r="A327">
        <v>326</v>
      </c>
      <c r="B327" t="s">
        <v>490</v>
      </c>
      <c r="C327" t="s">
        <v>196</v>
      </c>
      <c r="D327" t="s">
        <v>226</v>
      </c>
      <c r="E327">
        <v>-0.54079171232686296</v>
      </c>
      <c r="F327">
        <v>-0.94960585854036295</v>
      </c>
      <c r="G327">
        <v>-8.2990633109563894E-2</v>
      </c>
      <c r="H327">
        <v>-1</v>
      </c>
      <c r="I327">
        <v>-0.917009366890436</v>
      </c>
      <c r="J327">
        <v>-0.40881414621349998</v>
      </c>
      <c r="K327">
        <v>-8.2990633109563894E-2</v>
      </c>
      <c r="L327">
        <v>-0.54079171232686296</v>
      </c>
      <c r="M327">
        <v>-0.86661522543079905</v>
      </c>
      <c r="N327">
        <v>-0.40881414621349998</v>
      </c>
      <c r="O327">
        <v>-0.917009366890436</v>
      </c>
      <c r="P327">
        <v>-0.45920828767313698</v>
      </c>
      <c r="Q327" t="s">
        <v>1067</v>
      </c>
      <c r="R327" t="s">
        <v>1067</v>
      </c>
      <c r="S327" t="s">
        <v>1173</v>
      </c>
      <c r="T327" t="s">
        <v>1067</v>
      </c>
      <c r="U327" t="s">
        <v>1174</v>
      </c>
      <c r="V327">
        <v>1</v>
      </c>
      <c r="W327" t="s">
        <v>944</v>
      </c>
      <c r="X327" t="s">
        <v>1175</v>
      </c>
      <c r="Y327">
        <v>1</v>
      </c>
      <c r="Z327">
        <v>-0.29769185218588201</v>
      </c>
      <c r="AA327">
        <v>-0.24805979841168799</v>
      </c>
      <c r="AB327">
        <v>-0.13004777793657599</v>
      </c>
      <c r="AC327">
        <v>-0.23549998596100599</v>
      </c>
    </row>
    <row r="328" spans="1:29" x14ac:dyDescent="0.2">
      <c r="A328">
        <v>327</v>
      </c>
      <c r="B328" t="s">
        <v>1178</v>
      </c>
      <c r="C328" t="s">
        <v>196</v>
      </c>
      <c r="D328" t="s">
        <v>168</v>
      </c>
      <c r="E328">
        <v>1</v>
      </c>
      <c r="F328">
        <v>1</v>
      </c>
      <c r="G328">
        <v>0.56611567942257102</v>
      </c>
      <c r="H328">
        <v>0.88986075079558902</v>
      </c>
      <c r="I328">
        <v>0.323745071373018</v>
      </c>
      <c r="J328">
        <v>0</v>
      </c>
      <c r="K328">
        <v>1</v>
      </c>
      <c r="L328">
        <v>0.56611567942257102</v>
      </c>
      <c r="M328">
        <v>0</v>
      </c>
      <c r="N328">
        <v>0.43388432057742898</v>
      </c>
      <c r="O328">
        <v>-0.110139249204411</v>
      </c>
      <c r="P328">
        <v>0.323745071373018</v>
      </c>
      <c r="Q328" t="s">
        <v>1068</v>
      </c>
      <c r="R328" t="s">
        <v>1068</v>
      </c>
      <c r="S328" t="s">
        <v>1068</v>
      </c>
      <c r="T328" t="s">
        <v>1068</v>
      </c>
      <c r="U328" t="s">
        <v>944</v>
      </c>
      <c r="V328">
        <v>0</v>
      </c>
      <c r="W328" t="s">
        <v>944</v>
      </c>
      <c r="X328" t="s">
        <v>1175</v>
      </c>
      <c r="Y328">
        <v>0</v>
      </c>
      <c r="Z328">
        <v>-0.31719644414815501</v>
      </c>
      <c r="AA328">
        <v>-0.254740377243659</v>
      </c>
      <c r="AB328">
        <v>-0.140958361201865</v>
      </c>
      <c r="AC328">
        <v>-0.23844509629574701</v>
      </c>
    </row>
    <row r="329" spans="1:29" x14ac:dyDescent="0.2">
      <c r="A329">
        <v>328</v>
      </c>
      <c r="B329" t="s">
        <v>491</v>
      </c>
      <c r="C329" t="s">
        <v>144</v>
      </c>
      <c r="D329" t="s">
        <v>130</v>
      </c>
      <c r="E329">
        <v>-2.1099594971774001E-2</v>
      </c>
      <c r="F329">
        <v>5.7338252177170201E-2</v>
      </c>
      <c r="G329">
        <v>3.5977163576342698E-3</v>
      </c>
      <c r="H329">
        <v>-0.112296198250905</v>
      </c>
      <c r="I329">
        <v>-0.115893914608539</v>
      </c>
      <c r="J329">
        <v>7.8437847148944195E-2</v>
      </c>
      <c r="K329">
        <v>3.5977163576342698E-3</v>
      </c>
      <c r="L329">
        <v>-2.1099594971774001E-2</v>
      </c>
      <c r="M329">
        <v>5.3740535819535903E-2</v>
      </c>
      <c r="N329">
        <v>7.8437847148944195E-2</v>
      </c>
      <c r="O329">
        <v>-0.115893914608539</v>
      </c>
      <c r="P329">
        <v>-9.1196603279130997E-2</v>
      </c>
      <c r="Q329" t="s">
        <v>1173</v>
      </c>
      <c r="R329" t="s">
        <v>1173</v>
      </c>
      <c r="S329" t="s">
        <v>1173</v>
      </c>
      <c r="T329" t="s">
        <v>1067</v>
      </c>
      <c r="U329" t="s">
        <v>944</v>
      </c>
      <c r="V329">
        <v>1</v>
      </c>
      <c r="W329" t="s">
        <v>944</v>
      </c>
      <c r="X329" t="s">
        <v>1175</v>
      </c>
      <c r="Y329">
        <v>0</v>
      </c>
      <c r="Z329">
        <v>-6.9215583387158996E-2</v>
      </c>
      <c r="AA329">
        <v>-0.237403880546176</v>
      </c>
      <c r="AB329">
        <v>-0.27716591172402699</v>
      </c>
      <c r="AC329">
        <v>-0.422255383107765</v>
      </c>
    </row>
    <row r="330" spans="1:29" x14ac:dyDescent="0.2">
      <c r="A330">
        <v>329</v>
      </c>
      <c r="B330" t="s">
        <v>492</v>
      </c>
      <c r="C330" t="s">
        <v>144</v>
      </c>
      <c r="D330" t="s">
        <v>132</v>
      </c>
      <c r="E330">
        <v>3.01589267442718E-3</v>
      </c>
      <c r="F330">
        <v>5.4119891102447699E-2</v>
      </c>
      <c r="G330">
        <v>1.05661917012424E-2</v>
      </c>
      <c r="H330">
        <v>-3.4027108297742602E-2</v>
      </c>
      <c r="I330">
        <v>-4.4593299998985002E-2</v>
      </c>
      <c r="J330">
        <v>5.1103998428020499E-2</v>
      </c>
      <c r="K330">
        <v>1.05661917012424E-2</v>
      </c>
      <c r="L330">
        <v>3.01589267442718E-3</v>
      </c>
      <c r="M330">
        <v>4.3553699401205299E-2</v>
      </c>
      <c r="N330">
        <v>5.1103998428020499E-2</v>
      </c>
      <c r="O330">
        <v>-4.4593299998985002E-2</v>
      </c>
      <c r="P330">
        <v>-3.7043000972169803E-2</v>
      </c>
      <c r="Q330" t="s">
        <v>1173</v>
      </c>
      <c r="R330" t="s">
        <v>1173</v>
      </c>
      <c r="S330" t="s">
        <v>1173</v>
      </c>
      <c r="T330" t="s">
        <v>1173</v>
      </c>
      <c r="U330" t="s">
        <v>944</v>
      </c>
      <c r="V330">
        <v>1</v>
      </c>
      <c r="W330" t="s">
        <v>944</v>
      </c>
      <c r="X330" t="s">
        <v>1175</v>
      </c>
      <c r="Y330">
        <v>0</v>
      </c>
      <c r="Z330">
        <v>-0.33896450953794199</v>
      </c>
      <c r="AA330">
        <v>-0.30714740175244498</v>
      </c>
      <c r="AB330">
        <v>-0.23566941587902401</v>
      </c>
      <c r="AC330">
        <v>-0.34097972712445701</v>
      </c>
    </row>
    <row r="331" spans="1:29" x14ac:dyDescent="0.2">
      <c r="A331">
        <v>330</v>
      </c>
      <c r="B331" t="s">
        <v>493</v>
      </c>
      <c r="C331" t="s">
        <v>144</v>
      </c>
      <c r="D331" t="s">
        <v>134</v>
      </c>
      <c r="E331">
        <v>6.9308068746409199E-2</v>
      </c>
      <c r="F331">
        <v>8.1012841273831807E-2</v>
      </c>
      <c r="G331">
        <v>6.2640138835032997E-3</v>
      </c>
      <c r="H331">
        <v>-2.0554444524314701E-2</v>
      </c>
      <c r="I331">
        <v>-2.6818458407818001E-2</v>
      </c>
      <c r="J331">
        <v>1.1704772527422601E-2</v>
      </c>
      <c r="K331">
        <v>6.9308068746409199E-2</v>
      </c>
      <c r="L331">
        <v>6.2640138835032997E-3</v>
      </c>
      <c r="M331">
        <v>1.1704772527422601E-2</v>
      </c>
      <c r="N331">
        <v>7.4748827390328496E-2</v>
      </c>
      <c r="O331">
        <v>-8.9862513270723907E-2</v>
      </c>
      <c r="P331">
        <v>-2.6818458407818001E-2</v>
      </c>
      <c r="Q331" t="s">
        <v>1173</v>
      </c>
      <c r="R331" t="s">
        <v>1173</v>
      </c>
      <c r="S331" t="s">
        <v>1173</v>
      </c>
      <c r="T331" t="s">
        <v>1173</v>
      </c>
      <c r="U331" t="s">
        <v>944</v>
      </c>
      <c r="V331">
        <v>1</v>
      </c>
      <c r="W331" t="s">
        <v>944</v>
      </c>
      <c r="X331" t="s">
        <v>1175</v>
      </c>
      <c r="Y331">
        <v>0</v>
      </c>
      <c r="Z331">
        <v>-0.205818957310167</v>
      </c>
      <c r="AA331">
        <v>-0.32684609775814</v>
      </c>
      <c r="AB331">
        <v>-0.154528099936553</v>
      </c>
      <c r="AC331">
        <v>-0.39817810191313002</v>
      </c>
    </row>
    <row r="332" spans="1:29" x14ac:dyDescent="0.2">
      <c r="A332">
        <v>331</v>
      </c>
      <c r="B332" t="s">
        <v>494</v>
      </c>
      <c r="C332" t="s">
        <v>144</v>
      </c>
      <c r="D332" t="s">
        <v>136</v>
      </c>
      <c r="E332">
        <v>8.1822510870589692E-3</v>
      </c>
      <c r="F332">
        <v>0.45438345966342503</v>
      </c>
      <c r="G332">
        <v>6.2640138835032997E-3</v>
      </c>
      <c r="H332">
        <v>0.39950795874384998</v>
      </c>
      <c r="I332">
        <v>0.39324394486034697</v>
      </c>
      <c r="J332">
        <v>0.44620120857636603</v>
      </c>
      <c r="K332">
        <v>8.1822510870589692E-3</v>
      </c>
      <c r="L332">
        <v>6.2640138835032997E-3</v>
      </c>
      <c r="M332">
        <v>0.44620120857636603</v>
      </c>
      <c r="N332">
        <v>0.44811944577992202</v>
      </c>
      <c r="O332">
        <v>0.39132570765679098</v>
      </c>
      <c r="P332">
        <v>0.39324394486034697</v>
      </c>
      <c r="Q332" t="s">
        <v>1173</v>
      </c>
      <c r="R332" t="s">
        <v>1068</v>
      </c>
      <c r="S332" t="s">
        <v>1173</v>
      </c>
      <c r="T332" t="s">
        <v>1068</v>
      </c>
      <c r="U332" t="s">
        <v>944</v>
      </c>
      <c r="V332">
        <v>0</v>
      </c>
      <c r="W332" t="s">
        <v>944</v>
      </c>
      <c r="X332" t="s">
        <v>1175</v>
      </c>
      <c r="Y332">
        <v>1</v>
      </c>
      <c r="Z332">
        <v>-0.284509836437082</v>
      </c>
      <c r="AA332">
        <v>-0.336328901755091</v>
      </c>
      <c r="AB332">
        <v>-4.2726482027888001E-2</v>
      </c>
      <c r="AC332">
        <v>-0.31187268193338702</v>
      </c>
    </row>
    <row r="333" spans="1:29" x14ac:dyDescent="0.2">
      <c r="A333">
        <v>332</v>
      </c>
      <c r="B333" t="s">
        <v>495</v>
      </c>
      <c r="C333" t="s">
        <v>144</v>
      </c>
      <c r="D333" t="s">
        <v>140</v>
      </c>
      <c r="E333">
        <v>-1.15038794851121E-2</v>
      </c>
      <c r="F333">
        <v>-0.20675284446832001</v>
      </c>
      <c r="G333">
        <v>3.75634634222275E-3</v>
      </c>
      <c r="H333">
        <v>-0.42939903857474898</v>
      </c>
      <c r="I333">
        <v>-0.43315538491697197</v>
      </c>
      <c r="J333">
        <v>-0.19524896498320801</v>
      </c>
      <c r="K333">
        <v>3.75634634222275E-3</v>
      </c>
      <c r="L333">
        <v>-1.15038794851121E-2</v>
      </c>
      <c r="M333">
        <v>-0.21050919081054301</v>
      </c>
      <c r="N333">
        <v>-0.19524896498320801</v>
      </c>
      <c r="O333">
        <v>-0.43315538491697197</v>
      </c>
      <c r="P333">
        <v>-0.41789515908963698</v>
      </c>
      <c r="Q333" t="s">
        <v>1173</v>
      </c>
      <c r="R333" t="s">
        <v>1067</v>
      </c>
      <c r="S333" t="s">
        <v>1173</v>
      </c>
      <c r="T333" t="s">
        <v>1067</v>
      </c>
      <c r="U333" t="s">
        <v>1174</v>
      </c>
      <c r="V333">
        <v>1</v>
      </c>
      <c r="W333" t="s">
        <v>1174</v>
      </c>
      <c r="X333" t="s">
        <v>1175</v>
      </c>
      <c r="Y333">
        <v>1</v>
      </c>
      <c r="Z333">
        <v>-0.27194576375922402</v>
      </c>
      <c r="AA333">
        <v>-0.27159719020353901</v>
      </c>
      <c r="AB333">
        <v>-0.25006197239549</v>
      </c>
      <c r="AC333">
        <v>-0.33929686717155599</v>
      </c>
    </row>
    <row r="334" spans="1:29" x14ac:dyDescent="0.2">
      <c r="A334">
        <v>333</v>
      </c>
      <c r="B334" t="s">
        <v>496</v>
      </c>
      <c r="C334" t="s">
        <v>144</v>
      </c>
      <c r="D334" t="s">
        <v>142</v>
      </c>
      <c r="E334">
        <v>4.9593666491392699E-3</v>
      </c>
      <c r="F334">
        <v>-0.1142298446447</v>
      </c>
      <c r="G334">
        <v>6.2640138835032997E-3</v>
      </c>
      <c r="H334">
        <v>-0.221957694878546</v>
      </c>
      <c r="I334">
        <v>-0.228221708762049</v>
      </c>
      <c r="J334">
        <v>-0.119189211293839</v>
      </c>
      <c r="K334">
        <v>6.2640138835032997E-3</v>
      </c>
      <c r="L334">
        <v>4.9593666491392699E-3</v>
      </c>
      <c r="M334">
        <v>-0.120493858528203</v>
      </c>
      <c r="N334">
        <v>-0.119189211293839</v>
      </c>
      <c r="O334">
        <v>-0.228221708762049</v>
      </c>
      <c r="P334">
        <v>-0.22691706152768501</v>
      </c>
      <c r="Q334" t="s">
        <v>1173</v>
      </c>
      <c r="R334" t="s">
        <v>1067</v>
      </c>
      <c r="S334" t="s">
        <v>1173</v>
      </c>
      <c r="T334" t="s">
        <v>1067</v>
      </c>
      <c r="U334" t="s">
        <v>1174</v>
      </c>
      <c r="V334">
        <v>1</v>
      </c>
      <c r="W334" t="s">
        <v>1174</v>
      </c>
      <c r="X334" t="s">
        <v>1175</v>
      </c>
      <c r="Y334">
        <v>1</v>
      </c>
      <c r="Z334">
        <v>0.69754559162109198</v>
      </c>
      <c r="AA334">
        <v>-0.21798432050574601</v>
      </c>
      <c r="AB334">
        <v>0.75413145588169195</v>
      </c>
      <c r="AC334">
        <v>-0.21015374995991801</v>
      </c>
    </row>
    <row r="335" spans="1:29" x14ac:dyDescent="0.2">
      <c r="A335">
        <v>334</v>
      </c>
      <c r="B335" t="s">
        <v>497</v>
      </c>
      <c r="C335" t="s">
        <v>144</v>
      </c>
      <c r="D335" t="s">
        <v>146</v>
      </c>
      <c r="E335">
        <v>-2.0850851688414902E-2</v>
      </c>
      <c r="F335">
        <v>5.7684481516089799E-2</v>
      </c>
      <c r="G335">
        <v>-1.0746435710996099E-2</v>
      </c>
      <c r="H335">
        <v>-0.11257800051523301</v>
      </c>
      <c r="I335">
        <v>-0.101831564804237</v>
      </c>
      <c r="J335">
        <v>7.8535333204504704E-2</v>
      </c>
      <c r="K335">
        <v>-1.0746435710996099E-2</v>
      </c>
      <c r="L335">
        <v>-2.0850851688414902E-2</v>
      </c>
      <c r="M335">
        <v>6.84309172270859E-2</v>
      </c>
      <c r="N335">
        <v>7.8535333204504704E-2</v>
      </c>
      <c r="O335">
        <v>-0.101831564804237</v>
      </c>
      <c r="P335">
        <v>-9.1727148826818095E-2</v>
      </c>
      <c r="Q335" t="s">
        <v>1173</v>
      </c>
      <c r="R335" t="s">
        <v>1173</v>
      </c>
      <c r="S335" t="s">
        <v>1173</v>
      </c>
      <c r="T335" t="s">
        <v>1067</v>
      </c>
      <c r="U335" t="s">
        <v>944</v>
      </c>
      <c r="V335">
        <v>1</v>
      </c>
      <c r="W335" t="s">
        <v>944</v>
      </c>
      <c r="X335" t="s">
        <v>1175</v>
      </c>
      <c r="Y335">
        <v>0</v>
      </c>
      <c r="Z335">
        <v>-0.10275381144875601</v>
      </c>
      <c r="AA335">
        <v>-0.25196084200820701</v>
      </c>
      <c r="AB335">
        <v>-0.2750303246961</v>
      </c>
      <c r="AC335">
        <v>-0.42174758478330099</v>
      </c>
    </row>
    <row r="336" spans="1:29" x14ac:dyDescent="0.2">
      <c r="A336">
        <v>335</v>
      </c>
      <c r="B336" t="s">
        <v>498</v>
      </c>
      <c r="C336" t="s">
        <v>144</v>
      </c>
      <c r="D336" t="s">
        <v>148</v>
      </c>
      <c r="E336">
        <v>-1.1020453170549E-2</v>
      </c>
      <c r="F336">
        <v>-9.9621771368542597E-2</v>
      </c>
      <c r="G336">
        <v>6.30644421479551E-3</v>
      </c>
      <c r="H336">
        <v>-0.30211009496264801</v>
      </c>
      <c r="I336">
        <v>-0.30841653917744399</v>
      </c>
      <c r="J336">
        <v>-8.8601318197993606E-2</v>
      </c>
      <c r="K336">
        <v>6.30644421479551E-3</v>
      </c>
      <c r="L336">
        <v>-1.1020453170549E-2</v>
      </c>
      <c r="M336">
        <v>-0.105928215583338</v>
      </c>
      <c r="N336">
        <v>-8.8601318197993606E-2</v>
      </c>
      <c r="O336">
        <v>-0.30841653917744399</v>
      </c>
      <c r="P336">
        <v>-0.29108964179209901</v>
      </c>
      <c r="Q336" t="s">
        <v>1173</v>
      </c>
      <c r="R336" t="s">
        <v>1173</v>
      </c>
      <c r="S336" t="s">
        <v>1173</v>
      </c>
      <c r="T336" t="s">
        <v>1067</v>
      </c>
      <c r="U336" t="s">
        <v>1174</v>
      </c>
      <c r="V336">
        <v>1</v>
      </c>
      <c r="W336" t="s">
        <v>1174</v>
      </c>
      <c r="X336" t="s">
        <v>1175</v>
      </c>
      <c r="Y336">
        <v>0</v>
      </c>
      <c r="Z336">
        <v>-0.46207709163851102</v>
      </c>
      <c r="AA336">
        <v>-0.35773345281178898</v>
      </c>
      <c r="AB336">
        <v>-0.234326743553224</v>
      </c>
      <c r="AC336">
        <v>-0.338679019011696</v>
      </c>
    </row>
    <row r="337" spans="1:29" x14ac:dyDescent="0.2">
      <c r="A337">
        <v>336</v>
      </c>
      <c r="B337" t="s">
        <v>499</v>
      </c>
      <c r="C337" t="s">
        <v>144</v>
      </c>
      <c r="D337" t="s">
        <v>150</v>
      </c>
      <c r="E337">
        <v>-2.1182829810826601E-2</v>
      </c>
      <c r="F337">
        <v>5.5819172364705301E-2</v>
      </c>
      <c r="G337">
        <v>2.9230234776204601E-2</v>
      </c>
      <c r="H337">
        <v>-0.114560869157543</v>
      </c>
      <c r="I337">
        <v>-0.143791103933748</v>
      </c>
      <c r="J337">
        <v>7.7002002175531895E-2</v>
      </c>
      <c r="K337">
        <v>2.9230234776204601E-2</v>
      </c>
      <c r="L337">
        <v>-2.1182829810826601E-2</v>
      </c>
      <c r="M337">
        <v>2.65889375885007E-2</v>
      </c>
      <c r="N337">
        <v>7.7002002175531895E-2</v>
      </c>
      <c r="O337">
        <v>-0.143791103933748</v>
      </c>
      <c r="P337">
        <v>-9.3378039346716402E-2</v>
      </c>
      <c r="Q337" t="s">
        <v>1173</v>
      </c>
      <c r="R337" t="s">
        <v>1173</v>
      </c>
      <c r="S337" t="s">
        <v>1173</v>
      </c>
      <c r="T337" t="s">
        <v>1067</v>
      </c>
      <c r="U337" t="s">
        <v>944</v>
      </c>
      <c r="V337">
        <v>1</v>
      </c>
      <c r="W337" t="s">
        <v>944</v>
      </c>
      <c r="X337" t="s">
        <v>1175</v>
      </c>
      <c r="Y337">
        <v>0</v>
      </c>
      <c r="Z337">
        <v>-0.191727343324923</v>
      </c>
      <c r="AA337">
        <v>-0.28887369467635299</v>
      </c>
      <c r="AB337">
        <v>-0.27807790857439602</v>
      </c>
      <c r="AC337">
        <v>-0.42240213545734001</v>
      </c>
    </row>
    <row r="338" spans="1:29" x14ac:dyDescent="0.2">
      <c r="A338">
        <v>337</v>
      </c>
      <c r="B338" t="s">
        <v>500</v>
      </c>
      <c r="C338" t="s">
        <v>144</v>
      </c>
      <c r="D338" t="s">
        <v>152</v>
      </c>
      <c r="E338">
        <v>-1.2316674351887101E-2</v>
      </c>
      <c r="F338">
        <v>-0.11411422970785599</v>
      </c>
      <c r="G338">
        <v>6.2640138835032997E-3</v>
      </c>
      <c r="H338">
        <v>-0.22183171622741699</v>
      </c>
      <c r="I338">
        <v>-0.22809573011091999</v>
      </c>
      <c r="J338">
        <v>-0.101797555355969</v>
      </c>
      <c r="K338">
        <v>6.2640138835032997E-3</v>
      </c>
      <c r="L338">
        <v>-1.2316674351887101E-2</v>
      </c>
      <c r="M338">
        <v>-0.120378243591359</v>
      </c>
      <c r="N338">
        <v>-0.101797555355969</v>
      </c>
      <c r="O338">
        <v>-0.22809573011091999</v>
      </c>
      <c r="P338">
        <v>-0.20951504187552999</v>
      </c>
      <c r="Q338" t="s">
        <v>1173</v>
      </c>
      <c r="R338" t="s">
        <v>1067</v>
      </c>
      <c r="S338" t="s">
        <v>1173</v>
      </c>
      <c r="T338" t="s">
        <v>1067</v>
      </c>
      <c r="U338" t="s">
        <v>1174</v>
      </c>
      <c r="V338">
        <v>1</v>
      </c>
      <c r="W338" t="s">
        <v>1174</v>
      </c>
      <c r="X338" t="s">
        <v>1175</v>
      </c>
      <c r="Y338">
        <v>1</v>
      </c>
      <c r="Z338">
        <v>0.69767283679802605</v>
      </c>
      <c r="AA338">
        <v>-0.21796898656760999</v>
      </c>
      <c r="AB338">
        <v>0.75444138738255195</v>
      </c>
      <c r="AC338">
        <v>-0.210152729172535</v>
      </c>
    </row>
    <row r="339" spans="1:29" x14ac:dyDescent="0.2">
      <c r="A339">
        <v>338</v>
      </c>
      <c r="B339" t="s">
        <v>501</v>
      </c>
      <c r="C339" t="s">
        <v>144</v>
      </c>
      <c r="D339" t="s">
        <v>156</v>
      </c>
      <c r="E339">
        <v>-1.2536000162858401E-2</v>
      </c>
      <c r="F339">
        <v>0.60504833114004997</v>
      </c>
      <c r="G339">
        <v>6.2640138835032997E-3</v>
      </c>
      <c r="H339">
        <v>0.56664661593364696</v>
      </c>
      <c r="I339">
        <v>0.56038260205014401</v>
      </c>
      <c r="J339">
        <v>0.61758433130290802</v>
      </c>
      <c r="K339">
        <v>6.2640138835032997E-3</v>
      </c>
      <c r="L339">
        <v>-1.2536000162858401E-2</v>
      </c>
      <c r="M339">
        <v>0.59878431725654702</v>
      </c>
      <c r="N339">
        <v>0.61758433130290802</v>
      </c>
      <c r="O339">
        <v>0.56038260205014401</v>
      </c>
      <c r="P339">
        <v>0.57918261609650501</v>
      </c>
      <c r="Q339" t="s">
        <v>1173</v>
      </c>
      <c r="R339" t="s">
        <v>1068</v>
      </c>
      <c r="S339" t="s">
        <v>1173</v>
      </c>
      <c r="T339" t="s">
        <v>1068</v>
      </c>
      <c r="U339" t="s">
        <v>944</v>
      </c>
      <c r="V339">
        <v>0</v>
      </c>
      <c r="W339" t="s">
        <v>944</v>
      </c>
      <c r="X339" t="s">
        <v>1175</v>
      </c>
      <c r="Y339">
        <v>1</v>
      </c>
      <c r="Z339">
        <v>-0.24334564487336799</v>
      </c>
      <c r="AA339">
        <v>-0.33136832735787197</v>
      </c>
      <c r="AB339">
        <v>2.8937611495694101E-3</v>
      </c>
      <c r="AC339">
        <v>-0.30583418336889501</v>
      </c>
    </row>
    <row r="340" spans="1:29" x14ac:dyDescent="0.2">
      <c r="A340">
        <v>339</v>
      </c>
      <c r="B340" t="s">
        <v>502</v>
      </c>
      <c r="C340" t="s">
        <v>144</v>
      </c>
      <c r="D340" t="s">
        <v>158</v>
      </c>
      <c r="E340">
        <v>-3.6252674975072598E-2</v>
      </c>
      <c r="F340">
        <v>-0.16448028938137799</v>
      </c>
      <c r="G340">
        <v>1.70158789195284E-2</v>
      </c>
      <c r="H340">
        <v>-0.30935501794331999</v>
      </c>
      <c r="I340">
        <v>-0.32637089686284798</v>
      </c>
      <c r="J340">
        <v>-0.12822761440630501</v>
      </c>
      <c r="K340">
        <v>1.70158789195284E-2</v>
      </c>
      <c r="L340">
        <v>-3.6252674975072598E-2</v>
      </c>
      <c r="M340">
        <v>-0.18149616830090601</v>
      </c>
      <c r="N340">
        <v>-0.12822761440630501</v>
      </c>
      <c r="O340">
        <v>-0.32637089686284798</v>
      </c>
      <c r="P340">
        <v>-0.27310234296824698</v>
      </c>
      <c r="Q340" t="s">
        <v>1173</v>
      </c>
      <c r="R340" t="s">
        <v>1067</v>
      </c>
      <c r="S340" t="s">
        <v>1173</v>
      </c>
      <c r="T340" t="s">
        <v>1067</v>
      </c>
      <c r="U340" t="s">
        <v>1174</v>
      </c>
      <c r="V340">
        <v>1</v>
      </c>
      <c r="W340" t="s">
        <v>1174</v>
      </c>
      <c r="X340" t="s">
        <v>1175</v>
      </c>
      <c r="Y340">
        <v>1</v>
      </c>
      <c r="Z340">
        <v>-0.380486077899373</v>
      </c>
      <c r="AA340">
        <v>-0.30775947166119</v>
      </c>
      <c r="AB340">
        <v>-0.28025183668800902</v>
      </c>
      <c r="AC340">
        <v>-0.34140705072329203</v>
      </c>
    </row>
    <row r="341" spans="1:29" x14ac:dyDescent="0.2">
      <c r="A341">
        <v>340</v>
      </c>
      <c r="B341" t="s">
        <v>503</v>
      </c>
      <c r="C341" t="s">
        <v>144</v>
      </c>
      <c r="D341" t="s">
        <v>160</v>
      </c>
      <c r="E341">
        <v>-1.20234238511679E-2</v>
      </c>
      <c r="F341">
        <v>0.46928732329268102</v>
      </c>
      <c r="G341">
        <v>6.0335426535869001E-3</v>
      </c>
      <c r="H341">
        <v>0.40940679117828999</v>
      </c>
      <c r="I341">
        <v>0.40337324852470302</v>
      </c>
      <c r="J341">
        <v>0.48131074714384903</v>
      </c>
      <c r="K341">
        <v>6.0335426535869001E-3</v>
      </c>
      <c r="L341">
        <v>-1.20234238511679E-2</v>
      </c>
      <c r="M341">
        <v>0.463253780639094</v>
      </c>
      <c r="N341">
        <v>0.48131074714384903</v>
      </c>
      <c r="O341">
        <v>0.40337324852470302</v>
      </c>
      <c r="P341">
        <v>0.42143021502945799</v>
      </c>
      <c r="Q341" t="s">
        <v>1173</v>
      </c>
      <c r="R341" t="s">
        <v>1068</v>
      </c>
      <c r="S341" t="s">
        <v>1173</v>
      </c>
      <c r="T341" t="s">
        <v>1068</v>
      </c>
      <c r="U341" t="s">
        <v>944</v>
      </c>
      <c r="V341">
        <v>0</v>
      </c>
      <c r="W341" t="s">
        <v>944</v>
      </c>
      <c r="X341" t="s">
        <v>1175</v>
      </c>
      <c r="Y341">
        <v>1</v>
      </c>
      <c r="Z341">
        <v>-0.282071051824626</v>
      </c>
      <c r="AA341">
        <v>-0.33582010700480203</v>
      </c>
      <c r="AB341">
        <v>-4.1979177841866597E-2</v>
      </c>
      <c r="AC341">
        <v>-0.31218128795169697</v>
      </c>
    </row>
    <row r="342" spans="1:29" x14ac:dyDescent="0.2">
      <c r="A342">
        <v>341</v>
      </c>
      <c r="B342" t="s">
        <v>504</v>
      </c>
      <c r="C342" t="s">
        <v>144</v>
      </c>
      <c r="D342" t="s">
        <v>162</v>
      </c>
      <c r="E342">
        <v>-2.1182829810826601E-2</v>
      </c>
      <c r="F342">
        <v>5.7878075966521003E-2</v>
      </c>
      <c r="G342">
        <v>3.2429293971304202E-2</v>
      </c>
      <c r="H342">
        <v>-0.11075740795389701</v>
      </c>
      <c r="I342">
        <v>-0.143186701925201</v>
      </c>
      <c r="J342">
        <v>7.9060905777347604E-2</v>
      </c>
      <c r="K342">
        <v>3.2429293971304202E-2</v>
      </c>
      <c r="L342">
        <v>-2.1182829810826601E-2</v>
      </c>
      <c r="M342">
        <v>2.5448781995216802E-2</v>
      </c>
      <c r="N342">
        <v>7.9060905777347604E-2</v>
      </c>
      <c r="O342">
        <v>-0.143186701925201</v>
      </c>
      <c r="P342">
        <v>-8.9574578143070405E-2</v>
      </c>
      <c r="Q342" t="s">
        <v>1173</v>
      </c>
      <c r="R342" t="s">
        <v>1173</v>
      </c>
      <c r="S342" t="s">
        <v>1173</v>
      </c>
      <c r="T342" t="s">
        <v>1067</v>
      </c>
      <c r="U342" t="s">
        <v>944</v>
      </c>
      <c r="V342">
        <v>1</v>
      </c>
      <c r="W342" t="s">
        <v>944</v>
      </c>
      <c r="X342" t="s">
        <v>1175</v>
      </c>
      <c r="Y342">
        <v>0</v>
      </c>
      <c r="Z342">
        <v>-0.17232913789495699</v>
      </c>
      <c r="AA342">
        <v>-0.28118309816672499</v>
      </c>
      <c r="AB342">
        <v>-0.27668534281458301</v>
      </c>
      <c r="AC342">
        <v>-0.42222006085110803</v>
      </c>
    </row>
    <row r="343" spans="1:29" x14ac:dyDescent="0.2">
      <c r="A343">
        <v>342</v>
      </c>
      <c r="B343" t="s">
        <v>505</v>
      </c>
      <c r="C343" t="s">
        <v>144</v>
      </c>
      <c r="D343" t="s">
        <v>164</v>
      </c>
      <c r="E343">
        <v>4.6866397936417298E-3</v>
      </c>
      <c r="F343">
        <v>0.69294057451438495</v>
      </c>
      <c r="G343">
        <v>-1.5994197837009401E-2</v>
      </c>
      <c r="H343">
        <v>0.65452326146769602</v>
      </c>
      <c r="I343">
        <v>0.67051745930470497</v>
      </c>
      <c r="J343">
        <v>0.68825393472074303</v>
      </c>
      <c r="K343">
        <v>4.6866397936417298E-3</v>
      </c>
      <c r="L343">
        <v>-1.5994197837009401E-2</v>
      </c>
      <c r="M343">
        <v>0.68825393472074303</v>
      </c>
      <c r="N343">
        <v>0.70893477235139402</v>
      </c>
      <c r="O343">
        <v>0.64983662167405398</v>
      </c>
      <c r="P343">
        <v>0.67051745930470497</v>
      </c>
      <c r="Q343" t="s">
        <v>1173</v>
      </c>
      <c r="R343" t="s">
        <v>1068</v>
      </c>
      <c r="S343" t="s">
        <v>1173</v>
      </c>
      <c r="T343" t="s">
        <v>1068</v>
      </c>
      <c r="U343" t="s">
        <v>944</v>
      </c>
      <c r="V343">
        <v>0</v>
      </c>
      <c r="W343" t="s">
        <v>944</v>
      </c>
      <c r="X343" t="s">
        <v>1175</v>
      </c>
      <c r="Y343">
        <v>1</v>
      </c>
      <c r="Z343">
        <v>-5.2244933259066997E-2</v>
      </c>
      <c r="AA343">
        <v>-0.29690856724621301</v>
      </c>
      <c r="AB343">
        <v>0.158000012520297</v>
      </c>
      <c r="AC343">
        <v>-0.28902356144234598</v>
      </c>
    </row>
    <row r="344" spans="1:29" x14ac:dyDescent="0.2">
      <c r="A344">
        <v>343</v>
      </c>
      <c r="B344" t="s">
        <v>506</v>
      </c>
      <c r="C344" t="s">
        <v>144</v>
      </c>
      <c r="D344" t="s">
        <v>166</v>
      </c>
      <c r="E344">
        <v>-2.1182829810826601E-2</v>
      </c>
      <c r="F344">
        <v>2.4633491700395602E-4</v>
      </c>
      <c r="G344">
        <v>6.30644421479551E-3</v>
      </c>
      <c r="H344">
        <v>-8.1408370298110794E-2</v>
      </c>
      <c r="I344">
        <v>-8.7714814512906303E-2</v>
      </c>
      <c r="J344">
        <v>2.1429164727830598E-2</v>
      </c>
      <c r="K344">
        <v>6.30644421479551E-3</v>
      </c>
      <c r="L344">
        <v>-2.1182829810826601E-2</v>
      </c>
      <c r="M344">
        <v>-6.0601092977915503E-3</v>
      </c>
      <c r="N344">
        <v>2.1429164727830598E-2</v>
      </c>
      <c r="O344">
        <v>-8.7714814512906303E-2</v>
      </c>
      <c r="P344">
        <v>-6.02255404872842E-2</v>
      </c>
      <c r="Q344" t="s">
        <v>1173</v>
      </c>
      <c r="R344" t="s">
        <v>1173</v>
      </c>
      <c r="S344" t="s">
        <v>1173</v>
      </c>
      <c r="T344" t="s">
        <v>1173</v>
      </c>
      <c r="U344" t="s">
        <v>944</v>
      </c>
      <c r="V344">
        <v>1</v>
      </c>
      <c r="W344" t="s">
        <v>944</v>
      </c>
      <c r="X344" t="s">
        <v>1175</v>
      </c>
      <c r="Y344">
        <v>0</v>
      </c>
      <c r="Z344">
        <v>-8.4595090611401996E-2</v>
      </c>
      <c r="AA344">
        <v>-0.31224421863582202</v>
      </c>
      <c r="AB344">
        <v>-4.6447273283396102E-2</v>
      </c>
      <c r="AC344">
        <v>-0.392116989915956</v>
      </c>
    </row>
    <row r="345" spans="1:29" x14ac:dyDescent="0.2">
      <c r="A345">
        <v>344</v>
      </c>
      <c r="B345" t="s">
        <v>507</v>
      </c>
      <c r="C345" t="s">
        <v>144</v>
      </c>
      <c r="D345" t="s">
        <v>168</v>
      </c>
      <c r="E345">
        <v>2.63364071316919E-3</v>
      </c>
      <c r="F345">
        <v>-7.1923590317819794E-2</v>
      </c>
      <c r="G345">
        <v>1.6674629661109702E-2</v>
      </c>
      <c r="H345">
        <v>-0.19935059558180299</v>
      </c>
      <c r="I345">
        <v>-0.21602522524291301</v>
      </c>
      <c r="J345">
        <v>-7.4557231030989005E-2</v>
      </c>
      <c r="K345">
        <v>1.6674629661109702E-2</v>
      </c>
      <c r="L345">
        <v>2.63364071316919E-3</v>
      </c>
      <c r="M345">
        <v>-8.8598219978929499E-2</v>
      </c>
      <c r="N345">
        <v>-7.4557231030989005E-2</v>
      </c>
      <c r="O345">
        <v>-0.21602522524291301</v>
      </c>
      <c r="P345">
        <v>-0.201984236294972</v>
      </c>
      <c r="Q345" t="s">
        <v>1173</v>
      </c>
      <c r="R345" t="s">
        <v>1173</v>
      </c>
      <c r="S345" t="s">
        <v>1173</v>
      </c>
      <c r="T345" t="s">
        <v>1067</v>
      </c>
      <c r="U345" t="s">
        <v>1174</v>
      </c>
      <c r="V345">
        <v>1</v>
      </c>
      <c r="W345" t="s">
        <v>1174</v>
      </c>
      <c r="X345" t="s">
        <v>1175</v>
      </c>
      <c r="Y345">
        <v>0</v>
      </c>
      <c r="Z345">
        <v>-0.38118563149896101</v>
      </c>
      <c r="AA345">
        <v>-0.31402425160819902</v>
      </c>
      <c r="AB345">
        <v>-0.27493893235290501</v>
      </c>
      <c r="AC345">
        <v>-0.34677461231006501</v>
      </c>
    </row>
    <row r="346" spans="1:29" x14ac:dyDescent="0.2">
      <c r="A346">
        <v>345</v>
      </c>
      <c r="B346" t="s">
        <v>1179</v>
      </c>
      <c r="C346" t="s">
        <v>146</v>
      </c>
      <c r="D346" t="s">
        <v>130</v>
      </c>
      <c r="E346">
        <v>-2.0767103991785999E-2</v>
      </c>
      <c r="F346">
        <v>1</v>
      </c>
      <c r="G346">
        <v>1</v>
      </c>
      <c r="H346">
        <v>1</v>
      </c>
      <c r="I346">
        <v>0</v>
      </c>
      <c r="J346">
        <v>1.02076710399179</v>
      </c>
      <c r="K346">
        <v>1</v>
      </c>
      <c r="L346">
        <v>-2.0767103991785999E-2</v>
      </c>
      <c r="M346">
        <v>0</v>
      </c>
      <c r="N346">
        <v>1.02076710399179</v>
      </c>
      <c r="O346">
        <v>0</v>
      </c>
      <c r="P346">
        <v>1.02076710399179</v>
      </c>
      <c r="Q346" t="s">
        <v>1173</v>
      </c>
      <c r="R346" t="s">
        <v>1068</v>
      </c>
      <c r="S346" t="s">
        <v>1068</v>
      </c>
      <c r="T346" t="s">
        <v>1068</v>
      </c>
      <c r="U346" t="s">
        <v>944</v>
      </c>
      <c r="V346">
        <v>0</v>
      </c>
      <c r="W346" t="s">
        <v>944</v>
      </c>
      <c r="X346" t="s">
        <v>1176</v>
      </c>
      <c r="Y346">
        <v>1</v>
      </c>
      <c r="Z346">
        <v>-4.2209291675747003E-2</v>
      </c>
      <c r="AA346">
        <v>-0.17169555811283599</v>
      </c>
      <c r="AB346">
        <v>-0.45876170703667402</v>
      </c>
      <c r="AC346">
        <v>-0.44574250784304997</v>
      </c>
    </row>
    <row r="347" spans="1:29" x14ac:dyDescent="0.2">
      <c r="A347">
        <v>346</v>
      </c>
      <c r="B347" t="s">
        <v>508</v>
      </c>
      <c r="C347" t="s">
        <v>146</v>
      </c>
      <c r="D347" t="s">
        <v>132</v>
      </c>
      <c r="E347">
        <v>2.1884472592445998E-3</v>
      </c>
      <c r="F347">
        <v>-0.373898775837332</v>
      </c>
      <c r="G347">
        <v>-0.13019376923864401</v>
      </c>
      <c r="H347">
        <v>-0.53062801890260902</v>
      </c>
      <c r="I347">
        <v>-0.40043424966396501</v>
      </c>
      <c r="J347">
        <v>-0.37608722309657699</v>
      </c>
      <c r="K347">
        <v>2.1884472592445998E-3</v>
      </c>
      <c r="L347">
        <v>-0.13019376923864401</v>
      </c>
      <c r="M347">
        <v>-0.37608722309657699</v>
      </c>
      <c r="N347">
        <v>-0.24370500659868799</v>
      </c>
      <c r="O347">
        <v>-0.53281646616185396</v>
      </c>
      <c r="P347">
        <v>-0.40043424966396501</v>
      </c>
      <c r="Q347" t="s">
        <v>1173</v>
      </c>
      <c r="R347" t="s">
        <v>1067</v>
      </c>
      <c r="S347" t="s">
        <v>1067</v>
      </c>
      <c r="T347" t="s">
        <v>1067</v>
      </c>
      <c r="U347" t="s">
        <v>1174</v>
      </c>
      <c r="V347">
        <v>1</v>
      </c>
      <c r="W347" t="s">
        <v>1174</v>
      </c>
      <c r="X347" t="s">
        <v>1175</v>
      </c>
      <c r="Y347">
        <v>1</v>
      </c>
      <c r="Z347">
        <v>-0.31195821782652999</v>
      </c>
      <c r="AA347">
        <v>-0.24143907931910399</v>
      </c>
      <c r="AB347">
        <v>-0.41726521119167098</v>
      </c>
      <c r="AC347">
        <v>-0.36446685185974098</v>
      </c>
    </row>
    <row r="348" spans="1:29" x14ac:dyDescent="0.2">
      <c r="A348">
        <v>347</v>
      </c>
      <c r="B348" t="s">
        <v>509</v>
      </c>
      <c r="C348" t="s">
        <v>146</v>
      </c>
      <c r="D348" t="s">
        <v>140</v>
      </c>
      <c r="E348">
        <v>8.5904362388983697E-3</v>
      </c>
      <c r="F348">
        <v>0.54519799066121</v>
      </c>
      <c r="G348">
        <v>0.56184459590813995</v>
      </c>
      <c r="H348">
        <v>0.45837378951622099</v>
      </c>
      <c r="I348">
        <v>-0.103470806391919</v>
      </c>
      <c r="J348">
        <v>0.53660755442231201</v>
      </c>
      <c r="K348">
        <v>0.56184459590813995</v>
      </c>
      <c r="L348">
        <v>8.5904362388983697E-3</v>
      </c>
      <c r="M348">
        <v>-1.6646605246929999E-2</v>
      </c>
      <c r="N348">
        <v>0.53660755442231201</v>
      </c>
      <c r="O348">
        <v>-0.103470806391919</v>
      </c>
      <c r="P348">
        <v>0.44978335327732299</v>
      </c>
      <c r="Q348" t="s">
        <v>1173</v>
      </c>
      <c r="R348" t="s">
        <v>1068</v>
      </c>
      <c r="S348" t="s">
        <v>1068</v>
      </c>
      <c r="T348" t="s">
        <v>1068</v>
      </c>
      <c r="U348" t="s">
        <v>944</v>
      </c>
      <c r="V348">
        <v>1</v>
      </c>
      <c r="W348" t="s">
        <v>944</v>
      </c>
      <c r="X348" t="s">
        <v>1175</v>
      </c>
      <c r="Y348">
        <v>1</v>
      </c>
      <c r="Z348">
        <v>-0.244939472047812</v>
      </c>
      <c r="AA348">
        <v>-0.20588886777019799</v>
      </c>
      <c r="AB348">
        <v>-0.43165776770813802</v>
      </c>
      <c r="AC348">
        <v>-0.36278399190684002</v>
      </c>
    </row>
    <row r="349" spans="1:29" x14ac:dyDescent="0.2">
      <c r="A349">
        <v>348</v>
      </c>
      <c r="B349" t="s">
        <v>510</v>
      </c>
      <c r="C349" t="s">
        <v>146</v>
      </c>
      <c r="D349" t="s">
        <v>150</v>
      </c>
      <c r="E349">
        <v>-2.0850851688414902E-2</v>
      </c>
      <c r="F349">
        <v>0.20364757036713499</v>
      </c>
      <c r="G349">
        <v>-0.13776939363930699</v>
      </c>
      <c r="H349">
        <v>1.2708653365675501E-2</v>
      </c>
      <c r="I349">
        <v>0.15047804700498199</v>
      </c>
      <c r="J349">
        <v>0.22449842205555001</v>
      </c>
      <c r="K349">
        <v>-2.0850851688414902E-2</v>
      </c>
      <c r="L349">
        <v>-0.13776939363930699</v>
      </c>
      <c r="M349">
        <v>0.22449842205555001</v>
      </c>
      <c r="N349">
        <v>0.341416964006442</v>
      </c>
      <c r="O349">
        <v>3.3559505054090402E-2</v>
      </c>
      <c r="P349">
        <v>0.15047804700498199</v>
      </c>
      <c r="Q349" t="s">
        <v>1173</v>
      </c>
      <c r="R349" t="s">
        <v>1068</v>
      </c>
      <c r="S349" t="s">
        <v>1067</v>
      </c>
      <c r="T349" t="s">
        <v>1173</v>
      </c>
      <c r="U349" t="s">
        <v>944</v>
      </c>
      <c r="V349">
        <v>0</v>
      </c>
      <c r="W349" t="s">
        <v>944</v>
      </c>
      <c r="X349" t="s">
        <v>1175</v>
      </c>
      <c r="Y349">
        <v>1</v>
      </c>
      <c r="Z349">
        <v>-0.164721051613511</v>
      </c>
      <c r="AA349">
        <v>-0.223165372243012</v>
      </c>
      <c r="AB349">
        <v>-0.45967370388704398</v>
      </c>
      <c r="AC349">
        <v>-0.44588926019262398</v>
      </c>
    </row>
    <row r="350" spans="1:29" x14ac:dyDescent="0.2">
      <c r="A350">
        <v>349</v>
      </c>
      <c r="B350" t="s">
        <v>511</v>
      </c>
      <c r="C350" t="s">
        <v>146</v>
      </c>
      <c r="D350" t="s">
        <v>158</v>
      </c>
      <c r="E350">
        <v>-3.7126192139323597E-2</v>
      </c>
      <c r="F350">
        <v>-0.12807684236601299</v>
      </c>
      <c r="G350">
        <v>-0.14906772785354899</v>
      </c>
      <c r="H350">
        <v>-0.26497886805427201</v>
      </c>
      <c r="I350">
        <v>-0.115911140200723</v>
      </c>
      <c r="J350">
        <v>-9.0950650226689397E-2</v>
      </c>
      <c r="K350">
        <v>-3.7126192139323597E-2</v>
      </c>
      <c r="L350">
        <v>-0.14906772785354899</v>
      </c>
      <c r="M350">
        <v>-9.0950650226689397E-2</v>
      </c>
      <c r="N350">
        <v>2.0990885487535998E-2</v>
      </c>
      <c r="O350">
        <v>-0.22785267591494801</v>
      </c>
      <c r="P350">
        <v>-0.115911140200723</v>
      </c>
      <c r="Q350" t="s">
        <v>1173</v>
      </c>
      <c r="R350" t="s">
        <v>1067</v>
      </c>
      <c r="S350" t="s">
        <v>1067</v>
      </c>
      <c r="T350" t="s">
        <v>1067</v>
      </c>
      <c r="U350" t="s">
        <v>1174</v>
      </c>
      <c r="V350">
        <v>1</v>
      </c>
      <c r="W350" t="s">
        <v>1174</v>
      </c>
      <c r="X350" t="s">
        <v>1175</v>
      </c>
      <c r="Y350">
        <v>0</v>
      </c>
      <c r="Z350">
        <v>-0.353479786187961</v>
      </c>
      <c r="AA350">
        <v>-0.24205114922784901</v>
      </c>
      <c r="AB350">
        <v>-0.46184763200065698</v>
      </c>
      <c r="AC350">
        <v>-0.364894175458576</v>
      </c>
    </row>
    <row r="351" spans="1:29" x14ac:dyDescent="0.2">
      <c r="A351">
        <v>350</v>
      </c>
      <c r="B351" t="s">
        <v>512</v>
      </c>
      <c r="C351" t="s">
        <v>146</v>
      </c>
      <c r="D351" t="s">
        <v>168</v>
      </c>
      <c r="E351">
        <v>1.6001626600788E-3</v>
      </c>
      <c r="F351">
        <v>-0.69608377762991303</v>
      </c>
      <c r="G351">
        <v>-0.114303120368173</v>
      </c>
      <c r="H351">
        <v>-0.93298041862632097</v>
      </c>
      <c r="I351">
        <v>-0.81867729825814795</v>
      </c>
      <c r="J351">
        <v>-0.69768394028999203</v>
      </c>
      <c r="K351">
        <v>1.6001626600788E-3</v>
      </c>
      <c r="L351">
        <v>-0.114303120368173</v>
      </c>
      <c r="M351">
        <v>-0.69768394028999203</v>
      </c>
      <c r="N351">
        <v>-0.58178065726174</v>
      </c>
      <c r="O351">
        <v>-0.93458058128639998</v>
      </c>
      <c r="P351">
        <v>-0.81867729825814795</v>
      </c>
      <c r="Q351" t="s">
        <v>1173</v>
      </c>
      <c r="R351" t="s">
        <v>1067</v>
      </c>
      <c r="S351" t="s">
        <v>1067</v>
      </c>
      <c r="T351" t="s">
        <v>1067</v>
      </c>
      <c r="U351" t="s">
        <v>1174</v>
      </c>
      <c r="V351">
        <v>1</v>
      </c>
      <c r="W351" t="s">
        <v>1174</v>
      </c>
      <c r="X351" t="s">
        <v>1175</v>
      </c>
      <c r="Y351">
        <v>1</v>
      </c>
      <c r="Z351">
        <v>-0.35417933978754901</v>
      </c>
      <c r="AA351">
        <v>-0.24831592917485901</v>
      </c>
      <c r="AB351">
        <v>-0.45653472766555198</v>
      </c>
      <c r="AC351">
        <v>-0.37026173704534998</v>
      </c>
    </row>
    <row r="352" spans="1:29" x14ac:dyDescent="0.2">
      <c r="A352">
        <v>351</v>
      </c>
      <c r="B352" t="s">
        <v>513</v>
      </c>
      <c r="C352" t="s">
        <v>200</v>
      </c>
      <c r="D352" t="s">
        <v>129</v>
      </c>
      <c r="E352">
        <v>0.79675956909147005</v>
      </c>
      <c r="F352">
        <v>0.75147664942402803</v>
      </c>
      <c r="G352">
        <v>0.61236563300334901</v>
      </c>
      <c r="H352">
        <v>0.833210519346131</v>
      </c>
      <c r="I352">
        <v>0.22084488634278199</v>
      </c>
      <c r="J352">
        <v>-4.5282919667442002E-2</v>
      </c>
      <c r="K352">
        <v>0.79675956909147005</v>
      </c>
      <c r="L352">
        <v>0.61236563300334901</v>
      </c>
      <c r="M352">
        <v>-4.5282919667442002E-2</v>
      </c>
      <c r="N352">
        <v>0.139111016420679</v>
      </c>
      <c r="O352">
        <v>3.6450950254660899E-2</v>
      </c>
      <c r="P352">
        <v>0.22084488634278199</v>
      </c>
      <c r="Q352" t="s">
        <v>1068</v>
      </c>
      <c r="R352" t="s">
        <v>1068</v>
      </c>
      <c r="S352" t="s">
        <v>1068</v>
      </c>
      <c r="T352" t="s">
        <v>1068</v>
      </c>
      <c r="U352" t="s">
        <v>1174</v>
      </c>
      <c r="V352">
        <v>0</v>
      </c>
      <c r="W352" t="s">
        <v>944</v>
      </c>
      <c r="X352" t="s">
        <v>1175</v>
      </c>
      <c r="Y352">
        <v>0</v>
      </c>
      <c r="Z352">
        <v>-0.26537341513356999</v>
      </c>
      <c r="AA352">
        <v>-0.26420148218027101</v>
      </c>
      <c r="AB352">
        <v>-5.7132668265219497E-2</v>
      </c>
      <c r="AC352">
        <v>-0.23938229137611799</v>
      </c>
    </row>
    <row r="353" spans="1:29" x14ac:dyDescent="0.2">
      <c r="A353">
        <v>352</v>
      </c>
      <c r="B353" t="s">
        <v>514</v>
      </c>
      <c r="C353" t="s">
        <v>200</v>
      </c>
      <c r="D353" t="s">
        <v>130</v>
      </c>
      <c r="E353">
        <v>4.1377612589773797E-3</v>
      </c>
      <c r="F353">
        <v>0.25852018819271499</v>
      </c>
      <c r="G353">
        <v>-0.17928356774000301</v>
      </c>
      <c r="H353">
        <v>-0.24120533813502201</v>
      </c>
      <c r="I353">
        <v>-6.1921770395018998E-2</v>
      </c>
      <c r="J353">
        <v>0.25438242693373803</v>
      </c>
      <c r="K353">
        <v>4.1377612589773797E-3</v>
      </c>
      <c r="L353">
        <v>-0.17928356774000301</v>
      </c>
      <c r="M353">
        <v>0.25438242693373803</v>
      </c>
      <c r="N353">
        <v>0.43780375593271798</v>
      </c>
      <c r="O353">
        <v>-0.24534309939399901</v>
      </c>
      <c r="P353">
        <v>-6.1921770395018998E-2</v>
      </c>
      <c r="Q353" t="s">
        <v>1173</v>
      </c>
      <c r="R353" t="s">
        <v>1068</v>
      </c>
      <c r="S353" t="s">
        <v>1067</v>
      </c>
      <c r="T353" t="s">
        <v>1067</v>
      </c>
      <c r="U353" t="s">
        <v>944</v>
      </c>
      <c r="V353">
        <v>1</v>
      </c>
      <c r="W353" t="s">
        <v>944</v>
      </c>
      <c r="X353" t="s">
        <v>1175</v>
      </c>
      <c r="Y353">
        <v>1</v>
      </c>
      <c r="Z353">
        <v>-4.4375359910691997E-2</v>
      </c>
      <c r="AA353">
        <v>-0.20040418355501999</v>
      </c>
      <c r="AB353">
        <v>-0.15591883962481101</v>
      </c>
      <c r="AC353">
        <v>-0.33006115033956102</v>
      </c>
    </row>
    <row r="354" spans="1:29" x14ac:dyDescent="0.2">
      <c r="A354">
        <v>353</v>
      </c>
      <c r="B354" t="s">
        <v>515</v>
      </c>
      <c r="C354" t="s">
        <v>200</v>
      </c>
      <c r="D354" t="s">
        <v>132</v>
      </c>
      <c r="E354">
        <v>-0.158918969257064</v>
      </c>
      <c r="F354">
        <v>-0.46566868240031201</v>
      </c>
      <c r="G354">
        <v>-3.8155723903654001E-2</v>
      </c>
      <c r="H354">
        <v>-0.85519671911023798</v>
      </c>
      <c r="I354">
        <v>-0.81704099520658402</v>
      </c>
      <c r="J354">
        <v>-0.306749713143248</v>
      </c>
      <c r="K354">
        <v>-3.8155723903654001E-2</v>
      </c>
      <c r="L354">
        <v>-0.158918969257064</v>
      </c>
      <c r="M354">
        <v>-0.42751295849665799</v>
      </c>
      <c r="N354">
        <v>-0.306749713143248</v>
      </c>
      <c r="O354">
        <v>-0.81704099520658402</v>
      </c>
      <c r="P354">
        <v>-0.69627774985317403</v>
      </c>
      <c r="Q354" t="s">
        <v>1067</v>
      </c>
      <c r="R354" t="s">
        <v>1067</v>
      </c>
      <c r="S354" t="s">
        <v>1173</v>
      </c>
      <c r="T354" t="s">
        <v>1067</v>
      </c>
      <c r="U354" t="s">
        <v>1174</v>
      </c>
      <c r="V354">
        <v>1</v>
      </c>
      <c r="W354" t="s">
        <v>944</v>
      </c>
      <c r="X354" t="s">
        <v>1175</v>
      </c>
      <c r="Y354">
        <v>1</v>
      </c>
      <c r="Z354">
        <v>-0.31412428606147602</v>
      </c>
      <c r="AA354">
        <v>-0.27014770476128802</v>
      </c>
      <c r="AB354">
        <v>-0.114422343779809</v>
      </c>
      <c r="AC354">
        <v>-0.248785494356252</v>
      </c>
    </row>
    <row r="355" spans="1:29" x14ac:dyDescent="0.2">
      <c r="A355">
        <v>354</v>
      </c>
      <c r="B355" t="s">
        <v>516</v>
      </c>
      <c r="C355" t="s">
        <v>200</v>
      </c>
      <c r="D355" t="s">
        <v>134</v>
      </c>
      <c r="E355">
        <v>1.2353195372734001E-2</v>
      </c>
      <c r="F355">
        <v>2.4212719281737499E-2</v>
      </c>
      <c r="G355">
        <v>1.7156471835824701E-2</v>
      </c>
      <c r="H355">
        <v>-0.218937377774679</v>
      </c>
      <c r="I355">
        <v>-0.236093849610504</v>
      </c>
      <c r="J355">
        <v>1.1859523909003499E-2</v>
      </c>
      <c r="K355">
        <v>1.7156471835824701E-2</v>
      </c>
      <c r="L355">
        <v>1.2353195372734001E-2</v>
      </c>
      <c r="M355">
        <v>7.0562474459127996E-3</v>
      </c>
      <c r="N355">
        <v>1.1859523909003499E-2</v>
      </c>
      <c r="O355">
        <v>-0.236093849610504</v>
      </c>
      <c r="P355">
        <v>-0.231290573147413</v>
      </c>
      <c r="Q355" t="s">
        <v>1173</v>
      </c>
      <c r="R355" t="s">
        <v>1173</v>
      </c>
      <c r="S355" t="s">
        <v>1173</v>
      </c>
      <c r="T355" t="s">
        <v>1067</v>
      </c>
      <c r="U355" t="s">
        <v>944</v>
      </c>
      <c r="V355">
        <v>1</v>
      </c>
      <c r="W355" t="s">
        <v>944</v>
      </c>
      <c r="X355" t="s">
        <v>1175</v>
      </c>
      <c r="Y355">
        <v>0</v>
      </c>
      <c r="Z355">
        <v>-0.1809787338337</v>
      </c>
      <c r="AA355">
        <v>-0.28984640076698398</v>
      </c>
      <c r="AB355">
        <v>-3.3281027837337503E-2</v>
      </c>
      <c r="AC355">
        <v>-0.30598386914492498</v>
      </c>
    </row>
    <row r="356" spans="1:29" x14ac:dyDescent="0.2">
      <c r="A356">
        <v>355</v>
      </c>
      <c r="B356" t="s">
        <v>517</v>
      </c>
      <c r="C356" t="s">
        <v>200</v>
      </c>
      <c r="D356" t="s">
        <v>136</v>
      </c>
      <c r="E356">
        <v>-0.187853533294498</v>
      </c>
      <c r="F356">
        <v>0.65279912319486999</v>
      </c>
      <c r="G356">
        <v>1.7156471660836899E-2</v>
      </c>
      <c r="H356">
        <v>0.62672250473464197</v>
      </c>
      <c r="I356">
        <v>0.60956603307380497</v>
      </c>
      <c r="J356">
        <v>0.84065265648936804</v>
      </c>
      <c r="K356">
        <v>1.7156471660836899E-2</v>
      </c>
      <c r="L356">
        <v>-0.187853533294498</v>
      </c>
      <c r="M356">
        <v>0.63564265153403299</v>
      </c>
      <c r="N356">
        <v>0.84065265648936804</v>
      </c>
      <c r="O356">
        <v>0.60956603307380497</v>
      </c>
      <c r="P356">
        <v>0.81457603802914003</v>
      </c>
      <c r="Q356" t="s">
        <v>1067</v>
      </c>
      <c r="R356" t="s">
        <v>1068</v>
      </c>
      <c r="S356" t="s">
        <v>1173</v>
      </c>
      <c r="T356" t="s">
        <v>1068</v>
      </c>
      <c r="U356" t="s">
        <v>944</v>
      </c>
      <c r="V356">
        <v>0</v>
      </c>
      <c r="W356" t="s">
        <v>944</v>
      </c>
      <c r="X356" t="s">
        <v>1175</v>
      </c>
      <c r="Y356">
        <v>1</v>
      </c>
      <c r="Z356">
        <v>-0.25966961296061603</v>
      </c>
      <c r="AA356">
        <v>-0.29932920476393499</v>
      </c>
      <c r="AB356">
        <v>7.8520590071327501E-2</v>
      </c>
      <c r="AC356">
        <v>-0.219678449165183</v>
      </c>
    </row>
    <row r="357" spans="1:29" x14ac:dyDescent="0.2">
      <c r="A357">
        <v>356</v>
      </c>
      <c r="B357" t="s">
        <v>518</v>
      </c>
      <c r="C357" t="s">
        <v>200</v>
      </c>
      <c r="D357" t="s">
        <v>138</v>
      </c>
      <c r="E357">
        <v>-0.13650319763056801</v>
      </c>
      <c r="F357">
        <v>9.5364433971045798E-2</v>
      </c>
      <c r="G357">
        <v>-0.124804065370356</v>
      </c>
      <c r="H357">
        <v>-6.2954438251388101E-3</v>
      </c>
      <c r="I357">
        <v>0.118508621545217</v>
      </c>
      <c r="J357">
        <v>0.231867631601614</v>
      </c>
      <c r="K357">
        <v>-0.124804065370356</v>
      </c>
      <c r="L357">
        <v>-0.13650319763056801</v>
      </c>
      <c r="M357">
        <v>0.22016849934140201</v>
      </c>
      <c r="N357">
        <v>0.231867631601614</v>
      </c>
      <c r="O357">
        <v>0.118508621545217</v>
      </c>
      <c r="P357">
        <v>0.13020775380542901</v>
      </c>
      <c r="Q357" t="s">
        <v>1067</v>
      </c>
      <c r="R357" t="s">
        <v>1173</v>
      </c>
      <c r="S357" t="s">
        <v>1067</v>
      </c>
      <c r="T357" t="s">
        <v>1173</v>
      </c>
      <c r="U357" t="s">
        <v>944</v>
      </c>
      <c r="V357">
        <v>0</v>
      </c>
      <c r="W357" t="s">
        <v>944</v>
      </c>
      <c r="X357" t="s">
        <v>1175</v>
      </c>
      <c r="Y357">
        <v>1</v>
      </c>
      <c r="Z357">
        <v>0.59086319474368698</v>
      </c>
      <c r="AA357">
        <v>-0.138805863870992</v>
      </c>
      <c r="AB357">
        <v>0.73080008124315998</v>
      </c>
      <c r="AC357">
        <v>-0.14057191842376501</v>
      </c>
    </row>
    <row r="358" spans="1:29" x14ac:dyDescent="0.2">
      <c r="A358">
        <v>357</v>
      </c>
      <c r="B358" t="s">
        <v>519</v>
      </c>
      <c r="C358" t="s">
        <v>200</v>
      </c>
      <c r="D358" t="s">
        <v>140</v>
      </c>
      <c r="E358">
        <v>-0.185952341820455</v>
      </c>
      <c r="F358">
        <v>-2.1111154924099901E-2</v>
      </c>
      <c r="G358">
        <v>-0.10289607621899501</v>
      </c>
      <c r="H358">
        <v>-0.16252321440477799</v>
      </c>
      <c r="I358">
        <v>-5.9627138185783003E-2</v>
      </c>
      <c r="J358">
        <v>0.16484118689635499</v>
      </c>
      <c r="K358">
        <v>-0.10289607621899501</v>
      </c>
      <c r="L358">
        <v>-0.185952341820455</v>
      </c>
      <c r="M358">
        <v>8.1784921294895105E-2</v>
      </c>
      <c r="N358">
        <v>0.16484118689635499</v>
      </c>
      <c r="O358">
        <v>-5.9627138185783003E-2</v>
      </c>
      <c r="P358">
        <v>2.3429127415677001E-2</v>
      </c>
      <c r="Q358" t="s">
        <v>1067</v>
      </c>
      <c r="R358" t="s">
        <v>1173</v>
      </c>
      <c r="S358" t="s">
        <v>1067</v>
      </c>
      <c r="T358" t="s">
        <v>1067</v>
      </c>
      <c r="U358" t="s">
        <v>944</v>
      </c>
      <c r="V358">
        <v>1</v>
      </c>
      <c r="W358" t="s">
        <v>944</v>
      </c>
      <c r="X358" t="s">
        <v>1175</v>
      </c>
      <c r="Y358">
        <v>1</v>
      </c>
      <c r="Z358">
        <v>-0.247105540282757</v>
      </c>
      <c r="AA358">
        <v>-0.23459749321238199</v>
      </c>
      <c r="AB358">
        <v>-0.12881490029627499</v>
      </c>
      <c r="AC358">
        <v>-0.24710263440335101</v>
      </c>
    </row>
    <row r="359" spans="1:29" x14ac:dyDescent="0.2">
      <c r="A359">
        <v>358</v>
      </c>
      <c r="B359" t="s">
        <v>520</v>
      </c>
      <c r="C359" t="s">
        <v>200</v>
      </c>
      <c r="D359" t="s">
        <v>142</v>
      </c>
      <c r="E359">
        <v>-0.163071380831596</v>
      </c>
      <c r="F359">
        <v>4.8718706521666301E-2</v>
      </c>
      <c r="G359">
        <v>1.7156471856941899E-2</v>
      </c>
      <c r="H359">
        <v>-3.8661598704564197E-2</v>
      </c>
      <c r="I359">
        <v>-5.5818070561506103E-2</v>
      </c>
      <c r="J359">
        <v>0.21179008735326199</v>
      </c>
      <c r="K359">
        <v>1.7156471856941899E-2</v>
      </c>
      <c r="L359">
        <v>-0.163071380831596</v>
      </c>
      <c r="M359">
        <v>3.1562234664724402E-2</v>
      </c>
      <c r="N359">
        <v>0.21179008735326199</v>
      </c>
      <c r="O359">
        <v>-5.5818070561506103E-2</v>
      </c>
      <c r="P359">
        <v>0.12440978212703201</v>
      </c>
      <c r="Q359" t="s">
        <v>1067</v>
      </c>
      <c r="R359" t="s">
        <v>1173</v>
      </c>
      <c r="S359" t="s">
        <v>1173</v>
      </c>
      <c r="T359" t="s">
        <v>1173</v>
      </c>
      <c r="U359" t="s">
        <v>944</v>
      </c>
      <c r="V359">
        <v>1</v>
      </c>
      <c r="W359" t="s">
        <v>944</v>
      </c>
      <c r="X359" t="s">
        <v>1175</v>
      </c>
      <c r="Y359">
        <v>1</v>
      </c>
      <c r="Z359">
        <v>0.72238581509755895</v>
      </c>
      <c r="AA359">
        <v>-0.18098462351458999</v>
      </c>
      <c r="AB359">
        <v>0.87537852798090698</v>
      </c>
      <c r="AC359">
        <v>-0.11795951719171401</v>
      </c>
    </row>
    <row r="360" spans="1:29" x14ac:dyDescent="0.2">
      <c r="A360">
        <v>359</v>
      </c>
      <c r="B360" t="s">
        <v>521</v>
      </c>
      <c r="C360" t="s">
        <v>200</v>
      </c>
      <c r="D360" t="s">
        <v>144</v>
      </c>
      <c r="E360">
        <v>4.2595760025888E-3</v>
      </c>
      <c r="F360">
        <v>0.57703287823228799</v>
      </c>
      <c r="G360">
        <v>1.7572884232951499E-2</v>
      </c>
      <c r="H360">
        <v>0.473096098199286</v>
      </c>
      <c r="I360">
        <v>0.455523213966334</v>
      </c>
      <c r="J360">
        <v>0.57277330222969902</v>
      </c>
      <c r="K360">
        <v>1.7572884232951499E-2</v>
      </c>
      <c r="L360">
        <v>4.2595760025888E-3</v>
      </c>
      <c r="M360">
        <v>0.55945999399933699</v>
      </c>
      <c r="N360">
        <v>0.57277330222969902</v>
      </c>
      <c r="O360">
        <v>0.455523213966334</v>
      </c>
      <c r="P360">
        <v>0.46883652219669703</v>
      </c>
      <c r="Q360" t="s">
        <v>1173</v>
      </c>
      <c r="R360" t="s">
        <v>1068</v>
      </c>
      <c r="S360" t="s">
        <v>1173</v>
      </c>
      <c r="T360" t="s">
        <v>1068</v>
      </c>
      <c r="U360" t="s">
        <v>944</v>
      </c>
      <c r="V360">
        <v>0</v>
      </c>
      <c r="W360" t="s">
        <v>944</v>
      </c>
      <c r="X360" t="s">
        <v>1175</v>
      </c>
      <c r="Y360">
        <v>1</v>
      </c>
      <c r="Z360">
        <v>-0.10491987968370101</v>
      </c>
      <c r="AA360">
        <v>-0.28066946745039201</v>
      </c>
      <c r="AB360">
        <v>2.7812542715763399E-2</v>
      </c>
      <c r="AC360">
        <v>-0.30606622727981297</v>
      </c>
    </row>
    <row r="361" spans="1:29" x14ac:dyDescent="0.2">
      <c r="A361">
        <v>360</v>
      </c>
      <c r="B361" t="s">
        <v>522</v>
      </c>
      <c r="C361" t="s">
        <v>200</v>
      </c>
      <c r="D361" t="s">
        <v>146</v>
      </c>
      <c r="E361">
        <v>3.9862430797288403E-3</v>
      </c>
      <c r="F361">
        <v>0.25537904185286497</v>
      </c>
      <c r="G361">
        <v>-0.11463474514068001</v>
      </c>
      <c r="H361">
        <v>-0.236849720278726</v>
      </c>
      <c r="I361">
        <v>-0.12221497513804599</v>
      </c>
      <c r="J361">
        <v>0.25139279877313597</v>
      </c>
      <c r="K361">
        <v>3.9862430797288403E-3</v>
      </c>
      <c r="L361">
        <v>-0.11463474514068001</v>
      </c>
      <c r="M361">
        <v>0.25139279877313597</v>
      </c>
      <c r="N361">
        <v>0.37001378699354498</v>
      </c>
      <c r="O361">
        <v>-0.240835963358455</v>
      </c>
      <c r="P361">
        <v>-0.12221497513804599</v>
      </c>
      <c r="Q361" t="s">
        <v>1173</v>
      </c>
      <c r="R361" t="s">
        <v>1068</v>
      </c>
      <c r="S361" t="s">
        <v>1067</v>
      </c>
      <c r="T361" t="s">
        <v>1067</v>
      </c>
      <c r="U361" t="s">
        <v>944</v>
      </c>
      <c r="V361">
        <v>1</v>
      </c>
      <c r="W361" t="s">
        <v>944</v>
      </c>
      <c r="X361" t="s">
        <v>1175</v>
      </c>
      <c r="Y361">
        <v>1</v>
      </c>
      <c r="Z361">
        <v>-7.7913587972289006E-2</v>
      </c>
      <c r="AA361">
        <v>-0.21496114501705099</v>
      </c>
      <c r="AB361">
        <v>-0.153783252596884</v>
      </c>
      <c r="AC361">
        <v>-0.329553352015097</v>
      </c>
    </row>
    <row r="362" spans="1:29" x14ac:dyDescent="0.2">
      <c r="A362">
        <v>361</v>
      </c>
      <c r="B362" t="s">
        <v>523</v>
      </c>
      <c r="C362" t="s">
        <v>200</v>
      </c>
      <c r="D362" t="s">
        <v>148</v>
      </c>
      <c r="E362">
        <v>-0.319939748994024</v>
      </c>
      <c r="F362">
        <v>0.26459976318249601</v>
      </c>
      <c r="G362">
        <v>1.7198436238499398E-2</v>
      </c>
      <c r="H362">
        <v>0.177628768332145</v>
      </c>
      <c r="I362">
        <v>0.16043033209364599</v>
      </c>
      <c r="J362">
        <v>0.58453951217652</v>
      </c>
      <c r="K362">
        <v>1.7198436238499398E-2</v>
      </c>
      <c r="L362">
        <v>-0.319939748994024</v>
      </c>
      <c r="M362">
        <v>0.247401326943997</v>
      </c>
      <c r="N362">
        <v>0.58453951217652</v>
      </c>
      <c r="O362">
        <v>0.16043033209364599</v>
      </c>
      <c r="P362">
        <v>0.49756851732616902</v>
      </c>
      <c r="Q362" t="s">
        <v>1067</v>
      </c>
      <c r="R362" t="s">
        <v>1068</v>
      </c>
      <c r="S362" t="s">
        <v>1173</v>
      </c>
      <c r="T362" t="s">
        <v>1068</v>
      </c>
      <c r="U362" t="s">
        <v>944</v>
      </c>
      <c r="V362">
        <v>0</v>
      </c>
      <c r="W362" t="s">
        <v>944</v>
      </c>
      <c r="X362" t="s">
        <v>1175</v>
      </c>
      <c r="Y362">
        <v>1</v>
      </c>
      <c r="Z362">
        <v>-0.43723686816204399</v>
      </c>
      <c r="AA362">
        <v>-0.32073375582063302</v>
      </c>
      <c r="AB362">
        <v>-0.113079671454008</v>
      </c>
      <c r="AC362">
        <v>-0.24648478624349199</v>
      </c>
    </row>
    <row r="363" spans="1:29" x14ac:dyDescent="0.2">
      <c r="A363">
        <v>362</v>
      </c>
      <c r="B363" t="s">
        <v>524</v>
      </c>
      <c r="C363" t="s">
        <v>200</v>
      </c>
      <c r="D363" t="s">
        <v>150</v>
      </c>
      <c r="E363">
        <v>4.2595788067300196E-3</v>
      </c>
      <c r="F363">
        <v>0.24991360611690799</v>
      </c>
      <c r="G363">
        <v>-3.6917735440298201E-2</v>
      </c>
      <c r="H363">
        <v>-0.24256551983714</v>
      </c>
      <c r="I363">
        <v>-0.205647784396842</v>
      </c>
      <c r="J363">
        <v>0.24565402731017799</v>
      </c>
      <c r="K363">
        <v>4.2595788067300196E-3</v>
      </c>
      <c r="L363">
        <v>-3.6917735440298201E-2</v>
      </c>
      <c r="M363">
        <v>0.24565402731017799</v>
      </c>
      <c r="N363">
        <v>0.28683134155720602</v>
      </c>
      <c r="O363">
        <v>-0.24682509864387001</v>
      </c>
      <c r="P363">
        <v>-0.205647784396842</v>
      </c>
      <c r="Q363" t="s">
        <v>1173</v>
      </c>
      <c r="R363" t="s">
        <v>1068</v>
      </c>
      <c r="S363" t="s">
        <v>1173</v>
      </c>
      <c r="T363" t="s">
        <v>1067</v>
      </c>
      <c r="U363" t="s">
        <v>944</v>
      </c>
      <c r="V363">
        <v>1</v>
      </c>
      <c r="W363" t="s">
        <v>944</v>
      </c>
      <c r="X363" t="s">
        <v>1175</v>
      </c>
      <c r="Y363">
        <v>1</v>
      </c>
      <c r="Z363">
        <v>-0.166887119848456</v>
      </c>
      <c r="AA363">
        <v>-0.25187399768519703</v>
      </c>
      <c r="AB363">
        <v>-0.15683083647518101</v>
      </c>
      <c r="AC363">
        <v>-0.33020790268913502</v>
      </c>
    </row>
    <row r="364" spans="1:29" x14ac:dyDescent="0.2">
      <c r="A364">
        <v>363</v>
      </c>
      <c r="B364" t="s">
        <v>525</v>
      </c>
      <c r="C364" t="s">
        <v>200</v>
      </c>
      <c r="D364" t="s">
        <v>204</v>
      </c>
      <c r="E364">
        <v>-0.225483651884129</v>
      </c>
      <c r="F364">
        <v>5.6656805637656703E-2</v>
      </c>
      <c r="G364">
        <v>-4.3977012607764203E-2</v>
      </c>
      <c r="H364">
        <v>-6.9356950702256906E-2</v>
      </c>
      <c r="I364">
        <v>-2.53799380944927E-2</v>
      </c>
      <c r="J364">
        <v>0.28214045752178601</v>
      </c>
      <c r="K364">
        <v>-4.3977012607764203E-2</v>
      </c>
      <c r="L364">
        <v>-0.225483651884129</v>
      </c>
      <c r="M364">
        <v>0.100633818245421</v>
      </c>
      <c r="N364">
        <v>0.28214045752178601</v>
      </c>
      <c r="O364">
        <v>-2.53799380944927E-2</v>
      </c>
      <c r="P364">
        <v>0.156126701181872</v>
      </c>
      <c r="Q364" t="s">
        <v>1067</v>
      </c>
      <c r="R364" t="s">
        <v>1173</v>
      </c>
      <c r="S364" t="s">
        <v>1173</v>
      </c>
      <c r="T364" t="s">
        <v>1173</v>
      </c>
      <c r="U364" t="s">
        <v>944</v>
      </c>
      <c r="V364">
        <v>1</v>
      </c>
      <c r="W364" t="s">
        <v>944</v>
      </c>
      <c r="X364" t="s">
        <v>1175</v>
      </c>
      <c r="Y364">
        <v>1</v>
      </c>
      <c r="Z364">
        <v>-0.34667936100561603</v>
      </c>
      <c r="AA364">
        <v>-0.26923560613849501</v>
      </c>
      <c r="AB364">
        <v>-0.149832727946241</v>
      </c>
      <c r="AC364">
        <v>-0.248109781928677</v>
      </c>
    </row>
    <row r="365" spans="1:29" x14ac:dyDescent="0.2">
      <c r="A365">
        <v>364</v>
      </c>
      <c r="B365" t="s">
        <v>526</v>
      </c>
      <c r="C365" t="s">
        <v>200</v>
      </c>
      <c r="D365" t="s">
        <v>152</v>
      </c>
      <c r="E365">
        <v>-0.16296520491793001</v>
      </c>
      <c r="F365">
        <v>6.1539265928878803E-2</v>
      </c>
      <c r="G365">
        <v>1.7156471856941899E-2</v>
      </c>
      <c r="H365">
        <v>-6.0528755490096897E-2</v>
      </c>
      <c r="I365">
        <v>-7.7685227347038796E-2</v>
      </c>
      <c r="J365">
        <v>0.224504470846809</v>
      </c>
      <c r="K365">
        <v>1.7156471856941899E-2</v>
      </c>
      <c r="L365">
        <v>-0.16296520491793001</v>
      </c>
      <c r="M365">
        <v>4.4382794071936897E-2</v>
      </c>
      <c r="N365">
        <v>0.224504470846809</v>
      </c>
      <c r="O365">
        <v>-7.7685227347038796E-2</v>
      </c>
      <c r="P365">
        <v>0.102436449427833</v>
      </c>
      <c r="Q365" t="s">
        <v>1067</v>
      </c>
      <c r="R365" t="s">
        <v>1173</v>
      </c>
      <c r="S365" t="s">
        <v>1173</v>
      </c>
      <c r="T365" t="s">
        <v>1173</v>
      </c>
      <c r="U365" t="s">
        <v>944</v>
      </c>
      <c r="V365">
        <v>1</v>
      </c>
      <c r="W365" t="s">
        <v>944</v>
      </c>
      <c r="X365" t="s">
        <v>1175</v>
      </c>
      <c r="Y365">
        <v>1</v>
      </c>
      <c r="Z365">
        <v>0.72251306027449402</v>
      </c>
      <c r="AA365">
        <v>-0.180969289576454</v>
      </c>
      <c r="AB365">
        <v>0.87568845948176799</v>
      </c>
      <c r="AC365">
        <v>-0.117958496404331</v>
      </c>
    </row>
    <row r="366" spans="1:29" x14ac:dyDescent="0.2">
      <c r="A366">
        <v>365</v>
      </c>
      <c r="B366" t="s">
        <v>527</v>
      </c>
      <c r="C366" t="s">
        <v>200</v>
      </c>
      <c r="D366" t="s">
        <v>154</v>
      </c>
      <c r="E366">
        <v>-0.225658084434504</v>
      </c>
      <c r="F366">
        <v>-6.6032058725227993E-2</v>
      </c>
      <c r="G366">
        <v>-4.3977012671834202E-2</v>
      </c>
      <c r="H366">
        <v>-0.282686289911182</v>
      </c>
      <c r="I366">
        <v>-0.23870927723934801</v>
      </c>
      <c r="J366">
        <v>0.159626025709276</v>
      </c>
      <c r="K366">
        <v>-4.3977012671834202E-2</v>
      </c>
      <c r="L366">
        <v>-0.225658084434504</v>
      </c>
      <c r="M366">
        <v>-2.2055046053393802E-2</v>
      </c>
      <c r="N366">
        <v>0.159626025709276</v>
      </c>
      <c r="O366">
        <v>-0.23870927723934801</v>
      </c>
      <c r="P366">
        <v>-5.7028205476678001E-2</v>
      </c>
      <c r="Q366" t="s">
        <v>1067</v>
      </c>
      <c r="R366" t="s">
        <v>1173</v>
      </c>
      <c r="S366" t="s">
        <v>1173</v>
      </c>
      <c r="T366" t="s">
        <v>1067</v>
      </c>
      <c r="U366" t="s">
        <v>944</v>
      </c>
      <c r="V366">
        <v>1</v>
      </c>
      <c r="W366" t="s">
        <v>944</v>
      </c>
      <c r="X366" t="s">
        <v>1175</v>
      </c>
      <c r="Y366">
        <v>1</v>
      </c>
      <c r="Z366">
        <v>-0.34952526782702598</v>
      </c>
      <c r="AA366">
        <v>-0.26957855790554902</v>
      </c>
      <c r="AB366">
        <v>-0.15253763583052299</v>
      </c>
      <c r="AC366">
        <v>-0.24839760098018701</v>
      </c>
    </row>
    <row r="367" spans="1:29" x14ac:dyDescent="0.2">
      <c r="A367">
        <v>366</v>
      </c>
      <c r="B367" t="s">
        <v>528</v>
      </c>
      <c r="C367" t="s">
        <v>200</v>
      </c>
      <c r="D367" t="s">
        <v>156</v>
      </c>
      <c r="E367">
        <v>-0.18879920702473299</v>
      </c>
      <c r="F367">
        <v>0.63342573385010703</v>
      </c>
      <c r="G367">
        <v>1.7156471835824701E-2</v>
      </c>
      <c r="H367">
        <v>0.58385791053054903</v>
      </c>
      <c r="I367">
        <v>0.566701438694724</v>
      </c>
      <c r="J367">
        <v>0.82222494087483999</v>
      </c>
      <c r="K367">
        <v>1.7156471835824701E-2</v>
      </c>
      <c r="L367">
        <v>-0.18879920702473299</v>
      </c>
      <c r="M367">
        <v>0.616269262014282</v>
      </c>
      <c r="N367">
        <v>0.82222494087483999</v>
      </c>
      <c r="O367">
        <v>0.566701438694724</v>
      </c>
      <c r="P367">
        <v>0.77265711755528199</v>
      </c>
      <c r="Q367" t="s">
        <v>1067</v>
      </c>
      <c r="R367" t="s">
        <v>1068</v>
      </c>
      <c r="S367" t="s">
        <v>1173</v>
      </c>
      <c r="T367" t="s">
        <v>1068</v>
      </c>
      <c r="U367" t="s">
        <v>944</v>
      </c>
      <c r="V367">
        <v>0</v>
      </c>
      <c r="W367" t="s">
        <v>944</v>
      </c>
      <c r="X367" t="s">
        <v>1175</v>
      </c>
      <c r="Y367">
        <v>1</v>
      </c>
      <c r="Z367">
        <v>-0.21850542139690099</v>
      </c>
      <c r="AA367">
        <v>-0.29436863036671501</v>
      </c>
      <c r="AB367">
        <v>0.124140833248785</v>
      </c>
      <c r="AC367">
        <v>-0.21363995060069099</v>
      </c>
    </row>
    <row r="368" spans="1:29" x14ac:dyDescent="0.2">
      <c r="A368">
        <v>367</v>
      </c>
      <c r="B368" t="s">
        <v>529</v>
      </c>
      <c r="C368" t="s">
        <v>200</v>
      </c>
      <c r="D368" t="s">
        <v>158</v>
      </c>
      <c r="E368">
        <v>-0.22619192761109999</v>
      </c>
      <c r="F368">
        <v>0.106316930297367</v>
      </c>
      <c r="G368">
        <v>-4.3062736177776402E-2</v>
      </c>
      <c r="H368">
        <v>-1.1157595516236799E-2</v>
      </c>
      <c r="I368">
        <v>3.1905140661539599E-2</v>
      </c>
      <c r="J368">
        <v>0.33250885790846701</v>
      </c>
      <c r="K368">
        <v>-4.3062736177776402E-2</v>
      </c>
      <c r="L368">
        <v>-0.22619192761109999</v>
      </c>
      <c r="M368">
        <v>0.149379666475143</v>
      </c>
      <c r="N368">
        <v>0.33250885790846701</v>
      </c>
      <c r="O368">
        <v>3.1905140661539599E-2</v>
      </c>
      <c r="P368">
        <v>0.215034332094863</v>
      </c>
      <c r="Q368" t="s">
        <v>1067</v>
      </c>
      <c r="R368" t="s">
        <v>1068</v>
      </c>
      <c r="S368" t="s">
        <v>1173</v>
      </c>
      <c r="T368" t="s">
        <v>1173</v>
      </c>
      <c r="U368" t="s">
        <v>944</v>
      </c>
      <c r="V368">
        <v>0</v>
      </c>
      <c r="W368" t="s">
        <v>944</v>
      </c>
      <c r="X368" t="s">
        <v>1175</v>
      </c>
      <c r="Y368">
        <v>1</v>
      </c>
      <c r="Z368">
        <v>-0.35564585442290603</v>
      </c>
      <c r="AA368">
        <v>-0.27075977467003298</v>
      </c>
      <c r="AB368">
        <v>-0.15900476458879401</v>
      </c>
      <c r="AC368">
        <v>-0.24921281795508701</v>
      </c>
    </row>
    <row r="369" spans="1:29" x14ac:dyDescent="0.2">
      <c r="A369">
        <v>368</v>
      </c>
      <c r="B369" t="s">
        <v>530</v>
      </c>
      <c r="C369" t="s">
        <v>200</v>
      </c>
      <c r="D369" t="s">
        <v>160</v>
      </c>
      <c r="E369">
        <v>-0.18539697255208001</v>
      </c>
      <c r="F369">
        <v>0.586535722803043</v>
      </c>
      <c r="G369">
        <v>1.67285674148096E-2</v>
      </c>
      <c r="H369">
        <v>0.52339432432907296</v>
      </c>
      <c r="I369">
        <v>0.50666575691426297</v>
      </c>
      <c r="J369">
        <v>0.77193269535512299</v>
      </c>
      <c r="K369">
        <v>1.67285674148096E-2</v>
      </c>
      <c r="L369">
        <v>-0.18539697255208001</v>
      </c>
      <c r="M369">
        <v>0.56980715538823301</v>
      </c>
      <c r="N369">
        <v>0.77193269535512299</v>
      </c>
      <c r="O369">
        <v>0.50666575691426297</v>
      </c>
      <c r="P369">
        <v>0.70879129688115305</v>
      </c>
      <c r="Q369" t="s">
        <v>1067</v>
      </c>
      <c r="R369" t="s">
        <v>1068</v>
      </c>
      <c r="S369" t="s">
        <v>1173</v>
      </c>
      <c r="T369" t="s">
        <v>1068</v>
      </c>
      <c r="U369" t="s">
        <v>944</v>
      </c>
      <c r="V369">
        <v>0</v>
      </c>
      <c r="W369" t="s">
        <v>944</v>
      </c>
      <c r="X369" t="s">
        <v>1175</v>
      </c>
      <c r="Y369">
        <v>1</v>
      </c>
      <c r="Z369">
        <v>-0.25723082834816002</v>
      </c>
      <c r="AA369">
        <v>-0.29882041001364601</v>
      </c>
      <c r="AB369">
        <v>7.9267894257348995E-2</v>
      </c>
      <c r="AC369">
        <v>-0.21998705518349199</v>
      </c>
    </row>
    <row r="370" spans="1:29" x14ac:dyDescent="0.2">
      <c r="A370">
        <v>369</v>
      </c>
      <c r="B370" t="s">
        <v>531</v>
      </c>
      <c r="C370" t="s">
        <v>200</v>
      </c>
      <c r="D370" t="s">
        <v>162</v>
      </c>
      <c r="E370">
        <v>4.2595788069316803E-3</v>
      </c>
      <c r="F370">
        <v>0.25940388949691301</v>
      </c>
      <c r="G370">
        <v>-4.6103911663122603E-2</v>
      </c>
      <c r="H370">
        <v>-0.24102087538727901</v>
      </c>
      <c r="I370">
        <v>-0.19491696372415601</v>
      </c>
      <c r="J370">
        <v>0.255144310689981</v>
      </c>
      <c r="K370">
        <v>4.2595788069316803E-3</v>
      </c>
      <c r="L370">
        <v>-4.6103911663122603E-2</v>
      </c>
      <c r="M370">
        <v>0.255144310689981</v>
      </c>
      <c r="N370">
        <v>0.30550780116003601</v>
      </c>
      <c r="O370">
        <v>-0.24528045419421099</v>
      </c>
      <c r="P370">
        <v>-0.19491696372415601</v>
      </c>
      <c r="Q370" t="s">
        <v>1173</v>
      </c>
      <c r="R370" t="s">
        <v>1068</v>
      </c>
      <c r="S370" t="s">
        <v>1173</v>
      </c>
      <c r="T370" t="s">
        <v>1067</v>
      </c>
      <c r="U370" t="s">
        <v>944</v>
      </c>
      <c r="V370">
        <v>1</v>
      </c>
      <c r="W370" t="s">
        <v>944</v>
      </c>
      <c r="X370" t="s">
        <v>1175</v>
      </c>
      <c r="Y370">
        <v>1</v>
      </c>
      <c r="Z370">
        <v>-0.14748891441848999</v>
      </c>
      <c r="AA370">
        <v>-0.244183401175569</v>
      </c>
      <c r="AB370">
        <v>-0.155438270715368</v>
      </c>
      <c r="AC370">
        <v>-0.33002582808290298</v>
      </c>
    </row>
    <row r="371" spans="1:29" x14ac:dyDescent="0.2">
      <c r="A371">
        <v>370</v>
      </c>
      <c r="B371" t="s">
        <v>532</v>
      </c>
      <c r="C371" t="s">
        <v>200</v>
      </c>
      <c r="D371" t="s">
        <v>220</v>
      </c>
      <c r="E371">
        <v>4.2595788067300196E-3</v>
      </c>
      <c r="F371">
        <v>0.241650055509745</v>
      </c>
      <c r="G371">
        <v>-5.75178984322261E-2</v>
      </c>
      <c r="H371">
        <v>-0.23488077029777399</v>
      </c>
      <c r="I371">
        <v>-0.177362871865548</v>
      </c>
      <c r="J371">
        <v>0.237390476703015</v>
      </c>
      <c r="K371">
        <v>4.2595788067300196E-3</v>
      </c>
      <c r="L371">
        <v>-5.75178984322261E-2</v>
      </c>
      <c r="M371">
        <v>0.237390476703015</v>
      </c>
      <c r="N371">
        <v>0.29916795394197099</v>
      </c>
      <c r="O371">
        <v>-0.23914034910450399</v>
      </c>
      <c r="P371">
        <v>-0.177362871865548</v>
      </c>
      <c r="Q371" t="s">
        <v>1173</v>
      </c>
      <c r="R371" t="s">
        <v>1068</v>
      </c>
      <c r="S371" t="s">
        <v>1173</v>
      </c>
      <c r="T371" t="s">
        <v>1067</v>
      </c>
      <c r="U371" t="s">
        <v>944</v>
      </c>
      <c r="V371">
        <v>1</v>
      </c>
      <c r="W371" t="s">
        <v>944</v>
      </c>
      <c r="X371" t="s">
        <v>1175</v>
      </c>
      <c r="Y371">
        <v>1</v>
      </c>
      <c r="Z371">
        <v>-0.13408977776525599</v>
      </c>
      <c r="AA371">
        <v>-0.238549037607</v>
      </c>
      <c r="AB371">
        <v>-0.155799321158131</v>
      </c>
      <c r="AC371">
        <v>-0.33007303455536802</v>
      </c>
    </row>
    <row r="372" spans="1:29" x14ac:dyDescent="0.2">
      <c r="A372">
        <v>371</v>
      </c>
      <c r="B372" t="s">
        <v>533</v>
      </c>
      <c r="C372" t="s">
        <v>200</v>
      </c>
      <c r="D372" t="s">
        <v>164</v>
      </c>
      <c r="E372">
        <v>-0.161419234896195</v>
      </c>
      <c r="F372">
        <v>0.50648299550308595</v>
      </c>
      <c r="G372">
        <v>-1.90683479086802E-2</v>
      </c>
      <c r="H372">
        <v>0.42110402361554</v>
      </c>
      <c r="I372">
        <v>0.44017237152422001</v>
      </c>
      <c r="J372">
        <v>0.66790223039928098</v>
      </c>
      <c r="K372">
        <v>-1.90683479086802E-2</v>
      </c>
      <c r="L372">
        <v>-0.161419234896195</v>
      </c>
      <c r="M372">
        <v>0.52555134341176601</v>
      </c>
      <c r="N372">
        <v>0.66790223039928098</v>
      </c>
      <c r="O372">
        <v>0.44017237152422001</v>
      </c>
      <c r="P372">
        <v>0.58252325851173503</v>
      </c>
      <c r="Q372" t="s">
        <v>1067</v>
      </c>
      <c r="R372" t="s">
        <v>1068</v>
      </c>
      <c r="S372" t="s">
        <v>1173</v>
      </c>
      <c r="T372" t="s">
        <v>1068</v>
      </c>
      <c r="U372" t="s">
        <v>944</v>
      </c>
      <c r="V372">
        <v>0</v>
      </c>
      <c r="W372" t="s">
        <v>944</v>
      </c>
      <c r="X372" t="s">
        <v>1175</v>
      </c>
      <c r="Y372">
        <v>1</v>
      </c>
      <c r="Z372">
        <v>-2.7404709782600001E-2</v>
      </c>
      <c r="AA372">
        <v>-0.25990887025505699</v>
      </c>
      <c r="AB372">
        <v>0.27924708461951298</v>
      </c>
      <c r="AC372">
        <v>-0.19682932867414199</v>
      </c>
    </row>
    <row r="373" spans="1:29" x14ac:dyDescent="0.2">
      <c r="A373">
        <v>372</v>
      </c>
      <c r="B373" t="s">
        <v>534</v>
      </c>
      <c r="C373" t="s">
        <v>200</v>
      </c>
      <c r="D373" t="s">
        <v>166</v>
      </c>
      <c r="E373">
        <v>4.2595788067300196E-3</v>
      </c>
      <c r="F373">
        <v>-1.2145086437107201E-2</v>
      </c>
      <c r="G373">
        <v>1.71984370832255E-2</v>
      </c>
      <c r="H373">
        <v>-0.13222933999261999</v>
      </c>
      <c r="I373">
        <v>-0.14942777707584501</v>
      </c>
      <c r="J373">
        <v>-1.6404665243837199E-2</v>
      </c>
      <c r="K373">
        <v>1.71984370832255E-2</v>
      </c>
      <c r="L373">
        <v>4.2595788067300196E-3</v>
      </c>
      <c r="M373">
        <v>-2.93435235203327E-2</v>
      </c>
      <c r="N373">
        <v>-1.6404665243837199E-2</v>
      </c>
      <c r="O373">
        <v>-0.14942777707584501</v>
      </c>
      <c r="P373">
        <v>-0.13648891879934999</v>
      </c>
      <c r="Q373" t="s">
        <v>1173</v>
      </c>
      <c r="R373" t="s">
        <v>1173</v>
      </c>
      <c r="S373" t="s">
        <v>1173</v>
      </c>
      <c r="T373" t="s">
        <v>1067</v>
      </c>
      <c r="U373" t="s">
        <v>1174</v>
      </c>
      <c r="V373">
        <v>1</v>
      </c>
      <c r="W373" t="s">
        <v>944</v>
      </c>
      <c r="X373" t="s">
        <v>1175</v>
      </c>
      <c r="Y373">
        <v>0</v>
      </c>
      <c r="Z373">
        <v>-5.9754867134934997E-2</v>
      </c>
      <c r="AA373">
        <v>-0.27524452164466601</v>
      </c>
      <c r="AB373">
        <v>7.4799798815819399E-2</v>
      </c>
      <c r="AC373">
        <v>-0.29992275714775202</v>
      </c>
    </row>
    <row r="374" spans="1:29" x14ac:dyDescent="0.2">
      <c r="A374">
        <v>373</v>
      </c>
      <c r="B374" t="s">
        <v>535</v>
      </c>
      <c r="C374" t="s">
        <v>200</v>
      </c>
      <c r="D374" t="s">
        <v>226</v>
      </c>
      <c r="E374">
        <v>0.82979662169205803</v>
      </c>
      <c r="F374">
        <v>0.78000764044443305</v>
      </c>
      <c r="G374">
        <v>0.564290017935834</v>
      </c>
      <c r="H374">
        <v>0.76684770598822705</v>
      </c>
      <c r="I374">
        <v>0.20255768805239299</v>
      </c>
      <c r="J374">
        <v>-4.9788981247625E-2</v>
      </c>
      <c r="K374">
        <v>0.82979662169205803</v>
      </c>
      <c r="L374">
        <v>0.564290017935834</v>
      </c>
      <c r="M374">
        <v>-4.9788981247625E-2</v>
      </c>
      <c r="N374">
        <v>0.21571762250859899</v>
      </c>
      <c r="O374">
        <v>-6.2948915703831002E-2</v>
      </c>
      <c r="P374">
        <v>0.20255768805239299</v>
      </c>
      <c r="Q374" t="s">
        <v>1068</v>
      </c>
      <c r="R374" t="s">
        <v>1068</v>
      </c>
      <c r="S374" t="s">
        <v>1068</v>
      </c>
      <c r="T374" t="s">
        <v>1068</v>
      </c>
      <c r="U374" t="s">
        <v>1174</v>
      </c>
      <c r="V374">
        <v>0</v>
      </c>
      <c r="W374" t="s">
        <v>944</v>
      </c>
      <c r="X374" t="s">
        <v>1175</v>
      </c>
      <c r="Y374">
        <v>0</v>
      </c>
      <c r="Z374">
        <v>-0.33684081606021998</v>
      </c>
      <c r="AA374">
        <v>-0.27034397578507202</v>
      </c>
      <c r="AB374">
        <v>-0.14278127698840001</v>
      </c>
      <c r="AC374">
        <v>-0.25163526920711998</v>
      </c>
    </row>
    <row r="375" spans="1:29" x14ac:dyDescent="0.2">
      <c r="A375">
        <v>374</v>
      </c>
      <c r="B375" t="s">
        <v>536</v>
      </c>
      <c r="C375" t="s">
        <v>200</v>
      </c>
      <c r="D375" t="s">
        <v>168</v>
      </c>
      <c r="E375">
        <v>0.111060604218973</v>
      </c>
      <c r="F375">
        <v>0.257860938539968</v>
      </c>
      <c r="G375">
        <v>-0.204651470455253</v>
      </c>
      <c r="H375">
        <v>0.14057729717262499</v>
      </c>
      <c r="I375">
        <v>0.34522876762787802</v>
      </c>
      <c r="J375">
        <v>0.14680033432099501</v>
      </c>
      <c r="K375">
        <v>0.111060604218973</v>
      </c>
      <c r="L375">
        <v>-0.204651470455253</v>
      </c>
      <c r="M375">
        <v>0.14680033432099501</v>
      </c>
      <c r="N375">
        <v>0.462512408995221</v>
      </c>
      <c r="O375">
        <v>2.9516692953651998E-2</v>
      </c>
      <c r="P375">
        <v>0.34522876762787802</v>
      </c>
      <c r="Q375" t="s">
        <v>1068</v>
      </c>
      <c r="R375" t="s">
        <v>1068</v>
      </c>
      <c r="S375" t="s">
        <v>1067</v>
      </c>
      <c r="T375" t="s">
        <v>1068</v>
      </c>
      <c r="U375" t="s">
        <v>944</v>
      </c>
      <c r="V375">
        <v>0</v>
      </c>
      <c r="W375" t="s">
        <v>944</v>
      </c>
      <c r="X375" t="s">
        <v>1175</v>
      </c>
      <c r="Y375">
        <v>1</v>
      </c>
      <c r="Z375">
        <v>-0.35634540802249398</v>
      </c>
      <c r="AA375">
        <v>-0.27702455461704301</v>
      </c>
      <c r="AB375">
        <v>-0.153691860253689</v>
      </c>
      <c r="AC375">
        <v>-0.25458037954186102</v>
      </c>
    </row>
    <row r="376" spans="1:29" x14ac:dyDescent="0.2">
      <c r="A376">
        <v>375</v>
      </c>
      <c r="B376" t="s">
        <v>537</v>
      </c>
      <c r="C376" t="s">
        <v>148</v>
      </c>
      <c r="D376" t="s">
        <v>130</v>
      </c>
      <c r="E376">
        <v>-1.28600959136987E-2</v>
      </c>
      <c r="F376">
        <v>-0.163122245958815</v>
      </c>
      <c r="G376">
        <v>-9.0582976653299698E-3</v>
      </c>
      <c r="H376">
        <v>-0.37931204537944702</v>
      </c>
      <c r="I376">
        <v>-0.37025374771411701</v>
      </c>
      <c r="J376">
        <v>-0.15026215004511601</v>
      </c>
      <c r="K376">
        <v>-9.0582976653299698E-3</v>
      </c>
      <c r="L376">
        <v>-1.28600959136987E-2</v>
      </c>
      <c r="M376">
        <v>-0.15406394829348499</v>
      </c>
      <c r="N376">
        <v>-0.15026215004511601</v>
      </c>
      <c r="O376">
        <v>-0.37025374771411701</v>
      </c>
      <c r="P376">
        <v>-0.36645194946574799</v>
      </c>
      <c r="Q376" t="s">
        <v>1173</v>
      </c>
      <c r="R376" t="s">
        <v>1067</v>
      </c>
      <c r="S376" t="s">
        <v>1173</v>
      </c>
      <c r="T376" t="s">
        <v>1067</v>
      </c>
      <c r="U376" t="s">
        <v>1174</v>
      </c>
      <c r="V376">
        <v>1</v>
      </c>
      <c r="W376" t="s">
        <v>1174</v>
      </c>
      <c r="X376" t="s">
        <v>1175</v>
      </c>
      <c r="Y376">
        <v>1</v>
      </c>
      <c r="Z376">
        <v>-0.40153257186550201</v>
      </c>
      <c r="AA376">
        <v>-0.27746816891641701</v>
      </c>
      <c r="AB376">
        <v>-0.41805812589379798</v>
      </c>
      <c r="AC376">
        <v>-0.36267394207144399</v>
      </c>
    </row>
    <row r="377" spans="1:29" x14ac:dyDescent="0.2">
      <c r="A377">
        <v>376</v>
      </c>
      <c r="B377" t="s">
        <v>538</v>
      </c>
      <c r="C377" t="s">
        <v>148</v>
      </c>
      <c r="D377" t="s">
        <v>132</v>
      </c>
      <c r="E377">
        <v>-0.49876460760220898</v>
      </c>
      <c r="F377">
        <v>-1</v>
      </c>
      <c r="G377">
        <v>3.2490732235811101E-3</v>
      </c>
      <c r="H377">
        <v>-1</v>
      </c>
      <c r="I377">
        <v>-1.0032490732235799</v>
      </c>
      <c r="J377">
        <v>-0.50123539239779102</v>
      </c>
      <c r="K377">
        <v>3.2490732235811101E-3</v>
      </c>
      <c r="L377">
        <v>-0.49876460760220898</v>
      </c>
      <c r="M377">
        <v>-1.0032490732235799</v>
      </c>
      <c r="N377">
        <v>-0.50123539239779102</v>
      </c>
      <c r="O377">
        <v>-1.0032490732235799</v>
      </c>
      <c r="P377">
        <v>-0.50123539239779102</v>
      </c>
      <c r="Q377" t="s">
        <v>1067</v>
      </c>
      <c r="R377" t="s">
        <v>1067</v>
      </c>
      <c r="S377" t="s">
        <v>1173</v>
      </c>
      <c r="T377" t="s">
        <v>1067</v>
      </c>
      <c r="U377" t="s">
        <v>1174</v>
      </c>
      <c r="V377">
        <v>1</v>
      </c>
      <c r="W377" t="s">
        <v>944</v>
      </c>
      <c r="X377" t="s">
        <v>1175</v>
      </c>
      <c r="Y377">
        <v>1</v>
      </c>
      <c r="Z377">
        <v>-0.671281498016286</v>
      </c>
      <c r="AA377">
        <v>-0.34721169012268599</v>
      </c>
      <c r="AB377">
        <v>-0.376561630048796</v>
      </c>
      <c r="AC377">
        <v>-0.281398286088136</v>
      </c>
    </row>
    <row r="378" spans="1:29" x14ac:dyDescent="0.2">
      <c r="A378">
        <v>377</v>
      </c>
      <c r="B378" t="s">
        <v>539</v>
      </c>
      <c r="C378" t="s">
        <v>148</v>
      </c>
      <c r="D378" t="s">
        <v>136</v>
      </c>
      <c r="E378">
        <v>-0.38532621589452698</v>
      </c>
      <c r="F378">
        <v>-0.47301898971342798</v>
      </c>
      <c r="G378">
        <v>6.2382960333897198E-3</v>
      </c>
      <c r="H378">
        <v>-0.65701859362396797</v>
      </c>
      <c r="I378">
        <v>-0.66325688965735796</v>
      </c>
      <c r="J378">
        <v>-8.7692773818901004E-2</v>
      </c>
      <c r="K378">
        <v>6.2382960333897198E-3</v>
      </c>
      <c r="L378">
        <v>-0.38532621589452698</v>
      </c>
      <c r="M378">
        <v>-0.47925728574681797</v>
      </c>
      <c r="N378">
        <v>-8.7692773818901004E-2</v>
      </c>
      <c r="O378">
        <v>-0.66325688965735796</v>
      </c>
      <c r="P378">
        <v>-0.27169237772944099</v>
      </c>
      <c r="Q378" t="s">
        <v>1067</v>
      </c>
      <c r="R378" t="s">
        <v>1067</v>
      </c>
      <c r="S378" t="s">
        <v>1173</v>
      </c>
      <c r="T378" t="s">
        <v>1067</v>
      </c>
      <c r="U378" t="s">
        <v>1174</v>
      </c>
      <c r="V378">
        <v>1</v>
      </c>
      <c r="W378" t="s">
        <v>944</v>
      </c>
      <c r="X378" t="s">
        <v>1175</v>
      </c>
      <c r="Y378">
        <v>0</v>
      </c>
      <c r="Z378">
        <v>-0.61682682491542595</v>
      </c>
      <c r="AA378">
        <v>-0.37639319012533201</v>
      </c>
      <c r="AB378">
        <v>-0.18361869619766</v>
      </c>
      <c r="AC378">
        <v>-0.252291240897066</v>
      </c>
    </row>
    <row r="379" spans="1:29" x14ac:dyDescent="0.2">
      <c r="A379">
        <v>378</v>
      </c>
      <c r="B379" t="s">
        <v>540</v>
      </c>
      <c r="C379" t="s">
        <v>148</v>
      </c>
      <c r="D379" t="s">
        <v>140</v>
      </c>
      <c r="E379">
        <v>-0.47764708915655502</v>
      </c>
      <c r="F379">
        <v>-1</v>
      </c>
      <c r="G379">
        <v>4.0957484037511104E-3</v>
      </c>
      <c r="H379">
        <v>-1</v>
      </c>
      <c r="I379">
        <v>-1.00409574840375</v>
      </c>
      <c r="J379">
        <v>-0.52235291084344504</v>
      </c>
      <c r="K379">
        <v>4.0957484037511104E-3</v>
      </c>
      <c r="L379">
        <v>-0.47764708915655502</v>
      </c>
      <c r="M379">
        <v>-1.00409574840375</v>
      </c>
      <c r="N379">
        <v>-0.52235291084344504</v>
      </c>
      <c r="O379">
        <v>-1.00409574840375</v>
      </c>
      <c r="P379">
        <v>-0.52235291084344504</v>
      </c>
      <c r="Q379" t="s">
        <v>1067</v>
      </c>
      <c r="R379" t="s">
        <v>1067</v>
      </c>
      <c r="S379" t="s">
        <v>1173</v>
      </c>
      <c r="T379" t="s">
        <v>1067</v>
      </c>
      <c r="U379" t="s">
        <v>1174</v>
      </c>
      <c r="V379">
        <v>1</v>
      </c>
      <c r="W379" t="s">
        <v>944</v>
      </c>
      <c r="X379" t="s">
        <v>1175</v>
      </c>
      <c r="Y379">
        <v>1</v>
      </c>
      <c r="Z379">
        <v>-0.60426275223756698</v>
      </c>
      <c r="AA379">
        <v>-0.31166147857378002</v>
      </c>
      <c r="AB379">
        <v>-0.39095418656526199</v>
      </c>
      <c r="AC379">
        <v>-0.27971542613523498</v>
      </c>
    </row>
    <row r="380" spans="1:29" x14ac:dyDescent="0.2">
      <c r="A380">
        <v>379</v>
      </c>
      <c r="B380" t="s">
        <v>541</v>
      </c>
      <c r="C380" t="s">
        <v>148</v>
      </c>
      <c r="D380" t="s">
        <v>142</v>
      </c>
      <c r="E380">
        <v>-0.52924771630566703</v>
      </c>
      <c r="F380">
        <v>0.59798861567113604</v>
      </c>
      <c r="G380">
        <v>6.2907341559516597E-3</v>
      </c>
      <c r="H380">
        <v>0.62219319897952097</v>
      </c>
      <c r="I380">
        <v>0.61590246482356903</v>
      </c>
      <c r="J380">
        <v>1.1272363319768</v>
      </c>
      <c r="K380">
        <v>6.2907341559516597E-3</v>
      </c>
      <c r="L380">
        <v>-0.52924771630566703</v>
      </c>
      <c r="M380">
        <v>0.59169788151518399</v>
      </c>
      <c r="N380">
        <v>1.1272363319768</v>
      </c>
      <c r="O380">
        <v>0.61590246482356903</v>
      </c>
      <c r="P380">
        <v>1.1514409152851901</v>
      </c>
      <c r="Q380" t="s">
        <v>1067</v>
      </c>
      <c r="R380" t="s">
        <v>1068</v>
      </c>
      <c r="S380" t="s">
        <v>1173</v>
      </c>
      <c r="T380" t="s">
        <v>1068</v>
      </c>
      <c r="U380" t="s">
        <v>944</v>
      </c>
      <c r="V380">
        <v>0</v>
      </c>
      <c r="W380" t="s">
        <v>944</v>
      </c>
      <c r="X380" t="s">
        <v>1175</v>
      </c>
      <c r="Y380">
        <v>1</v>
      </c>
      <c r="Z380">
        <v>0.36522860314274902</v>
      </c>
      <c r="AA380">
        <v>-0.25804860887598702</v>
      </c>
      <c r="AB380">
        <v>0.61323924171192001</v>
      </c>
      <c r="AC380">
        <v>-0.15057230892359699</v>
      </c>
    </row>
    <row r="381" spans="1:29" x14ac:dyDescent="0.2">
      <c r="A381">
        <v>380</v>
      </c>
      <c r="B381" t="s">
        <v>542</v>
      </c>
      <c r="C381" t="s">
        <v>148</v>
      </c>
      <c r="D381" t="s">
        <v>146</v>
      </c>
      <c r="E381">
        <v>-1.40116507452676E-2</v>
      </c>
      <c r="F381">
        <v>-0.159014840851745</v>
      </c>
      <c r="G381">
        <v>-1.06276120374676E-2</v>
      </c>
      <c r="H381">
        <v>-0.37556742062794801</v>
      </c>
      <c r="I381">
        <v>-0.36493980859047997</v>
      </c>
      <c r="J381">
        <v>-0.145003190106477</v>
      </c>
      <c r="K381">
        <v>-1.06276120374676E-2</v>
      </c>
      <c r="L381">
        <v>-1.40116507452676E-2</v>
      </c>
      <c r="M381">
        <v>-0.14838722881427699</v>
      </c>
      <c r="N381">
        <v>-0.145003190106477</v>
      </c>
      <c r="O381">
        <v>-0.36493980859047997</v>
      </c>
      <c r="P381">
        <v>-0.36155576988268001</v>
      </c>
      <c r="Q381" t="s">
        <v>1173</v>
      </c>
      <c r="R381" t="s">
        <v>1067</v>
      </c>
      <c r="S381" t="s">
        <v>1173</v>
      </c>
      <c r="T381" t="s">
        <v>1067</v>
      </c>
      <c r="U381" t="s">
        <v>1174</v>
      </c>
      <c r="V381">
        <v>1</v>
      </c>
      <c r="W381" t="s">
        <v>1174</v>
      </c>
      <c r="X381" t="s">
        <v>1175</v>
      </c>
      <c r="Y381">
        <v>1</v>
      </c>
      <c r="Z381">
        <v>-0.43507079992709902</v>
      </c>
      <c r="AA381">
        <v>-0.29202513037844802</v>
      </c>
      <c r="AB381">
        <v>-0.41592253886587099</v>
      </c>
      <c r="AC381">
        <v>-0.36216614374697997</v>
      </c>
    </row>
    <row r="382" spans="1:29" x14ac:dyDescent="0.2">
      <c r="A382">
        <v>381</v>
      </c>
      <c r="B382" t="s">
        <v>543</v>
      </c>
      <c r="C382" t="s">
        <v>148</v>
      </c>
      <c r="D382" t="s">
        <v>150</v>
      </c>
      <c r="E382">
        <v>-1.29994173110922E-2</v>
      </c>
      <c r="F382">
        <v>-0.169058901302307</v>
      </c>
      <c r="G382">
        <v>2.86156664791027E-3</v>
      </c>
      <c r="H382">
        <v>-0.32922999260992403</v>
      </c>
      <c r="I382">
        <v>-0.33209155925783401</v>
      </c>
      <c r="J382">
        <v>-0.156059483991215</v>
      </c>
      <c r="K382">
        <v>2.86156664791027E-3</v>
      </c>
      <c r="L382">
        <v>-1.29994173110922E-2</v>
      </c>
      <c r="M382">
        <v>-0.17192046795021701</v>
      </c>
      <c r="N382">
        <v>-0.156059483991215</v>
      </c>
      <c r="O382">
        <v>-0.33209155925783401</v>
      </c>
      <c r="P382">
        <v>-0.31623057529883197</v>
      </c>
      <c r="Q382" t="s">
        <v>1173</v>
      </c>
      <c r="R382" t="s">
        <v>1067</v>
      </c>
      <c r="S382" t="s">
        <v>1173</v>
      </c>
      <c r="T382" t="s">
        <v>1067</v>
      </c>
      <c r="U382" t="s">
        <v>1174</v>
      </c>
      <c r="V382">
        <v>1</v>
      </c>
      <c r="W382" t="s">
        <v>1174</v>
      </c>
      <c r="X382" t="s">
        <v>1175</v>
      </c>
      <c r="Y382">
        <v>1</v>
      </c>
      <c r="Z382">
        <v>-0.52404433180326604</v>
      </c>
      <c r="AA382">
        <v>-0.328937983046594</v>
      </c>
      <c r="AB382">
        <v>-0.41897012274416801</v>
      </c>
      <c r="AC382">
        <v>-0.362820694421019</v>
      </c>
    </row>
    <row r="383" spans="1:29" x14ac:dyDescent="0.2">
      <c r="A383">
        <v>382</v>
      </c>
      <c r="B383" t="s">
        <v>544</v>
      </c>
      <c r="C383" t="s">
        <v>148</v>
      </c>
      <c r="D383" t="s">
        <v>156</v>
      </c>
      <c r="E383">
        <v>-0.36929903430769301</v>
      </c>
      <c r="F383">
        <v>-0.29565317667586899</v>
      </c>
      <c r="G383">
        <v>6.2907341559516597E-3</v>
      </c>
      <c r="H383">
        <v>-0.44558644084330001</v>
      </c>
      <c r="I383">
        <v>-0.45187717499925201</v>
      </c>
      <c r="J383">
        <v>7.3645857631824005E-2</v>
      </c>
      <c r="K383">
        <v>6.2907341559516597E-3</v>
      </c>
      <c r="L383">
        <v>-0.36929903430769301</v>
      </c>
      <c r="M383">
        <v>-0.30194391083182098</v>
      </c>
      <c r="N383">
        <v>7.3645857631824005E-2</v>
      </c>
      <c r="O383">
        <v>-0.45187717499925201</v>
      </c>
      <c r="P383">
        <v>-7.6287406535607005E-2</v>
      </c>
      <c r="Q383" t="s">
        <v>1067</v>
      </c>
      <c r="R383" t="s">
        <v>1067</v>
      </c>
      <c r="S383" t="s">
        <v>1173</v>
      </c>
      <c r="T383" t="s">
        <v>1067</v>
      </c>
      <c r="U383" t="s">
        <v>944</v>
      </c>
      <c r="V383">
        <v>1</v>
      </c>
      <c r="W383" t="s">
        <v>944</v>
      </c>
      <c r="X383" t="s">
        <v>1175</v>
      </c>
      <c r="Y383">
        <v>0</v>
      </c>
      <c r="Z383">
        <v>-0.57566263335171197</v>
      </c>
      <c r="AA383">
        <v>-0.37143261572811298</v>
      </c>
      <c r="AB383">
        <v>-0.137998453020203</v>
      </c>
      <c r="AC383">
        <v>-0.24625274233257399</v>
      </c>
    </row>
    <row r="384" spans="1:29" x14ac:dyDescent="0.2">
      <c r="A384">
        <v>383</v>
      </c>
      <c r="B384" t="s">
        <v>1180</v>
      </c>
      <c r="C384" t="s">
        <v>148</v>
      </c>
      <c r="D384" t="s">
        <v>158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0</v>
      </c>
      <c r="Q384" t="s">
        <v>1068</v>
      </c>
      <c r="R384" t="s">
        <v>1068</v>
      </c>
      <c r="S384" t="s">
        <v>1068</v>
      </c>
      <c r="T384" t="s">
        <v>1068</v>
      </c>
      <c r="U384" t="s">
        <v>944</v>
      </c>
      <c r="V384">
        <v>0</v>
      </c>
      <c r="W384" t="s">
        <v>944</v>
      </c>
      <c r="X384" t="s">
        <v>1175</v>
      </c>
      <c r="Y384">
        <v>0</v>
      </c>
      <c r="Z384">
        <v>-0.71280306637771595</v>
      </c>
      <c r="AA384">
        <v>-0.34782376003143101</v>
      </c>
      <c r="AB384">
        <v>-0.421144050857781</v>
      </c>
      <c r="AC384">
        <v>-0.28182560968697101</v>
      </c>
    </row>
    <row r="385" spans="1:29" x14ac:dyDescent="0.2">
      <c r="A385">
        <v>384</v>
      </c>
      <c r="B385" t="s">
        <v>1181</v>
      </c>
      <c r="C385" t="s">
        <v>148</v>
      </c>
      <c r="D385" t="s">
        <v>162</v>
      </c>
      <c r="E385">
        <v>-1.29994173110922E-2</v>
      </c>
      <c r="F385">
        <v>1</v>
      </c>
      <c r="G385">
        <v>1</v>
      </c>
      <c r="H385">
        <v>1</v>
      </c>
      <c r="I385">
        <v>0</v>
      </c>
      <c r="J385">
        <v>1.0129994173110899</v>
      </c>
      <c r="K385">
        <v>1</v>
      </c>
      <c r="L385">
        <v>-1.29994173110922E-2</v>
      </c>
      <c r="M385">
        <v>0</v>
      </c>
      <c r="N385">
        <v>1.0129994173110899</v>
      </c>
      <c r="O385">
        <v>0</v>
      </c>
      <c r="P385">
        <v>1.0129994173110899</v>
      </c>
      <c r="Q385" t="s">
        <v>1173</v>
      </c>
      <c r="R385" t="s">
        <v>1068</v>
      </c>
      <c r="S385" t="s">
        <v>1068</v>
      </c>
      <c r="T385" t="s">
        <v>1068</v>
      </c>
      <c r="U385" t="s">
        <v>944</v>
      </c>
      <c r="V385">
        <v>0</v>
      </c>
      <c r="W385" t="s">
        <v>944</v>
      </c>
      <c r="X385" t="s">
        <v>1175</v>
      </c>
      <c r="Y385">
        <v>1</v>
      </c>
      <c r="Z385">
        <v>-0.50464612637329997</v>
      </c>
      <c r="AA385">
        <v>-0.321247386536966</v>
      </c>
      <c r="AB385">
        <v>-0.417577556984355</v>
      </c>
      <c r="AC385">
        <v>-0.36263861981478701</v>
      </c>
    </row>
    <row r="386" spans="1:29" x14ac:dyDescent="0.2">
      <c r="A386">
        <v>385</v>
      </c>
      <c r="B386" t="s">
        <v>545</v>
      </c>
      <c r="C386" t="s">
        <v>148</v>
      </c>
      <c r="D386" t="s">
        <v>168</v>
      </c>
      <c r="E386">
        <v>-0.37609743371386201</v>
      </c>
      <c r="F386">
        <v>-1</v>
      </c>
      <c r="G386">
        <v>1.73051322148415E-2</v>
      </c>
      <c r="H386">
        <v>-1</v>
      </c>
      <c r="I386">
        <v>-1.0173051322148401</v>
      </c>
      <c r="J386">
        <v>-0.62390256628613805</v>
      </c>
      <c r="K386">
        <v>1.73051322148415E-2</v>
      </c>
      <c r="L386">
        <v>-0.37609743371386201</v>
      </c>
      <c r="M386">
        <v>-1.0173051322148401</v>
      </c>
      <c r="N386">
        <v>-0.62390256628613805</v>
      </c>
      <c r="O386">
        <v>-1.0173051322148401</v>
      </c>
      <c r="P386">
        <v>-0.62390256628613805</v>
      </c>
      <c r="Q386" t="s">
        <v>1067</v>
      </c>
      <c r="R386" t="s">
        <v>1067</v>
      </c>
      <c r="S386" t="s">
        <v>1173</v>
      </c>
      <c r="T386" t="s">
        <v>1067</v>
      </c>
      <c r="U386" t="s">
        <v>1174</v>
      </c>
      <c r="V386">
        <v>1</v>
      </c>
      <c r="W386" t="s">
        <v>944</v>
      </c>
      <c r="X386" t="s">
        <v>1175</v>
      </c>
      <c r="Y386">
        <v>1</v>
      </c>
      <c r="Z386">
        <v>-0.71350261997730402</v>
      </c>
      <c r="AA386">
        <v>-0.35408853997844097</v>
      </c>
      <c r="AB386">
        <v>-0.415831146522676</v>
      </c>
      <c r="AC386">
        <v>-0.287193171273745</v>
      </c>
    </row>
    <row r="387" spans="1:29" x14ac:dyDescent="0.2">
      <c r="A387">
        <v>386</v>
      </c>
      <c r="B387" t="s">
        <v>546</v>
      </c>
      <c r="C387" t="s">
        <v>150</v>
      </c>
      <c r="D387" t="s">
        <v>130</v>
      </c>
      <c r="E387">
        <v>-2.1099594971774001E-2</v>
      </c>
      <c r="F387">
        <v>0.201696490442521</v>
      </c>
      <c r="G387">
        <v>-0.19239057292960701</v>
      </c>
      <c r="H387">
        <v>1.12958198180973E-2</v>
      </c>
      <c r="I387">
        <v>0.203686392747704</v>
      </c>
      <c r="J387">
        <v>0.22279608541429499</v>
      </c>
      <c r="K387">
        <v>-2.1099594971774001E-2</v>
      </c>
      <c r="L387">
        <v>-0.19239057292960701</v>
      </c>
      <c r="M387">
        <v>0.22279608541429499</v>
      </c>
      <c r="N387">
        <v>0.39408706337212801</v>
      </c>
      <c r="O387">
        <v>3.2395414789871298E-2</v>
      </c>
      <c r="P387">
        <v>0.203686392747704</v>
      </c>
      <c r="Q387" t="s">
        <v>1173</v>
      </c>
      <c r="R387" t="s">
        <v>1068</v>
      </c>
      <c r="S387" t="s">
        <v>1067</v>
      </c>
      <c r="T387" t="s">
        <v>1173</v>
      </c>
      <c r="U387" t="s">
        <v>944</v>
      </c>
      <c r="V387">
        <v>0</v>
      </c>
      <c r="W387" t="s">
        <v>944</v>
      </c>
      <c r="X387" t="s">
        <v>1175</v>
      </c>
      <c r="Y387">
        <v>1</v>
      </c>
      <c r="Z387">
        <v>-0.13118282355191399</v>
      </c>
      <c r="AA387">
        <v>-0.208608410780981</v>
      </c>
      <c r="AB387">
        <v>-0.46180929091497003</v>
      </c>
      <c r="AC387">
        <v>-0.446397058517088</v>
      </c>
    </row>
    <row r="388" spans="1:29" x14ac:dyDescent="0.2">
      <c r="A388">
        <v>387</v>
      </c>
      <c r="B388" t="s">
        <v>547</v>
      </c>
      <c r="C388" t="s">
        <v>150</v>
      </c>
      <c r="D388" t="s">
        <v>158</v>
      </c>
      <c r="E388">
        <v>-3.6749368457804903E-2</v>
      </c>
      <c r="F388">
        <v>-0.135007170103108</v>
      </c>
      <c r="G388">
        <v>-3.1429026532295401E-2</v>
      </c>
      <c r="H388">
        <v>-0.27885089973390798</v>
      </c>
      <c r="I388">
        <v>-0.24742187320161299</v>
      </c>
      <c r="J388">
        <v>-9.8257801645303094E-2</v>
      </c>
      <c r="K388">
        <v>-3.1429026532295401E-2</v>
      </c>
      <c r="L388">
        <v>-3.6749368457804903E-2</v>
      </c>
      <c r="M388">
        <v>-0.10357814357081301</v>
      </c>
      <c r="N388">
        <v>-9.8257801645303094E-2</v>
      </c>
      <c r="O388">
        <v>-0.24742187320161299</v>
      </c>
      <c r="P388">
        <v>-0.24210153127610301</v>
      </c>
      <c r="Q388" t="s">
        <v>1173</v>
      </c>
      <c r="R388" t="s">
        <v>1067</v>
      </c>
      <c r="S388" t="s">
        <v>1173</v>
      </c>
      <c r="T388" t="s">
        <v>1067</v>
      </c>
      <c r="U388" t="s">
        <v>1174</v>
      </c>
      <c r="V388">
        <v>1</v>
      </c>
      <c r="W388" t="s">
        <v>1174</v>
      </c>
      <c r="X388" t="s">
        <v>1175</v>
      </c>
      <c r="Y388">
        <v>0</v>
      </c>
      <c r="Z388">
        <v>-0.44245331806412802</v>
      </c>
      <c r="AA388">
        <v>-0.27896400189599402</v>
      </c>
      <c r="AB388">
        <v>-0.46489521587895299</v>
      </c>
      <c r="AC388">
        <v>-0.36554872613261502</v>
      </c>
    </row>
    <row r="389" spans="1:29" x14ac:dyDescent="0.2">
      <c r="A389">
        <v>388</v>
      </c>
      <c r="B389" t="s">
        <v>548</v>
      </c>
      <c r="C389" t="s">
        <v>204</v>
      </c>
      <c r="D389" t="s">
        <v>129</v>
      </c>
      <c r="E389">
        <v>8.57721882854421E-2</v>
      </c>
      <c r="F389">
        <v>-1</v>
      </c>
      <c r="G389">
        <v>3.5733873766104499E-2</v>
      </c>
      <c r="H389">
        <v>-1</v>
      </c>
      <c r="I389">
        <v>-1.0357338737660999</v>
      </c>
      <c r="J389">
        <v>-1.0857721882854401</v>
      </c>
      <c r="K389">
        <v>8.57721882854421E-2</v>
      </c>
      <c r="L389">
        <v>3.5733873766104499E-2</v>
      </c>
      <c r="M389">
        <v>-1.0857721882854401</v>
      </c>
      <c r="N389">
        <v>-1.0357338737660999</v>
      </c>
      <c r="O389">
        <v>-1.0857721882854401</v>
      </c>
      <c r="P389">
        <v>-1.0357338737660999</v>
      </c>
      <c r="Q389" t="s">
        <v>1173</v>
      </c>
      <c r="R389" t="s">
        <v>1067</v>
      </c>
      <c r="S389" t="s">
        <v>1173</v>
      </c>
      <c r="T389" t="s">
        <v>1067</v>
      </c>
      <c r="U389" t="s">
        <v>1174</v>
      </c>
      <c r="V389">
        <v>1</v>
      </c>
      <c r="W389" t="s">
        <v>1174</v>
      </c>
      <c r="X389" t="s">
        <v>1175</v>
      </c>
      <c r="Y389">
        <v>1</v>
      </c>
      <c r="Z389">
        <v>-0.53197311993195195</v>
      </c>
      <c r="AA389">
        <v>-0.28976731785953103</v>
      </c>
      <c r="AB389">
        <v>-0.35602501102643902</v>
      </c>
      <c r="AC389">
        <v>-0.273620078793187</v>
      </c>
    </row>
    <row r="390" spans="1:29" x14ac:dyDescent="0.2">
      <c r="A390">
        <v>389</v>
      </c>
      <c r="B390" t="s">
        <v>549</v>
      </c>
      <c r="C390" t="s">
        <v>204</v>
      </c>
      <c r="D390" t="s">
        <v>130</v>
      </c>
      <c r="E390">
        <v>-3.6598932402346601E-2</v>
      </c>
      <c r="F390">
        <v>-9.5967814158701203E-2</v>
      </c>
      <c r="G390">
        <v>0.24437267043423899</v>
      </c>
      <c r="H390">
        <v>-0.33515007131579599</v>
      </c>
      <c r="I390">
        <v>-0.57952274175003504</v>
      </c>
      <c r="J390">
        <v>-5.9368881756354602E-2</v>
      </c>
      <c r="K390">
        <v>0.24437267043423899</v>
      </c>
      <c r="L390">
        <v>-3.6598932402346601E-2</v>
      </c>
      <c r="M390">
        <v>-0.34034048459293997</v>
      </c>
      <c r="N390">
        <v>-5.9368881756354602E-2</v>
      </c>
      <c r="O390">
        <v>-0.57952274175003504</v>
      </c>
      <c r="P390">
        <v>-0.29855113891344898</v>
      </c>
      <c r="Q390" t="s">
        <v>1173</v>
      </c>
      <c r="R390" t="s">
        <v>1173</v>
      </c>
      <c r="S390" t="s">
        <v>1068</v>
      </c>
      <c r="T390" t="s">
        <v>1067</v>
      </c>
      <c r="U390" t="s">
        <v>1174</v>
      </c>
      <c r="V390">
        <v>1</v>
      </c>
      <c r="W390" t="s">
        <v>1174</v>
      </c>
      <c r="X390" t="s">
        <v>1175</v>
      </c>
      <c r="Y390">
        <v>0</v>
      </c>
      <c r="Z390">
        <v>-0.31097506470907399</v>
      </c>
      <c r="AA390">
        <v>-0.22597001923428001</v>
      </c>
      <c r="AB390">
        <v>-0.45481118238603002</v>
      </c>
      <c r="AC390">
        <v>-0.36429893775663003</v>
      </c>
    </row>
    <row r="391" spans="1:29" x14ac:dyDescent="0.2">
      <c r="A391">
        <v>390</v>
      </c>
      <c r="B391" t="s">
        <v>550</v>
      </c>
      <c r="C391" t="s">
        <v>204</v>
      </c>
      <c r="D391" t="s">
        <v>132</v>
      </c>
      <c r="E391">
        <v>0.25330354281545397</v>
      </c>
      <c r="F391">
        <v>-1</v>
      </c>
      <c r="G391">
        <v>0.14225727132352101</v>
      </c>
      <c r="H391">
        <v>-1</v>
      </c>
      <c r="I391">
        <v>-1.14225727132352</v>
      </c>
      <c r="J391">
        <v>-1.25330354281545</v>
      </c>
      <c r="K391">
        <v>0.25330354281545397</v>
      </c>
      <c r="L391">
        <v>0.14225727132352101</v>
      </c>
      <c r="M391">
        <v>-1.25330354281545</v>
      </c>
      <c r="N391">
        <v>-1.14225727132352</v>
      </c>
      <c r="O391">
        <v>-1.25330354281545</v>
      </c>
      <c r="P391">
        <v>-1.14225727132352</v>
      </c>
      <c r="Q391" t="s">
        <v>1068</v>
      </c>
      <c r="R391" t="s">
        <v>1067</v>
      </c>
      <c r="S391" t="s">
        <v>1068</v>
      </c>
      <c r="T391" t="s">
        <v>1067</v>
      </c>
      <c r="U391" t="s">
        <v>1174</v>
      </c>
      <c r="V391">
        <v>1</v>
      </c>
      <c r="W391" t="s">
        <v>1174</v>
      </c>
      <c r="X391" t="s">
        <v>1175</v>
      </c>
      <c r="Y391">
        <v>1</v>
      </c>
      <c r="Z391">
        <v>-0.58072399085985804</v>
      </c>
      <c r="AA391">
        <v>-0.29571354044054798</v>
      </c>
      <c r="AB391">
        <v>-0.41331468654102799</v>
      </c>
      <c r="AC391">
        <v>-0.28302328177332098</v>
      </c>
    </row>
    <row r="392" spans="1:29" x14ac:dyDescent="0.2">
      <c r="A392">
        <v>391</v>
      </c>
      <c r="B392" t="s">
        <v>551</v>
      </c>
      <c r="C392" t="s">
        <v>204</v>
      </c>
      <c r="D392" t="s">
        <v>134</v>
      </c>
      <c r="E392">
        <v>-5.1344301053076399E-2</v>
      </c>
      <c r="F392">
        <v>-0.42610508101722</v>
      </c>
      <c r="G392">
        <v>3.2956839482904498E-3</v>
      </c>
      <c r="H392">
        <v>-0.77555084644269801</v>
      </c>
      <c r="I392">
        <v>-0.77884653039098894</v>
      </c>
      <c r="J392">
        <v>-0.37476077996414398</v>
      </c>
      <c r="K392">
        <v>3.2956839482904498E-3</v>
      </c>
      <c r="L392">
        <v>-5.1344301053076399E-2</v>
      </c>
      <c r="M392">
        <v>-0.42940076496551</v>
      </c>
      <c r="N392">
        <v>-0.37476077996414398</v>
      </c>
      <c r="O392">
        <v>-0.77884653039098894</v>
      </c>
      <c r="P392">
        <v>-0.72420654538962204</v>
      </c>
      <c r="Q392" t="s">
        <v>1173</v>
      </c>
      <c r="R392" t="s">
        <v>1067</v>
      </c>
      <c r="S392" t="s">
        <v>1173</v>
      </c>
      <c r="T392" t="s">
        <v>1067</v>
      </c>
      <c r="U392" t="s">
        <v>1174</v>
      </c>
      <c r="V392">
        <v>1</v>
      </c>
      <c r="W392" t="s">
        <v>944</v>
      </c>
      <c r="X392" t="s">
        <v>1175</v>
      </c>
      <c r="Y392">
        <v>1</v>
      </c>
      <c r="Z392">
        <v>-0.44757843863208302</v>
      </c>
      <c r="AA392">
        <v>-0.315412236446243</v>
      </c>
      <c r="AB392">
        <v>-0.33217337059855701</v>
      </c>
      <c r="AC392">
        <v>-0.34022165656199499</v>
      </c>
    </row>
    <row r="393" spans="1:29" x14ac:dyDescent="0.2">
      <c r="A393">
        <v>392</v>
      </c>
      <c r="B393" t="s">
        <v>552</v>
      </c>
      <c r="C393" t="s">
        <v>204</v>
      </c>
      <c r="D393" t="s">
        <v>136</v>
      </c>
      <c r="E393">
        <v>-0.31935314801968001</v>
      </c>
      <c r="F393">
        <v>-0.34918545059675299</v>
      </c>
      <c r="G393">
        <v>3.2956839482904498E-3</v>
      </c>
      <c r="H393">
        <v>-0.63833365590675395</v>
      </c>
      <c r="I393">
        <v>-0.641629339855044</v>
      </c>
      <c r="J393">
        <v>-2.9832302577072999E-2</v>
      </c>
      <c r="K393">
        <v>3.2956839482904498E-3</v>
      </c>
      <c r="L393">
        <v>-0.31935314801968001</v>
      </c>
      <c r="M393">
        <v>-0.35248113454504298</v>
      </c>
      <c r="N393">
        <v>-2.9832302577072999E-2</v>
      </c>
      <c r="O393">
        <v>-0.641629339855044</v>
      </c>
      <c r="P393">
        <v>-0.31898050788707399</v>
      </c>
      <c r="Q393" t="s">
        <v>1067</v>
      </c>
      <c r="R393" t="s">
        <v>1067</v>
      </c>
      <c r="S393" t="s">
        <v>1173</v>
      </c>
      <c r="T393" t="s">
        <v>1067</v>
      </c>
      <c r="U393" t="s">
        <v>1174</v>
      </c>
      <c r="V393">
        <v>1</v>
      </c>
      <c r="W393" t="s">
        <v>944</v>
      </c>
      <c r="X393" t="s">
        <v>1175</v>
      </c>
      <c r="Y393">
        <v>0</v>
      </c>
      <c r="Z393">
        <v>-0.52626931775899799</v>
      </c>
      <c r="AA393">
        <v>-0.32489504044319401</v>
      </c>
      <c r="AB393">
        <v>-0.22037175268989201</v>
      </c>
      <c r="AC393">
        <v>-0.25391623658225199</v>
      </c>
    </row>
    <row r="394" spans="1:29" x14ac:dyDescent="0.2">
      <c r="A394">
        <v>393</v>
      </c>
      <c r="B394" t="s">
        <v>553</v>
      </c>
      <c r="C394" t="s">
        <v>204</v>
      </c>
      <c r="D394" t="s">
        <v>138</v>
      </c>
      <c r="E394">
        <v>0.94838303038238303</v>
      </c>
      <c r="F394">
        <v>0.71021332670808601</v>
      </c>
      <c r="G394">
        <v>0.799911838991617</v>
      </c>
      <c r="H394">
        <v>0.57604940321682496</v>
      </c>
      <c r="I394">
        <v>-0.22386243577479201</v>
      </c>
      <c r="J394">
        <v>-0.23816970367429699</v>
      </c>
      <c r="K394">
        <v>0.94838303038238303</v>
      </c>
      <c r="L394">
        <v>0.799911838991617</v>
      </c>
      <c r="M394">
        <v>-0.23816970367429699</v>
      </c>
      <c r="N394">
        <v>-8.9698512283530998E-2</v>
      </c>
      <c r="O394">
        <v>-0.37233362716555801</v>
      </c>
      <c r="P394">
        <v>-0.22386243577479201</v>
      </c>
      <c r="Q394" t="s">
        <v>1068</v>
      </c>
      <c r="R394" t="s">
        <v>1068</v>
      </c>
      <c r="S394" t="s">
        <v>1068</v>
      </c>
      <c r="T394" t="s">
        <v>1068</v>
      </c>
      <c r="U394" t="s">
        <v>1174</v>
      </c>
      <c r="V394">
        <v>1</v>
      </c>
      <c r="W394" t="s">
        <v>944</v>
      </c>
      <c r="X394" t="s">
        <v>1175</v>
      </c>
      <c r="Y394">
        <v>1</v>
      </c>
      <c r="Z394">
        <v>0.32426348994530502</v>
      </c>
      <c r="AA394">
        <v>-0.16437169955025199</v>
      </c>
      <c r="AB394">
        <v>0.43190773848194097</v>
      </c>
      <c r="AC394">
        <v>-0.174809705840834</v>
      </c>
    </row>
    <row r="395" spans="1:29" x14ac:dyDescent="0.2">
      <c r="A395">
        <v>394</v>
      </c>
      <c r="B395" t="s">
        <v>554</v>
      </c>
      <c r="C395" t="s">
        <v>204</v>
      </c>
      <c r="D395" t="s">
        <v>140</v>
      </c>
      <c r="E395">
        <v>-0.31850674036366</v>
      </c>
      <c r="F395">
        <v>-1</v>
      </c>
      <c r="G395">
        <v>-0.13556146251391399</v>
      </c>
      <c r="H395">
        <v>-1</v>
      </c>
      <c r="I395">
        <v>-0.86443853748608601</v>
      </c>
      <c r="J395">
        <v>-0.68149325963634</v>
      </c>
      <c r="K395">
        <v>-0.13556146251391399</v>
      </c>
      <c r="L395">
        <v>-0.31850674036366</v>
      </c>
      <c r="M395">
        <v>-0.86443853748608601</v>
      </c>
      <c r="N395">
        <v>-0.68149325963634</v>
      </c>
      <c r="O395">
        <v>-0.86443853748608601</v>
      </c>
      <c r="P395">
        <v>-0.68149325963634</v>
      </c>
      <c r="Q395" t="s">
        <v>1067</v>
      </c>
      <c r="R395" t="s">
        <v>1067</v>
      </c>
      <c r="S395" t="s">
        <v>1067</v>
      </c>
      <c r="T395" t="s">
        <v>1067</v>
      </c>
      <c r="U395" t="s">
        <v>1174</v>
      </c>
      <c r="V395">
        <v>1</v>
      </c>
      <c r="W395" t="s">
        <v>944</v>
      </c>
      <c r="X395" t="s">
        <v>1175</v>
      </c>
      <c r="Y395">
        <v>1</v>
      </c>
      <c r="Z395">
        <v>-0.51370524508113902</v>
      </c>
      <c r="AA395">
        <v>-0.26016332889164201</v>
      </c>
      <c r="AB395">
        <v>-0.42770724305749402</v>
      </c>
      <c r="AC395">
        <v>-0.28134042182042002</v>
      </c>
    </row>
    <row r="396" spans="1:29" x14ac:dyDescent="0.2">
      <c r="A396">
        <v>395</v>
      </c>
      <c r="B396" t="s">
        <v>555</v>
      </c>
      <c r="C396" t="s">
        <v>204</v>
      </c>
      <c r="D396" t="s">
        <v>144</v>
      </c>
      <c r="E396">
        <v>-3.6231162333071901E-2</v>
      </c>
      <c r="F396">
        <v>-2.57934677813321E-2</v>
      </c>
      <c r="G396">
        <v>3.5251929407360501E-2</v>
      </c>
      <c r="H396">
        <v>-0.17253842426063001</v>
      </c>
      <c r="I396">
        <v>-0.20779035366799001</v>
      </c>
      <c r="J396">
        <v>1.0437694551739801E-2</v>
      </c>
      <c r="K396">
        <v>3.5251929407360501E-2</v>
      </c>
      <c r="L396">
        <v>-3.6231162333071901E-2</v>
      </c>
      <c r="M396">
        <v>-6.1045397188692598E-2</v>
      </c>
      <c r="N396">
        <v>1.0437694551739801E-2</v>
      </c>
      <c r="O396">
        <v>-0.20779035366799001</v>
      </c>
      <c r="P396">
        <v>-0.13630726192755799</v>
      </c>
      <c r="Q396" t="s">
        <v>1173</v>
      </c>
      <c r="R396" t="s">
        <v>1173</v>
      </c>
      <c r="S396" t="s">
        <v>1173</v>
      </c>
      <c r="T396" t="s">
        <v>1067</v>
      </c>
      <c r="U396" t="s">
        <v>944</v>
      </c>
      <c r="V396">
        <v>1</v>
      </c>
      <c r="W396" t="s">
        <v>944</v>
      </c>
      <c r="X396" t="s">
        <v>1175</v>
      </c>
      <c r="Y396">
        <v>0</v>
      </c>
      <c r="Z396">
        <v>-0.371519584482083</v>
      </c>
      <c r="AA396">
        <v>-0.30623530312965103</v>
      </c>
      <c r="AB396">
        <v>-0.27107980004545601</v>
      </c>
      <c r="AC396">
        <v>-0.34030401469688198</v>
      </c>
    </row>
    <row r="397" spans="1:29" x14ac:dyDescent="0.2">
      <c r="A397">
        <v>396</v>
      </c>
      <c r="B397" t="s">
        <v>556</v>
      </c>
      <c r="C397" t="s">
        <v>204</v>
      </c>
      <c r="D397" t="s">
        <v>146</v>
      </c>
      <c r="E397">
        <v>-3.6767375610739297E-2</v>
      </c>
      <c r="F397">
        <v>-0.51773554019554602</v>
      </c>
      <c r="G397">
        <v>-0.14668778830645299</v>
      </c>
      <c r="H397">
        <v>-0.85428601185870801</v>
      </c>
      <c r="I397">
        <v>-0.70759822355225499</v>
      </c>
      <c r="J397">
        <v>-0.48096816458480701</v>
      </c>
      <c r="K397">
        <v>-3.6767375610739297E-2</v>
      </c>
      <c r="L397">
        <v>-0.14668778830645299</v>
      </c>
      <c r="M397">
        <v>-0.48096816458480701</v>
      </c>
      <c r="N397">
        <v>-0.371047751889093</v>
      </c>
      <c r="O397">
        <v>-0.81751863624796905</v>
      </c>
      <c r="P397">
        <v>-0.70759822355225499</v>
      </c>
      <c r="Q397" t="s">
        <v>1173</v>
      </c>
      <c r="R397" t="s">
        <v>1067</v>
      </c>
      <c r="S397" t="s">
        <v>1067</v>
      </c>
      <c r="T397" t="s">
        <v>1067</v>
      </c>
      <c r="U397" t="s">
        <v>1174</v>
      </c>
      <c r="V397">
        <v>1</v>
      </c>
      <c r="W397" t="s">
        <v>1174</v>
      </c>
      <c r="X397" t="s">
        <v>1175</v>
      </c>
      <c r="Y397">
        <v>1</v>
      </c>
      <c r="Z397">
        <v>-0.344513292770671</v>
      </c>
      <c r="AA397">
        <v>-0.24052698069631101</v>
      </c>
      <c r="AB397">
        <v>-0.45267559535810398</v>
      </c>
      <c r="AC397">
        <v>-0.36379113943216601</v>
      </c>
    </row>
    <row r="398" spans="1:29" x14ac:dyDescent="0.2">
      <c r="A398">
        <v>397</v>
      </c>
      <c r="B398" t="s">
        <v>1182</v>
      </c>
      <c r="C398" t="s">
        <v>204</v>
      </c>
      <c r="D398" t="s">
        <v>148</v>
      </c>
      <c r="E398">
        <v>1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0</v>
      </c>
      <c r="Q398" t="s">
        <v>1068</v>
      </c>
      <c r="R398" t="s">
        <v>1068</v>
      </c>
      <c r="S398" t="s">
        <v>1068</v>
      </c>
      <c r="T398" t="s">
        <v>1068</v>
      </c>
      <c r="U398" t="s">
        <v>944</v>
      </c>
      <c r="V398">
        <v>0</v>
      </c>
      <c r="W398" t="s">
        <v>944</v>
      </c>
      <c r="X398" t="s">
        <v>1175</v>
      </c>
      <c r="Y398">
        <v>0</v>
      </c>
      <c r="Z398">
        <v>-0.70383657296042601</v>
      </c>
      <c r="AA398">
        <v>-0.34629959149989298</v>
      </c>
      <c r="AB398">
        <v>-0.411972014215228</v>
      </c>
      <c r="AC398">
        <v>-0.28072257366056103</v>
      </c>
    </row>
    <row r="399" spans="1:29" x14ac:dyDescent="0.2">
      <c r="A399">
        <v>398</v>
      </c>
      <c r="B399" t="s">
        <v>557</v>
      </c>
      <c r="C399" t="s">
        <v>204</v>
      </c>
      <c r="D399" t="s">
        <v>150</v>
      </c>
      <c r="E399">
        <v>-3.6566630446001898E-2</v>
      </c>
      <c r="F399">
        <v>-0.52562322213178203</v>
      </c>
      <c r="G399">
        <v>-3.2726214526934298E-2</v>
      </c>
      <c r="H399">
        <v>-0.866406274978615</v>
      </c>
      <c r="I399">
        <v>-0.83368006045168097</v>
      </c>
      <c r="J399">
        <v>-0.48905659168577997</v>
      </c>
      <c r="K399">
        <v>-3.2726214526934298E-2</v>
      </c>
      <c r="L399">
        <v>-3.6566630446001898E-2</v>
      </c>
      <c r="M399">
        <v>-0.492897007604848</v>
      </c>
      <c r="N399">
        <v>-0.48905659168577997</v>
      </c>
      <c r="O399">
        <v>-0.83368006045168097</v>
      </c>
      <c r="P399">
        <v>-0.82983964453261305</v>
      </c>
      <c r="Q399" t="s">
        <v>1173</v>
      </c>
      <c r="R399" t="s">
        <v>1067</v>
      </c>
      <c r="S399" t="s">
        <v>1173</v>
      </c>
      <c r="T399" t="s">
        <v>1067</v>
      </c>
      <c r="U399" t="s">
        <v>1174</v>
      </c>
      <c r="V399">
        <v>1</v>
      </c>
      <c r="W399" t="s">
        <v>1174</v>
      </c>
      <c r="X399" t="s">
        <v>1175</v>
      </c>
      <c r="Y399">
        <v>1</v>
      </c>
      <c r="Z399">
        <v>-0.43348682464683802</v>
      </c>
      <c r="AA399">
        <v>-0.27743983336445599</v>
      </c>
      <c r="AB399">
        <v>-0.45572317923639999</v>
      </c>
      <c r="AC399">
        <v>-0.36444569010620398</v>
      </c>
    </row>
    <row r="400" spans="1:29" x14ac:dyDescent="0.2">
      <c r="A400">
        <v>399</v>
      </c>
      <c r="B400" t="s">
        <v>558</v>
      </c>
      <c r="C400" t="s">
        <v>204</v>
      </c>
      <c r="D400" t="s">
        <v>156</v>
      </c>
      <c r="E400">
        <v>-0.320206726796537</v>
      </c>
      <c r="F400">
        <v>-0.159449916913669</v>
      </c>
      <c r="G400">
        <v>3.2956839482904498E-3</v>
      </c>
      <c r="H400">
        <v>-0.41280531915267599</v>
      </c>
      <c r="I400">
        <v>-0.41610100310096598</v>
      </c>
      <c r="J400">
        <v>0.160756809882868</v>
      </c>
      <c r="K400">
        <v>3.2956839482904498E-3</v>
      </c>
      <c r="L400">
        <v>-0.320206726796537</v>
      </c>
      <c r="M400">
        <v>-0.16274560086195899</v>
      </c>
      <c r="N400">
        <v>0.160756809882868</v>
      </c>
      <c r="O400">
        <v>-0.41610100310096598</v>
      </c>
      <c r="P400">
        <v>-9.2598592356139001E-2</v>
      </c>
      <c r="Q400" t="s">
        <v>1067</v>
      </c>
      <c r="R400" t="s">
        <v>1067</v>
      </c>
      <c r="S400" t="s">
        <v>1173</v>
      </c>
      <c r="T400" t="s">
        <v>1067</v>
      </c>
      <c r="U400" t="s">
        <v>944</v>
      </c>
      <c r="V400">
        <v>1</v>
      </c>
      <c r="W400" t="s">
        <v>944</v>
      </c>
      <c r="X400" t="s">
        <v>1175</v>
      </c>
      <c r="Y400">
        <v>1</v>
      </c>
      <c r="Z400">
        <v>-0.48510512619528401</v>
      </c>
      <c r="AA400">
        <v>-0.31993446604597497</v>
      </c>
      <c r="AB400">
        <v>-0.17475150951243501</v>
      </c>
      <c r="AC400">
        <v>-0.24787773801776</v>
      </c>
    </row>
    <row r="401" spans="1:29" x14ac:dyDescent="0.2">
      <c r="A401">
        <v>400</v>
      </c>
      <c r="B401" t="s">
        <v>559</v>
      </c>
      <c r="C401" t="s">
        <v>204</v>
      </c>
      <c r="D401" t="s">
        <v>158</v>
      </c>
      <c r="E401">
        <v>0.92202641635732696</v>
      </c>
      <c r="F401">
        <v>-0.66431626658041798</v>
      </c>
      <c r="G401">
        <v>0.54868377376287103</v>
      </c>
      <c r="H401">
        <v>-0.97562275872276505</v>
      </c>
      <c r="I401">
        <v>-1.52430653248564</v>
      </c>
      <c r="J401">
        <v>-1.5863426829377401</v>
      </c>
      <c r="K401">
        <v>0.92202641635732696</v>
      </c>
      <c r="L401">
        <v>0.54868377376287103</v>
      </c>
      <c r="M401">
        <v>-1.5863426829377401</v>
      </c>
      <c r="N401">
        <v>-1.2130000403432899</v>
      </c>
      <c r="O401">
        <v>-1.8976491750800899</v>
      </c>
      <c r="P401">
        <v>-1.52430653248564</v>
      </c>
      <c r="Q401" t="s">
        <v>1068</v>
      </c>
      <c r="R401" t="s">
        <v>1067</v>
      </c>
      <c r="S401" t="s">
        <v>1068</v>
      </c>
      <c r="T401" t="s">
        <v>1067</v>
      </c>
      <c r="U401" t="s">
        <v>1174</v>
      </c>
      <c r="V401">
        <v>1</v>
      </c>
      <c r="W401" t="s">
        <v>1174</v>
      </c>
      <c r="X401" t="s">
        <v>1175</v>
      </c>
      <c r="Y401">
        <v>1</v>
      </c>
      <c r="Z401">
        <v>-0.62224555922128799</v>
      </c>
      <c r="AA401">
        <v>-0.296325610349293</v>
      </c>
      <c r="AB401">
        <v>-0.45789710735001299</v>
      </c>
      <c r="AC401">
        <v>-0.28345060537215599</v>
      </c>
    </row>
    <row r="402" spans="1:29" x14ac:dyDescent="0.2">
      <c r="A402">
        <v>401</v>
      </c>
      <c r="B402" t="s">
        <v>560</v>
      </c>
      <c r="C402" t="s">
        <v>204</v>
      </c>
      <c r="D402" t="s">
        <v>160</v>
      </c>
      <c r="E402">
        <v>-0.31805650791802298</v>
      </c>
      <c r="F402">
        <v>-0.70303771753077404</v>
      </c>
      <c r="G402">
        <v>2.5043107257683201E-3</v>
      </c>
      <c r="H402">
        <v>-1</v>
      </c>
      <c r="I402">
        <v>-1.0025043107257701</v>
      </c>
      <c r="J402">
        <v>-0.38498120961275101</v>
      </c>
      <c r="K402">
        <v>2.5043107257683201E-3</v>
      </c>
      <c r="L402">
        <v>-0.31805650791802298</v>
      </c>
      <c r="M402">
        <v>-0.705542028256542</v>
      </c>
      <c r="N402">
        <v>-0.38498120961275101</v>
      </c>
      <c r="O402">
        <v>-1.0025043107257701</v>
      </c>
      <c r="P402">
        <v>-0.68194349208197702</v>
      </c>
      <c r="Q402" t="s">
        <v>1067</v>
      </c>
      <c r="R402" t="s">
        <v>1067</v>
      </c>
      <c r="S402" t="s">
        <v>1173</v>
      </c>
      <c r="T402" t="s">
        <v>1067</v>
      </c>
      <c r="U402" t="s">
        <v>1174</v>
      </c>
      <c r="V402">
        <v>1</v>
      </c>
      <c r="W402" t="s">
        <v>944</v>
      </c>
      <c r="X402" t="s">
        <v>1175</v>
      </c>
      <c r="Y402">
        <v>1</v>
      </c>
      <c r="Z402">
        <v>-0.52383053314654204</v>
      </c>
      <c r="AA402">
        <v>-0.32438624569290597</v>
      </c>
      <c r="AB402">
        <v>-0.219624448503871</v>
      </c>
      <c r="AC402">
        <v>-0.254224842600561</v>
      </c>
    </row>
    <row r="403" spans="1:29" x14ac:dyDescent="0.2">
      <c r="A403">
        <v>402</v>
      </c>
      <c r="B403" t="s">
        <v>561</v>
      </c>
      <c r="C403" t="s">
        <v>204</v>
      </c>
      <c r="D403" t="s">
        <v>162</v>
      </c>
      <c r="E403">
        <v>-3.6566630446456097E-2</v>
      </c>
      <c r="F403">
        <v>-0.52139140437332798</v>
      </c>
      <c r="G403">
        <v>-4.3998882317774303E-2</v>
      </c>
      <c r="H403">
        <v>-0.85896750190483695</v>
      </c>
      <c r="I403">
        <v>-0.81496861958706301</v>
      </c>
      <c r="J403">
        <v>-0.48482477392687201</v>
      </c>
      <c r="K403">
        <v>-3.6566630446456097E-2</v>
      </c>
      <c r="L403">
        <v>-4.3998882317774303E-2</v>
      </c>
      <c r="M403">
        <v>-0.48482477392687201</v>
      </c>
      <c r="N403">
        <v>-0.47739252205555399</v>
      </c>
      <c r="O403">
        <v>-0.82240087145838103</v>
      </c>
      <c r="P403">
        <v>-0.81496861958706301</v>
      </c>
      <c r="Q403" t="s">
        <v>1173</v>
      </c>
      <c r="R403" t="s">
        <v>1067</v>
      </c>
      <c r="S403" t="s">
        <v>1173</v>
      </c>
      <c r="T403" t="s">
        <v>1067</v>
      </c>
      <c r="U403" t="s">
        <v>1174</v>
      </c>
      <c r="V403">
        <v>1</v>
      </c>
      <c r="W403" t="s">
        <v>1174</v>
      </c>
      <c r="X403" t="s">
        <v>1175</v>
      </c>
      <c r="Y403">
        <v>1</v>
      </c>
      <c r="Z403">
        <v>-0.41408861921687301</v>
      </c>
      <c r="AA403">
        <v>-0.26974923685482899</v>
      </c>
      <c r="AB403">
        <v>-0.45433061347658699</v>
      </c>
      <c r="AC403">
        <v>-0.36426361549997199</v>
      </c>
    </row>
    <row r="404" spans="1:29" x14ac:dyDescent="0.2">
      <c r="A404">
        <v>403</v>
      </c>
      <c r="B404" t="s">
        <v>562</v>
      </c>
      <c r="C404" t="s">
        <v>204</v>
      </c>
      <c r="D404" t="s">
        <v>164</v>
      </c>
      <c r="E404">
        <v>0.44110465860849302</v>
      </c>
      <c r="F404">
        <v>0.274936494573437</v>
      </c>
      <c r="G404">
        <v>-3.1063811348821E-2</v>
      </c>
      <c r="H404">
        <v>0.17548682556718401</v>
      </c>
      <c r="I404">
        <v>0.206550636916005</v>
      </c>
      <c r="J404">
        <v>-0.16616816403505599</v>
      </c>
      <c r="K404">
        <v>0.44110465860849302</v>
      </c>
      <c r="L404">
        <v>-3.1063811348821E-2</v>
      </c>
      <c r="M404">
        <v>-0.16616816403505599</v>
      </c>
      <c r="N404">
        <v>0.30600030592225802</v>
      </c>
      <c r="O404">
        <v>-0.26561783304130898</v>
      </c>
      <c r="P404">
        <v>0.206550636916005</v>
      </c>
      <c r="Q404" t="s">
        <v>1068</v>
      </c>
      <c r="R404" t="s">
        <v>1068</v>
      </c>
      <c r="S404" t="s">
        <v>1173</v>
      </c>
      <c r="T404" t="s">
        <v>1068</v>
      </c>
      <c r="U404" t="s">
        <v>1174</v>
      </c>
      <c r="V404">
        <v>0</v>
      </c>
      <c r="W404" t="s">
        <v>944</v>
      </c>
      <c r="X404" t="s">
        <v>1175</v>
      </c>
      <c r="Y404">
        <v>1</v>
      </c>
      <c r="Z404">
        <v>-0.29400441458098198</v>
      </c>
      <c r="AA404">
        <v>-0.28547470593431601</v>
      </c>
      <c r="AB404">
        <v>-1.9645258141706499E-2</v>
      </c>
      <c r="AC404">
        <v>-0.231067116091211</v>
      </c>
    </row>
    <row r="405" spans="1:29" x14ac:dyDescent="0.2">
      <c r="A405">
        <v>404</v>
      </c>
      <c r="B405" t="s">
        <v>563</v>
      </c>
      <c r="C405" t="s">
        <v>204</v>
      </c>
      <c r="D405" t="s">
        <v>166</v>
      </c>
      <c r="E405">
        <v>-3.6566630446001898E-2</v>
      </c>
      <c r="F405">
        <v>-0.12458212341217501</v>
      </c>
      <c r="G405">
        <v>3.3382410207133399E-3</v>
      </c>
      <c r="H405">
        <v>-0.32771078801370002</v>
      </c>
      <c r="I405">
        <v>-0.33104902903441302</v>
      </c>
      <c r="J405">
        <v>-8.8015492966173101E-2</v>
      </c>
      <c r="K405">
        <v>3.3382410207133399E-3</v>
      </c>
      <c r="L405">
        <v>-3.6566630446001898E-2</v>
      </c>
      <c r="M405">
        <v>-0.12792036443288801</v>
      </c>
      <c r="N405">
        <v>-8.8015492966173101E-2</v>
      </c>
      <c r="O405">
        <v>-0.33104902903441302</v>
      </c>
      <c r="P405">
        <v>-0.29114415756769801</v>
      </c>
      <c r="Q405" t="s">
        <v>1173</v>
      </c>
      <c r="R405" t="s">
        <v>1067</v>
      </c>
      <c r="S405" t="s">
        <v>1173</v>
      </c>
      <c r="T405" t="s">
        <v>1067</v>
      </c>
      <c r="U405" t="s">
        <v>1174</v>
      </c>
      <c r="V405">
        <v>1</v>
      </c>
      <c r="W405" t="s">
        <v>1174</v>
      </c>
      <c r="X405" t="s">
        <v>1175</v>
      </c>
      <c r="Y405">
        <v>0</v>
      </c>
      <c r="Z405">
        <v>-0.32635457193331702</v>
      </c>
      <c r="AA405">
        <v>-0.30081035732392503</v>
      </c>
      <c r="AB405">
        <v>-0.22409254394540001</v>
      </c>
      <c r="AC405">
        <v>-0.33416054456482103</v>
      </c>
    </row>
    <row r="406" spans="1:29" x14ac:dyDescent="0.2">
      <c r="A406">
        <v>405</v>
      </c>
      <c r="B406" t="s">
        <v>564</v>
      </c>
      <c r="C406" t="s">
        <v>204</v>
      </c>
      <c r="D406" t="s">
        <v>168</v>
      </c>
      <c r="E406">
        <v>-0.13421688200359</v>
      </c>
      <c r="F406">
        <v>-1</v>
      </c>
      <c r="G406">
        <v>-4.4098766104907698E-2</v>
      </c>
      <c r="H406">
        <v>-1</v>
      </c>
      <c r="I406">
        <v>-0.95590123389509196</v>
      </c>
      <c r="J406">
        <v>-0.86578311799640995</v>
      </c>
      <c r="K406">
        <v>-4.4098766104907698E-2</v>
      </c>
      <c r="L406">
        <v>-0.13421688200359</v>
      </c>
      <c r="M406">
        <v>-0.95590123389509196</v>
      </c>
      <c r="N406">
        <v>-0.86578311799640995</v>
      </c>
      <c r="O406">
        <v>-0.95590123389509196</v>
      </c>
      <c r="P406">
        <v>-0.86578311799640995</v>
      </c>
      <c r="Q406" t="s">
        <v>1067</v>
      </c>
      <c r="R406" t="s">
        <v>1067</v>
      </c>
      <c r="S406" t="s">
        <v>1173</v>
      </c>
      <c r="T406" t="s">
        <v>1067</v>
      </c>
      <c r="U406" t="s">
        <v>1174</v>
      </c>
      <c r="V406">
        <v>1</v>
      </c>
      <c r="W406" t="s">
        <v>944</v>
      </c>
      <c r="X406" t="s">
        <v>1175</v>
      </c>
      <c r="Y406">
        <v>1</v>
      </c>
      <c r="Z406">
        <v>-0.62294511282087595</v>
      </c>
      <c r="AA406">
        <v>-0.30259039029630302</v>
      </c>
      <c r="AB406">
        <v>-0.45258420301490898</v>
      </c>
      <c r="AC406">
        <v>-0.28881816695892998</v>
      </c>
    </row>
    <row r="407" spans="1:29" x14ac:dyDescent="0.2">
      <c r="A407">
        <v>406</v>
      </c>
      <c r="B407" t="s">
        <v>565</v>
      </c>
      <c r="C407" t="s">
        <v>152</v>
      </c>
      <c r="D407" t="s">
        <v>130</v>
      </c>
      <c r="E407">
        <v>-1.27071928899076E-2</v>
      </c>
      <c r="F407">
        <v>0.59351804252353302</v>
      </c>
      <c r="G407">
        <v>-9.1013838395711897E-3</v>
      </c>
      <c r="H407">
        <v>0.62904964724220003</v>
      </c>
      <c r="I407">
        <v>0.63815103108177096</v>
      </c>
      <c r="J407">
        <v>0.60622523541344098</v>
      </c>
      <c r="K407">
        <v>-9.1013838395711897E-3</v>
      </c>
      <c r="L407">
        <v>-1.27071928899076E-2</v>
      </c>
      <c r="M407">
        <v>0.60261942636310395</v>
      </c>
      <c r="N407">
        <v>0.60622523541344098</v>
      </c>
      <c r="O407">
        <v>0.63815103108177096</v>
      </c>
      <c r="P407">
        <v>0.64175684013210799</v>
      </c>
      <c r="Q407" t="s">
        <v>1173</v>
      </c>
      <c r="R407" t="s">
        <v>1068</v>
      </c>
      <c r="S407" t="s">
        <v>1173</v>
      </c>
      <c r="T407" t="s">
        <v>1068</v>
      </c>
      <c r="U407" t="s">
        <v>944</v>
      </c>
      <c r="V407">
        <v>0</v>
      </c>
      <c r="W407" t="s">
        <v>944</v>
      </c>
      <c r="X407" t="s">
        <v>1175</v>
      </c>
      <c r="Y407">
        <v>1</v>
      </c>
      <c r="Z407">
        <v>0.75821735657103595</v>
      </c>
      <c r="AA407">
        <v>-0.137703702672238</v>
      </c>
      <c r="AB407">
        <v>0.570710005041978</v>
      </c>
      <c r="AC407">
        <v>-0.23414765223228401</v>
      </c>
    </row>
    <row r="408" spans="1:29" x14ac:dyDescent="0.2">
      <c r="A408">
        <v>407</v>
      </c>
      <c r="B408" t="s">
        <v>566</v>
      </c>
      <c r="C408" t="s">
        <v>152</v>
      </c>
      <c r="D408" t="s">
        <v>132</v>
      </c>
      <c r="E408">
        <v>0.44036418674559202</v>
      </c>
      <c r="F408">
        <v>0.74790811768983001</v>
      </c>
      <c r="G408">
        <v>3.1503473495092401E-3</v>
      </c>
      <c r="H408">
        <v>0.76715511286559701</v>
      </c>
      <c r="I408">
        <v>0.76400476551608798</v>
      </c>
      <c r="J408">
        <v>0.30754393094423799</v>
      </c>
      <c r="K408">
        <v>0.44036418674559202</v>
      </c>
      <c r="L408">
        <v>3.1503473495092401E-3</v>
      </c>
      <c r="M408">
        <v>0.30754393094423799</v>
      </c>
      <c r="N408">
        <v>0.74475777034032098</v>
      </c>
      <c r="O408">
        <v>0.32679092612000499</v>
      </c>
      <c r="P408">
        <v>0.76400476551608798</v>
      </c>
      <c r="Q408" t="s">
        <v>1068</v>
      </c>
      <c r="R408" t="s">
        <v>1068</v>
      </c>
      <c r="S408" t="s">
        <v>1173</v>
      </c>
      <c r="T408" t="s">
        <v>1068</v>
      </c>
      <c r="U408" t="s">
        <v>944</v>
      </c>
      <c r="V408">
        <v>0</v>
      </c>
      <c r="W408" t="s">
        <v>944</v>
      </c>
      <c r="X408" t="s">
        <v>1175</v>
      </c>
      <c r="Y408">
        <v>1</v>
      </c>
      <c r="Z408">
        <v>0.48846843042025201</v>
      </c>
      <c r="AA408">
        <v>-0.207447223878507</v>
      </c>
      <c r="AB408">
        <v>0.61220650088698003</v>
      </c>
      <c r="AC408">
        <v>-0.15287199624897499</v>
      </c>
    </row>
    <row r="409" spans="1:29" x14ac:dyDescent="0.2">
      <c r="A409">
        <v>408</v>
      </c>
      <c r="B409" t="s">
        <v>567</v>
      </c>
      <c r="C409" t="s">
        <v>152</v>
      </c>
      <c r="D409" t="s">
        <v>134</v>
      </c>
      <c r="E409">
        <v>7.1004989347925998E-2</v>
      </c>
      <c r="F409">
        <v>0.27624297325567299</v>
      </c>
      <c r="G409">
        <v>6.24830315384597E-3</v>
      </c>
      <c r="H409">
        <v>0.26602406303218101</v>
      </c>
      <c r="I409">
        <v>0.25977575987833501</v>
      </c>
      <c r="J409">
        <v>0.205237983907747</v>
      </c>
      <c r="K409">
        <v>7.1004989347925998E-2</v>
      </c>
      <c r="L409">
        <v>6.24830315384597E-3</v>
      </c>
      <c r="M409">
        <v>0.205237983907747</v>
      </c>
      <c r="N409">
        <v>0.26999467010182698</v>
      </c>
      <c r="O409">
        <v>0.195019073684255</v>
      </c>
      <c r="P409">
        <v>0.25977575987833501</v>
      </c>
      <c r="Q409" t="s">
        <v>1173</v>
      </c>
      <c r="R409" t="s">
        <v>1068</v>
      </c>
      <c r="S409" t="s">
        <v>1173</v>
      </c>
      <c r="T409" t="s">
        <v>1068</v>
      </c>
      <c r="U409" t="s">
        <v>944</v>
      </c>
      <c r="V409">
        <v>0</v>
      </c>
      <c r="W409" t="s">
        <v>944</v>
      </c>
      <c r="X409" t="s">
        <v>1175</v>
      </c>
      <c r="Y409">
        <v>1</v>
      </c>
      <c r="Z409">
        <v>0.62161398264802703</v>
      </c>
      <c r="AA409">
        <v>-0.22714591988420199</v>
      </c>
      <c r="AB409">
        <v>0.69334781682945101</v>
      </c>
      <c r="AC409">
        <v>-0.210070371037648</v>
      </c>
    </row>
    <row r="410" spans="1:29" x14ac:dyDescent="0.2">
      <c r="A410">
        <v>409</v>
      </c>
      <c r="B410" t="s">
        <v>568</v>
      </c>
      <c r="C410" t="s">
        <v>152</v>
      </c>
      <c r="D410" t="s">
        <v>136</v>
      </c>
      <c r="E410">
        <v>-0.149283088827009</v>
      </c>
      <c r="F410">
        <v>0.74459565353638002</v>
      </c>
      <c r="G410">
        <v>6.24830315384597E-3</v>
      </c>
      <c r="H410">
        <v>0.73458073897093101</v>
      </c>
      <c r="I410">
        <v>0.72833243581708496</v>
      </c>
      <c r="J410">
        <v>0.89387874236338904</v>
      </c>
      <c r="K410">
        <v>6.24830315384597E-3</v>
      </c>
      <c r="L410">
        <v>-0.149283088827009</v>
      </c>
      <c r="M410">
        <v>0.73834735038253396</v>
      </c>
      <c r="N410">
        <v>0.89387874236338904</v>
      </c>
      <c r="O410">
        <v>0.72833243581708496</v>
      </c>
      <c r="P410">
        <v>0.88386382779794004</v>
      </c>
      <c r="Q410" t="s">
        <v>1067</v>
      </c>
      <c r="R410" t="s">
        <v>1068</v>
      </c>
      <c r="S410" t="s">
        <v>1173</v>
      </c>
      <c r="T410" t="s">
        <v>1068</v>
      </c>
      <c r="U410" t="s">
        <v>944</v>
      </c>
      <c r="V410">
        <v>0</v>
      </c>
      <c r="W410" t="s">
        <v>944</v>
      </c>
      <c r="X410" t="s">
        <v>1175</v>
      </c>
      <c r="Y410">
        <v>1</v>
      </c>
      <c r="Z410">
        <v>0.54292310352111195</v>
      </c>
      <c r="AA410">
        <v>-0.236628723881153</v>
      </c>
      <c r="AB410">
        <v>0.80514943473811595</v>
      </c>
      <c r="AC410">
        <v>-0.123764951057906</v>
      </c>
    </row>
    <row r="411" spans="1:29" x14ac:dyDescent="0.2">
      <c r="A411">
        <v>410</v>
      </c>
      <c r="B411" t="s">
        <v>569</v>
      </c>
      <c r="C411" t="s">
        <v>152</v>
      </c>
      <c r="D411" t="s">
        <v>140</v>
      </c>
      <c r="E411">
        <v>-0.14760276412805401</v>
      </c>
      <c r="F411">
        <v>0.535400892442081</v>
      </c>
      <c r="G411">
        <v>4.0532102771722199E-3</v>
      </c>
      <c r="H411">
        <v>0.54533811137631405</v>
      </c>
      <c r="I411">
        <v>0.54128490109914196</v>
      </c>
      <c r="J411">
        <v>0.68300365657013495</v>
      </c>
      <c r="K411">
        <v>4.0532102771722199E-3</v>
      </c>
      <c r="L411">
        <v>-0.14760276412805401</v>
      </c>
      <c r="M411">
        <v>0.53134768216490902</v>
      </c>
      <c r="N411">
        <v>0.68300365657013495</v>
      </c>
      <c r="O411">
        <v>0.54128490109914196</v>
      </c>
      <c r="P411">
        <v>0.692940875504368</v>
      </c>
      <c r="Q411" t="s">
        <v>1067</v>
      </c>
      <c r="R411" t="s">
        <v>1068</v>
      </c>
      <c r="S411" t="s">
        <v>1173</v>
      </c>
      <c r="T411" t="s">
        <v>1068</v>
      </c>
      <c r="U411" t="s">
        <v>944</v>
      </c>
      <c r="V411">
        <v>0</v>
      </c>
      <c r="W411" t="s">
        <v>944</v>
      </c>
      <c r="X411" t="s">
        <v>1175</v>
      </c>
      <c r="Y411">
        <v>1</v>
      </c>
      <c r="Z411">
        <v>0.55548717619897003</v>
      </c>
      <c r="AA411">
        <v>-0.171897012329601</v>
      </c>
      <c r="AB411">
        <v>0.59781394437051405</v>
      </c>
      <c r="AC411">
        <v>-0.151189136296074</v>
      </c>
    </row>
    <row r="412" spans="1:29" x14ac:dyDescent="0.2">
      <c r="A412">
        <v>411</v>
      </c>
      <c r="B412" t="s">
        <v>570</v>
      </c>
      <c r="C412" t="s">
        <v>152</v>
      </c>
      <c r="D412" t="s">
        <v>146</v>
      </c>
      <c r="E412">
        <v>-1.3712482894612601E-2</v>
      </c>
      <c r="F412">
        <v>0.59302326874532696</v>
      </c>
      <c r="G412">
        <v>-1.06707654464256E-2</v>
      </c>
      <c r="H412">
        <v>0.62835736586174995</v>
      </c>
      <c r="I412">
        <v>0.63902813130817604</v>
      </c>
      <c r="J412">
        <v>0.60673575163993998</v>
      </c>
      <c r="K412">
        <v>-1.06707654464256E-2</v>
      </c>
      <c r="L412">
        <v>-1.3712482894612601E-2</v>
      </c>
      <c r="M412">
        <v>0.60369403419175305</v>
      </c>
      <c r="N412">
        <v>0.60673575163993998</v>
      </c>
      <c r="O412">
        <v>0.63902813130817604</v>
      </c>
      <c r="P412">
        <v>0.64206984875636297</v>
      </c>
      <c r="Q412" t="s">
        <v>1173</v>
      </c>
      <c r="R412" t="s">
        <v>1068</v>
      </c>
      <c r="S412" t="s">
        <v>1173</v>
      </c>
      <c r="T412" t="s">
        <v>1068</v>
      </c>
      <c r="U412" t="s">
        <v>944</v>
      </c>
      <c r="V412">
        <v>0</v>
      </c>
      <c r="W412" t="s">
        <v>944</v>
      </c>
      <c r="X412" t="s">
        <v>1175</v>
      </c>
      <c r="Y412">
        <v>1</v>
      </c>
      <c r="Z412">
        <v>0.72467912850943805</v>
      </c>
      <c r="AA412">
        <v>-0.152260664134269</v>
      </c>
      <c r="AB412">
        <v>0.57284559206990504</v>
      </c>
      <c r="AC412">
        <v>-0.23363985390781999</v>
      </c>
    </row>
    <row r="413" spans="1:29" x14ac:dyDescent="0.2">
      <c r="A413">
        <v>412</v>
      </c>
      <c r="B413" t="s">
        <v>571</v>
      </c>
      <c r="C413" t="s">
        <v>152</v>
      </c>
      <c r="D413" t="s">
        <v>148</v>
      </c>
      <c r="E413">
        <v>-0.52895394741773005</v>
      </c>
      <c r="F413">
        <v>0.59505858991196903</v>
      </c>
      <c r="G413">
        <v>6.2907341559516597E-3</v>
      </c>
      <c r="H413">
        <v>0.61865240528771703</v>
      </c>
      <c r="I413">
        <v>0.61236167113176498</v>
      </c>
      <c r="J413">
        <v>1.1240125373297001</v>
      </c>
      <c r="K413">
        <v>6.2907341559516597E-3</v>
      </c>
      <c r="L413">
        <v>-0.52895394741773005</v>
      </c>
      <c r="M413">
        <v>0.58876785575601698</v>
      </c>
      <c r="N413">
        <v>1.1240125373297001</v>
      </c>
      <c r="O413">
        <v>0.61236167113176498</v>
      </c>
      <c r="P413">
        <v>1.1476063527054501</v>
      </c>
      <c r="Q413" t="s">
        <v>1067</v>
      </c>
      <c r="R413" t="s">
        <v>1068</v>
      </c>
      <c r="S413" t="s">
        <v>1173</v>
      </c>
      <c r="T413" t="s">
        <v>1068</v>
      </c>
      <c r="U413" t="s">
        <v>944</v>
      </c>
      <c r="V413">
        <v>0</v>
      </c>
      <c r="W413" t="s">
        <v>944</v>
      </c>
      <c r="X413" t="s">
        <v>1175</v>
      </c>
      <c r="Y413">
        <v>1</v>
      </c>
      <c r="Z413">
        <v>0.36535584831968299</v>
      </c>
      <c r="AA413">
        <v>-0.258033274937851</v>
      </c>
      <c r="AB413">
        <v>0.61354917321278002</v>
      </c>
      <c r="AC413">
        <v>-0.15057128813621501</v>
      </c>
    </row>
    <row r="414" spans="1:29" x14ac:dyDescent="0.2">
      <c r="A414">
        <v>413</v>
      </c>
      <c r="B414" t="s">
        <v>572</v>
      </c>
      <c r="C414" t="s">
        <v>152</v>
      </c>
      <c r="D414" t="s">
        <v>150</v>
      </c>
      <c r="E414">
        <v>-1.2588011976389899E-2</v>
      </c>
      <c r="F414">
        <v>0.59751971473898002</v>
      </c>
      <c r="G414">
        <v>2.8189892910165299E-3</v>
      </c>
      <c r="H414">
        <v>0.63258021290688105</v>
      </c>
      <c r="I414">
        <v>0.62976122361586495</v>
      </c>
      <c r="J414">
        <v>0.61010772671536995</v>
      </c>
      <c r="K414">
        <v>2.8189892910165299E-3</v>
      </c>
      <c r="L414">
        <v>-1.2588011976389899E-2</v>
      </c>
      <c r="M414">
        <v>0.59470072544796304</v>
      </c>
      <c r="N414">
        <v>0.61010772671536995</v>
      </c>
      <c r="O414">
        <v>0.62976122361586495</v>
      </c>
      <c r="P414">
        <v>0.64516822488327097</v>
      </c>
      <c r="Q414" t="s">
        <v>1173</v>
      </c>
      <c r="R414" t="s">
        <v>1068</v>
      </c>
      <c r="S414" t="s">
        <v>1173</v>
      </c>
      <c r="T414" t="s">
        <v>1068</v>
      </c>
      <c r="U414" t="s">
        <v>944</v>
      </c>
      <c r="V414">
        <v>0</v>
      </c>
      <c r="W414" t="s">
        <v>944</v>
      </c>
      <c r="X414" t="s">
        <v>1175</v>
      </c>
      <c r="Y414">
        <v>1</v>
      </c>
      <c r="Z414">
        <v>0.63570559663327197</v>
      </c>
      <c r="AA414">
        <v>-0.18917351680241501</v>
      </c>
      <c r="AB414">
        <v>0.56979800819160797</v>
      </c>
      <c r="AC414">
        <v>-0.23429440458185799</v>
      </c>
    </row>
    <row r="415" spans="1:29" x14ac:dyDescent="0.2">
      <c r="A415">
        <v>414</v>
      </c>
      <c r="B415" t="s">
        <v>573</v>
      </c>
      <c r="C415" t="s">
        <v>152</v>
      </c>
      <c r="D415" t="s">
        <v>204</v>
      </c>
      <c r="E415">
        <v>0.65619522827076404</v>
      </c>
      <c r="F415">
        <v>0.70026325594107197</v>
      </c>
      <c r="G415">
        <v>3.29568408604716E-3</v>
      </c>
      <c r="H415">
        <v>0.70623206770180602</v>
      </c>
      <c r="I415">
        <v>0.70293638361575905</v>
      </c>
      <c r="J415">
        <v>4.4068027670307902E-2</v>
      </c>
      <c r="K415">
        <v>0.65619522827076404</v>
      </c>
      <c r="L415">
        <v>3.29568408604716E-3</v>
      </c>
      <c r="M415">
        <v>4.4068027670307902E-2</v>
      </c>
      <c r="N415">
        <v>0.696967571855025</v>
      </c>
      <c r="O415">
        <v>5.0036839431042E-2</v>
      </c>
      <c r="P415">
        <v>0.70293638361575905</v>
      </c>
      <c r="Q415" t="s">
        <v>1068</v>
      </c>
      <c r="R415" t="s">
        <v>1068</v>
      </c>
      <c r="S415" t="s">
        <v>1173</v>
      </c>
      <c r="T415" t="s">
        <v>1068</v>
      </c>
      <c r="U415" t="s">
        <v>944</v>
      </c>
      <c r="V415">
        <v>0</v>
      </c>
      <c r="W415" t="s">
        <v>944</v>
      </c>
      <c r="X415" t="s">
        <v>1176</v>
      </c>
      <c r="Y415">
        <v>0</v>
      </c>
      <c r="Z415">
        <v>0.455913355476112</v>
      </c>
      <c r="AA415">
        <v>-0.20653512525571299</v>
      </c>
      <c r="AB415">
        <v>0.57679611672054798</v>
      </c>
      <c r="AC415">
        <v>-0.15219628382139999</v>
      </c>
    </row>
    <row r="416" spans="1:29" x14ac:dyDescent="0.2">
      <c r="A416">
        <v>415</v>
      </c>
      <c r="B416" t="s">
        <v>574</v>
      </c>
      <c r="C416" t="s">
        <v>152</v>
      </c>
      <c r="D416" t="s">
        <v>156</v>
      </c>
      <c r="E416">
        <v>-0.14984424595544099</v>
      </c>
      <c r="F416">
        <v>0.81110653904522101</v>
      </c>
      <c r="G416">
        <v>6.24830315384597E-3</v>
      </c>
      <c r="H416">
        <v>0.82726788240451399</v>
      </c>
      <c r="I416">
        <v>0.82101957925066804</v>
      </c>
      <c r="J416">
        <v>0.960950785000662</v>
      </c>
      <c r="K416">
        <v>6.24830315384597E-3</v>
      </c>
      <c r="L416">
        <v>-0.14984424595544099</v>
      </c>
      <c r="M416">
        <v>0.80485823589137495</v>
      </c>
      <c r="N416">
        <v>0.960950785000662</v>
      </c>
      <c r="O416">
        <v>0.82101957925066804</v>
      </c>
      <c r="P416">
        <v>0.97711212835995498</v>
      </c>
      <c r="Q416" t="s">
        <v>1067</v>
      </c>
      <c r="R416" t="s">
        <v>1068</v>
      </c>
      <c r="S416" t="s">
        <v>1173</v>
      </c>
      <c r="T416" t="s">
        <v>1068</v>
      </c>
      <c r="U416" t="s">
        <v>944</v>
      </c>
      <c r="V416">
        <v>0</v>
      </c>
      <c r="W416" t="s">
        <v>944</v>
      </c>
      <c r="X416" t="s">
        <v>1175</v>
      </c>
      <c r="Y416">
        <v>1</v>
      </c>
      <c r="Z416">
        <v>0.58408729508482604</v>
      </c>
      <c r="AA416">
        <v>-0.23166814948393399</v>
      </c>
      <c r="AB416">
        <v>0.85076967791557401</v>
      </c>
      <c r="AC416">
        <v>-0.117726452493414</v>
      </c>
    </row>
    <row r="417" spans="1:29" x14ac:dyDescent="0.2">
      <c r="A417">
        <v>416</v>
      </c>
      <c r="B417" t="s">
        <v>575</v>
      </c>
      <c r="C417" t="s">
        <v>152</v>
      </c>
      <c r="D417" t="s">
        <v>158</v>
      </c>
      <c r="E417">
        <v>0.94862339689798703</v>
      </c>
      <c r="F417">
        <v>0.71369342048054396</v>
      </c>
      <c r="G417">
        <v>3.78906793698267E-3</v>
      </c>
      <c r="H417">
        <v>0.46551799549073702</v>
      </c>
      <c r="I417">
        <v>0.461728927553754</v>
      </c>
      <c r="J417">
        <v>-0.23492997641744301</v>
      </c>
      <c r="K417">
        <v>0.94862339689798703</v>
      </c>
      <c r="L417">
        <v>3.78906793698267E-3</v>
      </c>
      <c r="M417">
        <v>-0.23492997641744301</v>
      </c>
      <c r="N417">
        <v>0.70990435254356099</v>
      </c>
      <c r="O417">
        <v>-0.48310540140725</v>
      </c>
      <c r="P417">
        <v>0.461728927553754</v>
      </c>
      <c r="Q417" t="s">
        <v>1068</v>
      </c>
      <c r="R417" t="s">
        <v>1068</v>
      </c>
      <c r="S417" t="s">
        <v>1173</v>
      </c>
      <c r="T417" t="s">
        <v>1068</v>
      </c>
      <c r="U417" t="s">
        <v>1174</v>
      </c>
      <c r="V417">
        <v>0</v>
      </c>
      <c r="W417" t="s">
        <v>944</v>
      </c>
      <c r="X417" t="s">
        <v>1175</v>
      </c>
      <c r="Y417">
        <v>1</v>
      </c>
      <c r="Z417">
        <v>0.446946862058822</v>
      </c>
      <c r="AA417">
        <v>-0.20805929378725199</v>
      </c>
      <c r="AB417">
        <v>0.56762408007799503</v>
      </c>
      <c r="AC417">
        <v>-0.15329931984781001</v>
      </c>
    </row>
    <row r="418" spans="1:29" x14ac:dyDescent="0.2">
      <c r="A418">
        <v>417</v>
      </c>
      <c r="B418" t="s">
        <v>576</v>
      </c>
      <c r="C418" t="s">
        <v>152</v>
      </c>
      <c r="D418" t="s">
        <v>160</v>
      </c>
      <c r="E418">
        <v>-0.14706979213277699</v>
      </c>
      <c r="F418">
        <v>0.79598948894195598</v>
      </c>
      <c r="G418">
        <v>6.1408614481623797E-3</v>
      </c>
      <c r="H418">
        <v>0.82170537437839597</v>
      </c>
      <c r="I418">
        <v>0.81556451293023402</v>
      </c>
      <c r="J418">
        <v>0.94305928107473302</v>
      </c>
      <c r="K418">
        <v>6.1408614481623797E-3</v>
      </c>
      <c r="L418">
        <v>-0.14706979213277699</v>
      </c>
      <c r="M418">
        <v>0.78984862749379403</v>
      </c>
      <c r="N418">
        <v>0.94305928107473302</v>
      </c>
      <c r="O418">
        <v>0.81556451293023402</v>
      </c>
      <c r="P418">
        <v>0.96877516651117301</v>
      </c>
      <c r="Q418" t="s">
        <v>1067</v>
      </c>
      <c r="R418" t="s">
        <v>1068</v>
      </c>
      <c r="S418" t="s">
        <v>1173</v>
      </c>
      <c r="T418" t="s">
        <v>1068</v>
      </c>
      <c r="U418" t="s">
        <v>944</v>
      </c>
      <c r="V418">
        <v>0</v>
      </c>
      <c r="W418" t="s">
        <v>944</v>
      </c>
      <c r="X418" t="s">
        <v>1175</v>
      </c>
      <c r="Y418">
        <v>1</v>
      </c>
      <c r="Z418">
        <v>0.54536188813356801</v>
      </c>
      <c r="AA418">
        <v>-0.23611992913086399</v>
      </c>
      <c r="AB418">
        <v>0.80589673892413805</v>
      </c>
      <c r="AC418">
        <v>-0.12407355707621499</v>
      </c>
    </row>
    <row r="419" spans="1:29" x14ac:dyDescent="0.2">
      <c r="A419">
        <v>418</v>
      </c>
      <c r="B419" t="s">
        <v>577</v>
      </c>
      <c r="C419" t="s">
        <v>152</v>
      </c>
      <c r="D419" t="s">
        <v>162</v>
      </c>
      <c r="E419">
        <v>-1.25880119781579E-2</v>
      </c>
      <c r="F419">
        <v>0.59135205574191996</v>
      </c>
      <c r="G419">
        <v>2.4437613115931801E-3</v>
      </c>
      <c r="H419">
        <v>0.62733026957543803</v>
      </c>
      <c r="I419">
        <v>0.62488650826384495</v>
      </c>
      <c r="J419">
        <v>0.60394006772007802</v>
      </c>
      <c r="K419">
        <v>2.4437613115931801E-3</v>
      </c>
      <c r="L419">
        <v>-1.25880119781579E-2</v>
      </c>
      <c r="M419">
        <v>0.588908294430327</v>
      </c>
      <c r="N419">
        <v>0.60394006772007802</v>
      </c>
      <c r="O419">
        <v>0.62488650826384495</v>
      </c>
      <c r="P419">
        <v>0.63991828155359598</v>
      </c>
      <c r="Q419" t="s">
        <v>1173</v>
      </c>
      <c r="R419" t="s">
        <v>1068</v>
      </c>
      <c r="S419" t="s">
        <v>1173</v>
      </c>
      <c r="T419" t="s">
        <v>1068</v>
      </c>
      <c r="U419" t="s">
        <v>944</v>
      </c>
      <c r="V419">
        <v>0</v>
      </c>
      <c r="W419" t="s">
        <v>944</v>
      </c>
      <c r="X419" t="s">
        <v>1175</v>
      </c>
      <c r="Y419">
        <v>1</v>
      </c>
      <c r="Z419">
        <v>0.65510380206323704</v>
      </c>
      <c r="AA419">
        <v>-0.18148292029278701</v>
      </c>
      <c r="AB419">
        <v>0.57119057395142103</v>
      </c>
      <c r="AC419">
        <v>-0.234112329975626</v>
      </c>
    </row>
    <row r="420" spans="1:29" x14ac:dyDescent="0.2">
      <c r="A420">
        <v>419</v>
      </c>
      <c r="B420" t="s">
        <v>578</v>
      </c>
      <c r="C420" t="s">
        <v>152</v>
      </c>
      <c r="D420" t="s">
        <v>168</v>
      </c>
      <c r="E420">
        <v>6.7355636613604095E-2</v>
      </c>
      <c r="F420">
        <v>0.69556324383841495</v>
      </c>
      <c r="G420">
        <v>1.7263178146764199E-2</v>
      </c>
      <c r="H420">
        <v>0.72266029320393999</v>
      </c>
      <c r="I420">
        <v>0.70539711505717595</v>
      </c>
      <c r="J420">
        <v>0.62820760722481095</v>
      </c>
      <c r="K420">
        <v>6.7355636613604095E-2</v>
      </c>
      <c r="L420">
        <v>1.7263178146764199E-2</v>
      </c>
      <c r="M420">
        <v>0.62820760722481095</v>
      </c>
      <c r="N420">
        <v>0.67830006569165102</v>
      </c>
      <c r="O420">
        <v>0.65530465659033599</v>
      </c>
      <c r="P420">
        <v>0.70539711505717595</v>
      </c>
      <c r="Q420" t="s">
        <v>1173</v>
      </c>
      <c r="R420" t="s">
        <v>1068</v>
      </c>
      <c r="S420" t="s">
        <v>1173</v>
      </c>
      <c r="T420" t="s">
        <v>1068</v>
      </c>
      <c r="U420" t="s">
        <v>944</v>
      </c>
      <c r="V420">
        <v>0</v>
      </c>
      <c r="W420" t="s">
        <v>944</v>
      </c>
      <c r="X420" t="s">
        <v>1175</v>
      </c>
      <c r="Y420">
        <v>1</v>
      </c>
      <c r="Z420">
        <v>0.44624730845923299</v>
      </c>
      <c r="AA420">
        <v>-0.21432407373426099</v>
      </c>
      <c r="AB420">
        <v>0.57293698441310004</v>
      </c>
      <c r="AC420">
        <v>-0.15866688143458399</v>
      </c>
    </row>
    <row r="421" spans="1:29" x14ac:dyDescent="0.2">
      <c r="A421">
        <v>420</v>
      </c>
      <c r="B421" t="s">
        <v>579</v>
      </c>
      <c r="C421" t="s">
        <v>207</v>
      </c>
      <c r="D421" t="s">
        <v>129</v>
      </c>
      <c r="E421">
        <v>-0.26592911725901502</v>
      </c>
      <c r="F421">
        <v>-1</v>
      </c>
      <c r="G421">
        <v>-6.6046649302615501E-2</v>
      </c>
      <c r="H421">
        <v>-1</v>
      </c>
      <c r="I421">
        <v>-0.93395335069738405</v>
      </c>
      <c r="J421">
        <v>-0.73407088274098498</v>
      </c>
      <c r="K421">
        <v>-6.6046649302615501E-2</v>
      </c>
      <c r="L421">
        <v>-0.26592911725901502</v>
      </c>
      <c r="M421">
        <v>-0.93395335069738405</v>
      </c>
      <c r="N421">
        <v>-0.73407088274098498</v>
      </c>
      <c r="O421">
        <v>-0.93395335069738405</v>
      </c>
      <c r="P421">
        <v>-0.73407088274098498</v>
      </c>
      <c r="Q421" t="s">
        <v>1067</v>
      </c>
      <c r="R421" t="s">
        <v>1067</v>
      </c>
      <c r="S421" t="s">
        <v>1173</v>
      </c>
      <c r="T421" t="s">
        <v>1067</v>
      </c>
      <c r="U421" t="s">
        <v>1174</v>
      </c>
      <c r="V421">
        <v>1</v>
      </c>
      <c r="W421" t="s">
        <v>944</v>
      </c>
      <c r="X421" t="s">
        <v>1175</v>
      </c>
      <c r="Y421">
        <v>1</v>
      </c>
      <c r="Z421">
        <v>-0.45489416836813201</v>
      </c>
      <c r="AA421">
        <v>-0.27442131524131602</v>
      </c>
      <c r="AB421">
        <v>-0.29266342002627199</v>
      </c>
      <c r="AC421">
        <v>-0.26432192797827198</v>
      </c>
    </row>
    <row r="422" spans="1:29" x14ac:dyDescent="0.2">
      <c r="A422">
        <v>421</v>
      </c>
      <c r="B422" t="s">
        <v>580</v>
      </c>
      <c r="C422" t="s">
        <v>207</v>
      </c>
      <c r="D422" t="s">
        <v>130</v>
      </c>
      <c r="E422">
        <v>-3.5539540273136702E-2</v>
      </c>
      <c r="F422">
        <v>0.273259140688142</v>
      </c>
      <c r="G422">
        <v>0.26654442044473398</v>
      </c>
      <c r="H422">
        <v>0.128222955825607</v>
      </c>
      <c r="I422">
        <v>-0.138321464619127</v>
      </c>
      <c r="J422">
        <v>0.30879868096127899</v>
      </c>
      <c r="K422">
        <v>0.26654442044473398</v>
      </c>
      <c r="L422">
        <v>-3.5539540273136702E-2</v>
      </c>
      <c r="M422">
        <v>6.7147202434080198E-3</v>
      </c>
      <c r="N422">
        <v>0.30879868096127899</v>
      </c>
      <c r="O422">
        <v>-0.138321464619127</v>
      </c>
      <c r="P422">
        <v>0.16376249609874399</v>
      </c>
      <c r="Q422" t="s">
        <v>1173</v>
      </c>
      <c r="R422" t="s">
        <v>1068</v>
      </c>
      <c r="S422" t="s">
        <v>1068</v>
      </c>
      <c r="T422" t="s">
        <v>1068</v>
      </c>
      <c r="U422" t="s">
        <v>944</v>
      </c>
      <c r="V422">
        <v>1</v>
      </c>
      <c r="W422" t="s">
        <v>944</v>
      </c>
      <c r="X422" t="s">
        <v>1175</v>
      </c>
      <c r="Y422">
        <v>1</v>
      </c>
      <c r="Z422">
        <v>-0.23389611314525399</v>
      </c>
      <c r="AA422">
        <v>-0.210624016616065</v>
      </c>
      <c r="AB422">
        <v>-0.39144959138586399</v>
      </c>
      <c r="AC422">
        <v>-0.355000786941715</v>
      </c>
    </row>
    <row r="423" spans="1:29" x14ac:dyDescent="0.2">
      <c r="A423">
        <v>422</v>
      </c>
      <c r="B423" t="s">
        <v>581</v>
      </c>
      <c r="C423" t="s">
        <v>207</v>
      </c>
      <c r="D423" t="s">
        <v>132</v>
      </c>
      <c r="E423">
        <v>-0.15839638123073499</v>
      </c>
      <c r="F423">
        <v>-1</v>
      </c>
      <c r="G423">
        <v>-7.5563802149735099E-2</v>
      </c>
      <c r="H423">
        <v>-1</v>
      </c>
      <c r="I423">
        <v>-0.92443619785026498</v>
      </c>
      <c r="J423">
        <v>-0.84160361876926504</v>
      </c>
      <c r="K423">
        <v>-7.5563802149735099E-2</v>
      </c>
      <c r="L423">
        <v>-0.15839638123073499</v>
      </c>
      <c r="M423">
        <v>-0.92443619785026498</v>
      </c>
      <c r="N423">
        <v>-0.84160361876926504</v>
      </c>
      <c r="O423">
        <v>-0.92443619785026498</v>
      </c>
      <c r="P423">
        <v>-0.84160361876926504</v>
      </c>
      <c r="Q423" t="s">
        <v>1067</v>
      </c>
      <c r="R423" t="s">
        <v>1067</v>
      </c>
      <c r="S423" t="s">
        <v>1173</v>
      </c>
      <c r="T423" t="s">
        <v>1067</v>
      </c>
      <c r="U423" t="s">
        <v>1174</v>
      </c>
      <c r="V423">
        <v>1</v>
      </c>
      <c r="W423" t="s">
        <v>944</v>
      </c>
      <c r="X423" t="s">
        <v>1175</v>
      </c>
      <c r="Y423">
        <v>1</v>
      </c>
      <c r="Z423">
        <v>-0.50364503929603699</v>
      </c>
      <c r="AA423">
        <v>-0.28036753782233298</v>
      </c>
      <c r="AB423">
        <v>-0.34995309554086101</v>
      </c>
      <c r="AC423">
        <v>-0.273725130958406</v>
      </c>
    </row>
    <row r="424" spans="1:29" x14ac:dyDescent="0.2">
      <c r="A424">
        <v>423</v>
      </c>
      <c r="B424" t="s">
        <v>582</v>
      </c>
      <c r="C424" t="s">
        <v>207</v>
      </c>
      <c r="D424" t="s">
        <v>134</v>
      </c>
      <c r="E424">
        <v>3.2655348089568298E-2</v>
      </c>
      <c r="F424">
        <v>-0.334601852754291</v>
      </c>
      <c r="G424">
        <v>2.3032731794770901E-3</v>
      </c>
      <c r="H424">
        <v>-0.53621187527138203</v>
      </c>
      <c r="I424">
        <v>-0.53851514845085902</v>
      </c>
      <c r="J424">
        <v>-0.36725720084385899</v>
      </c>
      <c r="K424">
        <v>3.2655348089568298E-2</v>
      </c>
      <c r="L424">
        <v>2.3032731794770901E-3</v>
      </c>
      <c r="M424">
        <v>-0.36725720084385899</v>
      </c>
      <c r="N424">
        <v>-0.33690512593376798</v>
      </c>
      <c r="O424">
        <v>-0.56886722336094997</v>
      </c>
      <c r="P424">
        <v>-0.53851514845085902</v>
      </c>
      <c r="Q424" t="s">
        <v>1173</v>
      </c>
      <c r="R424" t="s">
        <v>1067</v>
      </c>
      <c r="S424" t="s">
        <v>1173</v>
      </c>
      <c r="T424" t="s">
        <v>1067</v>
      </c>
      <c r="U424" t="s">
        <v>1174</v>
      </c>
      <c r="V424">
        <v>1</v>
      </c>
      <c r="W424" t="s">
        <v>1174</v>
      </c>
      <c r="X424" t="s">
        <v>1175</v>
      </c>
      <c r="Y424">
        <v>1</v>
      </c>
      <c r="Z424">
        <v>-0.37049948706826202</v>
      </c>
      <c r="AA424">
        <v>-0.30006623382802899</v>
      </c>
      <c r="AB424">
        <v>-0.26881177959838998</v>
      </c>
      <c r="AC424">
        <v>-0.33092350574708002</v>
      </c>
    </row>
    <row r="425" spans="1:29" x14ac:dyDescent="0.2">
      <c r="A425">
        <v>424</v>
      </c>
      <c r="B425" t="s">
        <v>583</v>
      </c>
      <c r="C425" t="s">
        <v>207</v>
      </c>
      <c r="D425" t="s">
        <v>136</v>
      </c>
      <c r="E425">
        <v>-0.184787420845408</v>
      </c>
      <c r="F425">
        <v>-2.5686758682295901E-2</v>
      </c>
      <c r="G425">
        <v>2.3032731794770901E-3</v>
      </c>
      <c r="H425">
        <v>-0.209724511764522</v>
      </c>
      <c r="I425">
        <v>-0.21202778494399899</v>
      </c>
      <c r="J425">
        <v>0.159100662163112</v>
      </c>
      <c r="K425">
        <v>2.3032731794770901E-3</v>
      </c>
      <c r="L425">
        <v>-0.184787420845408</v>
      </c>
      <c r="M425">
        <v>-2.7990031861772999E-2</v>
      </c>
      <c r="N425">
        <v>0.159100662163112</v>
      </c>
      <c r="O425">
        <v>-0.21202778494399899</v>
      </c>
      <c r="P425">
        <v>-2.4937090919113999E-2</v>
      </c>
      <c r="Q425" t="s">
        <v>1067</v>
      </c>
      <c r="R425" t="s">
        <v>1173</v>
      </c>
      <c r="S425" t="s">
        <v>1173</v>
      </c>
      <c r="T425" t="s">
        <v>1067</v>
      </c>
      <c r="U425" t="s">
        <v>944</v>
      </c>
      <c r="V425">
        <v>1</v>
      </c>
      <c r="W425" t="s">
        <v>944</v>
      </c>
      <c r="X425" t="s">
        <v>1175</v>
      </c>
      <c r="Y425">
        <v>1</v>
      </c>
      <c r="Z425">
        <v>-0.44919036619517699</v>
      </c>
      <c r="AA425">
        <v>-0.30954903782498</v>
      </c>
      <c r="AB425">
        <v>-0.15701016168972501</v>
      </c>
      <c r="AC425">
        <v>-0.24461808576733701</v>
      </c>
    </row>
    <row r="426" spans="1:29" x14ac:dyDescent="0.2">
      <c r="A426">
        <v>425</v>
      </c>
      <c r="B426" t="s">
        <v>584</v>
      </c>
      <c r="C426" t="s">
        <v>207</v>
      </c>
      <c r="D426" t="s">
        <v>138</v>
      </c>
      <c r="E426">
        <v>-0.14204235711382801</v>
      </c>
      <c r="F426">
        <v>0.52236205097606003</v>
      </c>
      <c r="G426">
        <v>-0.16394756298104701</v>
      </c>
      <c r="H426">
        <v>0.479038024695425</v>
      </c>
      <c r="I426">
        <v>0.64298558767647196</v>
      </c>
      <c r="J426">
        <v>0.66440440808988799</v>
      </c>
      <c r="K426">
        <v>-0.14204235711382801</v>
      </c>
      <c r="L426">
        <v>-0.16394756298104701</v>
      </c>
      <c r="M426">
        <v>0.66440440808988799</v>
      </c>
      <c r="N426">
        <v>0.68630961395710699</v>
      </c>
      <c r="O426">
        <v>0.62108038180925296</v>
      </c>
      <c r="P426">
        <v>0.64298558767647196</v>
      </c>
      <c r="Q426" t="s">
        <v>1067</v>
      </c>
      <c r="R426" t="s">
        <v>1068</v>
      </c>
      <c r="S426" t="s">
        <v>1067</v>
      </c>
      <c r="T426" t="s">
        <v>1068</v>
      </c>
      <c r="U426" t="s">
        <v>944</v>
      </c>
      <c r="V426">
        <v>0</v>
      </c>
      <c r="W426" t="s">
        <v>944</v>
      </c>
      <c r="X426" t="s">
        <v>1175</v>
      </c>
      <c r="Y426">
        <v>1</v>
      </c>
      <c r="Z426">
        <v>0.40134244150912601</v>
      </c>
      <c r="AA426">
        <v>-0.14902569693203699</v>
      </c>
      <c r="AB426">
        <v>0.495269329482108</v>
      </c>
      <c r="AC426">
        <v>-0.16551155502591899</v>
      </c>
    </row>
    <row r="427" spans="1:29" x14ac:dyDescent="0.2">
      <c r="A427">
        <v>426</v>
      </c>
      <c r="B427" t="s">
        <v>585</v>
      </c>
      <c r="C427" t="s">
        <v>207</v>
      </c>
      <c r="D427" t="s">
        <v>182</v>
      </c>
      <c r="E427">
        <v>-0.15743895721468301</v>
      </c>
      <c r="F427">
        <v>0.70047362595349405</v>
      </c>
      <c r="G427">
        <v>-7.7516561662633099E-2</v>
      </c>
      <c r="H427">
        <v>0.67169083445323796</v>
      </c>
      <c r="I427">
        <v>0.74920739611587095</v>
      </c>
      <c r="J427">
        <v>0.85791258316817698</v>
      </c>
      <c r="K427">
        <v>-7.7516561662633099E-2</v>
      </c>
      <c r="L427">
        <v>-0.15743895721468301</v>
      </c>
      <c r="M427">
        <v>0.77799018761612704</v>
      </c>
      <c r="N427">
        <v>0.85791258316817698</v>
      </c>
      <c r="O427">
        <v>0.74920739611587095</v>
      </c>
      <c r="P427">
        <v>0.829129791667921</v>
      </c>
      <c r="Q427" t="s">
        <v>1067</v>
      </c>
      <c r="R427" t="s">
        <v>1068</v>
      </c>
      <c r="S427" t="s">
        <v>1173</v>
      </c>
      <c r="T427" t="s">
        <v>1068</v>
      </c>
      <c r="U427" t="s">
        <v>944</v>
      </c>
      <c r="V427">
        <v>0</v>
      </c>
      <c r="W427" t="s">
        <v>944</v>
      </c>
      <c r="X427" t="s">
        <v>1175</v>
      </c>
      <c r="Y427">
        <v>1</v>
      </c>
      <c r="Z427">
        <v>0.369295779218965</v>
      </c>
      <c r="AA427">
        <v>-0.17431717101303701</v>
      </c>
      <c r="AB427">
        <v>0.48289268238652</v>
      </c>
      <c r="AC427">
        <v>-0.165067113188758</v>
      </c>
    </row>
    <row r="428" spans="1:29" x14ac:dyDescent="0.2">
      <c r="A428">
        <v>427</v>
      </c>
      <c r="B428" t="s">
        <v>586</v>
      </c>
      <c r="C428" t="s">
        <v>207</v>
      </c>
      <c r="D428" t="s">
        <v>188</v>
      </c>
      <c r="E428">
        <v>-0.155961251482227</v>
      </c>
      <c r="F428">
        <v>0.71358970885720596</v>
      </c>
      <c r="G428">
        <v>-0.11774787378417299</v>
      </c>
      <c r="H428">
        <v>0.68790990004908703</v>
      </c>
      <c r="I428">
        <v>0.80565777383325998</v>
      </c>
      <c r="J428">
        <v>0.86955096033943302</v>
      </c>
      <c r="K428">
        <v>-0.11774787378417299</v>
      </c>
      <c r="L428">
        <v>-0.155961251482227</v>
      </c>
      <c r="M428">
        <v>0.83133758264137902</v>
      </c>
      <c r="N428">
        <v>0.86955096033943302</v>
      </c>
      <c r="O428">
        <v>0.80565777383325998</v>
      </c>
      <c r="P428">
        <v>0.84387115153131398</v>
      </c>
      <c r="Q428" t="s">
        <v>1067</v>
      </c>
      <c r="R428" t="s">
        <v>1068</v>
      </c>
      <c r="S428" t="s">
        <v>1067</v>
      </c>
      <c r="T428" t="s">
        <v>1068</v>
      </c>
      <c r="U428" t="s">
        <v>944</v>
      </c>
      <c r="V428">
        <v>0</v>
      </c>
      <c r="W428" t="s">
        <v>944</v>
      </c>
      <c r="X428" t="s">
        <v>1175</v>
      </c>
      <c r="Y428">
        <v>1</v>
      </c>
      <c r="Z428">
        <v>0.40718982397848102</v>
      </c>
      <c r="AA428">
        <v>-0.16288752835602199</v>
      </c>
      <c r="AB428">
        <v>0.51792269747186503</v>
      </c>
      <c r="AC428">
        <v>-0.16041269150027199</v>
      </c>
    </row>
    <row r="429" spans="1:29" x14ac:dyDescent="0.2">
      <c r="A429">
        <v>428</v>
      </c>
      <c r="B429" t="s">
        <v>587</v>
      </c>
      <c r="C429" t="s">
        <v>207</v>
      </c>
      <c r="D429" t="s">
        <v>140</v>
      </c>
      <c r="E429">
        <v>-0.182998899815593</v>
      </c>
      <c r="F429">
        <v>-1</v>
      </c>
      <c r="G429">
        <v>-0.15407498281100099</v>
      </c>
      <c r="H429">
        <v>-1</v>
      </c>
      <c r="I429">
        <v>-0.84592501718899904</v>
      </c>
      <c r="J429">
        <v>-0.81700110018440697</v>
      </c>
      <c r="K429">
        <v>-0.15407498281100099</v>
      </c>
      <c r="L429">
        <v>-0.182998899815593</v>
      </c>
      <c r="M429">
        <v>-0.84592501718899904</v>
      </c>
      <c r="N429">
        <v>-0.81700110018440697</v>
      </c>
      <c r="O429">
        <v>-0.84592501718899904</v>
      </c>
      <c r="P429">
        <v>-0.81700110018440697</v>
      </c>
      <c r="Q429" t="s">
        <v>1067</v>
      </c>
      <c r="R429" t="s">
        <v>1067</v>
      </c>
      <c r="S429" t="s">
        <v>1067</v>
      </c>
      <c r="T429" t="s">
        <v>1067</v>
      </c>
      <c r="U429" t="s">
        <v>1174</v>
      </c>
      <c r="V429">
        <v>1</v>
      </c>
      <c r="W429" t="s">
        <v>944</v>
      </c>
      <c r="X429" t="s">
        <v>1175</v>
      </c>
      <c r="Y429">
        <v>1</v>
      </c>
      <c r="Z429">
        <v>-0.43662629351731902</v>
      </c>
      <c r="AA429">
        <v>-0.24481732627342701</v>
      </c>
      <c r="AB429">
        <v>-0.364345652057327</v>
      </c>
      <c r="AC429">
        <v>-0.27204227100550499</v>
      </c>
    </row>
    <row r="430" spans="1:29" x14ac:dyDescent="0.2">
      <c r="A430">
        <v>429</v>
      </c>
      <c r="B430" t="s">
        <v>588</v>
      </c>
      <c r="C430" t="s">
        <v>207</v>
      </c>
      <c r="D430" t="s">
        <v>191</v>
      </c>
      <c r="E430">
        <v>-0.17936855114969499</v>
      </c>
      <c r="F430">
        <v>-1</v>
      </c>
      <c r="G430">
        <v>-0.17927720495608099</v>
      </c>
      <c r="H430">
        <v>-1</v>
      </c>
      <c r="I430">
        <v>-0.82072279504391898</v>
      </c>
      <c r="J430">
        <v>-0.82063144885030503</v>
      </c>
      <c r="K430">
        <v>-0.17927720495608099</v>
      </c>
      <c r="L430">
        <v>-0.17936855114969499</v>
      </c>
      <c r="M430">
        <v>-0.82072279504391898</v>
      </c>
      <c r="N430">
        <v>-0.82063144885030503</v>
      </c>
      <c r="O430">
        <v>-0.82072279504391898</v>
      </c>
      <c r="P430">
        <v>-0.82063144885030503</v>
      </c>
      <c r="Q430" t="s">
        <v>1067</v>
      </c>
      <c r="R430" t="s">
        <v>1067</v>
      </c>
      <c r="S430" t="s">
        <v>1067</v>
      </c>
      <c r="T430" t="s">
        <v>1067</v>
      </c>
      <c r="U430" t="s">
        <v>1174</v>
      </c>
      <c r="V430">
        <v>1</v>
      </c>
      <c r="W430" t="s">
        <v>944</v>
      </c>
      <c r="X430" t="s">
        <v>1175</v>
      </c>
      <c r="Y430">
        <v>1</v>
      </c>
      <c r="Z430">
        <v>-0.43619885923339802</v>
      </c>
      <c r="AA430">
        <v>-0.24012732361299899</v>
      </c>
      <c r="AB430">
        <v>-0.38187984623218202</v>
      </c>
      <c r="AC430">
        <v>-0.27500563374633202</v>
      </c>
    </row>
    <row r="431" spans="1:29" x14ac:dyDescent="0.2">
      <c r="A431">
        <v>430</v>
      </c>
      <c r="B431" t="s">
        <v>589</v>
      </c>
      <c r="C431" t="s">
        <v>207</v>
      </c>
      <c r="D431" t="s">
        <v>193</v>
      </c>
      <c r="E431">
        <v>-0.20685966249834001</v>
      </c>
      <c r="F431">
        <v>-1</v>
      </c>
      <c r="G431">
        <v>-0.17510781490362301</v>
      </c>
      <c r="H431">
        <v>-1</v>
      </c>
      <c r="I431">
        <v>-0.82489218509637696</v>
      </c>
      <c r="J431">
        <v>-0.79314033750166002</v>
      </c>
      <c r="K431">
        <v>-0.17510781490362301</v>
      </c>
      <c r="L431">
        <v>-0.20685966249834001</v>
      </c>
      <c r="M431">
        <v>-0.82489218509637696</v>
      </c>
      <c r="N431">
        <v>-0.79314033750166002</v>
      </c>
      <c r="O431">
        <v>-0.82489218509637696</v>
      </c>
      <c r="P431">
        <v>-0.79314033750166002</v>
      </c>
      <c r="Q431" t="s">
        <v>1067</v>
      </c>
      <c r="R431" t="s">
        <v>1067</v>
      </c>
      <c r="S431" t="s">
        <v>1067</v>
      </c>
      <c r="T431" t="s">
        <v>1067</v>
      </c>
      <c r="U431" t="s">
        <v>1174</v>
      </c>
      <c r="V431">
        <v>1</v>
      </c>
      <c r="W431" t="s">
        <v>944</v>
      </c>
      <c r="X431" t="s">
        <v>1175</v>
      </c>
      <c r="Y431">
        <v>1</v>
      </c>
      <c r="Z431">
        <v>-0.437297559936492</v>
      </c>
      <c r="AA431">
        <v>-0.236959058252453</v>
      </c>
      <c r="AB431">
        <v>-0.388589774953573</v>
      </c>
      <c r="AC431">
        <v>-0.272886747522951</v>
      </c>
    </row>
    <row r="432" spans="1:29" x14ac:dyDescent="0.2">
      <c r="A432">
        <v>431</v>
      </c>
      <c r="B432" t="s">
        <v>590</v>
      </c>
      <c r="C432" t="s">
        <v>207</v>
      </c>
      <c r="D432" t="s">
        <v>142</v>
      </c>
      <c r="E432">
        <v>0.95247866299401296</v>
      </c>
      <c r="F432">
        <v>0.88337775434110799</v>
      </c>
      <c r="G432">
        <v>2.3032731794770901E-3</v>
      </c>
      <c r="H432">
        <v>0.52435800538554</v>
      </c>
      <c r="I432">
        <v>0.52205473220606302</v>
      </c>
      <c r="J432">
        <v>-6.9100908652904997E-2</v>
      </c>
      <c r="K432">
        <v>0.95247866299401296</v>
      </c>
      <c r="L432">
        <v>2.3032731794770901E-3</v>
      </c>
      <c r="M432">
        <v>-6.9100908652904997E-2</v>
      </c>
      <c r="N432">
        <v>0.88107448116163101</v>
      </c>
      <c r="O432">
        <v>-0.42812065760847301</v>
      </c>
      <c r="P432">
        <v>0.52205473220606302</v>
      </c>
      <c r="Q432" t="s">
        <v>1068</v>
      </c>
      <c r="R432" t="s">
        <v>1068</v>
      </c>
      <c r="S432" t="s">
        <v>1173</v>
      </c>
      <c r="T432" t="s">
        <v>1068</v>
      </c>
      <c r="U432" t="s">
        <v>1174</v>
      </c>
      <c r="V432">
        <v>0</v>
      </c>
      <c r="W432" t="s">
        <v>944</v>
      </c>
      <c r="X432" t="s">
        <v>1176</v>
      </c>
      <c r="Y432">
        <v>0</v>
      </c>
      <c r="Z432">
        <v>0.53286506186299698</v>
      </c>
      <c r="AA432">
        <v>-0.19120445657563501</v>
      </c>
      <c r="AB432">
        <v>0.639847776219855</v>
      </c>
      <c r="AC432">
        <v>-0.142899153793868</v>
      </c>
    </row>
    <row r="433" spans="1:29" x14ac:dyDescent="0.2">
      <c r="A433">
        <v>432</v>
      </c>
      <c r="B433" t="s">
        <v>591</v>
      </c>
      <c r="C433" t="s">
        <v>207</v>
      </c>
      <c r="D433" t="s">
        <v>144</v>
      </c>
      <c r="E433">
        <v>-3.5608162420386801E-2</v>
      </c>
      <c r="F433">
        <v>2.7838643996889501E-2</v>
      </c>
      <c r="G433">
        <v>2.2285739029045798E-3</v>
      </c>
      <c r="H433">
        <v>-0.119243797750267</v>
      </c>
      <c r="I433">
        <v>-0.121472371653172</v>
      </c>
      <c r="J433">
        <v>6.3446806417276305E-2</v>
      </c>
      <c r="K433">
        <v>2.2285739029045798E-3</v>
      </c>
      <c r="L433">
        <v>-3.5608162420386801E-2</v>
      </c>
      <c r="M433">
        <v>2.5610070093984898E-2</v>
      </c>
      <c r="N433">
        <v>6.3446806417276305E-2</v>
      </c>
      <c r="O433">
        <v>-0.121472371653172</v>
      </c>
      <c r="P433">
        <v>-8.3635635329880206E-2</v>
      </c>
      <c r="Q433" t="s">
        <v>1173</v>
      </c>
      <c r="R433" t="s">
        <v>1173</v>
      </c>
      <c r="S433" t="s">
        <v>1173</v>
      </c>
      <c r="T433" t="s">
        <v>1067</v>
      </c>
      <c r="U433" t="s">
        <v>944</v>
      </c>
      <c r="V433">
        <v>1</v>
      </c>
      <c r="W433" t="s">
        <v>944</v>
      </c>
      <c r="X433" t="s">
        <v>1175</v>
      </c>
      <c r="Y433">
        <v>0</v>
      </c>
      <c r="Z433">
        <v>-0.294440632918263</v>
      </c>
      <c r="AA433">
        <v>-0.29088930051143702</v>
      </c>
      <c r="AB433">
        <v>-0.20771820904528901</v>
      </c>
      <c r="AC433">
        <v>-0.33100586388196701</v>
      </c>
    </row>
    <row r="434" spans="1:29" x14ac:dyDescent="0.2">
      <c r="A434">
        <v>433</v>
      </c>
      <c r="B434" t="s">
        <v>592</v>
      </c>
      <c r="C434" t="s">
        <v>207</v>
      </c>
      <c r="D434" t="s">
        <v>146</v>
      </c>
      <c r="E434">
        <v>-3.6899133057280702E-2</v>
      </c>
      <c r="F434">
        <v>-0.140826241495314</v>
      </c>
      <c r="G434">
        <v>-0.15343760102319901</v>
      </c>
      <c r="H434">
        <v>-0.37317883143646002</v>
      </c>
      <c r="I434">
        <v>-0.21974123041326099</v>
      </c>
      <c r="J434">
        <v>-0.103927108438033</v>
      </c>
      <c r="K434">
        <v>-3.6899133057280702E-2</v>
      </c>
      <c r="L434">
        <v>-0.15343760102319901</v>
      </c>
      <c r="M434">
        <v>-0.103927108438033</v>
      </c>
      <c r="N434">
        <v>1.2611359527885E-2</v>
      </c>
      <c r="O434">
        <v>-0.33627969837917898</v>
      </c>
      <c r="P434">
        <v>-0.21974123041326099</v>
      </c>
      <c r="Q434" t="s">
        <v>1173</v>
      </c>
      <c r="R434" t="s">
        <v>1067</v>
      </c>
      <c r="S434" t="s">
        <v>1067</v>
      </c>
      <c r="T434" t="s">
        <v>1067</v>
      </c>
      <c r="U434" t="s">
        <v>1174</v>
      </c>
      <c r="V434">
        <v>1</v>
      </c>
      <c r="W434" t="s">
        <v>1174</v>
      </c>
      <c r="X434" t="s">
        <v>1175</v>
      </c>
      <c r="Y434">
        <v>1</v>
      </c>
      <c r="Z434">
        <v>-0.26743434120685</v>
      </c>
      <c r="AA434">
        <v>-0.22518097807809601</v>
      </c>
      <c r="AB434">
        <v>-0.389314004357937</v>
      </c>
      <c r="AC434">
        <v>-0.35449298861725098</v>
      </c>
    </row>
    <row r="435" spans="1:29" x14ac:dyDescent="0.2">
      <c r="A435">
        <v>434</v>
      </c>
      <c r="B435" t="s">
        <v>593</v>
      </c>
      <c r="C435" t="s">
        <v>207</v>
      </c>
      <c r="D435" t="s">
        <v>200</v>
      </c>
      <c r="E435">
        <v>-0.21835404505624301</v>
      </c>
      <c r="F435">
        <v>0.24862176494195901</v>
      </c>
      <c r="G435">
        <v>-6.0734719665123497E-2</v>
      </c>
      <c r="H435">
        <v>8.2772513842626197E-2</v>
      </c>
      <c r="I435">
        <v>0.14350723350774999</v>
      </c>
      <c r="J435">
        <v>0.46697580999820198</v>
      </c>
      <c r="K435">
        <v>-6.0734719665123497E-2</v>
      </c>
      <c r="L435">
        <v>-0.21835404505624301</v>
      </c>
      <c r="M435">
        <v>0.30935648460708198</v>
      </c>
      <c r="N435">
        <v>0.46697580999820198</v>
      </c>
      <c r="O435">
        <v>0.14350723350774999</v>
      </c>
      <c r="P435">
        <v>0.30112655889886902</v>
      </c>
      <c r="Q435" t="s">
        <v>1067</v>
      </c>
      <c r="R435" t="s">
        <v>1068</v>
      </c>
      <c r="S435" t="s">
        <v>1173</v>
      </c>
      <c r="T435" t="s">
        <v>1173</v>
      </c>
      <c r="U435" t="s">
        <v>944</v>
      </c>
      <c r="V435">
        <v>0</v>
      </c>
      <c r="W435" t="s">
        <v>944</v>
      </c>
      <c r="X435" t="s">
        <v>1175</v>
      </c>
      <c r="Y435">
        <v>1</v>
      </c>
      <c r="Z435">
        <v>-0.26960040944179597</v>
      </c>
      <c r="AA435">
        <v>-0.253889603520281</v>
      </c>
      <c r="AB435">
        <v>-8.6471136946073501E-2</v>
      </c>
      <c r="AC435">
        <v>-0.238811631113762</v>
      </c>
    </row>
    <row r="436" spans="1:29" x14ac:dyDescent="0.2">
      <c r="A436">
        <v>435</v>
      </c>
      <c r="B436" t="s">
        <v>594</v>
      </c>
      <c r="C436" t="s">
        <v>207</v>
      </c>
      <c r="D436" t="s">
        <v>148</v>
      </c>
      <c r="E436">
        <v>-0.17760092381074</v>
      </c>
      <c r="F436">
        <v>-0.80146631484901099</v>
      </c>
      <c r="G436">
        <v>2.3458726256474099E-3</v>
      </c>
      <c r="H436">
        <v>-1</v>
      </c>
      <c r="I436">
        <v>-1.00234587262565</v>
      </c>
      <c r="J436">
        <v>-0.62386539103827099</v>
      </c>
      <c r="K436">
        <v>2.3458726256474099E-3</v>
      </c>
      <c r="L436">
        <v>-0.17760092381074</v>
      </c>
      <c r="M436">
        <v>-0.80381218747465799</v>
      </c>
      <c r="N436">
        <v>-0.62386539103827099</v>
      </c>
      <c r="O436">
        <v>-1.00234587262565</v>
      </c>
      <c r="P436">
        <v>-0.82239907618926</v>
      </c>
      <c r="Q436" t="s">
        <v>1067</v>
      </c>
      <c r="R436" t="s">
        <v>1067</v>
      </c>
      <c r="S436" t="s">
        <v>1173</v>
      </c>
      <c r="T436" t="s">
        <v>1067</v>
      </c>
      <c r="U436" t="s">
        <v>1174</v>
      </c>
      <c r="V436">
        <v>1</v>
      </c>
      <c r="W436" t="s">
        <v>944</v>
      </c>
      <c r="X436" t="s">
        <v>1175</v>
      </c>
      <c r="Y436">
        <v>1</v>
      </c>
      <c r="Z436">
        <v>-0.62675762139660596</v>
      </c>
      <c r="AA436">
        <v>-0.33095358888167797</v>
      </c>
      <c r="AB436">
        <v>-0.34861042321506103</v>
      </c>
      <c r="AC436">
        <v>-0.271424422845646</v>
      </c>
    </row>
    <row r="437" spans="1:29" x14ac:dyDescent="0.2">
      <c r="A437">
        <v>436</v>
      </c>
      <c r="B437" t="s">
        <v>595</v>
      </c>
      <c r="C437" t="s">
        <v>207</v>
      </c>
      <c r="D437" t="s">
        <v>150</v>
      </c>
      <c r="E437">
        <v>-3.5799685794865602E-2</v>
      </c>
      <c r="F437">
        <v>-0.14738923417783401</v>
      </c>
      <c r="G437">
        <v>-7.1416112683621996E-2</v>
      </c>
      <c r="H437">
        <v>-0.38102593366329002</v>
      </c>
      <c r="I437">
        <v>-0.30960982097966799</v>
      </c>
      <c r="J437">
        <v>-0.111589548382968</v>
      </c>
      <c r="K437">
        <v>-3.5799685794865602E-2</v>
      </c>
      <c r="L437">
        <v>-7.1416112683621996E-2</v>
      </c>
      <c r="M437">
        <v>-0.111589548382968</v>
      </c>
      <c r="N437">
        <v>-7.5973121494211995E-2</v>
      </c>
      <c r="O437">
        <v>-0.34522624786842399</v>
      </c>
      <c r="P437">
        <v>-0.30960982097966799</v>
      </c>
      <c r="Q437" t="s">
        <v>1173</v>
      </c>
      <c r="R437" t="s">
        <v>1067</v>
      </c>
      <c r="S437" t="s">
        <v>1173</v>
      </c>
      <c r="T437" t="s">
        <v>1067</v>
      </c>
      <c r="U437" t="s">
        <v>1174</v>
      </c>
      <c r="V437">
        <v>1</v>
      </c>
      <c r="W437" t="s">
        <v>1174</v>
      </c>
      <c r="X437" t="s">
        <v>1175</v>
      </c>
      <c r="Y437">
        <v>1</v>
      </c>
      <c r="Z437">
        <v>-0.35640787308301802</v>
      </c>
      <c r="AA437">
        <v>-0.26209383074624198</v>
      </c>
      <c r="AB437">
        <v>-0.39236158823623302</v>
      </c>
      <c r="AC437">
        <v>-0.35514753929129</v>
      </c>
    </row>
    <row r="438" spans="1:29" x14ac:dyDescent="0.2">
      <c r="A438">
        <v>437</v>
      </c>
      <c r="B438" t="s">
        <v>596</v>
      </c>
      <c r="C438" t="s">
        <v>207</v>
      </c>
      <c r="D438" t="s">
        <v>204</v>
      </c>
      <c r="E438">
        <v>0.92721804048663903</v>
      </c>
      <c r="F438">
        <v>0.62836022630512001</v>
      </c>
      <c r="G438">
        <v>0.69408452813356702</v>
      </c>
      <c r="H438">
        <v>0.56861998219682997</v>
      </c>
      <c r="I438">
        <v>-0.125464545936737</v>
      </c>
      <c r="J438">
        <v>-0.29885781418151902</v>
      </c>
      <c r="K438">
        <v>0.92721804048663903</v>
      </c>
      <c r="L438">
        <v>0.69408452813356702</v>
      </c>
      <c r="M438">
        <v>-0.29885781418151902</v>
      </c>
      <c r="N438">
        <v>-6.5724301828447004E-2</v>
      </c>
      <c r="O438">
        <v>-0.35859805828980901</v>
      </c>
      <c r="P438">
        <v>-0.125464545936737</v>
      </c>
      <c r="Q438" t="s">
        <v>1068</v>
      </c>
      <c r="R438" t="s">
        <v>1068</v>
      </c>
      <c r="S438" t="s">
        <v>1068</v>
      </c>
      <c r="T438" t="s">
        <v>1068</v>
      </c>
      <c r="U438" t="s">
        <v>1174</v>
      </c>
      <c r="V438">
        <v>1</v>
      </c>
      <c r="W438" t="s">
        <v>944</v>
      </c>
      <c r="X438" t="s">
        <v>1176</v>
      </c>
      <c r="Y438">
        <v>1</v>
      </c>
      <c r="Z438">
        <v>-0.53620011424017799</v>
      </c>
      <c r="AA438">
        <v>-0.27945543919954002</v>
      </c>
      <c r="AB438">
        <v>-0.38536347970729301</v>
      </c>
      <c r="AC438">
        <v>-0.27304941853083098</v>
      </c>
    </row>
    <row r="439" spans="1:29" x14ac:dyDescent="0.2">
      <c r="A439">
        <v>438</v>
      </c>
      <c r="B439" t="s">
        <v>597</v>
      </c>
      <c r="C439" t="s">
        <v>207</v>
      </c>
      <c r="D439" t="s">
        <v>152</v>
      </c>
      <c r="E439">
        <v>0.952449691502953</v>
      </c>
      <c r="F439">
        <v>0.88330055780809102</v>
      </c>
      <c r="G439">
        <v>2.3032731794770901E-3</v>
      </c>
      <c r="H439">
        <v>0.52397281378898397</v>
      </c>
      <c r="I439">
        <v>0.52166954060950699</v>
      </c>
      <c r="J439">
        <v>-6.9149133694862003E-2</v>
      </c>
      <c r="K439">
        <v>0.952449691502953</v>
      </c>
      <c r="L439">
        <v>2.3032731794770901E-3</v>
      </c>
      <c r="M439">
        <v>-6.9149133694862003E-2</v>
      </c>
      <c r="N439">
        <v>0.88099728462861404</v>
      </c>
      <c r="O439">
        <v>-0.42847687771396897</v>
      </c>
      <c r="P439">
        <v>0.52166954060950699</v>
      </c>
      <c r="Q439" t="s">
        <v>1068</v>
      </c>
      <c r="R439" t="s">
        <v>1068</v>
      </c>
      <c r="S439" t="s">
        <v>1173</v>
      </c>
      <c r="T439" t="s">
        <v>1068</v>
      </c>
      <c r="U439" t="s">
        <v>1174</v>
      </c>
      <c r="V439">
        <v>0</v>
      </c>
      <c r="W439" t="s">
        <v>944</v>
      </c>
      <c r="X439" t="s">
        <v>1176</v>
      </c>
      <c r="Y439">
        <v>0</v>
      </c>
      <c r="Z439">
        <v>0.53299230703993195</v>
      </c>
      <c r="AA439">
        <v>-0.19118912263749899</v>
      </c>
      <c r="AB439">
        <v>0.64015770772071501</v>
      </c>
      <c r="AC439">
        <v>-0.14289813300648499</v>
      </c>
    </row>
    <row r="440" spans="1:29" x14ac:dyDescent="0.2">
      <c r="A440">
        <v>439</v>
      </c>
      <c r="B440" t="s">
        <v>598</v>
      </c>
      <c r="C440" t="s">
        <v>207</v>
      </c>
      <c r="D440" t="s">
        <v>209</v>
      </c>
      <c r="E440">
        <v>-0.19738755602559399</v>
      </c>
      <c r="F440">
        <v>-0.85182907507955297</v>
      </c>
      <c r="G440">
        <v>-8.8176542897918403E-2</v>
      </c>
      <c r="H440">
        <v>-1</v>
      </c>
      <c r="I440">
        <v>-0.91182345710208201</v>
      </c>
      <c r="J440">
        <v>-0.65444151905395898</v>
      </c>
      <c r="K440">
        <v>-8.8176542897918403E-2</v>
      </c>
      <c r="L440">
        <v>-0.19738755602559399</v>
      </c>
      <c r="M440">
        <v>-0.76365253218163498</v>
      </c>
      <c r="N440">
        <v>-0.65444151905395898</v>
      </c>
      <c r="O440">
        <v>-0.91182345710208201</v>
      </c>
      <c r="P440">
        <v>-0.80261244397440601</v>
      </c>
      <c r="Q440" t="s">
        <v>1067</v>
      </c>
      <c r="R440" t="s">
        <v>1067</v>
      </c>
      <c r="S440" t="s">
        <v>1173</v>
      </c>
      <c r="T440" t="s">
        <v>1067</v>
      </c>
      <c r="U440" t="s">
        <v>1174</v>
      </c>
      <c r="V440">
        <v>1</v>
      </c>
      <c r="W440" t="s">
        <v>944</v>
      </c>
      <c r="X440" t="s">
        <v>1175</v>
      </c>
      <c r="Y440">
        <v>1</v>
      </c>
      <c r="Z440">
        <v>-0.479926533708595</v>
      </c>
      <c r="AA440">
        <v>-0.2721477732218</v>
      </c>
      <c r="AB440">
        <v>-0.332252716496173</v>
      </c>
      <c r="AC440">
        <v>-0.26793473575253501</v>
      </c>
    </row>
    <row r="441" spans="1:29" x14ac:dyDescent="0.2">
      <c r="A441">
        <v>440</v>
      </c>
      <c r="B441" t="s">
        <v>599</v>
      </c>
      <c r="C441" t="s">
        <v>207</v>
      </c>
      <c r="D441" t="s">
        <v>154</v>
      </c>
      <c r="E441">
        <v>0.92117969830056101</v>
      </c>
      <c r="F441">
        <v>0.60388455322819801</v>
      </c>
      <c r="G441">
        <v>0.69408447316883504</v>
      </c>
      <c r="H441">
        <v>0.60927754566055903</v>
      </c>
      <c r="I441">
        <v>-8.4806927508275995E-2</v>
      </c>
      <c r="J441">
        <v>-0.31729514507236301</v>
      </c>
      <c r="K441">
        <v>0.92117969830056101</v>
      </c>
      <c r="L441">
        <v>0.69408447316883504</v>
      </c>
      <c r="M441">
        <v>-0.31729514507236301</v>
      </c>
      <c r="N441">
        <v>-9.0199919940637002E-2</v>
      </c>
      <c r="O441">
        <v>-0.31190215264000198</v>
      </c>
      <c r="P441">
        <v>-8.4806927508275995E-2</v>
      </c>
      <c r="Q441" t="s">
        <v>1068</v>
      </c>
      <c r="R441" t="s">
        <v>1068</v>
      </c>
      <c r="S441" t="s">
        <v>1068</v>
      </c>
      <c r="T441" t="s">
        <v>1068</v>
      </c>
      <c r="U441" t="s">
        <v>1174</v>
      </c>
      <c r="V441">
        <v>1</v>
      </c>
      <c r="W441" t="s">
        <v>944</v>
      </c>
      <c r="X441" t="s">
        <v>1176</v>
      </c>
      <c r="Y441">
        <v>1</v>
      </c>
      <c r="Z441">
        <v>-0.53904602106158706</v>
      </c>
      <c r="AA441">
        <v>-0.27979839096659398</v>
      </c>
      <c r="AB441">
        <v>-0.38806838759157503</v>
      </c>
      <c r="AC441">
        <v>-0.27333723758234102</v>
      </c>
    </row>
    <row r="442" spans="1:29" x14ac:dyDescent="0.2">
      <c r="A442">
        <v>441</v>
      </c>
      <c r="B442" t="s">
        <v>600</v>
      </c>
      <c r="C442" t="s">
        <v>207</v>
      </c>
      <c r="D442" t="s">
        <v>156</v>
      </c>
      <c r="E442">
        <v>-0.19792788150743101</v>
      </c>
      <c r="F442">
        <v>0.164426545484778</v>
      </c>
      <c r="G442">
        <v>2.3032731794770901E-3</v>
      </c>
      <c r="H442">
        <v>-3.6873040594586001E-2</v>
      </c>
      <c r="I442">
        <v>-3.9176313774063103E-2</v>
      </c>
      <c r="J442">
        <v>0.36235442699220899</v>
      </c>
      <c r="K442">
        <v>2.3032731794770901E-3</v>
      </c>
      <c r="L442">
        <v>-0.19792788150743101</v>
      </c>
      <c r="M442">
        <v>0.16212327230530099</v>
      </c>
      <c r="N442">
        <v>0.36235442699220899</v>
      </c>
      <c r="O442">
        <v>-3.9176313774063103E-2</v>
      </c>
      <c r="P442">
        <v>0.161054840912845</v>
      </c>
      <c r="Q442" t="s">
        <v>1067</v>
      </c>
      <c r="R442" t="s">
        <v>1068</v>
      </c>
      <c r="S442" t="s">
        <v>1173</v>
      </c>
      <c r="T442" t="s">
        <v>1173</v>
      </c>
      <c r="U442" t="s">
        <v>944</v>
      </c>
      <c r="V442">
        <v>1</v>
      </c>
      <c r="W442" t="s">
        <v>944</v>
      </c>
      <c r="X442" t="s">
        <v>1175</v>
      </c>
      <c r="Y442">
        <v>1</v>
      </c>
      <c r="Z442">
        <v>-0.40802617463146301</v>
      </c>
      <c r="AA442">
        <v>-0.30458846342776003</v>
      </c>
      <c r="AB442">
        <v>-0.111389918512268</v>
      </c>
      <c r="AC442">
        <v>-0.238579587202845</v>
      </c>
    </row>
    <row r="443" spans="1:29" x14ac:dyDescent="0.2">
      <c r="A443">
        <v>442</v>
      </c>
      <c r="B443" t="s">
        <v>601</v>
      </c>
      <c r="C443" t="s">
        <v>207</v>
      </c>
      <c r="D443" t="s">
        <v>158</v>
      </c>
      <c r="E443">
        <v>-0.31554177163214397</v>
      </c>
      <c r="F443">
        <v>-1</v>
      </c>
      <c r="G443">
        <v>-8.0951636918546593E-2</v>
      </c>
      <c r="H443">
        <v>-1</v>
      </c>
      <c r="I443">
        <v>-0.91904836308145299</v>
      </c>
      <c r="J443">
        <v>-0.68445822836785597</v>
      </c>
      <c r="K443">
        <v>-8.0951636918546593E-2</v>
      </c>
      <c r="L443">
        <v>-0.31554177163214397</v>
      </c>
      <c r="M443">
        <v>-0.91904836308145299</v>
      </c>
      <c r="N443">
        <v>-0.68445822836785597</v>
      </c>
      <c r="O443">
        <v>-0.91904836308145299</v>
      </c>
      <c r="P443">
        <v>-0.68445822836785597</v>
      </c>
      <c r="Q443" t="s">
        <v>1067</v>
      </c>
      <c r="R443" t="s">
        <v>1067</v>
      </c>
      <c r="S443" t="s">
        <v>1173</v>
      </c>
      <c r="T443" t="s">
        <v>1067</v>
      </c>
      <c r="U443" t="s">
        <v>1174</v>
      </c>
      <c r="V443">
        <v>1</v>
      </c>
      <c r="W443" t="s">
        <v>944</v>
      </c>
      <c r="X443" t="s">
        <v>1175</v>
      </c>
      <c r="Y443">
        <v>1</v>
      </c>
      <c r="Z443">
        <v>-0.54516660765746705</v>
      </c>
      <c r="AA443">
        <v>-0.280979607731078</v>
      </c>
      <c r="AB443">
        <v>-0.39453551634984602</v>
      </c>
      <c r="AC443">
        <v>-0.27415245455724102</v>
      </c>
    </row>
    <row r="444" spans="1:29" x14ac:dyDescent="0.2">
      <c r="A444">
        <v>443</v>
      </c>
      <c r="B444" t="s">
        <v>602</v>
      </c>
      <c r="C444" t="s">
        <v>207</v>
      </c>
      <c r="D444" t="s">
        <v>214</v>
      </c>
      <c r="E444">
        <v>-0.311185350418969</v>
      </c>
      <c r="F444">
        <v>-1</v>
      </c>
      <c r="G444">
        <v>-8.6168532734754902E-2</v>
      </c>
      <c r="H444">
        <v>-1</v>
      </c>
      <c r="I444">
        <v>-0.913831467265245</v>
      </c>
      <c r="J444">
        <v>-0.688814649581031</v>
      </c>
      <c r="K444">
        <v>-8.6168532734754902E-2</v>
      </c>
      <c r="L444">
        <v>-0.311185350418969</v>
      </c>
      <c r="M444">
        <v>-0.913831467265245</v>
      </c>
      <c r="N444">
        <v>-0.688814649581031</v>
      </c>
      <c r="O444">
        <v>-0.913831467265245</v>
      </c>
      <c r="P444">
        <v>-0.688814649581031</v>
      </c>
      <c r="Q444" t="s">
        <v>1067</v>
      </c>
      <c r="R444" t="s">
        <v>1067</v>
      </c>
      <c r="S444" t="s">
        <v>1173</v>
      </c>
      <c r="T444" t="s">
        <v>1067</v>
      </c>
      <c r="U444" t="s">
        <v>1174</v>
      </c>
      <c r="V444">
        <v>1</v>
      </c>
      <c r="W444" t="s">
        <v>944</v>
      </c>
      <c r="X444" t="s">
        <v>1175</v>
      </c>
      <c r="Y444">
        <v>1</v>
      </c>
      <c r="Z444">
        <v>-0.54765369468185998</v>
      </c>
      <c r="AA444">
        <v>-0.28100616619913699</v>
      </c>
      <c r="AB444">
        <v>-0.39855811051492401</v>
      </c>
      <c r="AC444">
        <v>-0.27476461722662698</v>
      </c>
    </row>
    <row r="445" spans="1:29" x14ac:dyDescent="0.2">
      <c r="A445">
        <v>444</v>
      </c>
      <c r="B445" t="s">
        <v>603</v>
      </c>
      <c r="C445" t="s">
        <v>207</v>
      </c>
      <c r="D445" t="s">
        <v>160</v>
      </c>
      <c r="E445">
        <v>-0.18255188781312601</v>
      </c>
      <c r="F445">
        <v>-0.45422036261070398</v>
      </c>
      <c r="G445">
        <v>1.8087217499229201E-3</v>
      </c>
      <c r="H445">
        <v>-0.75315266942850301</v>
      </c>
      <c r="I445">
        <v>-0.75496139117842598</v>
      </c>
      <c r="J445">
        <v>-0.271668474797578</v>
      </c>
      <c r="K445">
        <v>1.8087217499229201E-3</v>
      </c>
      <c r="L445">
        <v>-0.18255188781312601</v>
      </c>
      <c r="M445">
        <v>-0.456029084360627</v>
      </c>
      <c r="N445">
        <v>-0.271668474797578</v>
      </c>
      <c r="O445">
        <v>-0.75496139117842598</v>
      </c>
      <c r="P445">
        <v>-0.57060078161537697</v>
      </c>
      <c r="Q445" t="s">
        <v>1067</v>
      </c>
      <c r="R445" t="s">
        <v>1067</v>
      </c>
      <c r="S445" t="s">
        <v>1173</v>
      </c>
      <c r="T445" t="s">
        <v>1067</v>
      </c>
      <c r="U445" t="s">
        <v>1174</v>
      </c>
      <c r="V445">
        <v>1</v>
      </c>
      <c r="W445" t="s">
        <v>944</v>
      </c>
      <c r="X445" t="s">
        <v>1175</v>
      </c>
      <c r="Y445">
        <v>1</v>
      </c>
      <c r="Z445">
        <v>-0.44675158158272099</v>
      </c>
      <c r="AA445">
        <v>-0.30904024307469102</v>
      </c>
      <c r="AB445">
        <v>-0.156262857503704</v>
      </c>
      <c r="AC445">
        <v>-0.24492669178564599</v>
      </c>
    </row>
    <row r="446" spans="1:29" x14ac:dyDescent="0.2">
      <c r="A446">
        <v>445</v>
      </c>
      <c r="B446" t="s">
        <v>604</v>
      </c>
      <c r="C446" t="s">
        <v>207</v>
      </c>
      <c r="D446" t="s">
        <v>162</v>
      </c>
      <c r="E446">
        <v>-3.5799685794865602E-2</v>
      </c>
      <c r="F446">
        <v>0.75528504119357398</v>
      </c>
      <c r="G446">
        <v>0.62851584755772605</v>
      </c>
      <c r="H446">
        <v>0.71060073488714004</v>
      </c>
      <c r="I446">
        <v>8.2084887329414005E-2</v>
      </c>
      <c r="J446">
        <v>0.79108472698844001</v>
      </c>
      <c r="K446">
        <v>0.62851584755772605</v>
      </c>
      <c r="L446">
        <v>-3.5799685794865602E-2</v>
      </c>
      <c r="M446">
        <v>0.12676919363584799</v>
      </c>
      <c r="N446">
        <v>0.79108472698844001</v>
      </c>
      <c r="O446">
        <v>8.2084887329414005E-2</v>
      </c>
      <c r="P446">
        <v>0.74640042068200596</v>
      </c>
      <c r="Q446" t="s">
        <v>1173</v>
      </c>
      <c r="R446" t="s">
        <v>1068</v>
      </c>
      <c r="S446" t="s">
        <v>1068</v>
      </c>
      <c r="T446" t="s">
        <v>1068</v>
      </c>
      <c r="U446" t="s">
        <v>944</v>
      </c>
      <c r="V446">
        <v>0</v>
      </c>
      <c r="W446" t="s">
        <v>944</v>
      </c>
      <c r="X446" t="s">
        <v>1175</v>
      </c>
      <c r="Y446">
        <v>1</v>
      </c>
      <c r="Z446">
        <v>-0.33700966765305201</v>
      </c>
      <c r="AA446">
        <v>-0.25440323423661398</v>
      </c>
      <c r="AB446">
        <v>-0.39096902247642001</v>
      </c>
      <c r="AC446">
        <v>-0.35496546468505702</v>
      </c>
    </row>
    <row r="447" spans="1:29" x14ac:dyDescent="0.2">
      <c r="A447">
        <v>446</v>
      </c>
      <c r="B447" t="s">
        <v>605</v>
      </c>
      <c r="C447" t="s">
        <v>207</v>
      </c>
      <c r="D447" t="s">
        <v>218</v>
      </c>
      <c r="E447">
        <v>0.86505920106397105</v>
      </c>
      <c r="F447">
        <v>0.74945405983354396</v>
      </c>
      <c r="G447">
        <v>0.73997015249379605</v>
      </c>
      <c r="H447">
        <v>0.73687745745356703</v>
      </c>
      <c r="I447">
        <v>-3.0926950402290201E-3</v>
      </c>
      <c r="J447">
        <v>-0.11560514123042701</v>
      </c>
      <c r="K447">
        <v>0.86505920106397105</v>
      </c>
      <c r="L447">
        <v>0.73997015249379605</v>
      </c>
      <c r="M447">
        <v>-0.11560514123042701</v>
      </c>
      <c r="N447">
        <v>9.4839073397479101E-3</v>
      </c>
      <c r="O447">
        <v>-0.12818174361040399</v>
      </c>
      <c r="P447">
        <v>-3.0926950402290201E-3</v>
      </c>
      <c r="Q447" t="s">
        <v>1068</v>
      </c>
      <c r="R447" t="s">
        <v>1068</v>
      </c>
      <c r="S447" t="s">
        <v>1068</v>
      </c>
      <c r="T447" t="s">
        <v>1068</v>
      </c>
      <c r="U447" t="s">
        <v>1174</v>
      </c>
      <c r="V447">
        <v>1</v>
      </c>
      <c r="W447" t="s">
        <v>944</v>
      </c>
      <c r="X447" t="s">
        <v>1175</v>
      </c>
      <c r="Y447">
        <v>1</v>
      </c>
      <c r="Z447">
        <v>-0.112508503750354</v>
      </c>
      <c r="AA447">
        <v>-0.21574095569000201</v>
      </c>
      <c r="AB447">
        <v>1.9203521644429501E-2</v>
      </c>
      <c r="AC447">
        <v>-0.22142209287871401</v>
      </c>
    </row>
    <row r="448" spans="1:29" x14ac:dyDescent="0.2">
      <c r="A448">
        <v>447</v>
      </c>
      <c r="B448" t="s">
        <v>606</v>
      </c>
      <c r="C448" t="s">
        <v>207</v>
      </c>
      <c r="D448" t="s">
        <v>220</v>
      </c>
      <c r="E448">
        <v>-3.5799685794865602E-2</v>
      </c>
      <c r="F448">
        <v>-0.14792398030097101</v>
      </c>
      <c r="G448">
        <v>-9.73962818428602E-2</v>
      </c>
      <c r="H448">
        <v>-0.37825842009475202</v>
      </c>
      <c r="I448">
        <v>-0.28086213825189199</v>
      </c>
      <c r="J448">
        <v>-0.112124294506105</v>
      </c>
      <c r="K448">
        <v>-3.5799685794865602E-2</v>
      </c>
      <c r="L448">
        <v>-9.73962818428602E-2</v>
      </c>
      <c r="M448">
        <v>-0.112124294506105</v>
      </c>
      <c r="N448">
        <v>-5.0527698458110802E-2</v>
      </c>
      <c r="O448">
        <v>-0.34245873429988599</v>
      </c>
      <c r="P448">
        <v>-0.28086213825189199</v>
      </c>
      <c r="Q448" t="s">
        <v>1173</v>
      </c>
      <c r="R448" t="s">
        <v>1067</v>
      </c>
      <c r="S448" t="s">
        <v>1173</v>
      </c>
      <c r="T448" t="s">
        <v>1067</v>
      </c>
      <c r="U448" t="s">
        <v>1174</v>
      </c>
      <c r="V448">
        <v>1</v>
      </c>
      <c r="W448" t="s">
        <v>1174</v>
      </c>
      <c r="X448" t="s">
        <v>1175</v>
      </c>
      <c r="Y448">
        <v>1</v>
      </c>
      <c r="Z448">
        <v>-0.32361053099981801</v>
      </c>
      <c r="AA448">
        <v>-0.24876887066804501</v>
      </c>
      <c r="AB448">
        <v>-0.39133007291918298</v>
      </c>
      <c r="AC448">
        <v>-0.355012671157522</v>
      </c>
    </row>
    <row r="449" spans="1:29" x14ac:dyDescent="0.2">
      <c r="A449">
        <v>448</v>
      </c>
      <c r="B449" t="s">
        <v>607</v>
      </c>
      <c r="C449" t="s">
        <v>207</v>
      </c>
      <c r="D449" t="s">
        <v>164</v>
      </c>
      <c r="E449">
        <v>-0.159500984504474</v>
      </c>
      <c r="F449">
        <v>0.52849550970618697</v>
      </c>
      <c r="G449">
        <v>-3.8032926897621E-2</v>
      </c>
      <c r="H449">
        <v>0.46494513573066198</v>
      </c>
      <c r="I449">
        <v>0.50297806262828304</v>
      </c>
      <c r="J449">
        <v>0.687996494210661</v>
      </c>
      <c r="K449">
        <v>-3.8032926897621E-2</v>
      </c>
      <c r="L449">
        <v>-0.159500984504474</v>
      </c>
      <c r="M449">
        <v>0.56652843660380803</v>
      </c>
      <c r="N449">
        <v>0.687996494210661</v>
      </c>
      <c r="O449">
        <v>0.50297806262828304</v>
      </c>
      <c r="P449">
        <v>0.62444612023513602</v>
      </c>
      <c r="Q449" t="s">
        <v>1067</v>
      </c>
      <c r="R449" t="s">
        <v>1068</v>
      </c>
      <c r="S449" t="s">
        <v>1173</v>
      </c>
      <c r="T449" t="s">
        <v>1068</v>
      </c>
      <c r="U449" t="s">
        <v>944</v>
      </c>
      <c r="V449">
        <v>0</v>
      </c>
      <c r="W449" t="s">
        <v>944</v>
      </c>
      <c r="X449" t="s">
        <v>1175</v>
      </c>
      <c r="Y449">
        <v>1</v>
      </c>
      <c r="Z449">
        <v>-0.21692546301716201</v>
      </c>
      <c r="AA449">
        <v>-0.270128703316102</v>
      </c>
      <c r="AB449">
        <v>4.3716332858460501E-2</v>
      </c>
      <c r="AC449">
        <v>-0.221768965276296</v>
      </c>
    </row>
    <row r="450" spans="1:29" x14ac:dyDescent="0.2">
      <c r="A450">
        <v>449</v>
      </c>
      <c r="B450" t="s">
        <v>608</v>
      </c>
      <c r="C450" t="s">
        <v>207</v>
      </c>
      <c r="D450" t="s">
        <v>166</v>
      </c>
      <c r="E450">
        <v>-3.5799685794865602E-2</v>
      </c>
      <c r="F450">
        <v>-7.4022388890270602E-2</v>
      </c>
      <c r="G450">
        <v>2.3458726256474099E-3</v>
      </c>
      <c r="H450">
        <v>-0.27623892642760201</v>
      </c>
      <c r="I450">
        <v>-0.27858479905324901</v>
      </c>
      <c r="J450">
        <v>-3.8222703095405E-2</v>
      </c>
      <c r="K450">
        <v>2.3458726256474099E-3</v>
      </c>
      <c r="L450">
        <v>-3.5799685794865602E-2</v>
      </c>
      <c r="M450">
        <v>-7.6368261515917996E-2</v>
      </c>
      <c r="N450">
        <v>-3.8222703095405E-2</v>
      </c>
      <c r="O450">
        <v>-0.27858479905324901</v>
      </c>
      <c r="P450">
        <v>-0.240439240632736</v>
      </c>
      <c r="Q450" t="s">
        <v>1173</v>
      </c>
      <c r="R450" t="s">
        <v>1173</v>
      </c>
      <c r="S450" t="s">
        <v>1173</v>
      </c>
      <c r="T450" t="s">
        <v>1067</v>
      </c>
      <c r="U450" t="s">
        <v>1174</v>
      </c>
      <c r="V450">
        <v>1</v>
      </c>
      <c r="W450" t="s">
        <v>1174</v>
      </c>
      <c r="X450" t="s">
        <v>1175</v>
      </c>
      <c r="Y450">
        <v>0</v>
      </c>
      <c r="Z450">
        <v>-0.24927562036949699</v>
      </c>
      <c r="AA450">
        <v>-0.28546435470571102</v>
      </c>
      <c r="AB450">
        <v>-0.16073095294523301</v>
      </c>
      <c r="AC450">
        <v>-0.324862393749906</v>
      </c>
    </row>
    <row r="451" spans="1:29" x14ac:dyDescent="0.2">
      <c r="A451">
        <v>450</v>
      </c>
      <c r="B451" t="s">
        <v>609</v>
      </c>
      <c r="C451" t="s">
        <v>207</v>
      </c>
      <c r="D451" t="s">
        <v>226</v>
      </c>
      <c r="E451">
        <v>-0.16137984111703599</v>
      </c>
      <c r="F451">
        <v>-1</v>
      </c>
      <c r="G451">
        <v>-6.6365908582180194E-2</v>
      </c>
      <c r="H451">
        <v>-1</v>
      </c>
      <c r="I451">
        <v>-0.93363409141781994</v>
      </c>
      <c r="J451">
        <v>-0.83862015888296404</v>
      </c>
      <c r="K451">
        <v>-6.6365908582180194E-2</v>
      </c>
      <c r="L451">
        <v>-0.16137984111703599</v>
      </c>
      <c r="M451">
        <v>-0.93363409141781994</v>
      </c>
      <c r="N451">
        <v>-0.83862015888296404</v>
      </c>
      <c r="O451">
        <v>-0.93363409141781994</v>
      </c>
      <c r="P451">
        <v>-0.83862015888296404</v>
      </c>
      <c r="Q451" t="s">
        <v>1067</v>
      </c>
      <c r="R451" t="s">
        <v>1067</v>
      </c>
      <c r="S451" t="s">
        <v>1173</v>
      </c>
      <c r="T451" t="s">
        <v>1067</v>
      </c>
      <c r="U451" t="s">
        <v>1174</v>
      </c>
      <c r="V451">
        <v>1</v>
      </c>
      <c r="W451" t="s">
        <v>944</v>
      </c>
      <c r="X451" t="s">
        <v>1175</v>
      </c>
      <c r="Y451">
        <v>1</v>
      </c>
      <c r="Z451">
        <v>-0.52636156929478195</v>
      </c>
      <c r="AA451">
        <v>-0.28056380884611698</v>
      </c>
      <c r="AB451">
        <v>-0.37831202874945202</v>
      </c>
      <c r="AC451">
        <v>-0.27657490580927402</v>
      </c>
    </row>
    <row r="452" spans="1:29" x14ac:dyDescent="0.2">
      <c r="A452">
        <v>451</v>
      </c>
      <c r="B452" t="s">
        <v>610</v>
      </c>
      <c r="C452" t="s">
        <v>207</v>
      </c>
      <c r="D452" t="s">
        <v>168</v>
      </c>
      <c r="E452">
        <v>0.22708096740072101</v>
      </c>
      <c r="F452">
        <v>-0.73082720597418405</v>
      </c>
      <c r="G452">
        <v>-6.0489353996921298E-2</v>
      </c>
      <c r="H452">
        <v>-0.93722521641142797</v>
      </c>
      <c r="I452">
        <v>-0.87673586241450696</v>
      </c>
      <c r="J452">
        <v>-0.95790817337490497</v>
      </c>
      <c r="K452">
        <v>0.22708096740072101</v>
      </c>
      <c r="L452">
        <v>-6.0489353996921298E-2</v>
      </c>
      <c r="M452">
        <v>-0.95790817337490497</v>
      </c>
      <c r="N452">
        <v>-0.67033785197726303</v>
      </c>
      <c r="O452">
        <v>-1.16430618381215</v>
      </c>
      <c r="P452">
        <v>-0.87673586241450696</v>
      </c>
      <c r="Q452" t="s">
        <v>1068</v>
      </c>
      <c r="R452" t="s">
        <v>1067</v>
      </c>
      <c r="S452" t="s">
        <v>1173</v>
      </c>
      <c r="T452" t="s">
        <v>1067</v>
      </c>
      <c r="U452" t="s">
        <v>1174</v>
      </c>
      <c r="V452">
        <v>1</v>
      </c>
      <c r="W452" t="s">
        <v>1174</v>
      </c>
      <c r="X452" t="s">
        <v>1175</v>
      </c>
      <c r="Y452">
        <v>1</v>
      </c>
      <c r="Z452">
        <v>-0.545866161257056</v>
      </c>
      <c r="AA452">
        <v>-0.28724438767808802</v>
      </c>
      <c r="AB452">
        <v>-0.38922261201474201</v>
      </c>
      <c r="AC452">
        <v>-0.279520016144015</v>
      </c>
    </row>
    <row r="453" spans="1:29" x14ac:dyDescent="0.2">
      <c r="A453">
        <v>452</v>
      </c>
      <c r="B453" t="s">
        <v>611</v>
      </c>
      <c r="C453" t="s">
        <v>209</v>
      </c>
      <c r="D453" t="s">
        <v>129</v>
      </c>
      <c r="E453">
        <v>0.67323226099099098</v>
      </c>
      <c r="F453">
        <v>-0.15873943073970001</v>
      </c>
      <c r="G453">
        <v>0.535757514507338</v>
      </c>
      <c r="H453">
        <v>-0.287125562687855</v>
      </c>
      <c r="I453">
        <v>-0.82288307719519305</v>
      </c>
      <c r="J453">
        <v>-0.83197169173069097</v>
      </c>
      <c r="K453">
        <v>0.67323226099099098</v>
      </c>
      <c r="L453">
        <v>0.535757514507338</v>
      </c>
      <c r="M453">
        <v>-0.83197169173069097</v>
      </c>
      <c r="N453">
        <v>-0.69449694524703798</v>
      </c>
      <c r="O453">
        <v>-0.96035782367884603</v>
      </c>
      <c r="P453">
        <v>-0.82288307719519305</v>
      </c>
      <c r="Q453" t="s">
        <v>1068</v>
      </c>
      <c r="R453" t="s">
        <v>1067</v>
      </c>
      <c r="S453" t="s">
        <v>1068</v>
      </c>
      <c r="T453" t="s">
        <v>1067</v>
      </c>
      <c r="U453" t="s">
        <v>1174</v>
      </c>
      <c r="V453">
        <v>1</v>
      </c>
      <c r="W453" t="s">
        <v>1174</v>
      </c>
      <c r="X453" t="s">
        <v>1175</v>
      </c>
      <c r="Y453">
        <v>1</v>
      </c>
      <c r="Z453">
        <v>-0.47569953940037002</v>
      </c>
      <c r="AA453">
        <v>-0.28245965188179101</v>
      </c>
      <c r="AB453">
        <v>-0.302914247815319</v>
      </c>
      <c r="AC453">
        <v>-0.26850539601489098</v>
      </c>
    </row>
    <row r="454" spans="1:29" x14ac:dyDescent="0.2">
      <c r="A454">
        <v>453</v>
      </c>
      <c r="B454" t="s">
        <v>612</v>
      </c>
      <c r="C454" t="s">
        <v>209</v>
      </c>
      <c r="D454" t="s">
        <v>130</v>
      </c>
      <c r="E454">
        <v>-1.4767017169943299E-2</v>
      </c>
      <c r="F454">
        <v>-0.58655291286195799</v>
      </c>
      <c r="G454">
        <v>-0.17427029188309401</v>
      </c>
      <c r="H454">
        <v>-0.93902205814000395</v>
      </c>
      <c r="I454">
        <v>-0.76475176625690999</v>
      </c>
      <c r="J454">
        <v>-0.57178589569201499</v>
      </c>
      <c r="K454">
        <v>-1.4767017169943299E-2</v>
      </c>
      <c r="L454">
        <v>-0.17427029188309401</v>
      </c>
      <c r="M454">
        <v>-0.57178589569201499</v>
      </c>
      <c r="N454">
        <v>-0.41228262097886398</v>
      </c>
      <c r="O454">
        <v>-0.92425504097006095</v>
      </c>
      <c r="P454">
        <v>-0.76475176625690999</v>
      </c>
      <c r="Q454" t="s">
        <v>1173</v>
      </c>
      <c r="R454" t="s">
        <v>1067</v>
      </c>
      <c r="S454" t="s">
        <v>1067</v>
      </c>
      <c r="T454" t="s">
        <v>1067</v>
      </c>
      <c r="U454" t="s">
        <v>1174</v>
      </c>
      <c r="V454">
        <v>1</v>
      </c>
      <c r="W454" t="s">
        <v>1174</v>
      </c>
      <c r="X454" t="s">
        <v>1175</v>
      </c>
      <c r="Y454">
        <v>1</v>
      </c>
      <c r="Z454">
        <v>-0.254701484177492</v>
      </c>
      <c r="AA454">
        <v>-0.21866235325653999</v>
      </c>
      <c r="AB454">
        <v>-0.40170041917491001</v>
      </c>
      <c r="AC454">
        <v>-0.35918425497833401</v>
      </c>
    </row>
    <row r="455" spans="1:29" x14ac:dyDescent="0.2">
      <c r="A455">
        <v>454</v>
      </c>
      <c r="B455" t="s">
        <v>613</v>
      </c>
      <c r="C455" t="s">
        <v>209</v>
      </c>
      <c r="D455" t="s">
        <v>132</v>
      </c>
      <c r="E455">
        <v>-0.128248613313661</v>
      </c>
      <c r="F455">
        <v>-0.83870855448928106</v>
      </c>
      <c r="G455">
        <v>-6.4814668000178197E-2</v>
      </c>
      <c r="H455">
        <v>-1</v>
      </c>
      <c r="I455">
        <v>-0.93518533199982201</v>
      </c>
      <c r="J455">
        <v>-0.71045994117561995</v>
      </c>
      <c r="K455">
        <v>-6.4814668000178197E-2</v>
      </c>
      <c r="L455">
        <v>-0.128248613313661</v>
      </c>
      <c r="M455">
        <v>-0.77389388648910296</v>
      </c>
      <c r="N455">
        <v>-0.71045994117561995</v>
      </c>
      <c r="O455">
        <v>-0.93518533199982201</v>
      </c>
      <c r="P455">
        <v>-0.871751386686339</v>
      </c>
      <c r="Q455" t="s">
        <v>1067</v>
      </c>
      <c r="R455" t="s">
        <v>1067</v>
      </c>
      <c r="S455" t="s">
        <v>1173</v>
      </c>
      <c r="T455" t="s">
        <v>1067</v>
      </c>
      <c r="U455" t="s">
        <v>1174</v>
      </c>
      <c r="V455">
        <v>1</v>
      </c>
      <c r="W455" t="s">
        <v>944</v>
      </c>
      <c r="X455" t="s">
        <v>1175</v>
      </c>
      <c r="Y455">
        <v>1</v>
      </c>
      <c r="Z455">
        <v>-0.524450410328275</v>
      </c>
      <c r="AA455">
        <v>-0.28840587446280802</v>
      </c>
      <c r="AB455">
        <v>-0.36020392332990803</v>
      </c>
      <c r="AC455">
        <v>-0.27790859899502501</v>
      </c>
    </row>
    <row r="456" spans="1:29" x14ac:dyDescent="0.2">
      <c r="A456">
        <v>455</v>
      </c>
      <c r="B456" t="s">
        <v>614</v>
      </c>
      <c r="C456" t="s">
        <v>209</v>
      </c>
      <c r="D456" t="s">
        <v>134</v>
      </c>
      <c r="E456">
        <v>5.4476519400522401E-2</v>
      </c>
      <c r="F456">
        <v>6.2000830308389897E-2</v>
      </c>
      <c r="G456">
        <v>2.9345850223337802E-3</v>
      </c>
      <c r="H456">
        <v>-4.32356728132283E-2</v>
      </c>
      <c r="I456">
        <v>-4.6170257835562098E-2</v>
      </c>
      <c r="J456">
        <v>7.5243109078675001E-3</v>
      </c>
      <c r="K456">
        <v>5.4476519400522401E-2</v>
      </c>
      <c r="L456">
        <v>2.9345850223337802E-3</v>
      </c>
      <c r="M456">
        <v>7.5243109078675001E-3</v>
      </c>
      <c r="N456">
        <v>5.9066245286056099E-2</v>
      </c>
      <c r="O456">
        <v>-9.7712192213750701E-2</v>
      </c>
      <c r="P456">
        <v>-4.6170257835562098E-2</v>
      </c>
      <c r="Q456" t="s">
        <v>1173</v>
      </c>
      <c r="R456" t="s">
        <v>1173</v>
      </c>
      <c r="S456" t="s">
        <v>1173</v>
      </c>
      <c r="T456" t="s">
        <v>1173</v>
      </c>
      <c r="U456" t="s">
        <v>944</v>
      </c>
      <c r="V456">
        <v>1</v>
      </c>
      <c r="W456" t="s">
        <v>944</v>
      </c>
      <c r="X456" t="s">
        <v>1175</v>
      </c>
      <c r="Y456">
        <v>0</v>
      </c>
      <c r="Z456">
        <v>-0.39130485810049997</v>
      </c>
      <c r="AA456">
        <v>-0.30810457046850298</v>
      </c>
      <c r="AB456">
        <v>-0.27906260738743699</v>
      </c>
      <c r="AC456">
        <v>-0.33510697378369902</v>
      </c>
    </row>
    <row r="457" spans="1:29" x14ac:dyDescent="0.2">
      <c r="A457">
        <v>456</v>
      </c>
      <c r="B457" t="s">
        <v>615</v>
      </c>
      <c r="C457" t="s">
        <v>209</v>
      </c>
      <c r="D457" t="s">
        <v>136</v>
      </c>
      <c r="E457">
        <v>-0.169523147028001</v>
      </c>
      <c r="F457">
        <v>-0.39185334717763598</v>
      </c>
      <c r="G457">
        <v>2.9345849516396998E-3</v>
      </c>
      <c r="H457">
        <v>-0.78945489504469801</v>
      </c>
      <c r="I457">
        <v>-0.79238947999633802</v>
      </c>
      <c r="J457">
        <v>-0.222330200149635</v>
      </c>
      <c r="K457">
        <v>2.9345849516396998E-3</v>
      </c>
      <c r="L457">
        <v>-0.169523147028001</v>
      </c>
      <c r="M457">
        <v>-0.39478793212927599</v>
      </c>
      <c r="N457">
        <v>-0.222330200149635</v>
      </c>
      <c r="O457">
        <v>-0.79238947999633802</v>
      </c>
      <c r="P457">
        <v>-0.61993174801669704</v>
      </c>
      <c r="Q457" t="s">
        <v>1067</v>
      </c>
      <c r="R457" t="s">
        <v>1067</v>
      </c>
      <c r="S457" t="s">
        <v>1173</v>
      </c>
      <c r="T457" t="s">
        <v>1067</v>
      </c>
      <c r="U457" t="s">
        <v>1174</v>
      </c>
      <c r="V457">
        <v>1</v>
      </c>
      <c r="W457" t="s">
        <v>944</v>
      </c>
      <c r="X457" t="s">
        <v>1175</v>
      </c>
      <c r="Y457">
        <v>1</v>
      </c>
      <c r="Z457">
        <v>-0.469995737227415</v>
      </c>
      <c r="AA457">
        <v>-0.31758737446545399</v>
      </c>
      <c r="AB457">
        <v>-0.16726098947877199</v>
      </c>
      <c r="AC457">
        <v>-0.24880155380395599</v>
      </c>
    </row>
    <row r="458" spans="1:29" x14ac:dyDescent="0.2">
      <c r="A458">
        <v>457</v>
      </c>
      <c r="B458" t="s">
        <v>616</v>
      </c>
      <c r="C458" t="s">
        <v>209</v>
      </c>
      <c r="D458" t="s">
        <v>138</v>
      </c>
      <c r="E458">
        <v>-0.11053755848787</v>
      </c>
      <c r="F458">
        <v>0.63028114405892399</v>
      </c>
      <c r="G458">
        <v>-0.11776850861113999</v>
      </c>
      <c r="H458">
        <v>0.59644718376389905</v>
      </c>
      <c r="I458">
        <v>0.71421569237503901</v>
      </c>
      <c r="J458">
        <v>0.74081870254679405</v>
      </c>
      <c r="K458">
        <v>-0.11053755848787</v>
      </c>
      <c r="L458">
        <v>-0.11776850861113999</v>
      </c>
      <c r="M458">
        <v>0.74081870254679405</v>
      </c>
      <c r="N458">
        <v>0.74804965267006396</v>
      </c>
      <c r="O458">
        <v>0.70698474225176899</v>
      </c>
      <c r="P458">
        <v>0.71421569237503901</v>
      </c>
      <c r="Q458" t="s">
        <v>1067</v>
      </c>
      <c r="R458" t="s">
        <v>1068</v>
      </c>
      <c r="S458" t="s">
        <v>1067</v>
      </c>
      <c r="T458" t="s">
        <v>1068</v>
      </c>
      <c r="U458" t="s">
        <v>944</v>
      </c>
      <c r="V458">
        <v>0</v>
      </c>
      <c r="W458" t="s">
        <v>944</v>
      </c>
      <c r="X458" t="s">
        <v>1175</v>
      </c>
      <c r="Y458">
        <v>1</v>
      </c>
      <c r="Z458">
        <v>0.38053707047688801</v>
      </c>
      <c r="AA458">
        <v>-0.157064033572512</v>
      </c>
      <c r="AB458">
        <v>0.48501850169306099</v>
      </c>
      <c r="AC458">
        <v>-0.169695023062538</v>
      </c>
    </row>
    <row r="459" spans="1:29" x14ac:dyDescent="0.2">
      <c r="A459">
        <v>458</v>
      </c>
      <c r="B459" t="s">
        <v>617</v>
      </c>
      <c r="C459" t="s">
        <v>209</v>
      </c>
      <c r="D459" t="s">
        <v>182</v>
      </c>
      <c r="E459">
        <v>-0.12761161433805099</v>
      </c>
      <c r="F459">
        <v>0.72152760006927796</v>
      </c>
      <c r="G459">
        <v>-6.70748291319508E-2</v>
      </c>
      <c r="H459">
        <v>0.71234318627147097</v>
      </c>
      <c r="I459">
        <v>0.77941801540342204</v>
      </c>
      <c r="J459">
        <v>0.84913921440732898</v>
      </c>
      <c r="K459">
        <v>-6.70748291319508E-2</v>
      </c>
      <c r="L459">
        <v>-0.12761161433805099</v>
      </c>
      <c r="M459">
        <v>0.78860242920122903</v>
      </c>
      <c r="N459">
        <v>0.84913921440732898</v>
      </c>
      <c r="O459">
        <v>0.77941801540342204</v>
      </c>
      <c r="P459">
        <v>0.83995480060952199</v>
      </c>
      <c r="Q459" t="s">
        <v>1067</v>
      </c>
      <c r="R459" t="s">
        <v>1068</v>
      </c>
      <c r="S459" t="s">
        <v>1173</v>
      </c>
      <c r="T459" t="s">
        <v>1068</v>
      </c>
      <c r="U459" t="s">
        <v>944</v>
      </c>
      <c r="V459">
        <v>0</v>
      </c>
      <c r="W459" t="s">
        <v>944</v>
      </c>
      <c r="X459" t="s">
        <v>1175</v>
      </c>
      <c r="Y459">
        <v>1</v>
      </c>
      <c r="Z459">
        <v>0.348490408186727</v>
      </c>
      <c r="AA459">
        <v>-0.182355507653511</v>
      </c>
      <c r="AB459">
        <v>0.47264185459747299</v>
      </c>
      <c r="AC459">
        <v>-0.16925058122537701</v>
      </c>
    </row>
    <row r="460" spans="1:29" x14ac:dyDescent="0.2">
      <c r="A460">
        <v>459</v>
      </c>
      <c r="B460" t="s">
        <v>618</v>
      </c>
      <c r="C460" t="s">
        <v>209</v>
      </c>
      <c r="D460" t="s">
        <v>188</v>
      </c>
      <c r="E460">
        <v>-0.13719852691091</v>
      </c>
      <c r="F460">
        <v>0.72127338507976702</v>
      </c>
      <c r="G460">
        <v>-8.9702255826464503E-2</v>
      </c>
      <c r="H460">
        <v>0.71065983581520997</v>
      </c>
      <c r="I460">
        <v>0.80036209164167404</v>
      </c>
      <c r="J460">
        <v>0.85847191199067696</v>
      </c>
      <c r="K460">
        <v>-8.9702255826464503E-2</v>
      </c>
      <c r="L460">
        <v>-0.13719852691091</v>
      </c>
      <c r="M460">
        <v>0.81097564090623198</v>
      </c>
      <c r="N460">
        <v>0.85847191199067696</v>
      </c>
      <c r="O460">
        <v>0.80036209164167404</v>
      </c>
      <c r="P460">
        <v>0.84785836272612003</v>
      </c>
      <c r="Q460" t="s">
        <v>1067</v>
      </c>
      <c r="R460" t="s">
        <v>1068</v>
      </c>
      <c r="S460" t="s">
        <v>1173</v>
      </c>
      <c r="T460" t="s">
        <v>1068</v>
      </c>
      <c r="U460" t="s">
        <v>944</v>
      </c>
      <c r="V460">
        <v>0</v>
      </c>
      <c r="W460" t="s">
        <v>944</v>
      </c>
      <c r="X460" t="s">
        <v>1175</v>
      </c>
      <c r="Y460">
        <v>1</v>
      </c>
      <c r="Z460">
        <v>0.38638445294624302</v>
      </c>
      <c r="AA460">
        <v>-0.17092586499649701</v>
      </c>
      <c r="AB460">
        <v>0.50767186968281897</v>
      </c>
      <c r="AC460">
        <v>-0.164596159536891</v>
      </c>
    </row>
    <row r="461" spans="1:29" x14ac:dyDescent="0.2">
      <c r="A461">
        <v>460</v>
      </c>
      <c r="B461" t="s">
        <v>1183</v>
      </c>
      <c r="C461" t="s">
        <v>209</v>
      </c>
      <c r="D461" t="s">
        <v>140</v>
      </c>
      <c r="E461">
        <v>0.997930470358104</v>
      </c>
      <c r="F461">
        <v>0.936698585928598</v>
      </c>
      <c r="G461">
        <v>0.83198781474884798</v>
      </c>
      <c r="H461">
        <v>-0.92031637966653801</v>
      </c>
      <c r="I461">
        <v>-1.7523041944153901</v>
      </c>
      <c r="J461">
        <v>-6.1231884429506001E-2</v>
      </c>
      <c r="K461">
        <v>0.997930470358104</v>
      </c>
      <c r="L461">
        <v>0.83198781474884798</v>
      </c>
      <c r="M461">
        <v>-6.1231884429506001E-2</v>
      </c>
      <c r="N461">
        <v>0.10471077117975</v>
      </c>
      <c r="O461">
        <v>-1.9182468500246399</v>
      </c>
      <c r="P461">
        <v>-1.7523041944153901</v>
      </c>
      <c r="Q461" t="s">
        <v>1068</v>
      </c>
      <c r="R461" t="s">
        <v>1068</v>
      </c>
      <c r="S461" t="s">
        <v>1068</v>
      </c>
      <c r="T461" t="s">
        <v>1067</v>
      </c>
      <c r="U461" t="s">
        <v>1174</v>
      </c>
      <c r="V461">
        <v>1</v>
      </c>
      <c r="W461" t="s">
        <v>944</v>
      </c>
      <c r="X461" t="s">
        <v>1176</v>
      </c>
      <c r="Y461">
        <v>0</v>
      </c>
      <c r="Z461">
        <v>-0.45743166454955703</v>
      </c>
      <c r="AA461">
        <v>-0.25285566291390199</v>
      </c>
      <c r="AB461">
        <v>-0.37459647984637401</v>
      </c>
      <c r="AC461">
        <v>-0.276225739042124</v>
      </c>
    </row>
    <row r="462" spans="1:29" x14ac:dyDescent="0.2">
      <c r="A462">
        <v>461</v>
      </c>
      <c r="B462" t="s">
        <v>1184</v>
      </c>
      <c r="C462" t="s">
        <v>209</v>
      </c>
      <c r="D462" t="s">
        <v>191</v>
      </c>
      <c r="E462">
        <v>0.99823776649469398</v>
      </c>
      <c r="F462">
        <v>0.934369162249018</v>
      </c>
      <c r="G462">
        <v>0.86885890630389695</v>
      </c>
      <c r="H462">
        <v>-1</v>
      </c>
      <c r="I462">
        <v>-1.8688589063039001</v>
      </c>
      <c r="J462">
        <v>-6.3868604245676003E-2</v>
      </c>
      <c r="K462">
        <v>0.99823776649469398</v>
      </c>
      <c r="L462">
        <v>0.86885890630389695</v>
      </c>
      <c r="M462">
        <v>-6.3868604245676003E-2</v>
      </c>
      <c r="N462">
        <v>6.5510255945120999E-2</v>
      </c>
      <c r="O462">
        <v>-1.99823776649469</v>
      </c>
      <c r="P462">
        <v>-1.8688589063039001</v>
      </c>
      <c r="Q462" t="s">
        <v>1068</v>
      </c>
      <c r="R462" t="s">
        <v>1068</v>
      </c>
      <c r="S462" t="s">
        <v>1068</v>
      </c>
      <c r="T462" t="s">
        <v>1067</v>
      </c>
      <c r="U462" t="s">
        <v>1174</v>
      </c>
      <c r="V462">
        <v>1</v>
      </c>
      <c r="W462" t="s">
        <v>944</v>
      </c>
      <c r="X462" t="s">
        <v>1176</v>
      </c>
      <c r="Y462">
        <v>0</v>
      </c>
      <c r="Z462">
        <v>-0.45700423026563602</v>
      </c>
      <c r="AA462">
        <v>-0.248165660253473</v>
      </c>
      <c r="AB462">
        <v>-0.39213067402122898</v>
      </c>
      <c r="AC462">
        <v>-0.27918910178295098</v>
      </c>
    </row>
    <row r="463" spans="1:29" x14ac:dyDescent="0.2">
      <c r="A463">
        <v>462</v>
      </c>
      <c r="B463" t="s">
        <v>1185</v>
      </c>
      <c r="C463" t="s">
        <v>209</v>
      </c>
      <c r="D463" t="s">
        <v>193</v>
      </c>
      <c r="E463">
        <v>0.99909470007950496</v>
      </c>
      <c r="F463">
        <v>0.95932860408044995</v>
      </c>
      <c r="G463">
        <v>0.92459044072257002</v>
      </c>
      <c r="H463">
        <v>-1</v>
      </c>
      <c r="I463">
        <v>-1.92459044072257</v>
      </c>
      <c r="J463">
        <v>-3.9766095999055E-2</v>
      </c>
      <c r="K463">
        <v>0.99909470007950496</v>
      </c>
      <c r="L463">
        <v>0.92459044072257002</v>
      </c>
      <c r="M463">
        <v>-3.9766095999055E-2</v>
      </c>
      <c r="N463">
        <v>3.4738163357879902E-2</v>
      </c>
      <c r="O463">
        <v>-1.9990947000795001</v>
      </c>
      <c r="P463">
        <v>-1.92459044072257</v>
      </c>
      <c r="Q463" t="s">
        <v>1068</v>
      </c>
      <c r="R463" t="s">
        <v>1068</v>
      </c>
      <c r="S463" t="s">
        <v>1068</v>
      </c>
      <c r="T463" t="s">
        <v>1067</v>
      </c>
      <c r="U463" t="s">
        <v>1174</v>
      </c>
      <c r="V463">
        <v>1</v>
      </c>
      <c r="W463" t="s">
        <v>944</v>
      </c>
      <c r="X463" t="s">
        <v>1176</v>
      </c>
      <c r="Y463">
        <v>0</v>
      </c>
      <c r="Z463">
        <v>-0.45810293096873</v>
      </c>
      <c r="AA463">
        <v>-0.24499739489292799</v>
      </c>
      <c r="AB463">
        <v>-0.39884060274262001</v>
      </c>
      <c r="AC463">
        <v>-0.27707021555957001</v>
      </c>
    </row>
    <row r="464" spans="1:29" x14ac:dyDescent="0.2">
      <c r="A464">
        <v>463</v>
      </c>
      <c r="B464" t="s">
        <v>619</v>
      </c>
      <c r="C464" t="s">
        <v>209</v>
      </c>
      <c r="D464" t="s">
        <v>142</v>
      </c>
      <c r="E464">
        <v>-0.145757644540117</v>
      </c>
      <c r="F464">
        <v>0.71616332479181199</v>
      </c>
      <c r="G464">
        <v>2.9345850223337802E-3</v>
      </c>
      <c r="H464">
        <v>0.73584463613472095</v>
      </c>
      <c r="I464">
        <v>0.73291005111238705</v>
      </c>
      <c r="J464">
        <v>0.86192096933192897</v>
      </c>
      <c r="K464">
        <v>2.9345850223337802E-3</v>
      </c>
      <c r="L464">
        <v>-0.145757644540117</v>
      </c>
      <c r="M464">
        <v>0.71322873976947798</v>
      </c>
      <c r="N464">
        <v>0.86192096933192897</v>
      </c>
      <c r="O464">
        <v>0.73291005111238705</v>
      </c>
      <c r="P464">
        <v>0.88160228067483803</v>
      </c>
      <c r="Q464" t="s">
        <v>1067</v>
      </c>
      <c r="R464" t="s">
        <v>1068</v>
      </c>
      <c r="S464" t="s">
        <v>1173</v>
      </c>
      <c r="T464" t="s">
        <v>1068</v>
      </c>
      <c r="U464" t="s">
        <v>944</v>
      </c>
      <c r="V464">
        <v>0</v>
      </c>
      <c r="W464" t="s">
        <v>944</v>
      </c>
      <c r="X464" t="s">
        <v>1175</v>
      </c>
      <c r="Y464">
        <v>1</v>
      </c>
      <c r="Z464">
        <v>0.51205969083075897</v>
      </c>
      <c r="AA464">
        <v>-0.19924279321610899</v>
      </c>
      <c r="AB464">
        <v>0.62959694843080805</v>
      </c>
      <c r="AC464">
        <v>-0.14708262183048701</v>
      </c>
    </row>
    <row r="465" spans="1:29" x14ac:dyDescent="0.2">
      <c r="A465">
        <v>464</v>
      </c>
      <c r="B465" t="s">
        <v>620</v>
      </c>
      <c r="C465" t="s">
        <v>209</v>
      </c>
      <c r="D465" t="s">
        <v>144</v>
      </c>
      <c r="E465">
        <v>-1.45834930393762E-2</v>
      </c>
      <c r="F465">
        <v>0.31142820707427299</v>
      </c>
      <c r="G465">
        <v>3.03545147092575E-3</v>
      </c>
      <c r="H465">
        <v>0.234878222131336</v>
      </c>
      <c r="I465">
        <v>0.23184277066041001</v>
      </c>
      <c r="J465">
        <v>0.32601170011364899</v>
      </c>
      <c r="K465">
        <v>3.03545147092575E-3</v>
      </c>
      <c r="L465">
        <v>-1.45834930393762E-2</v>
      </c>
      <c r="M465">
        <v>0.308392755603347</v>
      </c>
      <c r="N465">
        <v>0.32601170011364899</v>
      </c>
      <c r="O465">
        <v>0.23184277066041001</v>
      </c>
      <c r="P465">
        <v>0.249461715170712</v>
      </c>
      <c r="Q465" t="s">
        <v>1173</v>
      </c>
      <c r="R465" t="s">
        <v>1068</v>
      </c>
      <c r="S465" t="s">
        <v>1173</v>
      </c>
      <c r="T465" t="s">
        <v>1068</v>
      </c>
      <c r="U465" t="s">
        <v>944</v>
      </c>
      <c r="V465">
        <v>0</v>
      </c>
      <c r="W465" t="s">
        <v>944</v>
      </c>
      <c r="X465" t="s">
        <v>1175</v>
      </c>
      <c r="Y465">
        <v>1</v>
      </c>
      <c r="Z465">
        <v>-0.31524600395050001</v>
      </c>
      <c r="AA465">
        <v>-0.29892763715191101</v>
      </c>
      <c r="AB465">
        <v>-0.21796903683433599</v>
      </c>
      <c r="AC465">
        <v>-0.33518933191858602</v>
      </c>
    </row>
    <row r="466" spans="1:29" x14ac:dyDescent="0.2">
      <c r="A466">
        <v>465</v>
      </c>
      <c r="B466" t="s">
        <v>621</v>
      </c>
      <c r="C466" t="s">
        <v>209</v>
      </c>
      <c r="D466" t="s">
        <v>146</v>
      </c>
      <c r="E466">
        <v>-1.57676695748722E-2</v>
      </c>
      <c r="F466">
        <v>-0.58299696772455101</v>
      </c>
      <c r="G466">
        <v>-0.146495865404912</v>
      </c>
      <c r="H466">
        <v>-0.93477302239748905</v>
      </c>
      <c r="I466">
        <v>-0.78827715699257705</v>
      </c>
      <c r="J466">
        <v>-0.56722929814967904</v>
      </c>
      <c r="K466">
        <v>-1.57676695748722E-2</v>
      </c>
      <c r="L466">
        <v>-0.146495865404912</v>
      </c>
      <c r="M466">
        <v>-0.56722929814967904</v>
      </c>
      <c r="N466">
        <v>-0.43650110231963901</v>
      </c>
      <c r="O466">
        <v>-0.91900535282261697</v>
      </c>
      <c r="P466">
        <v>-0.78827715699257705</v>
      </c>
      <c r="Q466" t="s">
        <v>1173</v>
      </c>
      <c r="R466" t="s">
        <v>1067</v>
      </c>
      <c r="S466" t="s">
        <v>1067</v>
      </c>
      <c r="T466" t="s">
        <v>1067</v>
      </c>
      <c r="U466" t="s">
        <v>1174</v>
      </c>
      <c r="V466">
        <v>1</v>
      </c>
      <c r="W466" t="s">
        <v>1174</v>
      </c>
      <c r="X466" t="s">
        <v>1175</v>
      </c>
      <c r="Y466">
        <v>1</v>
      </c>
      <c r="Z466">
        <v>-0.28823971223908901</v>
      </c>
      <c r="AA466">
        <v>-0.23321931471857099</v>
      </c>
      <c r="AB466">
        <v>-0.39956483214698302</v>
      </c>
      <c r="AC466">
        <v>-0.35867645665386999</v>
      </c>
    </row>
    <row r="467" spans="1:29" x14ac:dyDescent="0.2">
      <c r="A467">
        <v>466</v>
      </c>
      <c r="B467" t="s">
        <v>622</v>
      </c>
      <c r="C467" t="s">
        <v>209</v>
      </c>
      <c r="D467" t="s">
        <v>200</v>
      </c>
      <c r="E467">
        <v>-0.18932910689813801</v>
      </c>
      <c r="F467">
        <v>0.32380915384834602</v>
      </c>
      <c r="G467">
        <v>-4.9929771498339201E-2</v>
      </c>
      <c r="H467">
        <v>0.223367705116016</v>
      </c>
      <c r="I467">
        <v>0.27329747661435499</v>
      </c>
      <c r="J467">
        <v>0.51313826074648405</v>
      </c>
      <c r="K467">
        <v>-4.9929771498339201E-2</v>
      </c>
      <c r="L467">
        <v>-0.18932910689813801</v>
      </c>
      <c r="M467">
        <v>0.37373892534668501</v>
      </c>
      <c r="N467">
        <v>0.51313826074648405</v>
      </c>
      <c r="O467">
        <v>0.27329747661435499</v>
      </c>
      <c r="P467">
        <v>0.41269681201415398</v>
      </c>
      <c r="Q467" t="s">
        <v>1067</v>
      </c>
      <c r="R467" t="s">
        <v>1068</v>
      </c>
      <c r="S467" t="s">
        <v>1173</v>
      </c>
      <c r="T467" t="s">
        <v>1068</v>
      </c>
      <c r="U467" t="s">
        <v>944</v>
      </c>
      <c r="V467">
        <v>0</v>
      </c>
      <c r="W467" t="s">
        <v>944</v>
      </c>
      <c r="X467" t="s">
        <v>1175</v>
      </c>
      <c r="Y467">
        <v>1</v>
      </c>
      <c r="Z467">
        <v>-0.29040578047403398</v>
      </c>
      <c r="AA467">
        <v>-0.26192794016075499</v>
      </c>
      <c r="AB467">
        <v>-9.67219647351205E-2</v>
      </c>
      <c r="AC467">
        <v>-0.24299509915038101</v>
      </c>
    </row>
    <row r="468" spans="1:29" x14ac:dyDescent="0.2">
      <c r="A468">
        <v>467</v>
      </c>
      <c r="B468" t="s">
        <v>623</v>
      </c>
      <c r="C468" t="s">
        <v>209</v>
      </c>
      <c r="D468" t="s">
        <v>148</v>
      </c>
      <c r="E468">
        <v>-0.426528414631201</v>
      </c>
      <c r="F468">
        <v>-0.85416882636171998</v>
      </c>
      <c r="G468">
        <v>2.9771575128831902E-3</v>
      </c>
      <c r="H468">
        <v>-1</v>
      </c>
      <c r="I468">
        <v>-1.0029771575128801</v>
      </c>
      <c r="J468">
        <v>-0.42764041173051898</v>
      </c>
      <c r="K468">
        <v>2.9771575128831902E-3</v>
      </c>
      <c r="L468">
        <v>-0.426528414631201</v>
      </c>
      <c r="M468">
        <v>-0.85714598387460295</v>
      </c>
      <c r="N468">
        <v>-0.42764041173051898</v>
      </c>
      <c r="O468">
        <v>-1.0029771575128801</v>
      </c>
      <c r="P468">
        <v>-0.57347158536879905</v>
      </c>
      <c r="Q468" t="s">
        <v>1067</v>
      </c>
      <c r="R468" t="s">
        <v>1067</v>
      </c>
      <c r="S468" t="s">
        <v>1173</v>
      </c>
      <c r="T468" t="s">
        <v>1067</v>
      </c>
      <c r="U468" t="s">
        <v>1174</v>
      </c>
      <c r="V468">
        <v>1</v>
      </c>
      <c r="W468" t="s">
        <v>944</v>
      </c>
      <c r="X468" t="s">
        <v>1175</v>
      </c>
      <c r="Y468">
        <v>1</v>
      </c>
      <c r="Z468">
        <v>-0.64756299242884396</v>
      </c>
      <c r="AA468">
        <v>-0.33899192552215202</v>
      </c>
      <c r="AB468">
        <v>-0.35886125100410798</v>
      </c>
      <c r="AC468">
        <v>-0.27560789088226501</v>
      </c>
    </row>
    <row r="469" spans="1:29" x14ac:dyDescent="0.2">
      <c r="A469">
        <v>468</v>
      </c>
      <c r="B469" t="s">
        <v>624</v>
      </c>
      <c r="C469" t="s">
        <v>209</v>
      </c>
      <c r="D469" t="s">
        <v>150</v>
      </c>
      <c r="E469">
        <v>-1.46582814695856E-2</v>
      </c>
      <c r="F469">
        <v>-0.59072129172717902</v>
      </c>
      <c r="G469">
        <v>-5.8739545355279497E-2</v>
      </c>
      <c r="H469">
        <v>-0.94612649278311201</v>
      </c>
      <c r="I469">
        <v>-0.88738694742783297</v>
      </c>
      <c r="J469">
        <v>-0.57606301025759299</v>
      </c>
      <c r="K469">
        <v>-1.46582814695856E-2</v>
      </c>
      <c r="L469">
        <v>-5.8739545355279497E-2</v>
      </c>
      <c r="M469">
        <v>-0.57606301025759299</v>
      </c>
      <c r="N469">
        <v>-0.53198174637189999</v>
      </c>
      <c r="O469">
        <v>-0.93146821131352597</v>
      </c>
      <c r="P469">
        <v>-0.88738694742783297</v>
      </c>
      <c r="Q469" t="s">
        <v>1173</v>
      </c>
      <c r="R469" t="s">
        <v>1067</v>
      </c>
      <c r="S469" t="s">
        <v>1173</v>
      </c>
      <c r="T469" t="s">
        <v>1067</v>
      </c>
      <c r="U469" t="s">
        <v>1174</v>
      </c>
      <c r="V469">
        <v>1</v>
      </c>
      <c r="W469" t="s">
        <v>1174</v>
      </c>
      <c r="X469" t="s">
        <v>1175</v>
      </c>
      <c r="Y469">
        <v>1</v>
      </c>
      <c r="Z469">
        <v>-0.37721324411525597</v>
      </c>
      <c r="AA469">
        <v>-0.27013216738671603</v>
      </c>
      <c r="AB469">
        <v>-0.40261241602527997</v>
      </c>
      <c r="AC469">
        <v>-0.35933100732790801</v>
      </c>
    </row>
    <row r="470" spans="1:29" x14ac:dyDescent="0.2">
      <c r="A470">
        <v>469</v>
      </c>
      <c r="B470" t="s">
        <v>625</v>
      </c>
      <c r="C470" t="s">
        <v>209</v>
      </c>
      <c r="D470" t="s">
        <v>204</v>
      </c>
      <c r="E470">
        <v>-0.31839749534101103</v>
      </c>
      <c r="F470">
        <v>-1</v>
      </c>
      <c r="G470">
        <v>-6.7632217285374205E-2</v>
      </c>
      <c r="H470">
        <v>-1</v>
      </c>
      <c r="I470">
        <v>-0.93236778271462595</v>
      </c>
      <c r="J470">
        <v>-0.68160250465898897</v>
      </c>
      <c r="K470">
        <v>-6.7632217285374205E-2</v>
      </c>
      <c r="L470">
        <v>-0.31839749534101103</v>
      </c>
      <c r="M470">
        <v>-0.93236778271462595</v>
      </c>
      <c r="N470">
        <v>-0.68160250465898897</v>
      </c>
      <c r="O470">
        <v>-0.93236778271462595</v>
      </c>
      <c r="P470">
        <v>-0.68160250465898897</v>
      </c>
      <c r="Q470" t="s">
        <v>1067</v>
      </c>
      <c r="R470" t="s">
        <v>1067</v>
      </c>
      <c r="S470" t="s">
        <v>1173</v>
      </c>
      <c r="T470" t="s">
        <v>1067</v>
      </c>
      <c r="U470" t="s">
        <v>1174</v>
      </c>
      <c r="V470">
        <v>1</v>
      </c>
      <c r="W470" t="s">
        <v>944</v>
      </c>
      <c r="X470" t="s">
        <v>1175</v>
      </c>
      <c r="Y470">
        <v>1</v>
      </c>
      <c r="Z470">
        <v>-0.557005485272416</v>
      </c>
      <c r="AA470">
        <v>-0.28749377584001501</v>
      </c>
      <c r="AB470">
        <v>-0.39561430749634002</v>
      </c>
      <c r="AC470">
        <v>-0.27723288656744999</v>
      </c>
    </row>
    <row r="471" spans="1:29" x14ac:dyDescent="0.2">
      <c r="A471">
        <v>470</v>
      </c>
      <c r="B471" t="s">
        <v>626</v>
      </c>
      <c r="C471" t="s">
        <v>209</v>
      </c>
      <c r="D471" t="s">
        <v>152</v>
      </c>
      <c r="E471">
        <v>-0.145682693156651</v>
      </c>
      <c r="F471">
        <v>0.71742910131614801</v>
      </c>
      <c r="G471">
        <v>2.9345850223337802E-3</v>
      </c>
      <c r="H471">
        <v>0.73690184146538695</v>
      </c>
      <c r="I471">
        <v>0.73396725644305305</v>
      </c>
      <c r="J471">
        <v>0.86311179447279895</v>
      </c>
      <c r="K471">
        <v>2.9345850223337802E-3</v>
      </c>
      <c r="L471">
        <v>-0.145682693156651</v>
      </c>
      <c r="M471">
        <v>0.714494516293814</v>
      </c>
      <c r="N471">
        <v>0.86311179447279895</v>
      </c>
      <c r="O471">
        <v>0.73396725644305305</v>
      </c>
      <c r="P471">
        <v>0.88258453462203801</v>
      </c>
      <c r="Q471" t="s">
        <v>1067</v>
      </c>
      <c r="R471" t="s">
        <v>1068</v>
      </c>
      <c r="S471" t="s">
        <v>1173</v>
      </c>
      <c r="T471" t="s">
        <v>1068</v>
      </c>
      <c r="U471" t="s">
        <v>944</v>
      </c>
      <c r="V471">
        <v>0</v>
      </c>
      <c r="W471" t="s">
        <v>944</v>
      </c>
      <c r="X471" t="s">
        <v>1175</v>
      </c>
      <c r="Y471">
        <v>1</v>
      </c>
      <c r="Z471">
        <v>0.51218693600769405</v>
      </c>
      <c r="AA471">
        <v>-0.199227459277973</v>
      </c>
      <c r="AB471">
        <v>0.62990687993166805</v>
      </c>
      <c r="AC471">
        <v>-0.147081601043104</v>
      </c>
    </row>
    <row r="472" spans="1:29" x14ac:dyDescent="0.2">
      <c r="A472">
        <v>471</v>
      </c>
      <c r="B472" t="s">
        <v>627</v>
      </c>
      <c r="C472" t="s">
        <v>209</v>
      </c>
      <c r="D472" t="s">
        <v>154</v>
      </c>
      <c r="E472">
        <v>-0.31847345354513501</v>
      </c>
      <c r="F472">
        <v>-1</v>
      </c>
      <c r="G472">
        <v>-6.7632217355871493E-2</v>
      </c>
      <c r="H472">
        <v>-1</v>
      </c>
      <c r="I472">
        <v>-0.93236778264412901</v>
      </c>
      <c r="J472">
        <v>-0.68152654645486499</v>
      </c>
      <c r="K472">
        <v>-6.7632217355871493E-2</v>
      </c>
      <c r="L472">
        <v>-0.31847345354513501</v>
      </c>
      <c r="M472">
        <v>-0.93236778264412901</v>
      </c>
      <c r="N472">
        <v>-0.68152654645486499</v>
      </c>
      <c r="O472">
        <v>-0.93236778264412901</v>
      </c>
      <c r="P472">
        <v>-0.68152654645486499</v>
      </c>
      <c r="Q472" t="s">
        <v>1067</v>
      </c>
      <c r="R472" t="s">
        <v>1067</v>
      </c>
      <c r="S472" t="s">
        <v>1173</v>
      </c>
      <c r="T472" t="s">
        <v>1067</v>
      </c>
      <c r="U472" t="s">
        <v>1174</v>
      </c>
      <c r="V472">
        <v>1</v>
      </c>
      <c r="W472" t="s">
        <v>944</v>
      </c>
      <c r="X472" t="s">
        <v>1175</v>
      </c>
      <c r="Y472">
        <v>1</v>
      </c>
      <c r="Z472">
        <v>-0.55985139209382495</v>
      </c>
      <c r="AA472">
        <v>-0.28783672760706902</v>
      </c>
      <c r="AB472">
        <v>-0.39831921538062198</v>
      </c>
      <c r="AC472">
        <v>-0.27752070561895997</v>
      </c>
    </row>
    <row r="473" spans="1:29" x14ac:dyDescent="0.2">
      <c r="A473">
        <v>472</v>
      </c>
      <c r="B473" t="s">
        <v>628</v>
      </c>
      <c r="C473" t="s">
        <v>209</v>
      </c>
      <c r="D473" t="s">
        <v>156</v>
      </c>
      <c r="E473">
        <v>-0.17044013675363301</v>
      </c>
      <c r="F473">
        <v>-0.31594014733506198</v>
      </c>
      <c r="G473">
        <v>2.9345850223337802E-3</v>
      </c>
      <c r="H473">
        <v>-0.66997830482662601</v>
      </c>
      <c r="I473">
        <v>-0.67291288984896003</v>
      </c>
      <c r="J473">
        <v>-0.145500010581429</v>
      </c>
      <c r="K473">
        <v>2.9345850223337802E-3</v>
      </c>
      <c r="L473">
        <v>-0.17044013675363301</v>
      </c>
      <c r="M473">
        <v>-0.318874732357396</v>
      </c>
      <c r="N473">
        <v>-0.145500010581429</v>
      </c>
      <c r="O473">
        <v>-0.67291288984896003</v>
      </c>
      <c r="P473">
        <v>-0.49953816807299301</v>
      </c>
      <c r="Q473" t="s">
        <v>1067</v>
      </c>
      <c r="R473" t="s">
        <v>1067</v>
      </c>
      <c r="S473" t="s">
        <v>1173</v>
      </c>
      <c r="T473" t="s">
        <v>1067</v>
      </c>
      <c r="U473" t="s">
        <v>1174</v>
      </c>
      <c r="V473">
        <v>1</v>
      </c>
      <c r="W473" t="s">
        <v>944</v>
      </c>
      <c r="X473" t="s">
        <v>1175</v>
      </c>
      <c r="Y473">
        <v>1</v>
      </c>
      <c r="Z473">
        <v>-0.42883154566370102</v>
      </c>
      <c r="AA473">
        <v>-0.31262680006823501</v>
      </c>
      <c r="AB473">
        <v>-0.12164074630131499</v>
      </c>
      <c r="AC473">
        <v>-0.24276305523946401</v>
      </c>
    </row>
    <row r="474" spans="1:29" x14ac:dyDescent="0.2">
      <c r="A474">
        <v>473</v>
      </c>
      <c r="B474" t="s">
        <v>629</v>
      </c>
      <c r="C474" t="s">
        <v>209</v>
      </c>
      <c r="D474" t="s">
        <v>158</v>
      </c>
      <c r="E474">
        <v>-0.31916669523443297</v>
      </c>
      <c r="F474">
        <v>-1</v>
      </c>
      <c r="G474">
        <v>-6.7326617873306002E-2</v>
      </c>
      <c r="H474">
        <v>-1</v>
      </c>
      <c r="I474">
        <v>-0.93267338212669404</v>
      </c>
      <c r="J474">
        <v>-0.68083330476556703</v>
      </c>
      <c r="K474">
        <v>-6.7326617873306002E-2</v>
      </c>
      <c r="L474">
        <v>-0.31916669523443297</v>
      </c>
      <c r="M474">
        <v>-0.93267338212669404</v>
      </c>
      <c r="N474">
        <v>-0.68083330476556703</v>
      </c>
      <c r="O474">
        <v>-0.93267338212669404</v>
      </c>
      <c r="P474">
        <v>-0.68083330476556703</v>
      </c>
      <c r="Q474" t="s">
        <v>1067</v>
      </c>
      <c r="R474" t="s">
        <v>1067</v>
      </c>
      <c r="S474" t="s">
        <v>1173</v>
      </c>
      <c r="T474" t="s">
        <v>1067</v>
      </c>
      <c r="U474" t="s">
        <v>1174</v>
      </c>
      <c r="V474">
        <v>1</v>
      </c>
      <c r="W474" t="s">
        <v>944</v>
      </c>
      <c r="X474" t="s">
        <v>1175</v>
      </c>
      <c r="Y474">
        <v>1</v>
      </c>
      <c r="Z474">
        <v>-0.56597197868970595</v>
      </c>
      <c r="AA474">
        <v>-0.28901794437155298</v>
      </c>
      <c r="AB474">
        <v>-0.40478634413889297</v>
      </c>
      <c r="AC474">
        <v>-0.27833592259385997</v>
      </c>
    </row>
    <row r="475" spans="1:29" x14ac:dyDescent="0.2">
      <c r="A475">
        <v>474</v>
      </c>
      <c r="B475" t="s">
        <v>630</v>
      </c>
      <c r="C475" t="s">
        <v>209</v>
      </c>
      <c r="D475" t="s">
        <v>214</v>
      </c>
      <c r="E475">
        <v>-0.31754564154582698</v>
      </c>
      <c r="F475">
        <v>-1</v>
      </c>
      <c r="G475">
        <v>-7.2800041765141696E-2</v>
      </c>
      <c r="H475">
        <v>-1</v>
      </c>
      <c r="I475">
        <v>-0.92719995823485801</v>
      </c>
      <c r="J475">
        <v>-0.68245435845417302</v>
      </c>
      <c r="K475">
        <v>-7.2800041765141696E-2</v>
      </c>
      <c r="L475">
        <v>-0.31754564154582698</v>
      </c>
      <c r="M475">
        <v>-0.92719995823485801</v>
      </c>
      <c r="N475">
        <v>-0.68245435845417302</v>
      </c>
      <c r="O475">
        <v>-0.92719995823485801</v>
      </c>
      <c r="P475">
        <v>-0.68245435845417302</v>
      </c>
      <c r="Q475" t="s">
        <v>1067</v>
      </c>
      <c r="R475" t="s">
        <v>1067</v>
      </c>
      <c r="S475" t="s">
        <v>1173</v>
      </c>
      <c r="T475" t="s">
        <v>1067</v>
      </c>
      <c r="U475" t="s">
        <v>1174</v>
      </c>
      <c r="V475">
        <v>1</v>
      </c>
      <c r="W475" t="s">
        <v>944</v>
      </c>
      <c r="X475" t="s">
        <v>1175</v>
      </c>
      <c r="Y475">
        <v>1</v>
      </c>
      <c r="Z475">
        <v>-0.56845906571409799</v>
      </c>
      <c r="AA475">
        <v>-0.28904450283961203</v>
      </c>
      <c r="AB475">
        <v>-0.40880893830397103</v>
      </c>
      <c r="AC475">
        <v>-0.27894808526324599</v>
      </c>
    </row>
    <row r="476" spans="1:29" x14ac:dyDescent="0.2">
      <c r="A476">
        <v>475</v>
      </c>
      <c r="B476" t="s">
        <v>631</v>
      </c>
      <c r="C476" t="s">
        <v>209</v>
      </c>
      <c r="D476" t="s">
        <v>160</v>
      </c>
      <c r="E476">
        <v>-0.16700751172526501</v>
      </c>
      <c r="F476">
        <v>-0.29842527617168302</v>
      </c>
      <c r="G476">
        <v>2.3378031748118402E-3</v>
      </c>
      <c r="H476">
        <v>-0.49876012958446497</v>
      </c>
      <c r="I476">
        <v>-0.50109793275927705</v>
      </c>
      <c r="J476">
        <v>-0.13141776444641801</v>
      </c>
      <c r="K476">
        <v>2.3378031748118402E-3</v>
      </c>
      <c r="L476">
        <v>-0.16700751172526501</v>
      </c>
      <c r="M476">
        <v>-0.30076307934649499</v>
      </c>
      <c r="N476">
        <v>-0.13141776444641801</v>
      </c>
      <c r="O476">
        <v>-0.50109793275927705</v>
      </c>
      <c r="P476">
        <v>-0.33175261785920002</v>
      </c>
      <c r="Q476" t="s">
        <v>1067</v>
      </c>
      <c r="R476" t="s">
        <v>1067</v>
      </c>
      <c r="S476" t="s">
        <v>1173</v>
      </c>
      <c r="T476" t="s">
        <v>1067</v>
      </c>
      <c r="U476" t="s">
        <v>1174</v>
      </c>
      <c r="V476">
        <v>1</v>
      </c>
      <c r="W476" t="s">
        <v>944</v>
      </c>
      <c r="X476" t="s">
        <v>1175</v>
      </c>
      <c r="Y476">
        <v>1</v>
      </c>
      <c r="Z476">
        <v>-0.467556952614959</v>
      </c>
      <c r="AA476">
        <v>-0.31707857971516601</v>
      </c>
      <c r="AB476">
        <v>-0.16651368529275001</v>
      </c>
      <c r="AC476">
        <v>-0.249110159822265</v>
      </c>
    </row>
    <row r="477" spans="1:29" x14ac:dyDescent="0.2">
      <c r="A477">
        <v>476</v>
      </c>
      <c r="B477" t="s">
        <v>632</v>
      </c>
      <c r="C477" t="s">
        <v>209</v>
      </c>
      <c r="D477" t="s">
        <v>162</v>
      </c>
      <c r="E477">
        <v>-1.46582814695856E-2</v>
      </c>
      <c r="F477">
        <v>-0.58422003023523295</v>
      </c>
      <c r="G477">
        <v>-6.9692039712786702E-2</v>
      </c>
      <c r="H477">
        <v>-0.93499627484178105</v>
      </c>
      <c r="I477">
        <v>-0.86530423512899401</v>
      </c>
      <c r="J477">
        <v>-0.56956174876564702</v>
      </c>
      <c r="K477">
        <v>-1.46582814695856E-2</v>
      </c>
      <c r="L477">
        <v>-6.9692039712786702E-2</v>
      </c>
      <c r="M477">
        <v>-0.56956174876564702</v>
      </c>
      <c r="N477">
        <v>-0.51452799052244602</v>
      </c>
      <c r="O477">
        <v>-0.92033799337219502</v>
      </c>
      <c r="P477">
        <v>-0.86530423512899401</v>
      </c>
      <c r="Q477" t="s">
        <v>1173</v>
      </c>
      <c r="R477" t="s">
        <v>1067</v>
      </c>
      <c r="S477" t="s">
        <v>1173</v>
      </c>
      <c r="T477" t="s">
        <v>1067</v>
      </c>
      <c r="U477" t="s">
        <v>1174</v>
      </c>
      <c r="V477">
        <v>1</v>
      </c>
      <c r="W477" t="s">
        <v>1174</v>
      </c>
      <c r="X477" t="s">
        <v>1175</v>
      </c>
      <c r="Y477">
        <v>1</v>
      </c>
      <c r="Z477">
        <v>-0.35781503868529002</v>
      </c>
      <c r="AA477">
        <v>-0.26244157087708903</v>
      </c>
      <c r="AB477">
        <v>-0.40121985026546703</v>
      </c>
      <c r="AC477">
        <v>-0.35914893272167597</v>
      </c>
    </row>
    <row r="478" spans="1:29" x14ac:dyDescent="0.2">
      <c r="A478">
        <v>477</v>
      </c>
      <c r="B478" t="s">
        <v>633</v>
      </c>
      <c r="C478" t="s">
        <v>209</v>
      </c>
      <c r="D478" t="s">
        <v>220</v>
      </c>
      <c r="E478">
        <v>-1.46582814695856E-2</v>
      </c>
      <c r="F478">
        <v>-0.58995400023038103</v>
      </c>
      <c r="G478">
        <v>-8.3138554877005694E-2</v>
      </c>
      <c r="H478">
        <v>-0.93116497561383704</v>
      </c>
      <c r="I478">
        <v>-0.84802642073683099</v>
      </c>
      <c r="J478">
        <v>-0.57529571876079499</v>
      </c>
      <c r="K478">
        <v>-1.46582814695856E-2</v>
      </c>
      <c r="L478">
        <v>-8.3138554877005694E-2</v>
      </c>
      <c r="M478">
        <v>-0.57529571876079499</v>
      </c>
      <c r="N478">
        <v>-0.50681544535337497</v>
      </c>
      <c r="O478">
        <v>-0.91650669414425101</v>
      </c>
      <c r="P478">
        <v>-0.84802642073683099</v>
      </c>
      <c r="Q478" t="s">
        <v>1173</v>
      </c>
      <c r="R478" t="s">
        <v>1067</v>
      </c>
      <c r="S478" t="s">
        <v>1173</v>
      </c>
      <c r="T478" t="s">
        <v>1067</v>
      </c>
      <c r="U478" t="s">
        <v>1174</v>
      </c>
      <c r="V478">
        <v>1</v>
      </c>
      <c r="W478" t="s">
        <v>1174</v>
      </c>
      <c r="X478" t="s">
        <v>1175</v>
      </c>
      <c r="Y478">
        <v>1</v>
      </c>
      <c r="Z478">
        <v>-0.34441590203205602</v>
      </c>
      <c r="AA478">
        <v>-0.25680720730852002</v>
      </c>
      <c r="AB478">
        <v>-0.40158090070822999</v>
      </c>
      <c r="AC478">
        <v>-0.35919613919414101</v>
      </c>
    </row>
    <row r="479" spans="1:29" x14ac:dyDescent="0.2">
      <c r="A479">
        <v>478</v>
      </c>
      <c r="B479" t="s">
        <v>634</v>
      </c>
      <c r="C479" t="s">
        <v>209</v>
      </c>
      <c r="D479" t="s">
        <v>164</v>
      </c>
      <c r="E479">
        <v>-0.130026052704559</v>
      </c>
      <c r="F479">
        <v>0.49496865428154502</v>
      </c>
      <c r="G479">
        <v>-3.5793769364569697E-2</v>
      </c>
      <c r="H479">
        <v>0.38836489765702698</v>
      </c>
      <c r="I479">
        <v>0.42415866702159699</v>
      </c>
      <c r="J479">
        <v>0.62499470698610404</v>
      </c>
      <c r="K479">
        <v>-3.5793769364569697E-2</v>
      </c>
      <c r="L479">
        <v>-0.130026052704559</v>
      </c>
      <c r="M479">
        <v>0.53076242364611503</v>
      </c>
      <c r="N479">
        <v>0.62499470698610404</v>
      </c>
      <c r="O479">
        <v>0.42415866702159699</v>
      </c>
      <c r="P479">
        <v>0.518390950361586</v>
      </c>
      <c r="Q479" t="s">
        <v>1067</v>
      </c>
      <c r="R479" t="s">
        <v>1068</v>
      </c>
      <c r="S479" t="s">
        <v>1173</v>
      </c>
      <c r="T479" t="s">
        <v>1068</v>
      </c>
      <c r="U479" t="s">
        <v>944</v>
      </c>
      <c r="V479">
        <v>0</v>
      </c>
      <c r="W479" t="s">
        <v>944</v>
      </c>
      <c r="X479" t="s">
        <v>1175</v>
      </c>
      <c r="Y479">
        <v>1</v>
      </c>
      <c r="Z479">
        <v>-0.23773083404940001</v>
      </c>
      <c r="AA479">
        <v>-0.27816703995657599</v>
      </c>
      <c r="AB479">
        <v>3.3465505069413502E-2</v>
      </c>
      <c r="AC479">
        <v>-0.22595243331291501</v>
      </c>
    </row>
    <row r="480" spans="1:29" x14ac:dyDescent="0.2">
      <c r="A480">
        <v>479</v>
      </c>
      <c r="B480" t="s">
        <v>635</v>
      </c>
      <c r="C480" t="s">
        <v>209</v>
      </c>
      <c r="D480" t="s">
        <v>166</v>
      </c>
      <c r="E480">
        <v>-1.46582814695856E-2</v>
      </c>
      <c r="F480">
        <v>-1.3804587848915801E-3</v>
      </c>
      <c r="G480">
        <v>2.9771575128831902E-3</v>
      </c>
      <c r="H480">
        <v>-0.194174485492878</v>
      </c>
      <c r="I480">
        <v>-0.19715164300576099</v>
      </c>
      <c r="J480">
        <v>1.3277822684693999E-2</v>
      </c>
      <c r="K480">
        <v>2.9771575128831902E-3</v>
      </c>
      <c r="L480">
        <v>-1.46582814695856E-2</v>
      </c>
      <c r="M480">
        <v>-4.35761629777477E-3</v>
      </c>
      <c r="N480">
        <v>1.3277822684693999E-2</v>
      </c>
      <c r="O480">
        <v>-0.19715164300576099</v>
      </c>
      <c r="P480">
        <v>-0.17951620402329199</v>
      </c>
      <c r="Q480" t="s">
        <v>1173</v>
      </c>
      <c r="R480" t="s">
        <v>1173</v>
      </c>
      <c r="S480" t="s">
        <v>1173</v>
      </c>
      <c r="T480" t="s">
        <v>1067</v>
      </c>
      <c r="U480" t="s">
        <v>944</v>
      </c>
      <c r="V480">
        <v>1</v>
      </c>
      <c r="W480" t="s">
        <v>944</v>
      </c>
      <c r="X480" t="s">
        <v>1175</v>
      </c>
      <c r="Y480">
        <v>0</v>
      </c>
      <c r="Z480">
        <v>-0.27008099140173503</v>
      </c>
      <c r="AA480">
        <v>-0.29350269134618501</v>
      </c>
      <c r="AB480">
        <v>-0.17098178073428</v>
      </c>
      <c r="AC480">
        <v>-0.32904586178652501</v>
      </c>
    </row>
    <row r="481" spans="1:29" x14ac:dyDescent="0.2">
      <c r="A481">
        <v>480</v>
      </c>
      <c r="B481" t="s">
        <v>636</v>
      </c>
      <c r="C481" t="s">
        <v>209</v>
      </c>
      <c r="D481" t="s">
        <v>226</v>
      </c>
      <c r="E481">
        <v>0.90338325024771404</v>
      </c>
      <c r="F481">
        <v>0.723986497445536</v>
      </c>
      <c r="G481">
        <v>0.77111131733416105</v>
      </c>
      <c r="H481">
        <v>0.72170434192926303</v>
      </c>
      <c r="I481">
        <v>-4.9406975404898003E-2</v>
      </c>
      <c r="J481">
        <v>-0.17939675280217801</v>
      </c>
      <c r="K481">
        <v>0.90338325024771404</v>
      </c>
      <c r="L481">
        <v>0.77111131733416105</v>
      </c>
      <c r="M481">
        <v>-0.17939675280217801</v>
      </c>
      <c r="N481">
        <v>-4.7124819888624998E-2</v>
      </c>
      <c r="O481">
        <v>-0.18167890831845099</v>
      </c>
      <c r="P481">
        <v>-4.9406975404898003E-2</v>
      </c>
      <c r="Q481" t="s">
        <v>1068</v>
      </c>
      <c r="R481" t="s">
        <v>1068</v>
      </c>
      <c r="S481" t="s">
        <v>1068</v>
      </c>
      <c r="T481" t="s">
        <v>1068</v>
      </c>
      <c r="U481" t="s">
        <v>1174</v>
      </c>
      <c r="V481">
        <v>1</v>
      </c>
      <c r="W481" t="s">
        <v>944</v>
      </c>
      <c r="X481" t="s">
        <v>1175</v>
      </c>
      <c r="Y481">
        <v>1</v>
      </c>
      <c r="Z481">
        <v>-0.54716694032701996</v>
      </c>
      <c r="AA481">
        <v>-0.28860214548659202</v>
      </c>
      <c r="AB481">
        <v>-0.38856285653849898</v>
      </c>
      <c r="AC481">
        <v>-0.28075837384589297</v>
      </c>
    </row>
    <row r="482" spans="1:29" x14ac:dyDescent="0.2">
      <c r="A482">
        <v>481</v>
      </c>
      <c r="B482" t="s">
        <v>637</v>
      </c>
      <c r="C482" t="s">
        <v>209</v>
      </c>
      <c r="D482" t="s">
        <v>168</v>
      </c>
      <c r="E482">
        <v>-0.12790463249414399</v>
      </c>
      <c r="F482">
        <v>-1</v>
      </c>
      <c r="G482">
        <v>-4.9709041863744703E-2</v>
      </c>
      <c r="H482">
        <v>-1</v>
      </c>
      <c r="I482">
        <v>-0.95029095813625497</v>
      </c>
      <c r="J482">
        <v>-0.87209536750585603</v>
      </c>
      <c r="K482">
        <v>-4.9709041863744703E-2</v>
      </c>
      <c r="L482">
        <v>-0.12790463249414399</v>
      </c>
      <c r="M482">
        <v>-0.95029095813625497</v>
      </c>
      <c r="N482">
        <v>-0.87209536750585603</v>
      </c>
      <c r="O482">
        <v>-0.95029095813625497</v>
      </c>
      <c r="P482">
        <v>-0.87209536750585603</v>
      </c>
      <c r="Q482" t="s">
        <v>1067</v>
      </c>
      <c r="R482" t="s">
        <v>1067</v>
      </c>
      <c r="S482" t="s">
        <v>1173</v>
      </c>
      <c r="T482" t="s">
        <v>1067</v>
      </c>
      <c r="U482" t="s">
        <v>1174</v>
      </c>
      <c r="V482">
        <v>1</v>
      </c>
      <c r="W482" t="s">
        <v>944</v>
      </c>
      <c r="X482" t="s">
        <v>1175</v>
      </c>
      <c r="Y482">
        <v>1</v>
      </c>
      <c r="Z482">
        <v>-0.56667153228929401</v>
      </c>
      <c r="AA482">
        <v>-0.29528272431856301</v>
      </c>
      <c r="AB482">
        <v>-0.39947343980378802</v>
      </c>
      <c r="AC482">
        <v>-0.28370348418063401</v>
      </c>
    </row>
    <row r="483" spans="1:29" x14ac:dyDescent="0.2">
      <c r="A483">
        <v>482</v>
      </c>
      <c r="B483" t="s">
        <v>638</v>
      </c>
      <c r="C483" t="s">
        <v>154</v>
      </c>
      <c r="D483" t="s">
        <v>130</v>
      </c>
      <c r="E483">
        <v>-3.6500909092419202E-2</v>
      </c>
      <c r="F483">
        <v>-9.5459696078855502E-2</v>
      </c>
      <c r="G483">
        <v>0.244372670134269</v>
      </c>
      <c r="H483">
        <v>-0.34129324754748802</v>
      </c>
      <c r="I483">
        <v>-0.58566591768175702</v>
      </c>
      <c r="J483">
        <v>-5.89587869864363E-2</v>
      </c>
      <c r="K483">
        <v>0.244372670134269</v>
      </c>
      <c r="L483">
        <v>-3.6500909092419202E-2</v>
      </c>
      <c r="M483">
        <v>-0.33983236621312501</v>
      </c>
      <c r="N483">
        <v>-5.89587869864363E-2</v>
      </c>
      <c r="O483">
        <v>-0.58566591768175702</v>
      </c>
      <c r="P483">
        <v>-0.30479233845506898</v>
      </c>
      <c r="Q483" t="s">
        <v>1173</v>
      </c>
      <c r="R483" t="s">
        <v>1173</v>
      </c>
      <c r="S483" t="s">
        <v>1068</v>
      </c>
      <c r="T483" t="s">
        <v>1067</v>
      </c>
      <c r="U483" t="s">
        <v>1174</v>
      </c>
      <c r="V483">
        <v>1</v>
      </c>
      <c r="W483" t="s">
        <v>1174</v>
      </c>
      <c r="X483" t="s">
        <v>1175</v>
      </c>
      <c r="Y483">
        <v>0</v>
      </c>
      <c r="Z483">
        <v>-0.31382097153048399</v>
      </c>
      <c r="AA483">
        <v>-0.22631297100133399</v>
      </c>
      <c r="AB483">
        <v>-0.45751609027031298</v>
      </c>
      <c r="AC483">
        <v>-0.36458675680813901</v>
      </c>
    </row>
    <row r="484" spans="1:29" x14ac:dyDescent="0.2">
      <c r="A484">
        <v>483</v>
      </c>
      <c r="B484" t="s">
        <v>639</v>
      </c>
      <c r="C484" t="s">
        <v>154</v>
      </c>
      <c r="D484" t="s">
        <v>132</v>
      </c>
      <c r="E484">
        <v>0.216995127772664</v>
      </c>
      <c r="F484">
        <v>-1</v>
      </c>
      <c r="G484">
        <v>0.142257271270881</v>
      </c>
      <c r="H484">
        <v>-1</v>
      </c>
      <c r="I484">
        <v>-1.1422572712708801</v>
      </c>
      <c r="J484">
        <v>-1.2169951277726601</v>
      </c>
      <c r="K484">
        <v>0.216995127772664</v>
      </c>
      <c r="L484">
        <v>0.142257271270881</v>
      </c>
      <c r="M484">
        <v>-1.2169951277726601</v>
      </c>
      <c r="N484">
        <v>-1.1422572712708801</v>
      </c>
      <c r="O484">
        <v>-1.2169951277726601</v>
      </c>
      <c r="P484">
        <v>-1.1422572712708801</v>
      </c>
      <c r="Q484" t="s">
        <v>1068</v>
      </c>
      <c r="R484" t="s">
        <v>1067</v>
      </c>
      <c r="S484" t="s">
        <v>1068</v>
      </c>
      <c r="T484" t="s">
        <v>1067</v>
      </c>
      <c r="U484" t="s">
        <v>1174</v>
      </c>
      <c r="V484">
        <v>1</v>
      </c>
      <c r="W484" t="s">
        <v>1174</v>
      </c>
      <c r="X484" t="s">
        <v>1175</v>
      </c>
      <c r="Y484">
        <v>1</v>
      </c>
      <c r="Z484">
        <v>-0.58356989768126699</v>
      </c>
      <c r="AA484">
        <v>-0.296056492207602</v>
      </c>
      <c r="AB484">
        <v>-0.41601959442531</v>
      </c>
      <c r="AC484">
        <v>-0.28331110082483102</v>
      </c>
    </row>
    <row r="485" spans="1:29" x14ac:dyDescent="0.2">
      <c r="A485">
        <v>484</v>
      </c>
      <c r="B485" t="s">
        <v>640</v>
      </c>
      <c r="C485" t="s">
        <v>154</v>
      </c>
      <c r="D485" t="s">
        <v>134</v>
      </c>
      <c r="E485">
        <v>-5.1296821670808103E-2</v>
      </c>
      <c r="F485">
        <v>-0.453771863330026</v>
      </c>
      <c r="G485">
        <v>3.2956839593948099E-3</v>
      </c>
      <c r="H485">
        <v>-0.70560719211102696</v>
      </c>
      <c r="I485">
        <v>-0.70890287607042202</v>
      </c>
      <c r="J485">
        <v>-0.40247504165921799</v>
      </c>
      <c r="K485">
        <v>3.2956839593948099E-3</v>
      </c>
      <c r="L485">
        <v>-5.1296821670808103E-2</v>
      </c>
      <c r="M485">
        <v>-0.45706754728942101</v>
      </c>
      <c r="N485">
        <v>-0.40247504165921799</v>
      </c>
      <c r="O485">
        <v>-0.70890287607042202</v>
      </c>
      <c r="P485">
        <v>-0.654310370440219</v>
      </c>
      <c r="Q485" t="s">
        <v>1173</v>
      </c>
      <c r="R485" t="s">
        <v>1067</v>
      </c>
      <c r="S485" t="s">
        <v>1173</v>
      </c>
      <c r="T485" t="s">
        <v>1067</v>
      </c>
      <c r="U485" t="s">
        <v>1174</v>
      </c>
      <c r="V485">
        <v>1</v>
      </c>
      <c r="W485" t="s">
        <v>944</v>
      </c>
      <c r="X485" t="s">
        <v>1175</v>
      </c>
      <c r="Y485">
        <v>1</v>
      </c>
      <c r="Z485">
        <v>-0.45042434545349203</v>
      </c>
      <c r="AA485">
        <v>-0.31575518821329701</v>
      </c>
      <c r="AB485">
        <v>-0.33487827848283902</v>
      </c>
      <c r="AC485">
        <v>-0.34050947561350398</v>
      </c>
    </row>
    <row r="486" spans="1:29" x14ac:dyDescent="0.2">
      <c r="A486">
        <v>485</v>
      </c>
      <c r="B486" t="s">
        <v>641</v>
      </c>
      <c r="C486" t="s">
        <v>154</v>
      </c>
      <c r="D486" t="s">
        <v>136</v>
      </c>
      <c r="E486">
        <v>-0.333057728119595</v>
      </c>
      <c r="F486">
        <v>-0.33808654303617902</v>
      </c>
      <c r="G486">
        <v>3.29568388712157E-3</v>
      </c>
      <c r="H486">
        <v>-0.61937385083882601</v>
      </c>
      <c r="I486">
        <v>-0.62266953472594799</v>
      </c>
      <c r="J486">
        <v>-5.02881491658402E-3</v>
      </c>
      <c r="K486">
        <v>3.29568388712157E-3</v>
      </c>
      <c r="L486">
        <v>-0.333057728119595</v>
      </c>
      <c r="M486">
        <v>-0.341382226923301</v>
      </c>
      <c r="N486">
        <v>-5.02881491658402E-3</v>
      </c>
      <c r="O486">
        <v>-0.62266953472594799</v>
      </c>
      <c r="P486">
        <v>-0.28631612271923101</v>
      </c>
      <c r="Q486" t="s">
        <v>1067</v>
      </c>
      <c r="R486" t="s">
        <v>1067</v>
      </c>
      <c r="S486" t="s">
        <v>1173</v>
      </c>
      <c r="T486" t="s">
        <v>1067</v>
      </c>
      <c r="U486" t="s">
        <v>1174</v>
      </c>
      <c r="V486">
        <v>1</v>
      </c>
      <c r="W486" t="s">
        <v>944</v>
      </c>
      <c r="X486" t="s">
        <v>1175</v>
      </c>
      <c r="Y486">
        <v>0</v>
      </c>
      <c r="Z486">
        <v>-0.52911522458040705</v>
      </c>
      <c r="AA486">
        <v>-0.32523799221024902</v>
      </c>
      <c r="AB486">
        <v>-0.223076660574174</v>
      </c>
      <c r="AC486">
        <v>-0.25420405563376097</v>
      </c>
    </row>
    <row r="487" spans="1:29" x14ac:dyDescent="0.2">
      <c r="A487">
        <v>486</v>
      </c>
      <c r="B487" t="s">
        <v>642</v>
      </c>
      <c r="C487" t="s">
        <v>154</v>
      </c>
      <c r="D487" t="s">
        <v>140</v>
      </c>
      <c r="E487">
        <v>-0.33155169779293903</v>
      </c>
      <c r="F487">
        <v>-1</v>
      </c>
      <c r="G487">
        <v>-0.13556146266469599</v>
      </c>
      <c r="H487">
        <v>-1</v>
      </c>
      <c r="I487">
        <v>-0.86443853733530396</v>
      </c>
      <c r="J487">
        <v>-0.66844830220706097</v>
      </c>
      <c r="K487">
        <v>-0.13556146266469599</v>
      </c>
      <c r="L487">
        <v>-0.33155169779293903</v>
      </c>
      <c r="M487">
        <v>-0.86443853733530396</v>
      </c>
      <c r="N487">
        <v>-0.66844830220706097</v>
      </c>
      <c r="O487">
        <v>-0.86443853733530396</v>
      </c>
      <c r="P487">
        <v>-0.66844830220706097</v>
      </c>
      <c r="Q487" t="s">
        <v>1067</v>
      </c>
      <c r="R487" t="s">
        <v>1067</v>
      </c>
      <c r="S487" t="s">
        <v>1067</v>
      </c>
      <c r="T487" t="s">
        <v>1067</v>
      </c>
      <c r="U487" t="s">
        <v>1174</v>
      </c>
      <c r="V487">
        <v>1</v>
      </c>
      <c r="W487" t="s">
        <v>944</v>
      </c>
      <c r="X487" t="s">
        <v>1175</v>
      </c>
      <c r="Y487">
        <v>1</v>
      </c>
      <c r="Z487">
        <v>-0.51655115190254897</v>
      </c>
      <c r="AA487">
        <v>-0.26050628065869602</v>
      </c>
      <c r="AB487">
        <v>-0.43041215094177598</v>
      </c>
      <c r="AC487">
        <v>-0.28162824087193</v>
      </c>
    </row>
    <row r="488" spans="1:29" x14ac:dyDescent="0.2">
      <c r="A488">
        <v>487</v>
      </c>
      <c r="B488" t="s">
        <v>643</v>
      </c>
      <c r="C488" t="s">
        <v>154</v>
      </c>
      <c r="D488" t="s">
        <v>142</v>
      </c>
      <c r="E488">
        <v>0.94633218647932404</v>
      </c>
      <c r="F488">
        <v>0.73218299542291898</v>
      </c>
      <c r="G488">
        <v>3.2956839593948099E-3</v>
      </c>
      <c r="H488">
        <v>0.68661460647412897</v>
      </c>
      <c r="I488">
        <v>0.68331892251473403</v>
      </c>
      <c r="J488">
        <v>-0.21414919105640501</v>
      </c>
      <c r="K488">
        <v>0.94633218647932404</v>
      </c>
      <c r="L488">
        <v>3.2956839593948099E-3</v>
      </c>
      <c r="M488">
        <v>-0.21414919105640501</v>
      </c>
      <c r="N488">
        <v>0.72888731146352403</v>
      </c>
      <c r="O488">
        <v>-0.25971758000519501</v>
      </c>
      <c r="P488">
        <v>0.68331892251473403</v>
      </c>
      <c r="Q488" t="s">
        <v>1068</v>
      </c>
      <c r="R488" t="s">
        <v>1068</v>
      </c>
      <c r="S488" t="s">
        <v>1173</v>
      </c>
      <c r="T488" t="s">
        <v>1068</v>
      </c>
      <c r="U488" t="s">
        <v>1174</v>
      </c>
      <c r="V488">
        <v>0</v>
      </c>
      <c r="W488" t="s">
        <v>944</v>
      </c>
      <c r="X488" t="s">
        <v>1176</v>
      </c>
      <c r="Y488">
        <v>1</v>
      </c>
      <c r="Z488">
        <v>0.45294020347776698</v>
      </c>
      <c r="AA488">
        <v>-0.206893410960904</v>
      </c>
      <c r="AB488">
        <v>0.57378127733540496</v>
      </c>
      <c r="AC488">
        <v>-0.15248512366029199</v>
      </c>
    </row>
    <row r="489" spans="1:29" x14ac:dyDescent="0.2">
      <c r="A489">
        <v>488</v>
      </c>
      <c r="B489" t="s">
        <v>644</v>
      </c>
      <c r="C489" t="s">
        <v>154</v>
      </c>
      <c r="D489" t="s">
        <v>144</v>
      </c>
      <c r="E489">
        <v>-3.6178181018561101E-2</v>
      </c>
      <c r="F489">
        <v>-0.20944828993581699</v>
      </c>
      <c r="G489">
        <v>3.5251925781596402E-2</v>
      </c>
      <c r="H489">
        <v>-0.44262589475114</v>
      </c>
      <c r="I489">
        <v>-0.47787782053273598</v>
      </c>
      <c r="J489">
        <v>-0.173270108917256</v>
      </c>
      <c r="K489">
        <v>3.5251925781596402E-2</v>
      </c>
      <c r="L489">
        <v>-3.6178181018561101E-2</v>
      </c>
      <c r="M489">
        <v>-0.24470021571741299</v>
      </c>
      <c r="N489">
        <v>-0.173270108917256</v>
      </c>
      <c r="O489">
        <v>-0.47787782053273598</v>
      </c>
      <c r="P489">
        <v>-0.40644771373257899</v>
      </c>
      <c r="Q489" t="s">
        <v>1173</v>
      </c>
      <c r="R489" t="s">
        <v>1067</v>
      </c>
      <c r="S489" t="s">
        <v>1173</v>
      </c>
      <c r="T489" t="s">
        <v>1067</v>
      </c>
      <c r="U489" t="s">
        <v>1174</v>
      </c>
      <c r="V489">
        <v>1</v>
      </c>
      <c r="W489" t="s">
        <v>1174</v>
      </c>
      <c r="X489" t="s">
        <v>1175</v>
      </c>
      <c r="Y489">
        <v>1</v>
      </c>
      <c r="Z489">
        <v>-0.374365491303493</v>
      </c>
      <c r="AA489">
        <v>-0.30657825489670598</v>
      </c>
      <c r="AB489">
        <v>-0.27378470792973902</v>
      </c>
      <c r="AC489">
        <v>-0.34059183374839103</v>
      </c>
    </row>
    <row r="490" spans="1:29" x14ac:dyDescent="0.2">
      <c r="A490">
        <v>489</v>
      </c>
      <c r="B490" t="s">
        <v>645</v>
      </c>
      <c r="C490" t="s">
        <v>154</v>
      </c>
      <c r="D490" t="s">
        <v>146</v>
      </c>
      <c r="E490">
        <v>-3.6674234002184301E-2</v>
      </c>
      <c r="F490">
        <v>-0.49248417589246801</v>
      </c>
      <c r="G490">
        <v>-0.146687788416584</v>
      </c>
      <c r="H490">
        <v>-0.83174647152311798</v>
      </c>
      <c r="I490">
        <v>-0.68505868310653395</v>
      </c>
      <c r="J490">
        <v>-0.45580994189028401</v>
      </c>
      <c r="K490">
        <v>-3.6674234002184301E-2</v>
      </c>
      <c r="L490">
        <v>-0.146687788416584</v>
      </c>
      <c r="M490">
        <v>-0.45580994189028401</v>
      </c>
      <c r="N490">
        <v>-0.34579638747588398</v>
      </c>
      <c r="O490">
        <v>-0.79507223752093403</v>
      </c>
      <c r="P490">
        <v>-0.68505868310653395</v>
      </c>
      <c r="Q490" t="s">
        <v>1173</v>
      </c>
      <c r="R490" t="s">
        <v>1067</v>
      </c>
      <c r="S490" t="s">
        <v>1067</v>
      </c>
      <c r="T490" t="s">
        <v>1067</v>
      </c>
      <c r="U490" t="s">
        <v>1174</v>
      </c>
      <c r="V490">
        <v>1</v>
      </c>
      <c r="W490" t="s">
        <v>1174</v>
      </c>
      <c r="X490" t="s">
        <v>1175</v>
      </c>
      <c r="Y490">
        <v>1</v>
      </c>
      <c r="Z490">
        <v>-0.34735919959208</v>
      </c>
      <c r="AA490">
        <v>-0.24086993246336499</v>
      </c>
      <c r="AB490">
        <v>-0.45538050324238599</v>
      </c>
      <c r="AC490">
        <v>-0.364078958483675</v>
      </c>
    </row>
    <row r="491" spans="1:29" x14ac:dyDescent="0.2">
      <c r="A491">
        <v>490</v>
      </c>
      <c r="B491" t="s">
        <v>1186</v>
      </c>
      <c r="C491" t="s">
        <v>154</v>
      </c>
      <c r="D491" t="s">
        <v>148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</v>
      </c>
      <c r="N491">
        <v>0</v>
      </c>
      <c r="O491">
        <v>0</v>
      </c>
      <c r="P491">
        <v>0</v>
      </c>
      <c r="Q491" t="s">
        <v>1068</v>
      </c>
      <c r="R491" t="s">
        <v>1068</v>
      </c>
      <c r="S491" t="s">
        <v>1068</v>
      </c>
      <c r="T491" t="s">
        <v>1068</v>
      </c>
      <c r="U491" t="s">
        <v>944</v>
      </c>
      <c r="V491">
        <v>0</v>
      </c>
      <c r="W491" t="s">
        <v>944</v>
      </c>
      <c r="X491" t="s">
        <v>1175</v>
      </c>
      <c r="Y491">
        <v>0</v>
      </c>
      <c r="Z491">
        <v>-0.70668247978183596</v>
      </c>
      <c r="AA491">
        <v>-0.34664254326694699</v>
      </c>
      <c r="AB491">
        <v>-0.41467692209951001</v>
      </c>
      <c r="AC491">
        <v>-0.28101039271207001</v>
      </c>
    </row>
    <row r="492" spans="1:29" x14ac:dyDescent="0.2">
      <c r="A492">
        <v>491</v>
      </c>
      <c r="B492" t="s">
        <v>646</v>
      </c>
      <c r="C492" t="s">
        <v>154</v>
      </c>
      <c r="D492" t="s">
        <v>150</v>
      </c>
      <c r="E492">
        <v>-3.6470646804609201E-2</v>
      </c>
      <c r="F492">
        <v>-0.50036881853909898</v>
      </c>
      <c r="G492">
        <v>-3.2726214519373902E-2</v>
      </c>
      <c r="H492">
        <v>-0.84364574491445998</v>
      </c>
      <c r="I492">
        <v>-0.81091953039508602</v>
      </c>
      <c r="J492">
        <v>-0.46389817173448999</v>
      </c>
      <c r="K492">
        <v>-3.2726214519373902E-2</v>
      </c>
      <c r="L492">
        <v>-3.6470646804609201E-2</v>
      </c>
      <c r="M492">
        <v>-0.46764260401972502</v>
      </c>
      <c r="N492">
        <v>-0.46389817173448999</v>
      </c>
      <c r="O492">
        <v>-0.81091953039508602</v>
      </c>
      <c r="P492">
        <v>-0.807175098109851</v>
      </c>
      <c r="Q492" t="s">
        <v>1173</v>
      </c>
      <c r="R492" t="s">
        <v>1067</v>
      </c>
      <c r="S492" t="s">
        <v>1173</v>
      </c>
      <c r="T492" t="s">
        <v>1067</v>
      </c>
      <c r="U492" t="s">
        <v>1174</v>
      </c>
      <c r="V492">
        <v>1</v>
      </c>
      <c r="W492" t="s">
        <v>1174</v>
      </c>
      <c r="X492" t="s">
        <v>1175</v>
      </c>
      <c r="Y492">
        <v>1</v>
      </c>
      <c r="Z492">
        <v>-0.43633273146824803</v>
      </c>
      <c r="AA492">
        <v>-0.27778278513151</v>
      </c>
      <c r="AB492">
        <v>-0.458428087120683</v>
      </c>
      <c r="AC492">
        <v>-0.36473350915771402</v>
      </c>
    </row>
    <row r="493" spans="1:29" x14ac:dyDescent="0.2">
      <c r="A493">
        <v>492</v>
      </c>
      <c r="B493" t="s">
        <v>647</v>
      </c>
      <c r="C493" t="s">
        <v>154</v>
      </c>
      <c r="D493" t="s">
        <v>204</v>
      </c>
      <c r="E493">
        <v>0.49503813697003501</v>
      </c>
      <c r="F493">
        <v>-1</v>
      </c>
      <c r="G493">
        <v>-0.36289443076251499</v>
      </c>
      <c r="H493">
        <v>-1</v>
      </c>
      <c r="I493">
        <v>-0.63710556923748496</v>
      </c>
      <c r="J493">
        <v>-1.4950381369700301</v>
      </c>
      <c r="K493">
        <v>0.49503813697003501</v>
      </c>
      <c r="L493">
        <v>-0.36289443076251499</v>
      </c>
      <c r="M493">
        <v>-1.4950381369700301</v>
      </c>
      <c r="N493">
        <v>-0.63710556923748496</v>
      </c>
      <c r="O493">
        <v>-1.4950381369700301</v>
      </c>
      <c r="P493">
        <v>-0.63710556923748496</v>
      </c>
      <c r="Q493" t="s">
        <v>1068</v>
      </c>
      <c r="R493" t="s">
        <v>1067</v>
      </c>
      <c r="S493" t="s">
        <v>1067</v>
      </c>
      <c r="T493" t="s">
        <v>1067</v>
      </c>
      <c r="U493" t="s">
        <v>1174</v>
      </c>
      <c r="V493">
        <v>1</v>
      </c>
      <c r="W493" t="s">
        <v>1174</v>
      </c>
      <c r="X493" t="s">
        <v>1176</v>
      </c>
      <c r="Y493">
        <v>1</v>
      </c>
      <c r="Z493">
        <v>-0.616124972625408</v>
      </c>
      <c r="AA493">
        <v>-0.29514439358480898</v>
      </c>
      <c r="AB493">
        <v>-0.451429978591742</v>
      </c>
      <c r="AC493">
        <v>-0.28263538839725599</v>
      </c>
    </row>
    <row r="494" spans="1:29" x14ac:dyDescent="0.2">
      <c r="A494">
        <v>493</v>
      </c>
      <c r="B494" t="s">
        <v>648</v>
      </c>
      <c r="C494" t="s">
        <v>154</v>
      </c>
      <c r="D494" t="s">
        <v>152</v>
      </c>
      <c r="E494">
        <v>0.94628953937122695</v>
      </c>
      <c r="F494">
        <v>0.73200784679337105</v>
      </c>
      <c r="G494">
        <v>3.2956839593948099E-3</v>
      </c>
      <c r="H494">
        <v>0.68636792047517903</v>
      </c>
      <c r="I494">
        <v>0.68307223651578397</v>
      </c>
      <c r="J494">
        <v>-0.21428169257785601</v>
      </c>
      <c r="K494">
        <v>0.94628953937122695</v>
      </c>
      <c r="L494">
        <v>3.2956839593948099E-3</v>
      </c>
      <c r="M494">
        <v>-0.21428169257785601</v>
      </c>
      <c r="N494">
        <v>0.728712162833976</v>
      </c>
      <c r="O494">
        <v>-0.25992161889604798</v>
      </c>
      <c r="P494">
        <v>0.68307223651578397</v>
      </c>
      <c r="Q494" t="s">
        <v>1068</v>
      </c>
      <c r="R494" t="s">
        <v>1068</v>
      </c>
      <c r="S494" t="s">
        <v>1173</v>
      </c>
      <c r="T494" t="s">
        <v>1068</v>
      </c>
      <c r="U494" t="s">
        <v>1174</v>
      </c>
      <c r="V494">
        <v>0</v>
      </c>
      <c r="W494" t="s">
        <v>944</v>
      </c>
      <c r="X494" t="s">
        <v>1176</v>
      </c>
      <c r="Y494">
        <v>1</v>
      </c>
      <c r="Z494">
        <v>0.453067448654702</v>
      </c>
      <c r="AA494">
        <v>-0.206878077022768</v>
      </c>
      <c r="AB494">
        <v>0.57409120883626596</v>
      </c>
      <c r="AC494">
        <v>-0.15248410287291</v>
      </c>
    </row>
    <row r="495" spans="1:29" x14ac:dyDescent="0.2">
      <c r="A495">
        <v>494</v>
      </c>
      <c r="B495" t="s">
        <v>649</v>
      </c>
      <c r="C495" t="s">
        <v>154</v>
      </c>
      <c r="D495" t="s">
        <v>156</v>
      </c>
      <c r="E495">
        <v>-0.35489609776574998</v>
      </c>
      <c r="F495">
        <v>-0.14876941553874501</v>
      </c>
      <c r="G495">
        <v>3.2956839593948099E-3</v>
      </c>
      <c r="H495">
        <v>-0.39791575732075202</v>
      </c>
      <c r="I495">
        <v>-0.40121144128014702</v>
      </c>
      <c r="J495">
        <v>0.206126682227005</v>
      </c>
      <c r="K495">
        <v>3.2956839593948099E-3</v>
      </c>
      <c r="L495">
        <v>-0.35489609776574998</v>
      </c>
      <c r="M495">
        <v>-0.15206509949814001</v>
      </c>
      <c r="N495">
        <v>0.206126682227005</v>
      </c>
      <c r="O495">
        <v>-0.40121144128014702</v>
      </c>
      <c r="P495">
        <v>-4.3019659555001998E-2</v>
      </c>
      <c r="Q495" t="s">
        <v>1067</v>
      </c>
      <c r="R495" t="s">
        <v>1067</v>
      </c>
      <c r="S495" t="s">
        <v>1173</v>
      </c>
      <c r="T495" t="s">
        <v>1067</v>
      </c>
      <c r="U495" t="s">
        <v>944</v>
      </c>
      <c r="V495">
        <v>1</v>
      </c>
      <c r="W495" t="s">
        <v>944</v>
      </c>
      <c r="X495" t="s">
        <v>1175</v>
      </c>
      <c r="Y495">
        <v>1</v>
      </c>
      <c r="Z495">
        <v>-0.48795103301669301</v>
      </c>
      <c r="AA495">
        <v>-0.32027741781302899</v>
      </c>
      <c r="AB495">
        <v>-0.177456417396717</v>
      </c>
      <c r="AC495">
        <v>-0.24816555706926899</v>
      </c>
    </row>
    <row r="496" spans="1:29" x14ac:dyDescent="0.2">
      <c r="A496">
        <v>495</v>
      </c>
      <c r="B496" t="s">
        <v>650</v>
      </c>
      <c r="C496" t="s">
        <v>154</v>
      </c>
      <c r="D496" t="s">
        <v>158</v>
      </c>
      <c r="E496">
        <v>0.91569553867689002</v>
      </c>
      <c r="F496">
        <v>-0.66929359983041004</v>
      </c>
      <c r="G496">
        <v>0.54868377378095401</v>
      </c>
      <c r="H496">
        <v>-0.95770196246095995</v>
      </c>
      <c r="I496">
        <v>-1.50638573624191</v>
      </c>
      <c r="J496">
        <v>-1.5849891385073001</v>
      </c>
      <c r="K496">
        <v>0.91569553867689002</v>
      </c>
      <c r="L496">
        <v>0.54868377378095401</v>
      </c>
      <c r="M496">
        <v>-1.5849891385073001</v>
      </c>
      <c r="N496">
        <v>-1.2179773736113599</v>
      </c>
      <c r="O496">
        <v>-1.8733975011378501</v>
      </c>
      <c r="P496">
        <v>-1.50638573624191</v>
      </c>
      <c r="Q496" t="s">
        <v>1068</v>
      </c>
      <c r="R496" t="s">
        <v>1067</v>
      </c>
      <c r="S496" t="s">
        <v>1068</v>
      </c>
      <c r="T496" t="s">
        <v>1067</v>
      </c>
      <c r="U496" t="s">
        <v>1174</v>
      </c>
      <c r="V496">
        <v>1</v>
      </c>
      <c r="W496" t="s">
        <v>1174</v>
      </c>
      <c r="X496" t="s">
        <v>1175</v>
      </c>
      <c r="Y496">
        <v>1</v>
      </c>
      <c r="Z496">
        <v>-0.62509146604269705</v>
      </c>
      <c r="AA496">
        <v>-0.29666856211634701</v>
      </c>
      <c r="AB496">
        <v>-0.460602015234296</v>
      </c>
      <c r="AC496">
        <v>-0.28373842442366598</v>
      </c>
    </row>
    <row r="497" spans="1:29" x14ac:dyDescent="0.2">
      <c r="A497">
        <v>496</v>
      </c>
      <c r="B497" t="s">
        <v>651</v>
      </c>
      <c r="C497" t="s">
        <v>154</v>
      </c>
      <c r="D497" t="s">
        <v>160</v>
      </c>
      <c r="E497">
        <v>-0.35131310943407001</v>
      </c>
      <c r="F497">
        <v>-0.67213468266955301</v>
      </c>
      <c r="G497">
        <v>2.5043107369041098E-3</v>
      </c>
      <c r="H497">
        <v>-1</v>
      </c>
      <c r="I497">
        <v>-1.0025043107369001</v>
      </c>
      <c r="J497">
        <v>-0.32082157323548299</v>
      </c>
      <c r="K497">
        <v>2.5043107369041098E-3</v>
      </c>
      <c r="L497">
        <v>-0.35131310943407001</v>
      </c>
      <c r="M497">
        <v>-0.67463899340645705</v>
      </c>
      <c r="N497">
        <v>-0.32082157323548299</v>
      </c>
      <c r="O497">
        <v>-1.0025043107369001</v>
      </c>
      <c r="P497">
        <v>-0.64868689056592999</v>
      </c>
      <c r="Q497" t="s">
        <v>1067</v>
      </c>
      <c r="R497" t="s">
        <v>1067</v>
      </c>
      <c r="S497" t="s">
        <v>1173</v>
      </c>
      <c r="T497" t="s">
        <v>1067</v>
      </c>
      <c r="U497" t="s">
        <v>1174</v>
      </c>
      <c r="V497">
        <v>1</v>
      </c>
      <c r="W497" t="s">
        <v>944</v>
      </c>
      <c r="X497" t="s">
        <v>1175</v>
      </c>
      <c r="Y497">
        <v>1</v>
      </c>
      <c r="Z497">
        <v>-0.52667643996795099</v>
      </c>
      <c r="AA497">
        <v>-0.32472919745995998</v>
      </c>
      <c r="AB497">
        <v>-0.22232935638815299</v>
      </c>
      <c r="AC497">
        <v>-0.25451266165207098</v>
      </c>
    </row>
    <row r="498" spans="1:29" x14ac:dyDescent="0.2">
      <c r="A498">
        <v>497</v>
      </c>
      <c r="B498" t="s">
        <v>652</v>
      </c>
      <c r="C498" t="s">
        <v>154</v>
      </c>
      <c r="D498" t="s">
        <v>162</v>
      </c>
      <c r="E498">
        <v>-3.6470646804609201E-2</v>
      </c>
      <c r="F498">
        <v>-0.49598032623136301</v>
      </c>
      <c r="G498">
        <v>-4.3998877800954302E-2</v>
      </c>
      <c r="H498">
        <v>-0.83329753482972002</v>
      </c>
      <c r="I498">
        <v>-0.789298657028766</v>
      </c>
      <c r="J498">
        <v>-0.45950967942675403</v>
      </c>
      <c r="K498">
        <v>-3.6470646804609201E-2</v>
      </c>
      <c r="L498">
        <v>-4.3998877800954302E-2</v>
      </c>
      <c r="M498">
        <v>-0.45950967942675403</v>
      </c>
      <c r="N498">
        <v>-0.45198144843040899</v>
      </c>
      <c r="O498">
        <v>-0.79682688802511104</v>
      </c>
      <c r="P498">
        <v>-0.789298657028766</v>
      </c>
      <c r="Q498" t="s">
        <v>1173</v>
      </c>
      <c r="R498" t="s">
        <v>1067</v>
      </c>
      <c r="S498" t="s">
        <v>1173</v>
      </c>
      <c r="T498" t="s">
        <v>1067</v>
      </c>
      <c r="U498" t="s">
        <v>1174</v>
      </c>
      <c r="V498">
        <v>1</v>
      </c>
      <c r="W498" t="s">
        <v>1174</v>
      </c>
      <c r="X498" t="s">
        <v>1175</v>
      </c>
      <c r="Y498">
        <v>1</v>
      </c>
      <c r="Z498">
        <v>-0.41693452603828202</v>
      </c>
      <c r="AA498">
        <v>-0.270092188621883</v>
      </c>
      <c r="AB498">
        <v>-0.45703552136087</v>
      </c>
      <c r="AC498">
        <v>-0.36455143455148198</v>
      </c>
    </row>
    <row r="499" spans="1:29" x14ac:dyDescent="0.2">
      <c r="A499">
        <v>498</v>
      </c>
      <c r="B499" t="s">
        <v>653</v>
      </c>
      <c r="C499" t="s">
        <v>154</v>
      </c>
      <c r="D499" t="s">
        <v>164</v>
      </c>
      <c r="E499">
        <v>0.40851139667759201</v>
      </c>
      <c r="F499">
        <v>0.20475852778766701</v>
      </c>
      <c r="G499">
        <v>-3.1063811412098401E-2</v>
      </c>
      <c r="H499">
        <v>8.7970644345624294E-2</v>
      </c>
      <c r="I499">
        <v>0.11903445575772301</v>
      </c>
      <c r="J499">
        <v>-0.203752868889925</v>
      </c>
      <c r="K499">
        <v>0.40851139667759201</v>
      </c>
      <c r="L499">
        <v>-3.1063811412098401E-2</v>
      </c>
      <c r="M499">
        <v>-0.203752868889925</v>
      </c>
      <c r="N499">
        <v>0.235822339199765</v>
      </c>
      <c r="O499">
        <v>-0.32054075233196799</v>
      </c>
      <c r="P499">
        <v>0.11903445575772301</v>
      </c>
      <c r="Q499" t="s">
        <v>1068</v>
      </c>
      <c r="R499" t="s">
        <v>1068</v>
      </c>
      <c r="S499" t="s">
        <v>1173</v>
      </c>
      <c r="T499" t="s">
        <v>1173</v>
      </c>
      <c r="U499" t="s">
        <v>1174</v>
      </c>
      <c r="V499">
        <v>0</v>
      </c>
      <c r="W499" t="s">
        <v>944</v>
      </c>
      <c r="X499" t="s">
        <v>1175</v>
      </c>
      <c r="Y499">
        <v>1</v>
      </c>
      <c r="Z499">
        <v>-0.29685032140239198</v>
      </c>
      <c r="AA499">
        <v>-0.28581765770137102</v>
      </c>
      <c r="AB499">
        <v>-2.2350166025989E-2</v>
      </c>
      <c r="AC499">
        <v>-0.23135493514271999</v>
      </c>
    </row>
    <row r="500" spans="1:29" x14ac:dyDescent="0.2">
      <c r="A500">
        <v>499</v>
      </c>
      <c r="B500" t="s">
        <v>654</v>
      </c>
      <c r="C500" t="s">
        <v>154</v>
      </c>
      <c r="D500" t="s">
        <v>166</v>
      </c>
      <c r="E500">
        <v>-3.6470646804609201E-2</v>
      </c>
      <c r="F500">
        <v>-0.137916451618527</v>
      </c>
      <c r="G500">
        <v>3.3382410318172598E-3</v>
      </c>
      <c r="H500">
        <v>-0.37224780401726598</v>
      </c>
      <c r="I500">
        <v>-0.37558604504908299</v>
      </c>
      <c r="J500">
        <v>-0.101445804813918</v>
      </c>
      <c r="K500">
        <v>3.3382410318172598E-3</v>
      </c>
      <c r="L500">
        <v>-3.6470646804609201E-2</v>
      </c>
      <c r="M500">
        <v>-0.14125469265034399</v>
      </c>
      <c r="N500">
        <v>-0.101445804813918</v>
      </c>
      <c r="O500">
        <v>-0.37558604504908299</v>
      </c>
      <c r="P500">
        <v>-0.335777157212657</v>
      </c>
      <c r="Q500" t="s">
        <v>1173</v>
      </c>
      <c r="R500" t="s">
        <v>1067</v>
      </c>
      <c r="S500" t="s">
        <v>1173</v>
      </c>
      <c r="T500" t="s">
        <v>1067</v>
      </c>
      <c r="U500" t="s">
        <v>1174</v>
      </c>
      <c r="V500">
        <v>1</v>
      </c>
      <c r="W500" t="s">
        <v>1174</v>
      </c>
      <c r="X500" t="s">
        <v>1175</v>
      </c>
      <c r="Y500">
        <v>1</v>
      </c>
      <c r="Z500">
        <v>-0.32920047875472702</v>
      </c>
      <c r="AA500">
        <v>-0.30115330909097998</v>
      </c>
      <c r="AB500">
        <v>-0.226797451829683</v>
      </c>
      <c r="AC500">
        <v>-0.33444836361633101</v>
      </c>
    </row>
    <row r="501" spans="1:29" x14ac:dyDescent="0.2">
      <c r="A501">
        <v>500</v>
      </c>
      <c r="B501" t="s">
        <v>655</v>
      </c>
      <c r="C501" t="s">
        <v>154</v>
      </c>
      <c r="D501" t="s">
        <v>168</v>
      </c>
      <c r="E501">
        <v>-0.155376081256689</v>
      </c>
      <c r="F501">
        <v>-1</v>
      </c>
      <c r="G501">
        <v>-4.4098766168985198E-2</v>
      </c>
      <c r="H501">
        <v>-1</v>
      </c>
      <c r="I501">
        <v>-0.955901233831015</v>
      </c>
      <c r="J501">
        <v>-0.844623918743311</v>
      </c>
      <c r="K501">
        <v>-4.4098766168985198E-2</v>
      </c>
      <c r="L501">
        <v>-0.155376081256689</v>
      </c>
      <c r="M501">
        <v>-0.955901233831015</v>
      </c>
      <c r="N501">
        <v>-0.844623918743311</v>
      </c>
      <c r="O501">
        <v>-0.955901233831015</v>
      </c>
      <c r="P501">
        <v>-0.844623918743311</v>
      </c>
      <c r="Q501" t="s">
        <v>1067</v>
      </c>
      <c r="R501" t="s">
        <v>1067</v>
      </c>
      <c r="S501" t="s">
        <v>1173</v>
      </c>
      <c r="T501" t="s">
        <v>1067</v>
      </c>
      <c r="U501" t="s">
        <v>1174</v>
      </c>
      <c r="V501">
        <v>1</v>
      </c>
      <c r="W501" t="s">
        <v>944</v>
      </c>
      <c r="X501" t="s">
        <v>1175</v>
      </c>
      <c r="Y501">
        <v>1</v>
      </c>
      <c r="Z501">
        <v>-0.62579101964228601</v>
      </c>
      <c r="AA501">
        <v>-0.30293334206335698</v>
      </c>
      <c r="AB501">
        <v>-0.455289110899191</v>
      </c>
      <c r="AC501">
        <v>-0.28910598601044002</v>
      </c>
    </row>
    <row r="502" spans="1:29" x14ac:dyDescent="0.2">
      <c r="A502">
        <v>501</v>
      </c>
      <c r="B502" t="s">
        <v>656</v>
      </c>
      <c r="C502" t="s">
        <v>156</v>
      </c>
      <c r="D502" t="s">
        <v>130</v>
      </c>
      <c r="E502">
        <v>-1.2456332172633301E-2</v>
      </c>
      <c r="F502">
        <v>0.37564322007409401</v>
      </c>
      <c r="G502">
        <v>-9.1013821641865705E-3</v>
      </c>
      <c r="H502">
        <v>0.26035792448483502</v>
      </c>
      <c r="I502">
        <v>0.26945930664902201</v>
      </c>
      <c r="J502">
        <v>0.38809955224672699</v>
      </c>
      <c r="K502">
        <v>-9.1013821641865705E-3</v>
      </c>
      <c r="L502">
        <v>-1.2456332172633301E-2</v>
      </c>
      <c r="M502">
        <v>0.384744602238281</v>
      </c>
      <c r="N502">
        <v>0.38809955224672699</v>
      </c>
      <c r="O502">
        <v>0.26945930664902201</v>
      </c>
      <c r="P502">
        <v>0.272814256657468</v>
      </c>
      <c r="Q502" t="s">
        <v>1173</v>
      </c>
      <c r="R502" t="s">
        <v>1068</v>
      </c>
      <c r="S502" t="s">
        <v>1173</v>
      </c>
      <c r="T502" t="s">
        <v>1068</v>
      </c>
      <c r="U502" t="s">
        <v>944</v>
      </c>
      <c r="V502">
        <v>0</v>
      </c>
      <c r="W502" t="s">
        <v>944</v>
      </c>
      <c r="X502" t="s">
        <v>1175</v>
      </c>
      <c r="Y502">
        <v>1</v>
      </c>
      <c r="Z502">
        <v>-0.18280112510036001</v>
      </c>
      <c r="AA502">
        <v>-0.25110304346250001</v>
      </c>
      <c r="AB502">
        <v>-0.18083762119100499</v>
      </c>
      <c r="AC502">
        <v>-0.32982910642864399</v>
      </c>
    </row>
    <row r="503" spans="1:29" x14ac:dyDescent="0.2">
      <c r="A503">
        <v>502</v>
      </c>
      <c r="B503" t="s">
        <v>657</v>
      </c>
      <c r="C503" t="s">
        <v>156</v>
      </c>
      <c r="D503" t="s">
        <v>132</v>
      </c>
      <c r="E503">
        <v>-0.13304899146056801</v>
      </c>
      <c r="F503">
        <v>-0.22769940387076401</v>
      </c>
      <c r="G503">
        <v>3.20651144944717E-3</v>
      </c>
      <c r="H503">
        <v>-0.39866594622061802</v>
      </c>
      <c r="I503">
        <v>-0.40187245767006502</v>
      </c>
      <c r="J503">
        <v>-9.4650412410196005E-2</v>
      </c>
      <c r="K503">
        <v>3.20651144944717E-3</v>
      </c>
      <c r="L503">
        <v>-0.13304899146056801</v>
      </c>
      <c r="M503">
        <v>-0.23090591532021101</v>
      </c>
      <c r="N503">
        <v>-9.4650412410196005E-2</v>
      </c>
      <c r="O503">
        <v>-0.40187245767006502</v>
      </c>
      <c r="P503">
        <v>-0.26561695476004998</v>
      </c>
      <c r="Q503" t="s">
        <v>1067</v>
      </c>
      <c r="R503" t="s">
        <v>1067</v>
      </c>
      <c r="S503" t="s">
        <v>1173</v>
      </c>
      <c r="T503" t="s">
        <v>1067</v>
      </c>
      <c r="U503" t="s">
        <v>1174</v>
      </c>
      <c r="V503">
        <v>1</v>
      </c>
      <c r="W503" t="s">
        <v>944</v>
      </c>
      <c r="X503" t="s">
        <v>1175</v>
      </c>
      <c r="Y503">
        <v>0</v>
      </c>
      <c r="Z503">
        <v>-0.452550051251143</v>
      </c>
      <c r="AA503">
        <v>-0.32084656466876799</v>
      </c>
      <c r="AB503">
        <v>-0.13934112534600299</v>
      </c>
      <c r="AC503">
        <v>-0.248553450445335</v>
      </c>
    </row>
    <row r="504" spans="1:29" x14ac:dyDescent="0.2">
      <c r="A504">
        <v>503</v>
      </c>
      <c r="B504" t="s">
        <v>658</v>
      </c>
      <c r="C504" t="s">
        <v>156</v>
      </c>
      <c r="D504" t="s">
        <v>140</v>
      </c>
      <c r="E504">
        <v>-0.158888415725843</v>
      </c>
      <c r="F504">
        <v>-3.6547944036256899E-2</v>
      </c>
      <c r="G504">
        <v>4.0532127425538201E-3</v>
      </c>
      <c r="H504">
        <v>-0.19510109943367401</v>
      </c>
      <c r="I504">
        <v>-0.199154312176228</v>
      </c>
      <c r="J504">
        <v>0.12234047168958601</v>
      </c>
      <c r="K504">
        <v>4.0532127425538201E-3</v>
      </c>
      <c r="L504">
        <v>-0.158888415725843</v>
      </c>
      <c r="M504">
        <v>-4.0601156778810703E-2</v>
      </c>
      <c r="N504">
        <v>0.12234047168958601</v>
      </c>
      <c r="O504">
        <v>-0.199154312176228</v>
      </c>
      <c r="P504">
        <v>-3.6212683707830998E-2</v>
      </c>
      <c r="Q504" t="s">
        <v>1067</v>
      </c>
      <c r="R504" t="s">
        <v>1173</v>
      </c>
      <c r="S504" t="s">
        <v>1173</v>
      </c>
      <c r="T504" t="s">
        <v>1067</v>
      </c>
      <c r="U504" t="s">
        <v>944</v>
      </c>
      <c r="V504">
        <v>1</v>
      </c>
      <c r="W504" t="s">
        <v>944</v>
      </c>
      <c r="X504" t="s">
        <v>1175</v>
      </c>
      <c r="Y504">
        <v>1</v>
      </c>
      <c r="Z504">
        <v>-0.38553130547242498</v>
      </c>
      <c r="AA504">
        <v>-0.28529635311986201</v>
      </c>
      <c r="AB504">
        <v>-0.153733681862469</v>
      </c>
      <c r="AC504">
        <v>-0.24687059049243401</v>
      </c>
    </row>
    <row r="505" spans="1:29" x14ac:dyDescent="0.2">
      <c r="A505">
        <v>504</v>
      </c>
      <c r="B505" t="s">
        <v>659</v>
      </c>
      <c r="C505" t="s">
        <v>156</v>
      </c>
      <c r="D505" t="s">
        <v>142</v>
      </c>
      <c r="E505">
        <v>-0.149927980573893</v>
      </c>
      <c r="F505">
        <v>0.81269741548683305</v>
      </c>
      <c r="G505">
        <v>6.24830315384597E-3</v>
      </c>
      <c r="H505">
        <v>0.82891881860459704</v>
      </c>
      <c r="I505">
        <v>0.82267051545075098</v>
      </c>
      <c r="J505">
        <v>0.96262539606072595</v>
      </c>
      <c r="K505">
        <v>6.24830315384597E-3</v>
      </c>
      <c r="L505">
        <v>-0.149927980573893</v>
      </c>
      <c r="M505">
        <v>0.80644911233298699</v>
      </c>
      <c r="N505">
        <v>0.96262539606072595</v>
      </c>
      <c r="O505">
        <v>0.82267051545075098</v>
      </c>
      <c r="P505">
        <v>0.97884679917849005</v>
      </c>
      <c r="Q505" t="s">
        <v>1067</v>
      </c>
      <c r="R505" t="s">
        <v>1068</v>
      </c>
      <c r="S505" t="s">
        <v>1173</v>
      </c>
      <c r="T505" t="s">
        <v>1068</v>
      </c>
      <c r="U505" t="s">
        <v>944</v>
      </c>
      <c r="V505">
        <v>0</v>
      </c>
      <c r="W505" t="s">
        <v>944</v>
      </c>
      <c r="X505" t="s">
        <v>1175</v>
      </c>
      <c r="Y505">
        <v>1</v>
      </c>
      <c r="Z505">
        <v>0.58396004990789097</v>
      </c>
      <c r="AA505">
        <v>-0.23168348342207001</v>
      </c>
      <c r="AB505">
        <v>0.850459746414713</v>
      </c>
      <c r="AC505">
        <v>-0.117727473280796</v>
      </c>
    </row>
    <row r="506" spans="1:29" x14ac:dyDescent="0.2">
      <c r="A506">
        <v>505</v>
      </c>
      <c r="B506" t="s">
        <v>660</v>
      </c>
      <c r="C506" t="s">
        <v>156</v>
      </c>
      <c r="D506" t="s">
        <v>146</v>
      </c>
      <c r="E506">
        <v>-1.3404539357679801E-2</v>
      </c>
      <c r="F506">
        <v>0.37677097571657397</v>
      </c>
      <c r="G506">
        <v>-1.06707654464256E-2</v>
      </c>
      <c r="H506">
        <v>0.26084629558971201</v>
      </c>
      <c r="I506">
        <v>0.27151706103613799</v>
      </c>
      <c r="J506">
        <v>0.39017551507425402</v>
      </c>
      <c r="K506">
        <v>-1.06707654464256E-2</v>
      </c>
      <c r="L506">
        <v>-1.3404539357679801E-2</v>
      </c>
      <c r="M506">
        <v>0.38744174116300001</v>
      </c>
      <c r="N506">
        <v>0.39017551507425402</v>
      </c>
      <c r="O506">
        <v>0.27151706103613799</v>
      </c>
      <c r="P506">
        <v>0.274250834947392</v>
      </c>
      <c r="Q506" t="s">
        <v>1173</v>
      </c>
      <c r="R506" t="s">
        <v>1068</v>
      </c>
      <c r="S506" t="s">
        <v>1173</v>
      </c>
      <c r="T506" t="s">
        <v>1068</v>
      </c>
      <c r="U506" t="s">
        <v>944</v>
      </c>
      <c r="V506">
        <v>0</v>
      </c>
      <c r="W506" t="s">
        <v>944</v>
      </c>
      <c r="X506" t="s">
        <v>1175</v>
      </c>
      <c r="Y506">
        <v>1</v>
      </c>
      <c r="Z506">
        <v>-0.21633935316195599</v>
      </c>
      <c r="AA506">
        <v>-0.26566000492453101</v>
      </c>
      <c r="AB506">
        <v>-0.17870203416307801</v>
      </c>
      <c r="AC506">
        <v>-0.32932130810417898</v>
      </c>
    </row>
    <row r="507" spans="1:29" x14ac:dyDescent="0.2">
      <c r="A507">
        <v>506</v>
      </c>
      <c r="B507" t="s">
        <v>661</v>
      </c>
      <c r="C507" t="s">
        <v>156</v>
      </c>
      <c r="D507" t="s">
        <v>150</v>
      </c>
      <c r="E507">
        <v>-1.2536000162858401E-2</v>
      </c>
      <c r="F507">
        <v>0.37482379582741499</v>
      </c>
      <c r="G507">
        <v>2.8189892910165299E-3</v>
      </c>
      <c r="H507">
        <v>0.25805197879394198</v>
      </c>
      <c r="I507">
        <v>0.255232989502925</v>
      </c>
      <c r="J507">
        <v>0.38735979599027298</v>
      </c>
      <c r="K507">
        <v>2.8189892910165299E-3</v>
      </c>
      <c r="L507">
        <v>-1.2536000162858401E-2</v>
      </c>
      <c r="M507">
        <v>0.372004806536398</v>
      </c>
      <c r="N507">
        <v>0.38735979599027298</v>
      </c>
      <c r="O507">
        <v>0.255232989502925</v>
      </c>
      <c r="P507">
        <v>0.27058797895679998</v>
      </c>
      <c r="Q507" t="s">
        <v>1173</v>
      </c>
      <c r="R507" t="s">
        <v>1068</v>
      </c>
      <c r="S507" t="s">
        <v>1173</v>
      </c>
      <c r="T507" t="s">
        <v>1068</v>
      </c>
      <c r="U507" t="s">
        <v>944</v>
      </c>
      <c r="V507">
        <v>0</v>
      </c>
      <c r="W507" t="s">
        <v>944</v>
      </c>
      <c r="X507" t="s">
        <v>1175</v>
      </c>
      <c r="Y507">
        <v>1</v>
      </c>
      <c r="Z507">
        <v>-0.30531288503812298</v>
      </c>
      <c r="AA507">
        <v>-0.30257285759267599</v>
      </c>
      <c r="AB507">
        <v>-0.18174961804137499</v>
      </c>
      <c r="AC507">
        <v>-0.329975858778218</v>
      </c>
    </row>
    <row r="508" spans="1:29" x14ac:dyDescent="0.2">
      <c r="A508">
        <v>507</v>
      </c>
      <c r="B508" t="s">
        <v>662</v>
      </c>
      <c r="C508" t="s">
        <v>156</v>
      </c>
      <c r="D508" t="s">
        <v>158</v>
      </c>
      <c r="E508">
        <v>-0.38485253604870001</v>
      </c>
      <c r="F508">
        <v>-0.27843734813732202</v>
      </c>
      <c r="G508">
        <v>3.7890678850599998E-3</v>
      </c>
      <c r="H508">
        <v>-0.42608975994453102</v>
      </c>
      <c r="I508">
        <v>-0.42987882782959103</v>
      </c>
      <c r="J508">
        <v>0.106415187911378</v>
      </c>
      <c r="K508">
        <v>3.7890678850599998E-3</v>
      </c>
      <c r="L508">
        <v>-0.38485253604870001</v>
      </c>
      <c r="M508">
        <v>-0.28222641602238202</v>
      </c>
      <c r="N508">
        <v>0.106415187911378</v>
      </c>
      <c r="O508">
        <v>-0.42987882782959103</v>
      </c>
      <c r="P508">
        <v>-4.1237223895831003E-2</v>
      </c>
      <c r="Q508" t="s">
        <v>1067</v>
      </c>
      <c r="R508" t="s">
        <v>1067</v>
      </c>
      <c r="S508" t="s">
        <v>1173</v>
      </c>
      <c r="T508" t="s">
        <v>1067</v>
      </c>
      <c r="U508" t="s">
        <v>944</v>
      </c>
      <c r="V508">
        <v>1</v>
      </c>
      <c r="W508" t="s">
        <v>944</v>
      </c>
      <c r="X508" t="s">
        <v>1175</v>
      </c>
      <c r="Y508">
        <v>1</v>
      </c>
      <c r="Z508">
        <v>-0.49407161961257301</v>
      </c>
      <c r="AA508">
        <v>-0.321458634577513</v>
      </c>
      <c r="AB508">
        <v>-0.18392354615498799</v>
      </c>
      <c r="AC508">
        <v>-0.24898077404416999</v>
      </c>
    </row>
    <row r="509" spans="1:29" x14ac:dyDescent="0.2">
      <c r="A509">
        <v>508</v>
      </c>
      <c r="B509" t="s">
        <v>663</v>
      </c>
      <c r="C509" t="s">
        <v>156</v>
      </c>
      <c r="D509" t="s">
        <v>162</v>
      </c>
      <c r="E509">
        <v>-1.2536000162858401E-2</v>
      </c>
      <c r="F509">
        <v>0.37575037476898299</v>
      </c>
      <c r="G509">
        <v>2.4437613115931801E-3</v>
      </c>
      <c r="H509">
        <v>0.26099016532310099</v>
      </c>
      <c r="I509">
        <v>0.25854640401150802</v>
      </c>
      <c r="J509">
        <v>0.38828637493184098</v>
      </c>
      <c r="K509">
        <v>2.4437613115931801E-3</v>
      </c>
      <c r="L509">
        <v>-1.2536000162858401E-2</v>
      </c>
      <c r="M509">
        <v>0.37330661345739002</v>
      </c>
      <c r="N509">
        <v>0.38828637493184098</v>
      </c>
      <c r="O509">
        <v>0.25854640401150802</v>
      </c>
      <c r="P509">
        <v>0.27352616548595898</v>
      </c>
      <c r="Q509" t="s">
        <v>1173</v>
      </c>
      <c r="R509" t="s">
        <v>1068</v>
      </c>
      <c r="S509" t="s">
        <v>1173</v>
      </c>
      <c r="T509" t="s">
        <v>1068</v>
      </c>
      <c r="U509" t="s">
        <v>944</v>
      </c>
      <c r="V509">
        <v>0</v>
      </c>
      <c r="W509" t="s">
        <v>944</v>
      </c>
      <c r="X509" t="s">
        <v>1175</v>
      </c>
      <c r="Y509">
        <v>1</v>
      </c>
      <c r="Z509">
        <v>-0.28591467960815797</v>
      </c>
      <c r="AA509">
        <v>-0.29488226108304899</v>
      </c>
      <c r="AB509">
        <v>-0.18035705228156201</v>
      </c>
      <c r="AC509">
        <v>-0.32979378417198602</v>
      </c>
    </row>
    <row r="510" spans="1:29" x14ac:dyDescent="0.2">
      <c r="A510">
        <v>509</v>
      </c>
      <c r="B510" t="s">
        <v>664</v>
      </c>
      <c r="C510" t="s">
        <v>156</v>
      </c>
      <c r="D510" t="s">
        <v>168</v>
      </c>
      <c r="E510">
        <v>0.272700391791388</v>
      </c>
      <c r="F510">
        <v>0.118251287966798</v>
      </c>
      <c r="G510">
        <v>1.7263170785667602E-2</v>
      </c>
      <c r="H510">
        <v>-1.4532163262704701E-2</v>
      </c>
      <c r="I510">
        <v>-3.1795334048372301E-2</v>
      </c>
      <c r="J510">
        <v>-0.15444910382459001</v>
      </c>
      <c r="K510">
        <v>0.272700391791388</v>
      </c>
      <c r="L510">
        <v>1.7263170785667602E-2</v>
      </c>
      <c r="M510">
        <v>-0.15444910382459001</v>
      </c>
      <c r="N510">
        <v>0.10098811718113</v>
      </c>
      <c r="O510">
        <v>-0.28723255505409301</v>
      </c>
      <c r="P510">
        <v>-3.1795334048372301E-2</v>
      </c>
      <c r="Q510" t="s">
        <v>1068</v>
      </c>
      <c r="R510" t="s">
        <v>1068</v>
      </c>
      <c r="S510" t="s">
        <v>1173</v>
      </c>
      <c r="T510" t="s">
        <v>1173</v>
      </c>
      <c r="U510" t="s">
        <v>1174</v>
      </c>
      <c r="V510">
        <v>1</v>
      </c>
      <c r="W510" t="s">
        <v>944</v>
      </c>
      <c r="X510" t="s">
        <v>1175</v>
      </c>
      <c r="Y510">
        <v>1</v>
      </c>
      <c r="Z510">
        <v>-0.49477117321216202</v>
      </c>
      <c r="AA510">
        <v>-0.32772341452452303</v>
      </c>
      <c r="AB510">
        <v>-0.17861064181988301</v>
      </c>
      <c r="AC510">
        <v>-0.254348335630944</v>
      </c>
    </row>
    <row r="511" spans="1:29" x14ac:dyDescent="0.2">
      <c r="A511">
        <v>510</v>
      </c>
      <c r="B511" t="s">
        <v>665</v>
      </c>
      <c r="C511" t="s">
        <v>214</v>
      </c>
      <c r="D511" t="s">
        <v>129</v>
      </c>
      <c r="E511">
        <v>-0.24723839274338</v>
      </c>
      <c r="F511">
        <v>-1</v>
      </c>
      <c r="G511">
        <v>-5.5544637588122302E-2</v>
      </c>
      <c r="H511">
        <v>-1</v>
      </c>
      <c r="I511">
        <v>-0.944455362411878</v>
      </c>
      <c r="J511">
        <v>-0.75276160725662</v>
      </c>
      <c r="K511">
        <v>-5.5544637588122302E-2</v>
      </c>
      <c r="L511">
        <v>-0.24723839274338</v>
      </c>
      <c r="M511">
        <v>-0.944455362411878</v>
      </c>
      <c r="N511">
        <v>-0.75276160725662</v>
      </c>
      <c r="O511">
        <v>-0.944455362411878</v>
      </c>
      <c r="P511">
        <v>-0.75276160725662</v>
      </c>
      <c r="Q511" t="s">
        <v>1067</v>
      </c>
      <c r="R511" t="s">
        <v>1067</v>
      </c>
      <c r="S511" t="s">
        <v>1173</v>
      </c>
      <c r="T511" t="s">
        <v>1067</v>
      </c>
      <c r="U511" t="s">
        <v>1174</v>
      </c>
      <c r="V511">
        <v>1</v>
      </c>
      <c r="W511" t="s">
        <v>944</v>
      </c>
      <c r="X511" t="s">
        <v>1175</v>
      </c>
      <c r="Y511">
        <v>1</v>
      </c>
      <c r="Z511">
        <v>-0.54342670037363405</v>
      </c>
      <c r="AA511">
        <v>-0.29131804485912799</v>
      </c>
      <c r="AB511">
        <v>-0.36921964183407002</v>
      </c>
      <c r="AC511">
        <v>-0.27533527748898301</v>
      </c>
    </row>
    <row r="512" spans="1:29" x14ac:dyDescent="0.2">
      <c r="A512">
        <v>511</v>
      </c>
      <c r="B512" t="s">
        <v>666</v>
      </c>
      <c r="C512" t="s">
        <v>214</v>
      </c>
      <c r="D512" t="s">
        <v>130</v>
      </c>
      <c r="E512">
        <v>-3.7262144226989202E-2</v>
      </c>
      <c r="F512">
        <v>-0.22613035045369001</v>
      </c>
      <c r="G512">
        <v>-0.20201712810054601</v>
      </c>
      <c r="H512">
        <v>-0.38331104914200198</v>
      </c>
      <c r="I512">
        <v>-0.181293921041456</v>
      </c>
      <c r="J512">
        <v>-0.188868206226701</v>
      </c>
      <c r="K512">
        <v>-3.7262144226989202E-2</v>
      </c>
      <c r="L512">
        <v>-0.20201712810054601</v>
      </c>
      <c r="M512">
        <v>-0.188868206226701</v>
      </c>
      <c r="N512">
        <v>-2.4113222353144E-2</v>
      </c>
      <c r="O512">
        <v>-0.346048904915013</v>
      </c>
      <c r="P512">
        <v>-0.181293921041456</v>
      </c>
      <c r="Q512" t="s">
        <v>1173</v>
      </c>
      <c r="R512" t="s">
        <v>1067</v>
      </c>
      <c r="S512" t="s">
        <v>1067</v>
      </c>
      <c r="T512" t="s">
        <v>1067</v>
      </c>
      <c r="U512" t="s">
        <v>1174</v>
      </c>
      <c r="V512">
        <v>1</v>
      </c>
      <c r="W512" t="s">
        <v>1174</v>
      </c>
      <c r="X512" t="s">
        <v>1175</v>
      </c>
      <c r="Y512">
        <v>1</v>
      </c>
      <c r="Z512">
        <v>-0.32242864515075598</v>
      </c>
      <c r="AA512">
        <v>-0.227520746233877</v>
      </c>
      <c r="AB512">
        <v>-0.46800581319366202</v>
      </c>
      <c r="AC512">
        <v>-0.36601413645242598</v>
      </c>
    </row>
    <row r="513" spans="1:29" x14ac:dyDescent="0.2">
      <c r="A513">
        <v>512</v>
      </c>
      <c r="B513" t="s">
        <v>667</v>
      </c>
      <c r="C513" t="s">
        <v>214</v>
      </c>
      <c r="D513" t="s">
        <v>132</v>
      </c>
      <c r="E513">
        <v>-0.35643333218235401</v>
      </c>
      <c r="F513">
        <v>-1</v>
      </c>
      <c r="G513">
        <v>-5.8625335802882199E-2</v>
      </c>
      <c r="H513">
        <v>-1</v>
      </c>
      <c r="I513">
        <v>-0.94137466419711802</v>
      </c>
      <c r="J513">
        <v>-0.64356666781764604</v>
      </c>
      <c r="K513">
        <v>-5.8625335802882199E-2</v>
      </c>
      <c r="L513">
        <v>-0.35643333218235401</v>
      </c>
      <c r="M513">
        <v>-0.94137466419711802</v>
      </c>
      <c r="N513">
        <v>-0.64356666781764604</v>
      </c>
      <c r="O513">
        <v>-0.94137466419711802</v>
      </c>
      <c r="P513">
        <v>-0.64356666781764604</v>
      </c>
      <c r="Q513" t="s">
        <v>1067</v>
      </c>
      <c r="R513" t="s">
        <v>1067</v>
      </c>
      <c r="S513" t="s">
        <v>1173</v>
      </c>
      <c r="T513" t="s">
        <v>1067</v>
      </c>
      <c r="U513" t="s">
        <v>1174</v>
      </c>
      <c r="V513">
        <v>1</v>
      </c>
      <c r="W513" t="s">
        <v>944</v>
      </c>
      <c r="X513" t="s">
        <v>1175</v>
      </c>
      <c r="Y513">
        <v>1</v>
      </c>
      <c r="Z513">
        <v>-0.59217757130154003</v>
      </c>
      <c r="AA513">
        <v>-0.297264267440145</v>
      </c>
      <c r="AB513">
        <v>-0.42650931734865899</v>
      </c>
      <c r="AC513">
        <v>-0.28473848046911798</v>
      </c>
    </row>
    <row r="514" spans="1:29" x14ac:dyDescent="0.2">
      <c r="A514">
        <v>513</v>
      </c>
      <c r="B514" t="s">
        <v>668</v>
      </c>
      <c r="C514" t="s">
        <v>214</v>
      </c>
      <c r="D514" t="s">
        <v>134</v>
      </c>
      <c r="E514">
        <v>-5.2351544104044197E-2</v>
      </c>
      <c r="F514">
        <v>-4.3892662549564802E-2</v>
      </c>
      <c r="G514">
        <v>3.5043117625606001E-3</v>
      </c>
      <c r="H514">
        <v>-0.10353455190557399</v>
      </c>
      <c r="I514">
        <v>-0.107038863668135</v>
      </c>
      <c r="J514">
        <v>8.4588815544793996E-3</v>
      </c>
      <c r="K514">
        <v>3.5043117625606001E-3</v>
      </c>
      <c r="L514">
        <v>-5.2351544104044197E-2</v>
      </c>
      <c r="M514">
        <v>-4.7396974312125403E-2</v>
      </c>
      <c r="N514">
        <v>8.4588815544793996E-3</v>
      </c>
      <c r="O514">
        <v>-0.107038863668135</v>
      </c>
      <c r="P514">
        <v>-5.1183007801529803E-2</v>
      </c>
      <c r="Q514" t="s">
        <v>1173</v>
      </c>
      <c r="R514" t="s">
        <v>1173</v>
      </c>
      <c r="S514" t="s">
        <v>1173</v>
      </c>
      <c r="T514" t="s">
        <v>1067</v>
      </c>
      <c r="U514" t="s">
        <v>944</v>
      </c>
      <c r="V514">
        <v>1</v>
      </c>
      <c r="W514" t="s">
        <v>944</v>
      </c>
      <c r="X514" t="s">
        <v>1175</v>
      </c>
      <c r="Y514">
        <v>0</v>
      </c>
      <c r="Z514">
        <v>-0.45903201907376401</v>
      </c>
      <c r="AA514">
        <v>-0.31696296344584002</v>
      </c>
      <c r="AB514">
        <v>-0.34536800140618801</v>
      </c>
      <c r="AC514">
        <v>-0.34193685525779099</v>
      </c>
    </row>
    <row r="515" spans="1:29" x14ac:dyDescent="0.2">
      <c r="A515">
        <v>514</v>
      </c>
      <c r="B515" t="s">
        <v>669</v>
      </c>
      <c r="C515" t="s">
        <v>214</v>
      </c>
      <c r="D515" t="s">
        <v>136</v>
      </c>
      <c r="E515">
        <v>-0.35856563503526701</v>
      </c>
      <c r="F515">
        <v>-0.55358762132246697</v>
      </c>
      <c r="G515">
        <v>3.50431001005545E-3</v>
      </c>
      <c r="H515">
        <v>-0.70832216525329506</v>
      </c>
      <c r="I515">
        <v>-0.71182647526334997</v>
      </c>
      <c r="J515">
        <v>-0.19502198628719999</v>
      </c>
      <c r="K515">
        <v>3.50431001005545E-3</v>
      </c>
      <c r="L515">
        <v>-0.35856563503526701</v>
      </c>
      <c r="M515">
        <v>-0.55709193133252199</v>
      </c>
      <c r="N515">
        <v>-0.19502198628719999</v>
      </c>
      <c r="O515">
        <v>-0.71182647526334997</v>
      </c>
      <c r="P515">
        <v>-0.34975653021802799</v>
      </c>
      <c r="Q515" t="s">
        <v>1067</v>
      </c>
      <c r="R515" t="s">
        <v>1067</v>
      </c>
      <c r="S515" t="s">
        <v>1173</v>
      </c>
      <c r="T515" t="s">
        <v>1067</v>
      </c>
      <c r="U515" t="s">
        <v>1174</v>
      </c>
      <c r="V515">
        <v>1</v>
      </c>
      <c r="W515" t="s">
        <v>944</v>
      </c>
      <c r="X515" t="s">
        <v>1175</v>
      </c>
      <c r="Y515">
        <v>1</v>
      </c>
      <c r="Z515">
        <v>-0.53772289820067898</v>
      </c>
      <c r="AA515">
        <v>-0.32644576744279202</v>
      </c>
      <c r="AB515">
        <v>-0.23356638349752301</v>
      </c>
      <c r="AC515">
        <v>-0.25563143527804799</v>
      </c>
    </row>
    <row r="516" spans="1:29" x14ac:dyDescent="0.2">
      <c r="A516">
        <v>515</v>
      </c>
      <c r="B516" t="s">
        <v>670</v>
      </c>
      <c r="C516" t="s">
        <v>214</v>
      </c>
      <c r="D516" t="s">
        <v>138</v>
      </c>
      <c r="E516">
        <v>-0.579107239432048</v>
      </c>
      <c r="F516">
        <v>0.45933473674944902</v>
      </c>
      <c r="G516">
        <v>-0.35540695301611203</v>
      </c>
      <c r="H516">
        <v>0.363925346459754</v>
      </c>
      <c r="I516">
        <v>0.71933229947586597</v>
      </c>
      <c r="J516">
        <v>1.0384419761815</v>
      </c>
      <c r="K516">
        <v>-0.35540695301611203</v>
      </c>
      <c r="L516">
        <v>-0.579107239432048</v>
      </c>
      <c r="M516">
        <v>0.81474168976556105</v>
      </c>
      <c r="N516">
        <v>1.0384419761815</v>
      </c>
      <c r="O516">
        <v>0.71933229947586597</v>
      </c>
      <c r="P516">
        <v>0.94303258589180206</v>
      </c>
      <c r="Q516" t="s">
        <v>1067</v>
      </c>
      <c r="R516" t="s">
        <v>1068</v>
      </c>
      <c r="S516" t="s">
        <v>1067</v>
      </c>
      <c r="T516" t="s">
        <v>1068</v>
      </c>
      <c r="U516" t="s">
        <v>944</v>
      </c>
      <c r="V516">
        <v>0</v>
      </c>
      <c r="W516" t="s">
        <v>944</v>
      </c>
      <c r="X516" t="s">
        <v>1175</v>
      </c>
      <c r="Y516">
        <v>1</v>
      </c>
      <c r="Z516">
        <v>0.31280990950362297</v>
      </c>
      <c r="AA516">
        <v>-0.16592242654984901</v>
      </c>
      <c r="AB516">
        <v>0.41871310767431003</v>
      </c>
      <c r="AC516">
        <v>-0.17652490453663</v>
      </c>
    </row>
    <row r="517" spans="1:29" x14ac:dyDescent="0.2">
      <c r="A517">
        <v>516</v>
      </c>
      <c r="B517" t="s">
        <v>671</v>
      </c>
      <c r="C517" t="s">
        <v>214</v>
      </c>
      <c r="D517" t="s">
        <v>182</v>
      </c>
      <c r="E517">
        <v>-0.38138236940484299</v>
      </c>
      <c r="F517">
        <v>0.55233472764570102</v>
      </c>
      <c r="G517">
        <v>-5.9325018462589502E-2</v>
      </c>
      <c r="H517">
        <v>0.54057042074042005</v>
      </c>
      <c r="I517">
        <v>0.59989543920301003</v>
      </c>
      <c r="J517">
        <v>0.93371709705054395</v>
      </c>
      <c r="K517">
        <v>-5.9325018462589502E-2</v>
      </c>
      <c r="L517">
        <v>-0.38138236940484299</v>
      </c>
      <c r="M517">
        <v>0.61165974610828999</v>
      </c>
      <c r="N517">
        <v>0.93371709705054395</v>
      </c>
      <c r="O517">
        <v>0.59989543920301003</v>
      </c>
      <c r="P517">
        <v>0.92195279014526299</v>
      </c>
      <c r="Q517" t="s">
        <v>1067</v>
      </c>
      <c r="R517" t="s">
        <v>1068</v>
      </c>
      <c r="S517" t="s">
        <v>1173</v>
      </c>
      <c r="T517" t="s">
        <v>1068</v>
      </c>
      <c r="U517" t="s">
        <v>944</v>
      </c>
      <c r="V517">
        <v>0</v>
      </c>
      <c r="W517" t="s">
        <v>944</v>
      </c>
      <c r="X517" t="s">
        <v>1175</v>
      </c>
      <c r="Y517">
        <v>1</v>
      </c>
      <c r="Z517">
        <v>0.28076324721346302</v>
      </c>
      <c r="AA517">
        <v>-0.191213900630849</v>
      </c>
      <c r="AB517">
        <v>0.40633646057872203</v>
      </c>
      <c r="AC517">
        <v>-0.176080462699469</v>
      </c>
    </row>
    <row r="518" spans="1:29" x14ac:dyDescent="0.2">
      <c r="A518">
        <v>517</v>
      </c>
      <c r="B518" t="s">
        <v>672</v>
      </c>
      <c r="C518" t="s">
        <v>214</v>
      </c>
      <c r="D518" t="s">
        <v>188</v>
      </c>
      <c r="E518">
        <v>-0.471505691622779</v>
      </c>
      <c r="F518">
        <v>0.56674000193462404</v>
      </c>
      <c r="G518">
        <v>-9.84606185829284E-2</v>
      </c>
      <c r="H518">
        <v>0.54411778567116398</v>
      </c>
      <c r="I518">
        <v>0.64257840425409196</v>
      </c>
      <c r="J518">
        <v>1.0382456935574</v>
      </c>
      <c r="K518">
        <v>-9.84606185829284E-2</v>
      </c>
      <c r="L518">
        <v>-0.471505691622779</v>
      </c>
      <c r="M518">
        <v>0.66520062051755202</v>
      </c>
      <c r="N518">
        <v>1.0382456935574</v>
      </c>
      <c r="O518">
        <v>0.64257840425409196</v>
      </c>
      <c r="P518">
        <v>1.0156234772939401</v>
      </c>
      <c r="Q518" t="s">
        <v>1067</v>
      </c>
      <c r="R518" t="s">
        <v>1068</v>
      </c>
      <c r="S518" t="s">
        <v>1173</v>
      </c>
      <c r="T518" t="s">
        <v>1068</v>
      </c>
      <c r="U518" t="s">
        <v>944</v>
      </c>
      <c r="V518">
        <v>0</v>
      </c>
      <c r="W518" t="s">
        <v>944</v>
      </c>
      <c r="X518" t="s">
        <v>1175</v>
      </c>
      <c r="Y518">
        <v>1</v>
      </c>
      <c r="Z518">
        <v>0.31865729197297898</v>
      </c>
      <c r="AA518">
        <v>-0.17978425797383399</v>
      </c>
      <c r="AB518">
        <v>0.441366475664068</v>
      </c>
      <c r="AC518">
        <v>-0.17142604101098299</v>
      </c>
    </row>
    <row r="519" spans="1:29" x14ac:dyDescent="0.2">
      <c r="A519">
        <v>518</v>
      </c>
      <c r="B519" t="s">
        <v>673</v>
      </c>
      <c r="C519" t="s">
        <v>214</v>
      </c>
      <c r="D519" t="s">
        <v>140</v>
      </c>
      <c r="E519">
        <v>-0.36069269902140599</v>
      </c>
      <c r="F519">
        <v>-1</v>
      </c>
      <c r="G519">
        <v>-0.133170669787017</v>
      </c>
      <c r="H519">
        <v>-1</v>
      </c>
      <c r="I519">
        <v>-0.86682933021298303</v>
      </c>
      <c r="J519">
        <v>-0.63930730097859401</v>
      </c>
      <c r="K519">
        <v>-0.133170669787017</v>
      </c>
      <c r="L519">
        <v>-0.36069269902140599</v>
      </c>
      <c r="M519">
        <v>-0.86682933021298303</v>
      </c>
      <c r="N519">
        <v>-0.63930730097859401</v>
      </c>
      <c r="O519">
        <v>-0.86682933021298303</v>
      </c>
      <c r="P519">
        <v>-0.63930730097859401</v>
      </c>
      <c r="Q519" t="s">
        <v>1067</v>
      </c>
      <c r="R519" t="s">
        <v>1067</v>
      </c>
      <c r="S519" t="s">
        <v>1067</v>
      </c>
      <c r="T519" t="s">
        <v>1067</v>
      </c>
      <c r="U519" t="s">
        <v>1174</v>
      </c>
      <c r="V519">
        <v>1</v>
      </c>
      <c r="W519" t="s">
        <v>944</v>
      </c>
      <c r="X519" t="s">
        <v>1175</v>
      </c>
      <c r="Y519">
        <v>1</v>
      </c>
      <c r="Z519">
        <v>-0.525158825522821</v>
      </c>
      <c r="AA519">
        <v>-0.26171405589123897</v>
      </c>
      <c r="AB519">
        <v>-0.44090187386512503</v>
      </c>
      <c r="AC519">
        <v>-0.28305562051621602</v>
      </c>
    </row>
    <row r="520" spans="1:29" x14ac:dyDescent="0.2">
      <c r="A520">
        <v>519</v>
      </c>
      <c r="B520" t="s">
        <v>674</v>
      </c>
      <c r="C520" t="s">
        <v>214</v>
      </c>
      <c r="D520" t="s">
        <v>191</v>
      </c>
      <c r="E520">
        <v>-0.36895817665868602</v>
      </c>
      <c r="F520">
        <v>-1</v>
      </c>
      <c r="G520">
        <v>-0.156590043101698</v>
      </c>
      <c r="H520">
        <v>-1</v>
      </c>
      <c r="I520">
        <v>-0.843409956898302</v>
      </c>
      <c r="J520">
        <v>-0.63104182334131398</v>
      </c>
      <c r="K520">
        <v>-0.156590043101698</v>
      </c>
      <c r="L520">
        <v>-0.36895817665868602</v>
      </c>
      <c r="M520">
        <v>-0.843409956898302</v>
      </c>
      <c r="N520">
        <v>-0.63104182334131398</v>
      </c>
      <c r="O520">
        <v>-0.843409956898302</v>
      </c>
      <c r="P520">
        <v>-0.63104182334131398</v>
      </c>
      <c r="Q520" t="s">
        <v>1067</v>
      </c>
      <c r="R520" t="s">
        <v>1067</v>
      </c>
      <c r="S520" t="s">
        <v>1067</v>
      </c>
      <c r="T520" t="s">
        <v>1067</v>
      </c>
      <c r="U520" t="s">
        <v>1174</v>
      </c>
      <c r="V520">
        <v>1</v>
      </c>
      <c r="W520" t="s">
        <v>944</v>
      </c>
      <c r="X520" t="s">
        <v>1175</v>
      </c>
      <c r="Y520">
        <v>1</v>
      </c>
      <c r="Z520">
        <v>-0.5247313912389</v>
      </c>
      <c r="AA520">
        <v>-0.25702405323081101</v>
      </c>
      <c r="AB520">
        <v>-0.45843606803997999</v>
      </c>
      <c r="AC520">
        <v>-0.286018983257043</v>
      </c>
    </row>
    <row r="521" spans="1:29" x14ac:dyDescent="0.2">
      <c r="A521">
        <v>520</v>
      </c>
      <c r="B521" t="s">
        <v>675</v>
      </c>
      <c r="C521" t="s">
        <v>214</v>
      </c>
      <c r="D521" t="s">
        <v>193</v>
      </c>
      <c r="E521">
        <v>-0.36136990311098599</v>
      </c>
      <c r="F521">
        <v>-1</v>
      </c>
      <c r="G521">
        <v>-0.16221486339639801</v>
      </c>
      <c r="H521">
        <v>-1</v>
      </c>
      <c r="I521">
        <v>-0.83778513660360199</v>
      </c>
      <c r="J521">
        <v>-0.63863009688901395</v>
      </c>
      <c r="K521">
        <v>-0.16221486339639801</v>
      </c>
      <c r="L521">
        <v>-0.36136990311098599</v>
      </c>
      <c r="M521">
        <v>-0.83778513660360199</v>
      </c>
      <c r="N521">
        <v>-0.63863009688901395</v>
      </c>
      <c r="O521">
        <v>-0.83778513660360199</v>
      </c>
      <c r="P521">
        <v>-0.63863009688901395</v>
      </c>
      <c r="Q521" t="s">
        <v>1067</v>
      </c>
      <c r="R521" t="s">
        <v>1067</v>
      </c>
      <c r="S521" t="s">
        <v>1067</v>
      </c>
      <c r="T521" t="s">
        <v>1067</v>
      </c>
      <c r="U521" t="s">
        <v>1174</v>
      </c>
      <c r="V521">
        <v>1</v>
      </c>
      <c r="W521" t="s">
        <v>944</v>
      </c>
      <c r="X521" t="s">
        <v>1175</v>
      </c>
      <c r="Y521">
        <v>1</v>
      </c>
      <c r="Z521">
        <v>-0.52583009194199404</v>
      </c>
      <c r="AA521">
        <v>-0.25385578787026503</v>
      </c>
      <c r="AB521">
        <v>-0.46514599676137097</v>
      </c>
      <c r="AC521">
        <v>-0.28390009703366198</v>
      </c>
    </row>
    <row r="522" spans="1:29" x14ac:dyDescent="0.2">
      <c r="A522">
        <v>521</v>
      </c>
      <c r="B522" t="s">
        <v>676</v>
      </c>
      <c r="C522" t="s">
        <v>214</v>
      </c>
      <c r="D522" t="s">
        <v>142</v>
      </c>
      <c r="E522">
        <v>-0.40479354148555502</v>
      </c>
      <c r="F522">
        <v>0.48706506192878302</v>
      </c>
      <c r="G522">
        <v>3.5043118555631702E-3</v>
      </c>
      <c r="H522">
        <v>0.47855016442246201</v>
      </c>
      <c r="I522">
        <v>0.47504585256689902</v>
      </c>
      <c r="J522">
        <v>0.89185860341433798</v>
      </c>
      <c r="K522">
        <v>3.5043118555631702E-3</v>
      </c>
      <c r="L522">
        <v>-0.40479354148555502</v>
      </c>
      <c r="M522">
        <v>0.48356075007322002</v>
      </c>
      <c r="N522">
        <v>0.89185860341433798</v>
      </c>
      <c r="O522">
        <v>0.47504585256689902</v>
      </c>
      <c r="P522">
        <v>0.88334370590801703</v>
      </c>
      <c r="Q522" t="s">
        <v>1067</v>
      </c>
      <c r="R522" t="s">
        <v>1068</v>
      </c>
      <c r="S522" t="s">
        <v>1173</v>
      </c>
      <c r="T522" t="s">
        <v>1068</v>
      </c>
      <c r="U522" t="s">
        <v>944</v>
      </c>
      <c r="V522">
        <v>0</v>
      </c>
      <c r="W522" t="s">
        <v>944</v>
      </c>
      <c r="X522" t="s">
        <v>1175</v>
      </c>
      <c r="Y522">
        <v>1</v>
      </c>
      <c r="Z522">
        <v>0.444332529857495</v>
      </c>
      <c r="AA522">
        <v>-0.208101186193447</v>
      </c>
      <c r="AB522">
        <v>0.56329155441205703</v>
      </c>
      <c r="AC522">
        <v>-0.15391250330457901</v>
      </c>
    </row>
    <row r="523" spans="1:29" x14ac:dyDescent="0.2">
      <c r="A523">
        <v>522</v>
      </c>
      <c r="B523" t="s">
        <v>677</v>
      </c>
      <c r="C523" t="s">
        <v>214</v>
      </c>
      <c r="D523" t="s">
        <v>144</v>
      </c>
      <c r="E523">
        <v>-3.7125494014914703E-2</v>
      </c>
      <c r="F523">
        <v>-0.26052250232055602</v>
      </c>
      <c r="G523">
        <v>1.06150326731258E-2</v>
      </c>
      <c r="H523">
        <v>-0.40281236485330602</v>
      </c>
      <c r="I523">
        <v>-0.41342739752643198</v>
      </c>
      <c r="J523">
        <v>-0.22339700830564099</v>
      </c>
      <c r="K523">
        <v>1.06150326731258E-2</v>
      </c>
      <c r="L523">
        <v>-3.7125494014914703E-2</v>
      </c>
      <c r="M523">
        <v>-0.27113753499368198</v>
      </c>
      <c r="N523">
        <v>-0.22339700830564099</v>
      </c>
      <c r="O523">
        <v>-0.41342739752643198</v>
      </c>
      <c r="P523">
        <v>-0.36568687083839102</v>
      </c>
      <c r="Q523" t="s">
        <v>1173</v>
      </c>
      <c r="R523" t="s">
        <v>1067</v>
      </c>
      <c r="S523" t="s">
        <v>1173</v>
      </c>
      <c r="T523" t="s">
        <v>1067</v>
      </c>
      <c r="U523" t="s">
        <v>1174</v>
      </c>
      <c r="V523">
        <v>1</v>
      </c>
      <c r="W523" t="s">
        <v>1174</v>
      </c>
      <c r="X523" t="s">
        <v>1175</v>
      </c>
      <c r="Y523">
        <v>1</v>
      </c>
      <c r="Z523">
        <v>-0.38297316492376499</v>
      </c>
      <c r="AA523">
        <v>-0.30778603012924899</v>
      </c>
      <c r="AB523">
        <v>-0.28427443085308701</v>
      </c>
      <c r="AC523">
        <v>-0.34201921339267799</v>
      </c>
    </row>
    <row r="524" spans="1:29" x14ac:dyDescent="0.2">
      <c r="A524">
        <v>523</v>
      </c>
      <c r="B524" t="s">
        <v>678</v>
      </c>
      <c r="C524" t="s">
        <v>214</v>
      </c>
      <c r="D524" t="s">
        <v>146</v>
      </c>
      <c r="E524">
        <v>-3.72690572577224E-2</v>
      </c>
      <c r="F524">
        <v>-0.219778194009181</v>
      </c>
      <c r="G524">
        <v>-0.14464457538218001</v>
      </c>
      <c r="H524">
        <v>-0.37101055788806497</v>
      </c>
      <c r="I524">
        <v>-0.22636598250588499</v>
      </c>
      <c r="J524">
        <v>-0.18250913675145899</v>
      </c>
      <c r="K524">
        <v>-3.72690572577224E-2</v>
      </c>
      <c r="L524">
        <v>-0.14464457538218001</v>
      </c>
      <c r="M524">
        <v>-0.18250913675145899</v>
      </c>
      <c r="N524">
        <v>-7.5133618627001006E-2</v>
      </c>
      <c r="O524">
        <v>-0.33374150063034302</v>
      </c>
      <c r="P524">
        <v>-0.22636598250588499</v>
      </c>
      <c r="Q524" t="s">
        <v>1173</v>
      </c>
      <c r="R524" t="s">
        <v>1067</v>
      </c>
      <c r="S524" t="s">
        <v>1067</v>
      </c>
      <c r="T524" t="s">
        <v>1067</v>
      </c>
      <c r="U524" t="s">
        <v>1174</v>
      </c>
      <c r="V524">
        <v>1</v>
      </c>
      <c r="W524" t="s">
        <v>1174</v>
      </c>
      <c r="X524" t="s">
        <v>1175</v>
      </c>
      <c r="Y524">
        <v>1</v>
      </c>
      <c r="Z524">
        <v>-0.35596687321235299</v>
      </c>
      <c r="AA524">
        <v>-0.242077707695908</v>
      </c>
      <c r="AB524">
        <v>-0.46587022616573498</v>
      </c>
      <c r="AC524">
        <v>-0.36550633812796202</v>
      </c>
    </row>
    <row r="525" spans="1:29" x14ac:dyDescent="0.2">
      <c r="A525">
        <v>524</v>
      </c>
      <c r="B525" t="s">
        <v>679</v>
      </c>
      <c r="C525" t="s">
        <v>214</v>
      </c>
      <c r="D525" t="s">
        <v>200</v>
      </c>
      <c r="E525">
        <v>0.74790864282319303</v>
      </c>
      <c r="F525">
        <v>0.85623313352254404</v>
      </c>
      <c r="G525">
        <v>0.74263807114018898</v>
      </c>
      <c r="H525">
        <v>0.82500698140273199</v>
      </c>
      <c r="I525">
        <v>8.2368910262543005E-2</v>
      </c>
      <c r="J525">
        <v>0.108324490699351</v>
      </c>
      <c r="K525">
        <v>0.74790864282319303</v>
      </c>
      <c r="L525">
        <v>0.74263807114018898</v>
      </c>
      <c r="M525">
        <v>0.108324490699351</v>
      </c>
      <c r="N525">
        <v>0.11359506238235501</v>
      </c>
      <c r="O525">
        <v>7.7098338579539002E-2</v>
      </c>
      <c r="P525">
        <v>8.2368910262543005E-2</v>
      </c>
      <c r="Q525" t="s">
        <v>1068</v>
      </c>
      <c r="R525" t="s">
        <v>1068</v>
      </c>
      <c r="S525" t="s">
        <v>1068</v>
      </c>
      <c r="T525" t="s">
        <v>1068</v>
      </c>
      <c r="U525" t="s">
        <v>944</v>
      </c>
      <c r="V525">
        <v>0</v>
      </c>
      <c r="W525" t="s">
        <v>944</v>
      </c>
      <c r="X525" t="s">
        <v>1175</v>
      </c>
      <c r="Y525">
        <v>1</v>
      </c>
      <c r="Z525">
        <v>-0.35813294144729801</v>
      </c>
      <c r="AA525">
        <v>-0.27078633313809197</v>
      </c>
      <c r="AB525">
        <v>-0.163027358753872</v>
      </c>
      <c r="AC525">
        <v>-0.249824980624473</v>
      </c>
    </row>
    <row r="526" spans="1:29" x14ac:dyDescent="0.2">
      <c r="A526">
        <v>525</v>
      </c>
      <c r="B526" t="s">
        <v>680</v>
      </c>
      <c r="C526" t="s">
        <v>214</v>
      </c>
      <c r="D526" t="s">
        <v>148</v>
      </c>
      <c r="E526">
        <v>-0.36997627710988501</v>
      </c>
      <c r="F526">
        <v>-1</v>
      </c>
      <c r="G526">
        <v>3.5468598718183999E-3</v>
      </c>
      <c r="H526">
        <v>-1</v>
      </c>
      <c r="I526">
        <v>-1.00354685987182</v>
      </c>
      <c r="J526">
        <v>-0.63002372289011499</v>
      </c>
      <c r="K526">
        <v>3.5468598718183999E-3</v>
      </c>
      <c r="L526">
        <v>-0.36997627710988501</v>
      </c>
      <c r="M526">
        <v>-1.00354685987182</v>
      </c>
      <c r="N526">
        <v>-0.63002372289011499</v>
      </c>
      <c r="O526">
        <v>-1.00354685987182</v>
      </c>
      <c r="P526">
        <v>-0.63002372289011499</v>
      </c>
      <c r="Q526" t="s">
        <v>1067</v>
      </c>
      <c r="R526" t="s">
        <v>1067</v>
      </c>
      <c r="S526" t="s">
        <v>1173</v>
      </c>
      <c r="T526" t="s">
        <v>1067</v>
      </c>
      <c r="U526" t="s">
        <v>1174</v>
      </c>
      <c r="V526">
        <v>1</v>
      </c>
      <c r="W526" t="s">
        <v>944</v>
      </c>
      <c r="X526" t="s">
        <v>1175</v>
      </c>
      <c r="Y526">
        <v>1</v>
      </c>
      <c r="Z526">
        <v>-0.715290153402108</v>
      </c>
      <c r="AA526">
        <v>-0.34785031849949</v>
      </c>
      <c r="AB526">
        <v>-0.425166645022859</v>
      </c>
      <c r="AC526">
        <v>-0.28243777235635698</v>
      </c>
    </row>
    <row r="527" spans="1:29" x14ac:dyDescent="0.2">
      <c r="A527">
        <v>526</v>
      </c>
      <c r="B527" t="s">
        <v>681</v>
      </c>
      <c r="C527" t="s">
        <v>214</v>
      </c>
      <c r="D527" t="s">
        <v>150</v>
      </c>
      <c r="E527">
        <v>-3.7125494003261497E-2</v>
      </c>
      <c r="F527">
        <v>-0.22832341703154299</v>
      </c>
      <c r="G527">
        <v>-5.1172635992755601E-2</v>
      </c>
      <c r="H527">
        <v>-0.38221417561481003</v>
      </c>
      <c r="I527">
        <v>-0.33104153962205402</v>
      </c>
      <c r="J527">
        <v>-0.19119792302828101</v>
      </c>
      <c r="K527">
        <v>-3.7125494003261497E-2</v>
      </c>
      <c r="L527">
        <v>-5.1172635992755601E-2</v>
      </c>
      <c r="M527">
        <v>-0.19119792302828101</v>
      </c>
      <c r="N527">
        <v>-0.17715078103878701</v>
      </c>
      <c r="O527">
        <v>-0.34508868161154899</v>
      </c>
      <c r="P527">
        <v>-0.33104153962205402</v>
      </c>
      <c r="Q527" t="s">
        <v>1173</v>
      </c>
      <c r="R527" t="s">
        <v>1067</v>
      </c>
      <c r="S527" t="s">
        <v>1173</v>
      </c>
      <c r="T527" t="s">
        <v>1067</v>
      </c>
      <c r="U527" t="s">
        <v>1174</v>
      </c>
      <c r="V527">
        <v>1</v>
      </c>
      <c r="W527" t="s">
        <v>1174</v>
      </c>
      <c r="X527" t="s">
        <v>1175</v>
      </c>
      <c r="Y527">
        <v>1</v>
      </c>
      <c r="Z527">
        <v>-0.44494040508852001</v>
      </c>
      <c r="AA527">
        <v>-0.27899056036405301</v>
      </c>
      <c r="AB527">
        <v>-0.46891781004403099</v>
      </c>
      <c r="AC527">
        <v>-0.36616088880200098</v>
      </c>
    </row>
    <row r="528" spans="1:29" x14ac:dyDescent="0.2">
      <c r="A528">
        <v>527</v>
      </c>
      <c r="B528" t="s">
        <v>682</v>
      </c>
      <c r="C528" t="s">
        <v>214</v>
      </c>
      <c r="D528" t="s">
        <v>204</v>
      </c>
      <c r="E528">
        <v>-0.25700833872964002</v>
      </c>
      <c r="F528">
        <v>-1</v>
      </c>
      <c r="G528">
        <v>-5.9979157206006301E-2</v>
      </c>
      <c r="H528">
        <v>-1</v>
      </c>
      <c r="I528">
        <v>-0.940020842793994</v>
      </c>
      <c r="J528">
        <v>-0.74299166127035998</v>
      </c>
      <c r="K528">
        <v>-5.9979157206006301E-2</v>
      </c>
      <c r="L528">
        <v>-0.25700833872964002</v>
      </c>
      <c r="M528">
        <v>-0.940020842793994</v>
      </c>
      <c r="N528">
        <v>-0.74299166127035998</v>
      </c>
      <c r="O528">
        <v>-0.940020842793994</v>
      </c>
      <c r="P528">
        <v>-0.74299166127035998</v>
      </c>
      <c r="Q528" t="s">
        <v>1067</v>
      </c>
      <c r="R528" t="s">
        <v>1067</v>
      </c>
      <c r="S528" t="s">
        <v>1173</v>
      </c>
      <c r="T528" t="s">
        <v>1067</v>
      </c>
      <c r="U528" t="s">
        <v>1174</v>
      </c>
      <c r="V528">
        <v>1</v>
      </c>
      <c r="W528" t="s">
        <v>944</v>
      </c>
      <c r="X528" t="s">
        <v>1175</v>
      </c>
      <c r="Y528">
        <v>1</v>
      </c>
      <c r="Z528">
        <v>-0.62473264624568003</v>
      </c>
      <c r="AA528">
        <v>-0.29635216881735199</v>
      </c>
      <c r="AB528">
        <v>-0.46191970151509099</v>
      </c>
      <c r="AC528">
        <v>-0.28406276804154201</v>
      </c>
    </row>
    <row r="529" spans="1:29" x14ac:dyDescent="0.2">
      <c r="A529">
        <v>528</v>
      </c>
      <c r="B529" t="s">
        <v>683</v>
      </c>
      <c r="C529" t="s">
        <v>214</v>
      </c>
      <c r="D529" t="s">
        <v>152</v>
      </c>
      <c r="E529">
        <v>-0.40451029051872001</v>
      </c>
      <c r="F529">
        <v>0.48774277771254398</v>
      </c>
      <c r="G529">
        <v>3.5043118555631702E-3</v>
      </c>
      <c r="H529">
        <v>0.47912564459382401</v>
      </c>
      <c r="I529">
        <v>0.47562133273826102</v>
      </c>
      <c r="J529">
        <v>0.89225306823126405</v>
      </c>
      <c r="K529">
        <v>3.5043118555631702E-3</v>
      </c>
      <c r="L529">
        <v>-0.40451029051872001</v>
      </c>
      <c r="M529">
        <v>0.48423846585698099</v>
      </c>
      <c r="N529">
        <v>0.89225306823126405</v>
      </c>
      <c r="O529">
        <v>0.47562133273826102</v>
      </c>
      <c r="P529">
        <v>0.88363593511254401</v>
      </c>
      <c r="Q529" t="s">
        <v>1067</v>
      </c>
      <c r="R529" t="s">
        <v>1068</v>
      </c>
      <c r="S529" t="s">
        <v>1173</v>
      </c>
      <c r="T529" t="s">
        <v>1068</v>
      </c>
      <c r="U529" t="s">
        <v>944</v>
      </c>
      <c r="V529">
        <v>0</v>
      </c>
      <c r="W529" t="s">
        <v>944</v>
      </c>
      <c r="X529" t="s">
        <v>1175</v>
      </c>
      <c r="Y529">
        <v>1</v>
      </c>
      <c r="Z529">
        <v>0.44445977503443002</v>
      </c>
      <c r="AA529">
        <v>-0.20808585225531101</v>
      </c>
      <c r="AB529">
        <v>0.56360148591291703</v>
      </c>
      <c r="AC529">
        <v>-0.153911482517196</v>
      </c>
    </row>
    <row r="530" spans="1:29" x14ac:dyDescent="0.2">
      <c r="A530">
        <v>529</v>
      </c>
      <c r="B530" t="s">
        <v>684</v>
      </c>
      <c r="C530" t="s">
        <v>214</v>
      </c>
      <c r="D530" t="s">
        <v>154</v>
      </c>
      <c r="E530">
        <v>-0.25715218912146898</v>
      </c>
      <c r="F530">
        <v>-1</v>
      </c>
      <c r="G530">
        <v>-5.9979154482477398E-2</v>
      </c>
      <c r="H530">
        <v>-1</v>
      </c>
      <c r="I530">
        <v>-0.94002084551752296</v>
      </c>
      <c r="J530">
        <v>-0.74284781087853102</v>
      </c>
      <c r="K530">
        <v>-5.9979154482477398E-2</v>
      </c>
      <c r="L530">
        <v>-0.25715218912146898</v>
      </c>
      <c r="M530">
        <v>-0.94002084551752296</v>
      </c>
      <c r="N530">
        <v>-0.74284781087853102</v>
      </c>
      <c r="O530">
        <v>-0.94002084551752296</v>
      </c>
      <c r="P530">
        <v>-0.74284781087853102</v>
      </c>
      <c r="Q530" t="s">
        <v>1067</v>
      </c>
      <c r="R530" t="s">
        <v>1067</v>
      </c>
      <c r="S530" t="s">
        <v>1173</v>
      </c>
      <c r="T530" t="s">
        <v>1067</v>
      </c>
      <c r="U530" t="s">
        <v>1174</v>
      </c>
      <c r="V530">
        <v>1</v>
      </c>
      <c r="W530" t="s">
        <v>944</v>
      </c>
      <c r="X530" t="s">
        <v>1175</v>
      </c>
      <c r="Y530">
        <v>1</v>
      </c>
      <c r="Z530">
        <v>-0.62757855306708898</v>
      </c>
      <c r="AA530">
        <v>-0.296695120584406</v>
      </c>
      <c r="AB530">
        <v>-0.464624609399374</v>
      </c>
      <c r="AC530">
        <v>-0.284350587093052</v>
      </c>
    </row>
    <row r="531" spans="1:29" x14ac:dyDescent="0.2">
      <c r="A531">
        <v>530</v>
      </c>
      <c r="B531" t="s">
        <v>685</v>
      </c>
      <c r="C531" t="s">
        <v>214</v>
      </c>
      <c r="D531" t="s">
        <v>156</v>
      </c>
      <c r="E531">
        <v>-0.36080591680372398</v>
      </c>
      <c r="F531">
        <v>-0.37258476946024299</v>
      </c>
      <c r="G531">
        <v>3.5043117625606001E-3</v>
      </c>
      <c r="H531">
        <v>-0.52617073881767296</v>
      </c>
      <c r="I531">
        <v>-0.52967505058023401</v>
      </c>
      <c r="J531">
        <v>-1.1778852656519E-2</v>
      </c>
      <c r="K531">
        <v>3.5043117625606001E-3</v>
      </c>
      <c r="L531">
        <v>-0.36080591680372398</v>
      </c>
      <c r="M531">
        <v>-0.37608908122280399</v>
      </c>
      <c r="N531">
        <v>-1.1778852656519E-2</v>
      </c>
      <c r="O531">
        <v>-0.52967505058023401</v>
      </c>
      <c r="P531">
        <v>-0.165364822013949</v>
      </c>
      <c r="Q531" t="s">
        <v>1067</v>
      </c>
      <c r="R531" t="s">
        <v>1067</v>
      </c>
      <c r="S531" t="s">
        <v>1173</v>
      </c>
      <c r="T531" t="s">
        <v>1067</v>
      </c>
      <c r="U531" t="s">
        <v>1174</v>
      </c>
      <c r="V531">
        <v>1</v>
      </c>
      <c r="W531" t="s">
        <v>944</v>
      </c>
      <c r="X531" t="s">
        <v>1175</v>
      </c>
      <c r="Y531">
        <v>0</v>
      </c>
      <c r="Z531">
        <v>-0.496558706636965</v>
      </c>
      <c r="AA531">
        <v>-0.32148519304557199</v>
      </c>
      <c r="AB531">
        <v>-0.18794614032006601</v>
      </c>
      <c r="AC531">
        <v>-0.24959293671355601</v>
      </c>
    </row>
    <row r="532" spans="1:29" x14ac:dyDescent="0.2">
      <c r="A532">
        <v>531</v>
      </c>
      <c r="B532" t="s">
        <v>686</v>
      </c>
      <c r="C532" t="s">
        <v>214</v>
      </c>
      <c r="D532" t="s">
        <v>158</v>
      </c>
      <c r="E532">
        <v>-0.25759799873142702</v>
      </c>
      <c r="F532">
        <v>-1</v>
      </c>
      <c r="G532">
        <v>-5.9479332207976902E-2</v>
      </c>
      <c r="H532">
        <v>-1</v>
      </c>
      <c r="I532">
        <v>-0.94052066779202304</v>
      </c>
      <c r="J532">
        <v>-0.74240200126857303</v>
      </c>
      <c r="K532">
        <v>-5.9479332207976902E-2</v>
      </c>
      <c r="L532">
        <v>-0.25759799873142702</v>
      </c>
      <c r="M532">
        <v>-0.94052066779202304</v>
      </c>
      <c r="N532">
        <v>-0.74240200126857303</v>
      </c>
      <c r="O532">
        <v>-0.94052066779202304</v>
      </c>
      <c r="P532">
        <v>-0.74240200126857303</v>
      </c>
      <c r="Q532" t="s">
        <v>1067</v>
      </c>
      <c r="R532" t="s">
        <v>1067</v>
      </c>
      <c r="S532" t="s">
        <v>1173</v>
      </c>
      <c r="T532" t="s">
        <v>1067</v>
      </c>
      <c r="U532" t="s">
        <v>1174</v>
      </c>
      <c r="V532">
        <v>1</v>
      </c>
      <c r="W532" t="s">
        <v>944</v>
      </c>
      <c r="X532" t="s">
        <v>1175</v>
      </c>
      <c r="Y532">
        <v>1</v>
      </c>
      <c r="Z532">
        <v>-0.63369913966296998</v>
      </c>
      <c r="AA532">
        <v>-0.29787633734889002</v>
      </c>
      <c r="AB532">
        <v>-0.47109173815764399</v>
      </c>
      <c r="AC532">
        <v>-0.285165804067952</v>
      </c>
    </row>
    <row r="533" spans="1:29" x14ac:dyDescent="0.2">
      <c r="A533">
        <v>532</v>
      </c>
      <c r="B533" t="s">
        <v>687</v>
      </c>
      <c r="C533" t="s">
        <v>214</v>
      </c>
      <c r="D533" t="s">
        <v>160</v>
      </c>
      <c r="E533">
        <v>-0.363637753173564</v>
      </c>
      <c r="F533">
        <v>-0.82539892153525696</v>
      </c>
      <c r="G533">
        <v>2.9138704048807802E-3</v>
      </c>
      <c r="H533">
        <v>-1</v>
      </c>
      <c r="I533">
        <v>-1.0029138704048799</v>
      </c>
      <c r="J533">
        <v>-0.46176116836169301</v>
      </c>
      <c r="K533">
        <v>2.9138704048807802E-3</v>
      </c>
      <c r="L533">
        <v>-0.363637753173564</v>
      </c>
      <c r="M533">
        <v>-0.82831279194013796</v>
      </c>
      <c r="N533">
        <v>-0.46176116836169301</v>
      </c>
      <c r="O533">
        <v>-1.0029138704048799</v>
      </c>
      <c r="P533">
        <v>-0.63636224682643605</v>
      </c>
      <c r="Q533" t="s">
        <v>1067</v>
      </c>
      <c r="R533" t="s">
        <v>1067</v>
      </c>
      <c r="S533" t="s">
        <v>1173</v>
      </c>
      <c r="T533" t="s">
        <v>1067</v>
      </c>
      <c r="U533" t="s">
        <v>1174</v>
      </c>
      <c r="V533">
        <v>1</v>
      </c>
      <c r="W533" t="s">
        <v>944</v>
      </c>
      <c r="X533" t="s">
        <v>1175</v>
      </c>
      <c r="Y533">
        <v>1</v>
      </c>
      <c r="Z533">
        <v>-0.53528411358822303</v>
      </c>
      <c r="AA533">
        <v>-0.32593697269250299</v>
      </c>
      <c r="AB533">
        <v>-0.232819079311502</v>
      </c>
      <c r="AC533">
        <v>-0.255940041296357</v>
      </c>
    </row>
    <row r="534" spans="1:29" x14ac:dyDescent="0.2">
      <c r="A534">
        <v>533</v>
      </c>
      <c r="B534" t="s">
        <v>688</v>
      </c>
      <c r="C534" t="s">
        <v>214</v>
      </c>
      <c r="D534" t="s">
        <v>162</v>
      </c>
      <c r="E534">
        <v>-3.7125494003261497E-2</v>
      </c>
      <c r="F534">
        <v>-0.22412600232874699</v>
      </c>
      <c r="G534">
        <v>-6.2060209876873197E-2</v>
      </c>
      <c r="H534">
        <v>-0.37400789056518302</v>
      </c>
      <c r="I534">
        <v>-0.31194768068831003</v>
      </c>
      <c r="J534">
        <v>-0.18700050832548501</v>
      </c>
      <c r="K534">
        <v>-3.7125494003261497E-2</v>
      </c>
      <c r="L534">
        <v>-6.2060209876873197E-2</v>
      </c>
      <c r="M534">
        <v>-0.18700050832548501</v>
      </c>
      <c r="N534">
        <v>-0.162065792451874</v>
      </c>
      <c r="O534">
        <v>-0.33688239656192198</v>
      </c>
      <c r="P534">
        <v>-0.31194768068831003</v>
      </c>
      <c r="Q534" t="s">
        <v>1173</v>
      </c>
      <c r="R534" t="s">
        <v>1067</v>
      </c>
      <c r="S534" t="s">
        <v>1173</v>
      </c>
      <c r="T534" t="s">
        <v>1067</v>
      </c>
      <c r="U534" t="s">
        <v>1174</v>
      </c>
      <c r="V534">
        <v>1</v>
      </c>
      <c r="W534" t="s">
        <v>1174</v>
      </c>
      <c r="X534" t="s">
        <v>1175</v>
      </c>
      <c r="Y534">
        <v>1</v>
      </c>
      <c r="Z534">
        <v>-0.425542199658554</v>
      </c>
      <c r="AA534">
        <v>-0.27129996385442601</v>
      </c>
      <c r="AB534">
        <v>-0.46752524428421799</v>
      </c>
      <c r="AC534">
        <v>-0.365978814195769</v>
      </c>
    </row>
    <row r="535" spans="1:29" x14ac:dyDescent="0.2">
      <c r="A535">
        <v>534</v>
      </c>
      <c r="B535" t="s">
        <v>689</v>
      </c>
      <c r="C535" t="s">
        <v>214</v>
      </c>
      <c r="D535" t="s">
        <v>220</v>
      </c>
      <c r="E535">
        <v>-3.7125494003261497E-2</v>
      </c>
      <c r="F535">
        <v>-0.225432005426873</v>
      </c>
      <c r="G535">
        <v>-7.6076171553458805E-2</v>
      </c>
      <c r="H535">
        <v>-0.37421757885976997</v>
      </c>
      <c r="I535">
        <v>-0.298141407306311</v>
      </c>
      <c r="J535">
        <v>-0.18830651142361099</v>
      </c>
      <c r="K535">
        <v>-3.7125494003261497E-2</v>
      </c>
      <c r="L535">
        <v>-7.6076171553458805E-2</v>
      </c>
      <c r="M535">
        <v>-0.18830651142361099</v>
      </c>
      <c r="N535">
        <v>-0.149355833873414</v>
      </c>
      <c r="O535">
        <v>-0.33709208485650799</v>
      </c>
      <c r="P535">
        <v>-0.298141407306311</v>
      </c>
      <c r="Q535" t="s">
        <v>1173</v>
      </c>
      <c r="R535" t="s">
        <v>1067</v>
      </c>
      <c r="S535" t="s">
        <v>1173</v>
      </c>
      <c r="T535" t="s">
        <v>1067</v>
      </c>
      <c r="U535" t="s">
        <v>1174</v>
      </c>
      <c r="V535">
        <v>1</v>
      </c>
      <c r="W535" t="s">
        <v>1174</v>
      </c>
      <c r="X535" t="s">
        <v>1175</v>
      </c>
      <c r="Y535">
        <v>1</v>
      </c>
      <c r="Z535">
        <v>-0.41214306300532</v>
      </c>
      <c r="AA535">
        <v>-0.26566560028585701</v>
      </c>
      <c r="AB535">
        <v>-0.46788629472698101</v>
      </c>
      <c r="AC535">
        <v>-0.36602602066823298</v>
      </c>
    </row>
    <row r="536" spans="1:29" x14ac:dyDescent="0.2">
      <c r="A536">
        <v>535</v>
      </c>
      <c r="B536" t="s">
        <v>690</v>
      </c>
      <c r="C536" t="s">
        <v>214</v>
      </c>
      <c r="D536" t="s">
        <v>164</v>
      </c>
      <c r="E536">
        <v>-0.34287709819693402</v>
      </c>
      <c r="F536">
        <v>4.8738271677043601E-2</v>
      </c>
      <c r="G536">
        <v>-3.4088085706753701E-2</v>
      </c>
      <c r="H536">
        <v>-7.4447108804728906E-2</v>
      </c>
      <c r="I536">
        <v>-4.0359023097975198E-2</v>
      </c>
      <c r="J536">
        <v>0.39161536987397799</v>
      </c>
      <c r="K536">
        <v>-3.4088085706753701E-2</v>
      </c>
      <c r="L536">
        <v>-0.34287709819693402</v>
      </c>
      <c r="M536">
        <v>8.2826357383797303E-2</v>
      </c>
      <c r="N536">
        <v>0.39161536987397799</v>
      </c>
      <c r="O536">
        <v>-4.0359023097975198E-2</v>
      </c>
      <c r="P536">
        <v>0.26842998939220503</v>
      </c>
      <c r="Q536" t="s">
        <v>1067</v>
      </c>
      <c r="R536" t="s">
        <v>1173</v>
      </c>
      <c r="S536" t="s">
        <v>1173</v>
      </c>
      <c r="T536" t="s">
        <v>1173</v>
      </c>
      <c r="U536" t="s">
        <v>944</v>
      </c>
      <c r="V536">
        <v>1</v>
      </c>
      <c r="W536" t="s">
        <v>944</v>
      </c>
      <c r="X536" t="s">
        <v>1175</v>
      </c>
      <c r="Y536">
        <v>1</v>
      </c>
      <c r="Z536">
        <v>-0.30545799502266402</v>
      </c>
      <c r="AA536">
        <v>-0.28702543293391403</v>
      </c>
      <c r="AB536">
        <v>-3.2839888949337502E-2</v>
      </c>
      <c r="AC536">
        <v>-0.23278231478700701</v>
      </c>
    </row>
    <row r="537" spans="1:29" x14ac:dyDescent="0.2">
      <c r="A537">
        <v>536</v>
      </c>
      <c r="B537" t="s">
        <v>691</v>
      </c>
      <c r="C537" t="s">
        <v>214</v>
      </c>
      <c r="D537" t="s">
        <v>166</v>
      </c>
      <c r="E537">
        <v>-3.7125494003261497E-2</v>
      </c>
      <c r="F537">
        <v>-7.2868510646715706E-2</v>
      </c>
      <c r="G537">
        <v>3.5468599270366899E-3</v>
      </c>
      <c r="H537">
        <v>-0.26677009285036501</v>
      </c>
      <c r="I537">
        <v>-0.27031695277740198</v>
      </c>
      <c r="J537">
        <v>-3.5743016643454202E-2</v>
      </c>
      <c r="K537">
        <v>3.5468599270366899E-3</v>
      </c>
      <c r="L537">
        <v>-3.7125494003261497E-2</v>
      </c>
      <c r="M537">
        <v>-7.6415370573752403E-2</v>
      </c>
      <c r="N537">
        <v>-3.5743016643454202E-2</v>
      </c>
      <c r="O537">
        <v>-0.27031695277740198</v>
      </c>
      <c r="P537">
        <v>-0.229644598847104</v>
      </c>
      <c r="Q537" t="s">
        <v>1173</v>
      </c>
      <c r="R537" t="s">
        <v>1173</v>
      </c>
      <c r="S537" t="s">
        <v>1173</v>
      </c>
      <c r="T537" t="s">
        <v>1067</v>
      </c>
      <c r="U537" t="s">
        <v>1174</v>
      </c>
      <c r="V537">
        <v>1</v>
      </c>
      <c r="W537" t="s">
        <v>1174</v>
      </c>
      <c r="X537" t="s">
        <v>1175</v>
      </c>
      <c r="Y537">
        <v>0</v>
      </c>
      <c r="Z537">
        <v>-0.337808152374999</v>
      </c>
      <c r="AA537">
        <v>-0.30236108432352299</v>
      </c>
      <c r="AB537">
        <v>-0.23728717475303099</v>
      </c>
      <c r="AC537">
        <v>-0.33587574326061698</v>
      </c>
    </row>
    <row r="538" spans="1:29" x14ac:dyDescent="0.2">
      <c r="A538">
        <v>537</v>
      </c>
      <c r="B538" t="s">
        <v>692</v>
      </c>
      <c r="C538" t="s">
        <v>214</v>
      </c>
      <c r="D538" t="s">
        <v>226</v>
      </c>
      <c r="E538">
        <v>0.94602658779367399</v>
      </c>
      <c r="F538">
        <v>0.58187931598656295</v>
      </c>
      <c r="G538">
        <v>0.83988488239732595</v>
      </c>
      <c r="H538">
        <v>0.59950032726505698</v>
      </c>
      <c r="I538">
        <v>-0.240384555132269</v>
      </c>
      <c r="J538">
        <v>-0.36414727180711098</v>
      </c>
      <c r="K538">
        <v>0.94602658779367399</v>
      </c>
      <c r="L538">
        <v>0.83988488239732595</v>
      </c>
      <c r="M538">
        <v>-0.36414727180711098</v>
      </c>
      <c r="N538">
        <v>-0.258005566410763</v>
      </c>
      <c r="O538">
        <v>-0.34652626052861701</v>
      </c>
      <c r="P538">
        <v>-0.240384555132269</v>
      </c>
      <c r="Q538" t="s">
        <v>1068</v>
      </c>
      <c r="R538" t="s">
        <v>1068</v>
      </c>
      <c r="S538" t="s">
        <v>1068</v>
      </c>
      <c r="T538" t="s">
        <v>1068</v>
      </c>
      <c r="U538" t="s">
        <v>1174</v>
      </c>
      <c r="V538">
        <v>1</v>
      </c>
      <c r="W538" t="s">
        <v>944</v>
      </c>
      <c r="X538" t="s">
        <v>1175</v>
      </c>
      <c r="Y538">
        <v>1</v>
      </c>
      <c r="Z538">
        <v>-0.61489410130028399</v>
      </c>
      <c r="AA538">
        <v>-0.297460538463929</v>
      </c>
      <c r="AB538">
        <v>-0.45486825055725</v>
      </c>
      <c r="AC538">
        <v>-0.287588255319985</v>
      </c>
    </row>
    <row r="539" spans="1:29" x14ac:dyDescent="0.2">
      <c r="A539">
        <v>538</v>
      </c>
      <c r="B539" t="s">
        <v>693</v>
      </c>
      <c r="C539" t="s">
        <v>214</v>
      </c>
      <c r="D539" t="s">
        <v>168</v>
      </c>
      <c r="E539">
        <v>0.467510100429405</v>
      </c>
      <c r="F539">
        <v>0.121410989846251</v>
      </c>
      <c r="G539">
        <v>0.76647856553066795</v>
      </c>
      <c r="H539">
        <v>-5.3946403882870197E-3</v>
      </c>
      <c r="I539">
        <v>-0.77187320591895503</v>
      </c>
      <c r="J539">
        <v>-0.34609911058315401</v>
      </c>
      <c r="K539">
        <v>0.76647856553066795</v>
      </c>
      <c r="L539">
        <v>0.467510100429405</v>
      </c>
      <c r="M539">
        <v>-0.64506757568441697</v>
      </c>
      <c r="N539">
        <v>-0.34609911058315401</v>
      </c>
      <c r="O539">
        <v>-0.77187320591895503</v>
      </c>
      <c r="P539">
        <v>-0.47290474081769202</v>
      </c>
      <c r="Q539" t="s">
        <v>1068</v>
      </c>
      <c r="R539" t="s">
        <v>1068</v>
      </c>
      <c r="S539" t="s">
        <v>1068</v>
      </c>
      <c r="T539" t="s">
        <v>1173</v>
      </c>
      <c r="U539" t="s">
        <v>1174</v>
      </c>
      <c r="V539">
        <v>1</v>
      </c>
      <c r="W539" t="s">
        <v>944</v>
      </c>
      <c r="X539" t="s">
        <v>1175</v>
      </c>
      <c r="Y539">
        <v>1</v>
      </c>
      <c r="Z539">
        <v>-0.63439869326255804</v>
      </c>
      <c r="AA539">
        <v>-0.30414111729589999</v>
      </c>
      <c r="AB539">
        <v>-0.46577883382253998</v>
      </c>
      <c r="AC539">
        <v>-0.29053336565472598</v>
      </c>
    </row>
    <row r="540" spans="1:29" x14ac:dyDescent="0.2">
      <c r="A540">
        <v>539</v>
      </c>
      <c r="B540" t="s">
        <v>694</v>
      </c>
      <c r="C540" t="s">
        <v>160</v>
      </c>
      <c r="D540" t="s">
        <v>130</v>
      </c>
      <c r="E540">
        <v>-1.18927189533806E-2</v>
      </c>
      <c r="F540">
        <v>-0.20824706413532201</v>
      </c>
      <c r="G540">
        <v>-1.03750546241075E-2</v>
      </c>
      <c r="H540">
        <v>-0.50543044140517801</v>
      </c>
      <c r="I540">
        <v>-0.49505538678106997</v>
      </c>
      <c r="J540">
        <v>-0.196354345181941</v>
      </c>
      <c r="K540">
        <v>-1.03750546241075E-2</v>
      </c>
      <c r="L540">
        <v>-1.18927189533806E-2</v>
      </c>
      <c r="M540">
        <v>-0.197872009511215</v>
      </c>
      <c r="N540">
        <v>-0.196354345181941</v>
      </c>
      <c r="O540">
        <v>-0.49505538678106997</v>
      </c>
      <c r="P540">
        <v>-0.493537722451797</v>
      </c>
      <c r="Q540" t="s">
        <v>1173</v>
      </c>
      <c r="R540" t="s">
        <v>1067</v>
      </c>
      <c r="S540" t="s">
        <v>1173</v>
      </c>
      <c r="T540" t="s">
        <v>1067</v>
      </c>
      <c r="U540" t="s">
        <v>1174</v>
      </c>
      <c r="V540">
        <v>1</v>
      </c>
      <c r="W540" t="s">
        <v>1174</v>
      </c>
      <c r="X540" t="s">
        <v>1175</v>
      </c>
      <c r="Y540">
        <v>1</v>
      </c>
      <c r="Z540">
        <v>-0.22152653205161801</v>
      </c>
      <c r="AA540">
        <v>-0.25555482310943101</v>
      </c>
      <c r="AB540">
        <v>-0.22571056018244101</v>
      </c>
      <c r="AC540">
        <v>-0.33617621101144501</v>
      </c>
    </row>
    <row r="541" spans="1:29" x14ac:dyDescent="0.2">
      <c r="A541">
        <v>540</v>
      </c>
      <c r="B541" t="s">
        <v>695</v>
      </c>
      <c r="C541" t="s">
        <v>160</v>
      </c>
      <c r="D541" t="s">
        <v>132</v>
      </c>
      <c r="E541">
        <v>-0.13017283454125</v>
      </c>
      <c r="F541">
        <v>-0.45441399900159801</v>
      </c>
      <c r="G541">
        <v>2.6687953100039698E-3</v>
      </c>
      <c r="H541">
        <v>-0.65395646066152002</v>
      </c>
      <c r="I541">
        <v>-0.65662525597152399</v>
      </c>
      <c r="J541">
        <v>-0.32424116446034801</v>
      </c>
      <c r="K541">
        <v>2.6687953100039698E-3</v>
      </c>
      <c r="L541">
        <v>-0.13017283454125</v>
      </c>
      <c r="M541">
        <v>-0.45708279431160198</v>
      </c>
      <c r="N541">
        <v>-0.32424116446034801</v>
      </c>
      <c r="O541">
        <v>-0.65662525597152399</v>
      </c>
      <c r="P541">
        <v>-0.52378362612026996</v>
      </c>
      <c r="Q541" t="s">
        <v>1067</v>
      </c>
      <c r="R541" t="s">
        <v>1067</v>
      </c>
      <c r="S541" t="s">
        <v>1173</v>
      </c>
      <c r="T541" t="s">
        <v>1067</v>
      </c>
      <c r="U541" t="s">
        <v>1174</v>
      </c>
      <c r="V541">
        <v>1</v>
      </c>
      <c r="W541" t="s">
        <v>944</v>
      </c>
      <c r="X541" t="s">
        <v>1175</v>
      </c>
      <c r="Y541">
        <v>1</v>
      </c>
      <c r="Z541">
        <v>-0.49127545820240098</v>
      </c>
      <c r="AA541">
        <v>-0.32529834431569898</v>
      </c>
      <c r="AB541">
        <v>-0.184214064337439</v>
      </c>
      <c r="AC541">
        <v>-0.25490055502813602</v>
      </c>
    </row>
    <row r="542" spans="1:29" x14ac:dyDescent="0.2">
      <c r="A542">
        <v>541</v>
      </c>
      <c r="B542" t="s">
        <v>696</v>
      </c>
      <c r="C542" t="s">
        <v>160</v>
      </c>
      <c r="D542" t="s">
        <v>136</v>
      </c>
      <c r="E542">
        <v>-0.157730720875011</v>
      </c>
      <c r="F542">
        <v>-9.6424398061227906E-2</v>
      </c>
      <c r="G542">
        <v>6.1408614481623797E-3</v>
      </c>
      <c r="H542">
        <v>-0.38430728805449099</v>
      </c>
      <c r="I542">
        <v>-0.390448149502653</v>
      </c>
      <c r="J542">
        <v>6.13063228137831E-2</v>
      </c>
      <c r="K542">
        <v>6.1408614481623797E-3</v>
      </c>
      <c r="L542">
        <v>-0.157730720875011</v>
      </c>
      <c r="M542">
        <v>-0.10256525950938999</v>
      </c>
      <c r="N542">
        <v>6.13063228137831E-2</v>
      </c>
      <c r="O542">
        <v>-0.390448149502653</v>
      </c>
      <c r="P542">
        <v>-0.22657656717947999</v>
      </c>
      <c r="Q542" t="s">
        <v>1067</v>
      </c>
      <c r="R542" t="s">
        <v>1173</v>
      </c>
      <c r="S542" t="s">
        <v>1173</v>
      </c>
      <c r="T542" t="s">
        <v>1067</v>
      </c>
      <c r="U542" t="s">
        <v>944</v>
      </c>
      <c r="V542">
        <v>1</v>
      </c>
      <c r="W542" t="s">
        <v>944</v>
      </c>
      <c r="X542" t="s">
        <v>1175</v>
      </c>
      <c r="Y542">
        <v>0</v>
      </c>
      <c r="Z542">
        <v>-0.43682078510154099</v>
      </c>
      <c r="AA542">
        <v>-0.35447984431834501</v>
      </c>
      <c r="AB542">
        <v>8.7288695136974997E-3</v>
      </c>
      <c r="AC542">
        <v>-0.225793509837067</v>
      </c>
    </row>
    <row r="543" spans="1:29" x14ac:dyDescent="0.2">
      <c r="A543">
        <v>542</v>
      </c>
      <c r="B543" t="s">
        <v>697</v>
      </c>
      <c r="C543" t="s">
        <v>160</v>
      </c>
      <c r="D543" t="s">
        <v>140</v>
      </c>
      <c r="E543">
        <v>-0.15639276546540101</v>
      </c>
      <c r="F543">
        <v>-0.54903715195199698</v>
      </c>
      <c r="G543">
        <v>3.2491629794961199E-3</v>
      </c>
      <c r="H543">
        <v>-0.86435200131595502</v>
      </c>
      <c r="I543">
        <v>-0.86760116429545098</v>
      </c>
      <c r="J543">
        <v>-0.392644386486596</v>
      </c>
      <c r="K543">
        <v>3.2491629794961199E-3</v>
      </c>
      <c r="L543">
        <v>-0.15639276546540101</v>
      </c>
      <c r="M543">
        <v>-0.55228631493149305</v>
      </c>
      <c r="N543">
        <v>-0.392644386486596</v>
      </c>
      <c r="O543">
        <v>-0.86760116429545098</v>
      </c>
      <c r="P543">
        <v>-0.70795923585055398</v>
      </c>
      <c r="Q543" t="s">
        <v>1067</v>
      </c>
      <c r="R543" t="s">
        <v>1067</v>
      </c>
      <c r="S543" t="s">
        <v>1173</v>
      </c>
      <c r="T543" t="s">
        <v>1067</v>
      </c>
      <c r="U543" t="s">
        <v>1174</v>
      </c>
      <c r="V543">
        <v>1</v>
      </c>
      <c r="W543" t="s">
        <v>944</v>
      </c>
      <c r="X543" t="s">
        <v>1175</v>
      </c>
      <c r="Y543">
        <v>1</v>
      </c>
      <c r="Z543">
        <v>-0.42425671242368301</v>
      </c>
      <c r="AA543">
        <v>-0.28974813276679301</v>
      </c>
      <c r="AB543">
        <v>-0.19860662085390501</v>
      </c>
      <c r="AC543">
        <v>-0.25321769507523501</v>
      </c>
    </row>
    <row r="544" spans="1:29" x14ac:dyDescent="0.2">
      <c r="A544">
        <v>543</v>
      </c>
      <c r="B544" t="s">
        <v>698</v>
      </c>
      <c r="C544" t="s">
        <v>160</v>
      </c>
      <c r="D544" t="s">
        <v>142</v>
      </c>
      <c r="E544">
        <v>-0.14677590710293101</v>
      </c>
      <c r="F544">
        <v>0.79863799701799698</v>
      </c>
      <c r="G544">
        <v>6.1408614481623797E-3</v>
      </c>
      <c r="H544">
        <v>0.82405560749143703</v>
      </c>
      <c r="I544">
        <v>0.81791474604327497</v>
      </c>
      <c r="J544">
        <v>0.94541390412092796</v>
      </c>
      <c r="K544">
        <v>6.1408614481623797E-3</v>
      </c>
      <c r="L544">
        <v>-0.14677590710293101</v>
      </c>
      <c r="M544">
        <v>0.79249713556983503</v>
      </c>
      <c r="N544">
        <v>0.94541390412092796</v>
      </c>
      <c r="O544">
        <v>0.81791474604327497</v>
      </c>
      <c r="P544">
        <v>0.97083151459436801</v>
      </c>
      <c r="Q544" t="s">
        <v>1067</v>
      </c>
      <c r="R544" t="s">
        <v>1068</v>
      </c>
      <c r="S544" t="s">
        <v>1173</v>
      </c>
      <c r="T544" t="s">
        <v>1068</v>
      </c>
      <c r="U544" t="s">
        <v>944</v>
      </c>
      <c r="V544">
        <v>0</v>
      </c>
      <c r="W544" t="s">
        <v>944</v>
      </c>
      <c r="X544" t="s">
        <v>1175</v>
      </c>
      <c r="Y544">
        <v>1</v>
      </c>
      <c r="Z544">
        <v>0.54523464295663304</v>
      </c>
      <c r="AA544">
        <v>-0.23613526306900001</v>
      </c>
      <c r="AB544">
        <v>0.80558680742327704</v>
      </c>
      <c r="AC544">
        <v>-0.124074577863598</v>
      </c>
    </row>
    <row r="545" spans="1:29" x14ac:dyDescent="0.2">
      <c r="A545">
        <v>544</v>
      </c>
      <c r="B545" t="s">
        <v>699</v>
      </c>
      <c r="C545" t="s">
        <v>160</v>
      </c>
      <c r="D545" t="s">
        <v>146</v>
      </c>
      <c r="E545">
        <v>-1.29306985595309E-2</v>
      </c>
      <c r="F545">
        <v>-0.17950455934524301</v>
      </c>
      <c r="G545">
        <v>-1.14230789708134E-2</v>
      </c>
      <c r="H545">
        <v>-0.50804400602464606</v>
      </c>
      <c r="I545">
        <v>-0.49662092705383298</v>
      </c>
      <c r="J545">
        <v>-0.16657386078571201</v>
      </c>
      <c r="K545">
        <v>-1.14230789708134E-2</v>
      </c>
      <c r="L545">
        <v>-1.29306985595309E-2</v>
      </c>
      <c r="M545">
        <v>-0.16808148037442999</v>
      </c>
      <c r="N545">
        <v>-0.16657386078571201</v>
      </c>
      <c r="O545">
        <v>-0.49662092705383298</v>
      </c>
      <c r="P545">
        <v>-0.495113307465115</v>
      </c>
      <c r="Q545" t="s">
        <v>1173</v>
      </c>
      <c r="R545" t="s">
        <v>1067</v>
      </c>
      <c r="S545" t="s">
        <v>1173</v>
      </c>
      <c r="T545" t="s">
        <v>1067</v>
      </c>
      <c r="U545" t="s">
        <v>1174</v>
      </c>
      <c r="V545">
        <v>1</v>
      </c>
      <c r="W545" t="s">
        <v>1174</v>
      </c>
      <c r="X545" t="s">
        <v>1175</v>
      </c>
      <c r="Y545">
        <v>1</v>
      </c>
      <c r="Z545">
        <v>-0.255064760113214</v>
      </c>
      <c r="AA545">
        <v>-0.27011178457146201</v>
      </c>
      <c r="AB545">
        <v>-0.223574973154514</v>
      </c>
      <c r="AC545">
        <v>-0.335668412686981</v>
      </c>
    </row>
    <row r="546" spans="1:29" x14ac:dyDescent="0.2">
      <c r="A546">
        <v>545</v>
      </c>
      <c r="B546" t="s">
        <v>700</v>
      </c>
      <c r="C546" t="s">
        <v>160</v>
      </c>
      <c r="D546" t="s">
        <v>148</v>
      </c>
      <c r="E546">
        <v>-0.36605843249172199</v>
      </c>
      <c r="F546">
        <v>-0.51223461356333599</v>
      </c>
      <c r="G546">
        <v>6.1503940176016996E-3</v>
      </c>
      <c r="H546">
        <v>-0.74719541516167498</v>
      </c>
      <c r="I546">
        <v>-0.75334580917927696</v>
      </c>
      <c r="J546">
        <v>-0.14617618107161401</v>
      </c>
      <c r="K546">
        <v>6.1503940176016996E-3</v>
      </c>
      <c r="L546">
        <v>-0.36605843249172199</v>
      </c>
      <c r="M546">
        <v>-0.51838500758093797</v>
      </c>
      <c r="N546">
        <v>-0.14617618107161401</v>
      </c>
      <c r="O546">
        <v>-0.75334580917927696</v>
      </c>
      <c r="P546">
        <v>-0.381136982669953</v>
      </c>
      <c r="Q546" t="s">
        <v>1067</v>
      </c>
      <c r="R546" t="s">
        <v>1067</v>
      </c>
      <c r="S546" t="s">
        <v>1173</v>
      </c>
      <c r="T546" t="s">
        <v>1067</v>
      </c>
      <c r="U546" t="s">
        <v>1174</v>
      </c>
      <c r="V546">
        <v>1</v>
      </c>
      <c r="W546" t="s">
        <v>944</v>
      </c>
      <c r="X546" t="s">
        <v>1175</v>
      </c>
      <c r="Y546">
        <v>1</v>
      </c>
      <c r="Z546">
        <v>-0.61438804030297001</v>
      </c>
      <c r="AA546">
        <v>-0.37588439537504298</v>
      </c>
      <c r="AB546">
        <v>-0.18287139201163799</v>
      </c>
      <c r="AC546">
        <v>-0.25259984691537601</v>
      </c>
    </row>
    <row r="547" spans="1:29" x14ac:dyDescent="0.2">
      <c r="A547">
        <v>546</v>
      </c>
      <c r="B547" t="s">
        <v>701</v>
      </c>
      <c r="C547" t="s">
        <v>160</v>
      </c>
      <c r="D547" t="s">
        <v>150</v>
      </c>
      <c r="E547">
        <v>-1.1997947217700301E-2</v>
      </c>
      <c r="F547">
        <v>-0.208956011979403</v>
      </c>
      <c r="G547">
        <v>2.1893901596582101E-3</v>
      </c>
      <c r="H547">
        <v>-0.50812128526202405</v>
      </c>
      <c r="I547">
        <v>-0.51031067542168196</v>
      </c>
      <c r="J547">
        <v>-0.19695806476170299</v>
      </c>
      <c r="K547">
        <v>2.1893901596582101E-3</v>
      </c>
      <c r="L547">
        <v>-1.1997947217700301E-2</v>
      </c>
      <c r="M547">
        <v>-0.21114540213906099</v>
      </c>
      <c r="N547">
        <v>-0.19695806476170299</v>
      </c>
      <c r="O547">
        <v>-0.51031067542168196</v>
      </c>
      <c r="P547">
        <v>-0.49612333804432401</v>
      </c>
      <c r="Q547" t="s">
        <v>1173</v>
      </c>
      <c r="R547" t="s">
        <v>1067</v>
      </c>
      <c r="S547" t="s">
        <v>1173</v>
      </c>
      <c r="T547" t="s">
        <v>1067</v>
      </c>
      <c r="U547" t="s">
        <v>1174</v>
      </c>
      <c r="V547">
        <v>1</v>
      </c>
      <c r="W547" t="s">
        <v>1174</v>
      </c>
      <c r="X547" t="s">
        <v>1175</v>
      </c>
      <c r="Y547">
        <v>1</v>
      </c>
      <c r="Z547">
        <v>-0.34403829198938202</v>
      </c>
      <c r="AA547">
        <v>-0.30702463723960699</v>
      </c>
      <c r="AB547">
        <v>-0.22662255703281101</v>
      </c>
      <c r="AC547">
        <v>-0.33632296336101902</v>
      </c>
    </row>
    <row r="548" spans="1:29" x14ac:dyDescent="0.2">
      <c r="A548">
        <v>547</v>
      </c>
      <c r="B548" t="s">
        <v>702</v>
      </c>
      <c r="C548" t="s">
        <v>160</v>
      </c>
      <c r="D548" t="s">
        <v>156</v>
      </c>
      <c r="E548">
        <v>-0.15860105973977001</v>
      </c>
      <c r="F548">
        <v>-0.174445992375929</v>
      </c>
      <c r="G548">
        <v>6.1079570230263003E-3</v>
      </c>
      <c r="H548">
        <v>-0.44288412672716398</v>
      </c>
      <c r="I548">
        <v>-0.44899208375019001</v>
      </c>
      <c r="J548">
        <v>-1.5844932636159E-2</v>
      </c>
      <c r="K548">
        <v>6.1079570230263003E-3</v>
      </c>
      <c r="L548">
        <v>-0.15860105973977001</v>
      </c>
      <c r="M548">
        <v>-0.180553949398955</v>
      </c>
      <c r="N548">
        <v>-1.5844932636159E-2</v>
      </c>
      <c r="O548">
        <v>-0.44899208375019001</v>
      </c>
      <c r="P548">
        <v>-0.28428306698739397</v>
      </c>
      <c r="Q548" t="s">
        <v>1067</v>
      </c>
      <c r="R548" t="s">
        <v>1067</v>
      </c>
      <c r="S548" t="s">
        <v>1173</v>
      </c>
      <c r="T548" t="s">
        <v>1067</v>
      </c>
      <c r="U548" t="s">
        <v>1174</v>
      </c>
      <c r="V548">
        <v>1</v>
      </c>
      <c r="W548" t="s">
        <v>944</v>
      </c>
      <c r="X548" t="s">
        <v>1175</v>
      </c>
      <c r="Y548">
        <v>0</v>
      </c>
      <c r="Z548">
        <v>-0.39565659353782701</v>
      </c>
      <c r="AA548">
        <v>-0.34951926992112597</v>
      </c>
      <c r="AB548">
        <v>5.4349112691154902E-2</v>
      </c>
      <c r="AC548">
        <v>-0.21975501127257499</v>
      </c>
    </row>
    <row r="549" spans="1:29" x14ac:dyDescent="0.2">
      <c r="A549">
        <v>548</v>
      </c>
      <c r="B549" t="s">
        <v>703</v>
      </c>
      <c r="C549" t="s">
        <v>160</v>
      </c>
      <c r="D549" t="s">
        <v>158</v>
      </c>
      <c r="E549">
        <v>-0.38991673421129402</v>
      </c>
      <c r="F549">
        <v>-0.65145579640530704</v>
      </c>
      <c r="G549">
        <v>3.0257296519395102E-3</v>
      </c>
      <c r="H549">
        <v>-0.84067407459557697</v>
      </c>
      <c r="I549">
        <v>-0.84369980424751601</v>
      </c>
      <c r="J549">
        <v>-0.26153906219401302</v>
      </c>
      <c r="K549">
        <v>3.0257296519395102E-3</v>
      </c>
      <c r="L549">
        <v>-0.38991673421129402</v>
      </c>
      <c r="M549">
        <v>-0.65448152605724697</v>
      </c>
      <c r="N549">
        <v>-0.26153906219401302</v>
      </c>
      <c r="O549">
        <v>-0.84369980424751601</v>
      </c>
      <c r="P549">
        <v>-0.450757340384283</v>
      </c>
      <c r="Q549" t="s">
        <v>1067</v>
      </c>
      <c r="R549" t="s">
        <v>1067</v>
      </c>
      <c r="S549" t="s">
        <v>1173</v>
      </c>
      <c r="T549" t="s">
        <v>1067</v>
      </c>
      <c r="U549" t="s">
        <v>1174</v>
      </c>
      <c r="V549">
        <v>1</v>
      </c>
      <c r="W549" t="s">
        <v>944</v>
      </c>
      <c r="X549" t="s">
        <v>1175</v>
      </c>
      <c r="Y549">
        <v>1</v>
      </c>
      <c r="Z549">
        <v>-0.53279702656383199</v>
      </c>
      <c r="AA549">
        <v>-0.325910414224444</v>
      </c>
      <c r="AB549">
        <v>-0.22879648514642401</v>
      </c>
      <c r="AC549">
        <v>-0.25532787862697098</v>
      </c>
    </row>
    <row r="550" spans="1:29" x14ac:dyDescent="0.2">
      <c r="A550">
        <v>549</v>
      </c>
      <c r="B550" t="s">
        <v>704</v>
      </c>
      <c r="C550" t="s">
        <v>160</v>
      </c>
      <c r="D550" t="s">
        <v>162</v>
      </c>
      <c r="E550">
        <v>-1.1997947217700301E-2</v>
      </c>
      <c r="F550">
        <v>-0.20816798348406601</v>
      </c>
      <c r="G550">
        <v>1.9298124697394599E-3</v>
      </c>
      <c r="H550">
        <v>-0.50467778678035902</v>
      </c>
      <c r="I550">
        <v>-0.50660759925009802</v>
      </c>
      <c r="J550">
        <v>-0.196170036266366</v>
      </c>
      <c r="K550">
        <v>1.9298124697394599E-3</v>
      </c>
      <c r="L550">
        <v>-1.1997947217700301E-2</v>
      </c>
      <c r="M550">
        <v>-0.21009779595380501</v>
      </c>
      <c r="N550">
        <v>-0.196170036266366</v>
      </c>
      <c r="O550">
        <v>-0.50660759925009802</v>
      </c>
      <c r="P550">
        <v>-0.49267983956265898</v>
      </c>
      <c r="Q550" t="s">
        <v>1173</v>
      </c>
      <c r="R550" t="s">
        <v>1067</v>
      </c>
      <c r="S550" t="s">
        <v>1173</v>
      </c>
      <c r="T550" t="s">
        <v>1067</v>
      </c>
      <c r="U550" t="s">
        <v>1174</v>
      </c>
      <c r="V550">
        <v>1</v>
      </c>
      <c r="W550" t="s">
        <v>1174</v>
      </c>
      <c r="X550" t="s">
        <v>1175</v>
      </c>
      <c r="Y550">
        <v>1</v>
      </c>
      <c r="Z550">
        <v>-0.32464008655941601</v>
      </c>
      <c r="AA550">
        <v>-0.29933404072997999</v>
      </c>
      <c r="AB550">
        <v>-0.225229991272998</v>
      </c>
      <c r="AC550">
        <v>-0.33614088875478698</v>
      </c>
    </row>
    <row r="551" spans="1:29" x14ac:dyDescent="0.2">
      <c r="A551">
        <v>550</v>
      </c>
      <c r="B551" t="s">
        <v>705</v>
      </c>
      <c r="C551" t="s">
        <v>160</v>
      </c>
      <c r="D551" t="s">
        <v>168</v>
      </c>
      <c r="E551">
        <v>0.27481230340955698</v>
      </c>
      <c r="F551">
        <v>4.0496682373469999E-3</v>
      </c>
      <c r="G551">
        <v>1.6821708141967599E-2</v>
      </c>
      <c r="H551">
        <v>-0.13987235267238801</v>
      </c>
      <c r="I551">
        <v>-0.156694060814356</v>
      </c>
      <c r="J551">
        <v>-0.27076263517221</v>
      </c>
      <c r="K551">
        <v>0.27481230340955698</v>
      </c>
      <c r="L551">
        <v>1.6821708141967599E-2</v>
      </c>
      <c r="M551">
        <v>-0.27076263517221</v>
      </c>
      <c r="N551">
        <v>-1.27720399046206E-2</v>
      </c>
      <c r="O551">
        <v>-0.41468465608194499</v>
      </c>
      <c r="P551">
        <v>-0.156694060814356</v>
      </c>
      <c r="Q551" t="s">
        <v>1068</v>
      </c>
      <c r="R551" t="s">
        <v>1173</v>
      </c>
      <c r="S551" t="s">
        <v>1173</v>
      </c>
      <c r="T551" t="s">
        <v>1067</v>
      </c>
      <c r="U551" t="s">
        <v>1174</v>
      </c>
      <c r="V551">
        <v>1</v>
      </c>
      <c r="W551" t="s">
        <v>1174</v>
      </c>
      <c r="X551" t="s">
        <v>1175</v>
      </c>
      <c r="Y551">
        <v>1</v>
      </c>
      <c r="Z551">
        <v>-0.53349658016342005</v>
      </c>
      <c r="AA551">
        <v>-0.33217519417145402</v>
      </c>
      <c r="AB551">
        <v>-0.223483580811319</v>
      </c>
      <c r="AC551">
        <v>-0.26069544021374502</v>
      </c>
    </row>
    <row r="552" spans="1:29" x14ac:dyDescent="0.2">
      <c r="A552">
        <v>551</v>
      </c>
      <c r="B552" t="s">
        <v>1187</v>
      </c>
      <c r="C552" t="s">
        <v>162</v>
      </c>
      <c r="D552" t="s">
        <v>130</v>
      </c>
      <c r="E552">
        <v>-2.1099594971774001E-2</v>
      </c>
      <c r="F552">
        <v>1</v>
      </c>
      <c r="G552">
        <v>1</v>
      </c>
      <c r="H552">
        <v>1</v>
      </c>
      <c r="I552">
        <v>0</v>
      </c>
      <c r="J552">
        <v>1.0210995949717701</v>
      </c>
      <c r="K552">
        <v>1</v>
      </c>
      <c r="L552">
        <v>-2.1099594971774001E-2</v>
      </c>
      <c r="M552">
        <v>0</v>
      </c>
      <c r="N552">
        <v>1.0210995949717701</v>
      </c>
      <c r="O552">
        <v>0</v>
      </c>
      <c r="P552">
        <v>1.0210995949717701</v>
      </c>
      <c r="Q552" t="s">
        <v>1173</v>
      </c>
      <c r="R552" t="s">
        <v>1068</v>
      </c>
      <c r="S552" t="s">
        <v>1068</v>
      </c>
      <c r="T552" t="s">
        <v>1068</v>
      </c>
      <c r="U552" t="s">
        <v>944</v>
      </c>
      <c r="V552">
        <v>0</v>
      </c>
      <c r="W552" t="s">
        <v>944</v>
      </c>
      <c r="X552" t="s">
        <v>1175</v>
      </c>
      <c r="Y552">
        <v>1</v>
      </c>
      <c r="Z552">
        <v>-0.11178461812194899</v>
      </c>
      <c r="AA552">
        <v>-0.20091781427135399</v>
      </c>
      <c r="AB552">
        <v>-0.46041672515515802</v>
      </c>
      <c r="AC552">
        <v>-0.44621498391085601</v>
      </c>
    </row>
    <row r="553" spans="1:29" x14ac:dyDescent="0.2">
      <c r="A553">
        <v>552</v>
      </c>
      <c r="B553" t="s">
        <v>706</v>
      </c>
      <c r="C553" t="s">
        <v>162</v>
      </c>
      <c r="D553" t="s">
        <v>132</v>
      </c>
      <c r="E553">
        <v>3.3918019569443899E-3</v>
      </c>
      <c r="F553">
        <v>-0.36891251298704197</v>
      </c>
      <c r="G553">
        <v>-4.1228569182882098E-2</v>
      </c>
      <c r="H553">
        <v>-0.52392232369478298</v>
      </c>
      <c r="I553">
        <v>-0.482693754511901</v>
      </c>
      <c r="J553">
        <v>-0.37230431494398603</v>
      </c>
      <c r="K553">
        <v>3.3918019569443899E-3</v>
      </c>
      <c r="L553">
        <v>-4.1228569182882098E-2</v>
      </c>
      <c r="M553">
        <v>-0.37230431494398603</v>
      </c>
      <c r="N553">
        <v>-0.32768394380415999</v>
      </c>
      <c r="O553">
        <v>-0.52731412565172697</v>
      </c>
      <c r="P553">
        <v>-0.482693754511901</v>
      </c>
      <c r="Q553" t="s">
        <v>1173</v>
      </c>
      <c r="R553" t="s">
        <v>1067</v>
      </c>
      <c r="S553" t="s">
        <v>1173</v>
      </c>
      <c r="T553" t="s">
        <v>1067</v>
      </c>
      <c r="U553" t="s">
        <v>1174</v>
      </c>
      <c r="V553">
        <v>1</v>
      </c>
      <c r="W553" t="s">
        <v>1174</v>
      </c>
      <c r="X553" t="s">
        <v>1175</v>
      </c>
      <c r="Y553">
        <v>1</v>
      </c>
      <c r="Z553">
        <v>-0.38153354427273201</v>
      </c>
      <c r="AA553">
        <v>-0.270661335477622</v>
      </c>
      <c r="AB553">
        <v>-0.41892022931015499</v>
      </c>
      <c r="AC553">
        <v>-0.36493932792754802</v>
      </c>
    </row>
    <row r="554" spans="1:29" x14ac:dyDescent="0.2">
      <c r="A554">
        <v>553</v>
      </c>
      <c r="B554" t="s">
        <v>707</v>
      </c>
      <c r="C554" t="s">
        <v>162</v>
      </c>
      <c r="D554" t="s">
        <v>140</v>
      </c>
      <c r="E554">
        <v>-1.1426034349795E-2</v>
      </c>
      <c r="F554">
        <v>-0.30773145587547501</v>
      </c>
      <c r="G554">
        <v>-0.13809792435163001</v>
      </c>
      <c r="H554">
        <v>-0.57455241362723797</v>
      </c>
      <c r="I554">
        <v>-0.43645448927560798</v>
      </c>
      <c r="J554">
        <v>-0.29630542152568001</v>
      </c>
      <c r="K554">
        <v>-1.1426034349795E-2</v>
      </c>
      <c r="L554">
        <v>-0.13809792435163001</v>
      </c>
      <c r="M554">
        <v>-0.29630542152568001</v>
      </c>
      <c r="N554">
        <v>-0.169633531523845</v>
      </c>
      <c r="O554">
        <v>-0.56312637927744302</v>
      </c>
      <c r="P554">
        <v>-0.43645448927560798</v>
      </c>
      <c r="Q554" t="s">
        <v>1173</v>
      </c>
      <c r="R554" t="s">
        <v>1067</v>
      </c>
      <c r="S554" t="s">
        <v>1067</v>
      </c>
      <c r="T554" t="s">
        <v>1067</v>
      </c>
      <c r="U554" t="s">
        <v>1174</v>
      </c>
      <c r="V554">
        <v>1</v>
      </c>
      <c r="W554" t="s">
        <v>1174</v>
      </c>
      <c r="X554" t="s">
        <v>1175</v>
      </c>
      <c r="Y554">
        <v>1</v>
      </c>
      <c r="Z554">
        <v>-0.31451479849401398</v>
      </c>
      <c r="AA554">
        <v>-0.235111123928716</v>
      </c>
      <c r="AB554">
        <v>-0.43331278582662103</v>
      </c>
      <c r="AC554">
        <v>-0.363256467974646</v>
      </c>
    </row>
    <row r="555" spans="1:29" x14ac:dyDescent="0.2">
      <c r="A555">
        <v>554</v>
      </c>
      <c r="B555" t="s">
        <v>708</v>
      </c>
      <c r="C555" t="s">
        <v>162</v>
      </c>
      <c r="D555" t="s">
        <v>146</v>
      </c>
      <c r="E555">
        <v>-2.0850851688414902E-2</v>
      </c>
      <c r="F555">
        <v>0.17219365367255501</v>
      </c>
      <c r="G555">
        <v>-0.137926880459526</v>
      </c>
      <c r="H555">
        <v>1.6139024480029698E-2</v>
      </c>
      <c r="I555">
        <v>0.15406590493955599</v>
      </c>
      <c r="J555">
        <v>0.19304450536097001</v>
      </c>
      <c r="K555">
        <v>-2.0850851688414902E-2</v>
      </c>
      <c r="L555">
        <v>-0.137926880459526</v>
      </c>
      <c r="M555">
        <v>0.19304450536097001</v>
      </c>
      <c r="N555">
        <v>0.31012053413208102</v>
      </c>
      <c r="O555">
        <v>3.6989876168444603E-2</v>
      </c>
      <c r="P555">
        <v>0.15406590493955599</v>
      </c>
      <c r="Q555" t="s">
        <v>1173</v>
      </c>
      <c r="R555" t="s">
        <v>1068</v>
      </c>
      <c r="S555" t="s">
        <v>1067</v>
      </c>
      <c r="T555" t="s">
        <v>1173</v>
      </c>
      <c r="U555" t="s">
        <v>944</v>
      </c>
      <c r="V555">
        <v>0</v>
      </c>
      <c r="W555" t="s">
        <v>944</v>
      </c>
      <c r="X555" t="s">
        <v>1175</v>
      </c>
      <c r="Y555">
        <v>1</v>
      </c>
      <c r="Z555">
        <v>-0.14532284618354499</v>
      </c>
      <c r="AA555">
        <v>-0.215474775733384</v>
      </c>
      <c r="AB555">
        <v>-0.45828113812723098</v>
      </c>
      <c r="AC555">
        <v>-0.445707185586392</v>
      </c>
    </row>
    <row r="556" spans="1:29" x14ac:dyDescent="0.2">
      <c r="A556">
        <v>555</v>
      </c>
      <c r="B556" t="s">
        <v>709</v>
      </c>
      <c r="C556" t="s">
        <v>162</v>
      </c>
      <c r="D556" t="s">
        <v>150</v>
      </c>
      <c r="E556">
        <v>-2.1182829810826601E-2</v>
      </c>
      <c r="F556">
        <v>0.202378022020757</v>
      </c>
      <c r="G556">
        <v>-3.5534012816393498E-2</v>
      </c>
      <c r="H556">
        <v>1.2767328894191301E-2</v>
      </c>
      <c r="I556">
        <v>4.8301341710584797E-2</v>
      </c>
      <c r="J556">
        <v>0.223560851831584</v>
      </c>
      <c r="K556">
        <v>-2.1182829810826601E-2</v>
      </c>
      <c r="L556">
        <v>-3.5534012816393498E-2</v>
      </c>
      <c r="M556">
        <v>0.223560851831584</v>
      </c>
      <c r="N556">
        <v>0.23791203483715001</v>
      </c>
      <c r="O556">
        <v>3.3950158705017899E-2</v>
      </c>
      <c r="P556">
        <v>4.8301341710584797E-2</v>
      </c>
      <c r="Q556" t="s">
        <v>1173</v>
      </c>
      <c r="R556" t="s">
        <v>1068</v>
      </c>
      <c r="S556" t="s">
        <v>1173</v>
      </c>
      <c r="T556" t="s">
        <v>1173</v>
      </c>
      <c r="U556" t="s">
        <v>944</v>
      </c>
      <c r="V556">
        <v>0</v>
      </c>
      <c r="W556" t="s">
        <v>944</v>
      </c>
      <c r="X556" t="s">
        <v>1175</v>
      </c>
      <c r="Y556">
        <v>1</v>
      </c>
      <c r="Z556">
        <v>-0.23429637805971201</v>
      </c>
      <c r="AA556">
        <v>-0.25238762840153001</v>
      </c>
      <c r="AB556">
        <v>-0.46132872200552699</v>
      </c>
      <c r="AC556">
        <v>-0.44636173626043102</v>
      </c>
    </row>
    <row r="557" spans="1:29" x14ac:dyDescent="0.2">
      <c r="A557">
        <v>556</v>
      </c>
      <c r="B557" t="s">
        <v>710</v>
      </c>
      <c r="C557" t="s">
        <v>162</v>
      </c>
      <c r="D557" t="s">
        <v>158</v>
      </c>
      <c r="E557">
        <v>-3.6749368457804903E-2</v>
      </c>
      <c r="F557">
        <v>-0.131987584925254</v>
      </c>
      <c r="G557">
        <v>-4.3391766885105702E-2</v>
      </c>
      <c r="H557">
        <v>-0.26481230108894699</v>
      </c>
      <c r="I557">
        <v>-0.221420534203841</v>
      </c>
      <c r="J557">
        <v>-9.5238216467449094E-2</v>
      </c>
      <c r="K557">
        <v>-3.6749368457804903E-2</v>
      </c>
      <c r="L557">
        <v>-4.3391766885105702E-2</v>
      </c>
      <c r="M557">
        <v>-9.5238216467449094E-2</v>
      </c>
      <c r="N557">
        <v>-8.8595818040148294E-2</v>
      </c>
      <c r="O557">
        <v>-0.228062932631142</v>
      </c>
      <c r="P557">
        <v>-0.221420534203841</v>
      </c>
      <c r="Q557" t="s">
        <v>1173</v>
      </c>
      <c r="R557" t="s">
        <v>1067</v>
      </c>
      <c r="S557" t="s">
        <v>1173</v>
      </c>
      <c r="T557" t="s">
        <v>1067</v>
      </c>
      <c r="U557" t="s">
        <v>1174</v>
      </c>
      <c r="V557">
        <v>1</v>
      </c>
      <c r="W557" t="s">
        <v>1174</v>
      </c>
      <c r="X557" t="s">
        <v>1175</v>
      </c>
      <c r="Y557">
        <v>0</v>
      </c>
      <c r="Z557">
        <v>-0.42305511263416201</v>
      </c>
      <c r="AA557">
        <v>-0.27127340538636702</v>
      </c>
      <c r="AB557">
        <v>-0.46350265011913999</v>
      </c>
      <c r="AC557">
        <v>-0.36536665152638298</v>
      </c>
    </row>
    <row r="558" spans="1:29" x14ac:dyDescent="0.2">
      <c r="A558">
        <v>557</v>
      </c>
      <c r="B558" t="s">
        <v>711</v>
      </c>
      <c r="C558" t="s">
        <v>162</v>
      </c>
      <c r="D558" t="s">
        <v>168</v>
      </c>
      <c r="E558">
        <v>2.6336407133691099E-3</v>
      </c>
      <c r="F558">
        <v>-0.690330611252985</v>
      </c>
      <c r="G558">
        <v>-4.6285800530001801E-2</v>
      </c>
      <c r="H558">
        <v>-0.95422943619485201</v>
      </c>
      <c r="I558">
        <v>-0.90794363566485004</v>
      </c>
      <c r="J558">
        <v>-0.69296425196635403</v>
      </c>
      <c r="K558">
        <v>2.6336407133691099E-3</v>
      </c>
      <c r="L558">
        <v>-4.6285800530001801E-2</v>
      </c>
      <c r="M558">
        <v>-0.69296425196635403</v>
      </c>
      <c r="N558">
        <v>-0.64404481072298303</v>
      </c>
      <c r="O558">
        <v>-0.95686307690822103</v>
      </c>
      <c r="P558">
        <v>-0.90794363566485004</v>
      </c>
      <c r="Q558" t="s">
        <v>1173</v>
      </c>
      <c r="R558" t="s">
        <v>1067</v>
      </c>
      <c r="S558" t="s">
        <v>1173</v>
      </c>
      <c r="T558" t="s">
        <v>1067</v>
      </c>
      <c r="U558" t="s">
        <v>1174</v>
      </c>
      <c r="V558">
        <v>1</v>
      </c>
      <c r="W558" t="s">
        <v>1174</v>
      </c>
      <c r="X558" t="s">
        <v>1175</v>
      </c>
      <c r="Y558">
        <v>1</v>
      </c>
      <c r="Z558">
        <v>-0.42375466623375002</v>
      </c>
      <c r="AA558">
        <v>-0.27753818533337699</v>
      </c>
      <c r="AB558">
        <v>-0.45818974578403499</v>
      </c>
      <c r="AC558">
        <v>-0.37073421311315602</v>
      </c>
    </row>
    <row r="559" spans="1:29" x14ac:dyDescent="0.2">
      <c r="A559">
        <v>558</v>
      </c>
      <c r="B559" t="s">
        <v>712</v>
      </c>
      <c r="C559" t="s">
        <v>218</v>
      </c>
      <c r="D559" t="s">
        <v>129</v>
      </c>
      <c r="E559">
        <v>-0.300552588333447</v>
      </c>
      <c r="F559">
        <v>0.32490013772791598</v>
      </c>
      <c r="G559">
        <v>-8.8921122418459994E-2</v>
      </c>
      <c r="H559">
        <v>0.25382914784058702</v>
      </c>
      <c r="I559">
        <v>0.34275027025904697</v>
      </c>
      <c r="J559">
        <v>0.62545272606136304</v>
      </c>
      <c r="K559">
        <v>-8.8921122418459994E-2</v>
      </c>
      <c r="L559">
        <v>-0.300552588333447</v>
      </c>
      <c r="M559">
        <v>0.41382126014637599</v>
      </c>
      <c r="N559">
        <v>0.62545272606136304</v>
      </c>
      <c r="O559">
        <v>0.34275027025904697</v>
      </c>
      <c r="P559">
        <v>0.55438173617403397</v>
      </c>
      <c r="Q559" t="s">
        <v>1067</v>
      </c>
      <c r="R559" t="s">
        <v>1068</v>
      </c>
      <c r="S559" t="s">
        <v>1173</v>
      </c>
      <c r="T559" t="s">
        <v>1068</v>
      </c>
      <c r="U559" t="s">
        <v>944</v>
      </c>
      <c r="V559">
        <v>0</v>
      </c>
      <c r="W559" t="s">
        <v>944</v>
      </c>
      <c r="X559" t="s">
        <v>1175</v>
      </c>
      <c r="Y559">
        <v>1</v>
      </c>
      <c r="Z559">
        <v>-0.108281509442129</v>
      </c>
      <c r="AA559">
        <v>-0.22605283434999299</v>
      </c>
      <c r="AB559">
        <v>4.8541990325283502E-2</v>
      </c>
      <c r="AC559">
        <v>-0.221992753141069</v>
      </c>
    </row>
    <row r="560" spans="1:29" x14ac:dyDescent="0.2">
      <c r="A560">
        <v>559</v>
      </c>
      <c r="B560" t="s">
        <v>713</v>
      </c>
      <c r="C560" t="s">
        <v>218</v>
      </c>
      <c r="D560" t="s">
        <v>130</v>
      </c>
      <c r="E560">
        <v>-1.23853160456164E-2</v>
      </c>
      <c r="F560">
        <v>0.72080944605602004</v>
      </c>
      <c r="G560">
        <v>0.40987440773564299</v>
      </c>
      <c r="H560">
        <v>0.66830312016270699</v>
      </c>
      <c r="I560">
        <v>0.258428712427064</v>
      </c>
      <c r="J560">
        <v>0.73319476210163603</v>
      </c>
      <c r="K560">
        <v>0.40987440773564299</v>
      </c>
      <c r="L560">
        <v>-1.23853160456164E-2</v>
      </c>
      <c r="M560">
        <v>0.310935038320377</v>
      </c>
      <c r="N560">
        <v>0.73319476210163603</v>
      </c>
      <c r="O560">
        <v>0.258428712427064</v>
      </c>
      <c r="P560">
        <v>0.68068843620832298</v>
      </c>
      <c r="Q560" t="s">
        <v>1173</v>
      </c>
      <c r="R560" t="s">
        <v>1068</v>
      </c>
      <c r="S560" t="s">
        <v>1068</v>
      </c>
      <c r="T560" t="s">
        <v>1068</v>
      </c>
      <c r="U560" t="s">
        <v>944</v>
      </c>
      <c r="V560">
        <v>0</v>
      </c>
      <c r="W560" t="s">
        <v>944</v>
      </c>
      <c r="X560" t="s">
        <v>1175</v>
      </c>
      <c r="Y560">
        <v>1</v>
      </c>
      <c r="Z560">
        <v>0.11271654578074899</v>
      </c>
      <c r="AA560">
        <v>-0.16225553572474199</v>
      </c>
      <c r="AB560">
        <v>-5.0244181034308E-2</v>
      </c>
      <c r="AC560">
        <v>-0.312671612104512</v>
      </c>
    </row>
    <row r="561" spans="1:29" x14ac:dyDescent="0.2">
      <c r="A561">
        <v>560</v>
      </c>
      <c r="B561" t="s">
        <v>714</v>
      </c>
      <c r="C561" t="s">
        <v>218</v>
      </c>
      <c r="D561" t="s">
        <v>132</v>
      </c>
      <c r="E561">
        <v>-0.14282357014430999</v>
      </c>
      <c r="F561">
        <v>0.229076984932506</v>
      </c>
      <c r="G561">
        <v>-0.100333163805767</v>
      </c>
      <c r="H561">
        <v>9.1545589365491994E-2</v>
      </c>
      <c r="I561">
        <v>0.19187875317125899</v>
      </c>
      <c r="J561">
        <v>0.37190055507681602</v>
      </c>
      <c r="K561">
        <v>-0.100333163805767</v>
      </c>
      <c r="L561">
        <v>-0.14282357014430999</v>
      </c>
      <c r="M561">
        <v>0.32941014873827301</v>
      </c>
      <c r="N561">
        <v>0.37190055507681602</v>
      </c>
      <c r="O561">
        <v>0.19187875317125899</v>
      </c>
      <c r="P561">
        <v>0.234369159509802</v>
      </c>
      <c r="Q561" t="s">
        <v>1067</v>
      </c>
      <c r="R561" t="s">
        <v>1068</v>
      </c>
      <c r="S561" t="s">
        <v>1067</v>
      </c>
      <c r="T561" t="s">
        <v>1173</v>
      </c>
      <c r="U561" t="s">
        <v>944</v>
      </c>
      <c r="V561">
        <v>0</v>
      </c>
      <c r="W561" t="s">
        <v>944</v>
      </c>
      <c r="X561" t="s">
        <v>1175</v>
      </c>
      <c r="Y561">
        <v>1</v>
      </c>
      <c r="Z561">
        <v>-0.157032380370034</v>
      </c>
      <c r="AA561">
        <v>-0.23199905693101</v>
      </c>
      <c r="AB561">
        <v>-8.7476851893054895E-3</v>
      </c>
      <c r="AC561">
        <v>-0.23139595612120401</v>
      </c>
    </row>
    <row r="562" spans="1:29" x14ac:dyDescent="0.2">
      <c r="A562">
        <v>561</v>
      </c>
      <c r="B562" t="s">
        <v>715</v>
      </c>
      <c r="C562" t="s">
        <v>218</v>
      </c>
      <c r="D562" t="s">
        <v>134</v>
      </c>
      <c r="E562">
        <v>5.3521567552659403E-2</v>
      </c>
      <c r="F562">
        <v>1.00923597084128E-3</v>
      </c>
      <c r="G562">
        <v>3.6270708053379001E-3</v>
      </c>
      <c r="H562">
        <v>-0.209211433131647</v>
      </c>
      <c r="I562">
        <v>-0.212838503936985</v>
      </c>
      <c r="J562">
        <v>-5.2512331581818103E-2</v>
      </c>
      <c r="K562">
        <v>5.3521567552659403E-2</v>
      </c>
      <c r="L562">
        <v>3.6270708053379001E-3</v>
      </c>
      <c r="M562">
        <v>-5.2512331581818103E-2</v>
      </c>
      <c r="N562">
        <v>-2.6178348344966201E-3</v>
      </c>
      <c r="O562">
        <v>-0.262733000684306</v>
      </c>
      <c r="P562">
        <v>-0.212838503936985</v>
      </c>
      <c r="Q562" t="s">
        <v>1173</v>
      </c>
      <c r="R562" t="s">
        <v>1173</v>
      </c>
      <c r="S562" t="s">
        <v>1173</v>
      </c>
      <c r="T562" t="s">
        <v>1067</v>
      </c>
      <c r="U562" t="s">
        <v>1174</v>
      </c>
      <c r="V562">
        <v>1</v>
      </c>
      <c r="W562" t="s">
        <v>1174</v>
      </c>
      <c r="X562" t="s">
        <v>1175</v>
      </c>
      <c r="Y562">
        <v>0</v>
      </c>
      <c r="Z562">
        <v>-2.3886828142259502E-2</v>
      </c>
      <c r="AA562">
        <v>-0.25169775293670499</v>
      </c>
      <c r="AB562">
        <v>7.2393630753165503E-2</v>
      </c>
      <c r="AC562">
        <v>-0.28859433090987702</v>
      </c>
    </row>
    <row r="563" spans="1:29" x14ac:dyDescent="0.2">
      <c r="A563">
        <v>562</v>
      </c>
      <c r="B563" t="s">
        <v>716</v>
      </c>
      <c r="C563" t="s">
        <v>218</v>
      </c>
      <c r="D563" t="s">
        <v>136</v>
      </c>
      <c r="E563">
        <v>-0.159585304554209</v>
      </c>
      <c r="F563">
        <v>-0.20913611847435101</v>
      </c>
      <c r="G563">
        <v>3.4822990571518899E-3</v>
      </c>
      <c r="H563">
        <v>-0.362380175753863</v>
      </c>
      <c r="I563">
        <v>-0.36586247481101503</v>
      </c>
      <c r="J563">
        <v>-4.9550813920142003E-2</v>
      </c>
      <c r="K563">
        <v>3.4822990571518899E-3</v>
      </c>
      <c r="L563">
        <v>-0.159585304554209</v>
      </c>
      <c r="M563">
        <v>-0.21261841753150301</v>
      </c>
      <c r="N563">
        <v>-4.9550813920142003E-2</v>
      </c>
      <c r="O563">
        <v>-0.36586247481101503</v>
      </c>
      <c r="P563">
        <v>-0.202794871199654</v>
      </c>
      <c r="Q563" t="s">
        <v>1067</v>
      </c>
      <c r="R563" t="s">
        <v>1067</v>
      </c>
      <c r="S563" t="s">
        <v>1173</v>
      </c>
      <c r="T563" t="s">
        <v>1067</v>
      </c>
      <c r="U563" t="s">
        <v>1174</v>
      </c>
      <c r="V563">
        <v>1</v>
      </c>
      <c r="W563" t="s">
        <v>944</v>
      </c>
      <c r="X563" t="s">
        <v>1175</v>
      </c>
      <c r="Y563">
        <v>0</v>
      </c>
      <c r="Z563">
        <v>-0.10257770726917401</v>
      </c>
      <c r="AA563">
        <v>-0.26118055693365599</v>
      </c>
      <c r="AB563">
        <v>0.18419524866183001</v>
      </c>
      <c r="AC563">
        <v>-0.20228891093013401</v>
      </c>
    </row>
    <row r="564" spans="1:29" x14ac:dyDescent="0.2">
      <c r="A564">
        <v>563</v>
      </c>
      <c r="B564" t="s">
        <v>717</v>
      </c>
      <c r="C564" t="s">
        <v>218</v>
      </c>
      <c r="D564" t="s">
        <v>138</v>
      </c>
      <c r="E564">
        <v>-0.11754990805731</v>
      </c>
      <c r="F564">
        <v>0.81608470836014402</v>
      </c>
      <c r="G564">
        <v>-0.13445910848661</v>
      </c>
      <c r="H564">
        <v>0.80517632205797296</v>
      </c>
      <c r="I564">
        <v>0.93963543054458298</v>
      </c>
      <c r="J564">
        <v>0.93363461641745404</v>
      </c>
      <c r="K564">
        <v>-0.11754990805731</v>
      </c>
      <c r="L564">
        <v>-0.13445910848661</v>
      </c>
      <c r="M564">
        <v>0.93363461641745404</v>
      </c>
      <c r="N564">
        <v>0.95054381684675404</v>
      </c>
      <c r="O564">
        <v>0.92272623011528299</v>
      </c>
      <c r="P564">
        <v>0.93963543054458298</v>
      </c>
      <c r="Q564" t="s">
        <v>1067</v>
      </c>
      <c r="R564" t="s">
        <v>1068</v>
      </c>
      <c r="S564" t="s">
        <v>1067</v>
      </c>
      <c r="T564" t="s">
        <v>1068</v>
      </c>
      <c r="U564" t="s">
        <v>944</v>
      </c>
      <c r="V564">
        <v>0</v>
      </c>
      <c r="W564" t="s">
        <v>944</v>
      </c>
      <c r="X564" t="s">
        <v>1175</v>
      </c>
      <c r="Y564">
        <v>1</v>
      </c>
      <c r="Z564">
        <v>0.74795510043512803</v>
      </c>
      <c r="AA564">
        <v>-0.100657216040714</v>
      </c>
      <c r="AB564">
        <v>0.83647473983366305</v>
      </c>
      <c r="AC564">
        <v>-0.123182380188716</v>
      </c>
    </row>
    <row r="565" spans="1:29" x14ac:dyDescent="0.2">
      <c r="A565">
        <v>564</v>
      </c>
      <c r="B565" t="s">
        <v>718</v>
      </c>
      <c r="C565" t="s">
        <v>218</v>
      </c>
      <c r="D565" t="s">
        <v>182</v>
      </c>
      <c r="E565">
        <v>-0.13136905854741901</v>
      </c>
      <c r="F565">
        <v>0.90950390531314695</v>
      </c>
      <c r="G565">
        <v>-8.9301169600661895E-2</v>
      </c>
      <c r="H565">
        <v>0.90649534072416105</v>
      </c>
      <c r="I565">
        <v>0.99579651032482297</v>
      </c>
      <c r="J565">
        <v>1.04087296386057</v>
      </c>
      <c r="K565">
        <v>-8.9301169600661895E-2</v>
      </c>
      <c r="L565">
        <v>-0.13136905854741901</v>
      </c>
      <c r="M565">
        <v>0.99880507491380899</v>
      </c>
      <c r="N565">
        <v>1.04087296386057</v>
      </c>
      <c r="O565">
        <v>0.99579651032482297</v>
      </c>
      <c r="P565">
        <v>1.0378643992715799</v>
      </c>
      <c r="Q565" t="s">
        <v>1067</v>
      </c>
      <c r="R565" t="s">
        <v>1068</v>
      </c>
      <c r="S565" t="s">
        <v>1173</v>
      </c>
      <c r="T565" t="s">
        <v>1068</v>
      </c>
      <c r="U565" t="s">
        <v>944</v>
      </c>
      <c r="V565">
        <v>0</v>
      </c>
      <c r="W565" t="s">
        <v>944</v>
      </c>
      <c r="X565" t="s">
        <v>1175</v>
      </c>
      <c r="Y565">
        <v>1</v>
      </c>
      <c r="Z565">
        <v>0.71590843814496796</v>
      </c>
      <c r="AA565">
        <v>-0.125948690121714</v>
      </c>
      <c r="AB565">
        <v>0.82409809273807599</v>
      </c>
      <c r="AC565">
        <v>-0.122737938351555</v>
      </c>
    </row>
    <row r="566" spans="1:29" x14ac:dyDescent="0.2">
      <c r="A566">
        <v>565</v>
      </c>
      <c r="B566" t="s">
        <v>719</v>
      </c>
      <c r="C566" t="s">
        <v>218</v>
      </c>
      <c r="D566" t="s">
        <v>188</v>
      </c>
      <c r="E566">
        <v>-0.14206000541664299</v>
      </c>
      <c r="F566">
        <v>0.90501999024052204</v>
      </c>
      <c r="G566">
        <v>-8.02766206042686E-2</v>
      </c>
      <c r="H566">
        <v>0.90051458731476597</v>
      </c>
      <c r="I566">
        <v>0.98079120791903496</v>
      </c>
      <c r="J566">
        <v>1.0470799956571699</v>
      </c>
      <c r="K566">
        <v>-8.02766206042686E-2</v>
      </c>
      <c r="L566">
        <v>-0.14206000541664299</v>
      </c>
      <c r="M566">
        <v>0.98529661084479103</v>
      </c>
      <c r="N566">
        <v>1.0470799956571699</v>
      </c>
      <c r="O566">
        <v>0.98079120791903496</v>
      </c>
      <c r="P566">
        <v>1.0425745927314101</v>
      </c>
      <c r="Q566" t="s">
        <v>1067</v>
      </c>
      <c r="R566" t="s">
        <v>1068</v>
      </c>
      <c r="S566" t="s">
        <v>1173</v>
      </c>
      <c r="T566" t="s">
        <v>1068</v>
      </c>
      <c r="U566" t="s">
        <v>944</v>
      </c>
      <c r="V566">
        <v>0</v>
      </c>
      <c r="W566" t="s">
        <v>944</v>
      </c>
      <c r="X566" t="s">
        <v>1175</v>
      </c>
      <c r="Y566">
        <v>1</v>
      </c>
      <c r="Z566">
        <v>0.75380248290448404</v>
      </c>
      <c r="AA566">
        <v>-0.114519047464699</v>
      </c>
      <c r="AB566">
        <v>0.85912810782342097</v>
      </c>
      <c r="AC566">
        <v>-0.118083516663069</v>
      </c>
    </row>
    <row r="567" spans="1:29" x14ac:dyDescent="0.2">
      <c r="A567">
        <v>566</v>
      </c>
      <c r="B567" t="s">
        <v>720</v>
      </c>
      <c r="C567" t="s">
        <v>218</v>
      </c>
      <c r="D567" t="s">
        <v>140</v>
      </c>
      <c r="E567">
        <v>-0.15819854933974001</v>
      </c>
      <c r="F567">
        <v>-0.23090991865969601</v>
      </c>
      <c r="G567">
        <v>-0.17689475775233701</v>
      </c>
      <c r="H567">
        <v>-0.59607773632302297</v>
      </c>
      <c r="I567">
        <v>-0.41918297857068598</v>
      </c>
      <c r="J567">
        <v>-7.2711369319956004E-2</v>
      </c>
      <c r="K567">
        <v>-0.15819854933974001</v>
      </c>
      <c r="L567">
        <v>-0.17689475775233701</v>
      </c>
      <c r="M567">
        <v>-7.2711369319956004E-2</v>
      </c>
      <c r="N567">
        <v>-5.4015160907359E-2</v>
      </c>
      <c r="O567">
        <v>-0.43787918698328299</v>
      </c>
      <c r="P567">
        <v>-0.41918297857068598</v>
      </c>
      <c r="Q567" t="s">
        <v>1067</v>
      </c>
      <c r="R567" t="s">
        <v>1067</v>
      </c>
      <c r="S567" t="s">
        <v>1067</v>
      </c>
      <c r="T567" t="s">
        <v>1067</v>
      </c>
      <c r="U567" t="s">
        <v>1174</v>
      </c>
      <c r="V567">
        <v>1</v>
      </c>
      <c r="W567" t="s">
        <v>944</v>
      </c>
      <c r="X567" t="s">
        <v>1175</v>
      </c>
      <c r="Y567">
        <v>0</v>
      </c>
      <c r="Z567">
        <v>-9.0013634591316005E-2</v>
      </c>
      <c r="AA567">
        <v>-0.196448845382104</v>
      </c>
      <c r="AB567">
        <v>-2.3140241705771499E-2</v>
      </c>
      <c r="AC567">
        <v>-0.22971309616830299</v>
      </c>
    </row>
    <row r="568" spans="1:29" x14ac:dyDescent="0.2">
      <c r="A568">
        <v>567</v>
      </c>
      <c r="B568" t="s">
        <v>721</v>
      </c>
      <c r="C568" t="s">
        <v>218</v>
      </c>
      <c r="D568" t="s">
        <v>191</v>
      </c>
      <c r="E568">
        <v>-0.15485736210329101</v>
      </c>
      <c r="F568">
        <v>-0.33316877710111797</v>
      </c>
      <c r="G568">
        <v>-0.20420329523648301</v>
      </c>
      <c r="H568">
        <v>-0.63378226062169496</v>
      </c>
      <c r="I568">
        <v>-0.42957896538521201</v>
      </c>
      <c r="J568">
        <v>-0.17831141499782699</v>
      </c>
      <c r="K568">
        <v>-0.15485736210329101</v>
      </c>
      <c r="L568">
        <v>-0.20420329523648301</v>
      </c>
      <c r="M568">
        <v>-0.17831141499782699</v>
      </c>
      <c r="N568">
        <v>-0.128965481864635</v>
      </c>
      <c r="O568">
        <v>-0.47892489851840397</v>
      </c>
      <c r="P568">
        <v>-0.42957896538521201</v>
      </c>
      <c r="Q568" t="s">
        <v>1067</v>
      </c>
      <c r="R568" t="s">
        <v>1067</v>
      </c>
      <c r="S568" t="s">
        <v>1067</v>
      </c>
      <c r="T568" t="s">
        <v>1067</v>
      </c>
      <c r="U568" t="s">
        <v>1174</v>
      </c>
      <c r="V568">
        <v>1</v>
      </c>
      <c r="W568" t="s">
        <v>944</v>
      </c>
      <c r="X568" t="s">
        <v>1175</v>
      </c>
      <c r="Y568">
        <v>1</v>
      </c>
      <c r="Z568">
        <v>-8.9586200307395003E-2</v>
      </c>
      <c r="AA568">
        <v>-0.19175884272167601</v>
      </c>
      <c r="AB568">
        <v>-4.0674435880626497E-2</v>
      </c>
      <c r="AC568">
        <v>-0.232676458909129</v>
      </c>
    </row>
    <row r="569" spans="1:29" x14ac:dyDescent="0.2">
      <c r="A569">
        <v>568</v>
      </c>
      <c r="B569" t="s">
        <v>722</v>
      </c>
      <c r="C569" t="s">
        <v>218</v>
      </c>
      <c r="D569" t="s">
        <v>193</v>
      </c>
      <c r="E569">
        <v>-0.18150557266022899</v>
      </c>
      <c r="F569">
        <v>-6.4614574070584005E-2</v>
      </c>
      <c r="G569">
        <v>-0.21311523504562099</v>
      </c>
      <c r="H569">
        <v>-0.27132298811949401</v>
      </c>
      <c r="I569">
        <v>-5.8207753073872999E-2</v>
      </c>
      <c r="J569">
        <v>0.116890998589645</v>
      </c>
      <c r="K569">
        <v>-0.18150557266022899</v>
      </c>
      <c r="L569">
        <v>-0.21311523504562099</v>
      </c>
      <c r="M569">
        <v>0.116890998589645</v>
      </c>
      <c r="N569">
        <v>0.148500660975037</v>
      </c>
      <c r="O569">
        <v>-8.9817415459264999E-2</v>
      </c>
      <c r="P569">
        <v>-5.8207753073872999E-2</v>
      </c>
      <c r="Q569" t="s">
        <v>1067</v>
      </c>
      <c r="R569" t="s">
        <v>1173</v>
      </c>
      <c r="S569" t="s">
        <v>1067</v>
      </c>
      <c r="T569" t="s">
        <v>1067</v>
      </c>
      <c r="U569" t="s">
        <v>944</v>
      </c>
      <c r="V569">
        <v>1</v>
      </c>
      <c r="W569" t="s">
        <v>944</v>
      </c>
      <c r="X569" t="s">
        <v>1175</v>
      </c>
      <c r="Y569">
        <v>1</v>
      </c>
      <c r="Z569">
        <v>-9.0684901010488997E-2</v>
      </c>
      <c r="AA569">
        <v>-0.18859057736113</v>
      </c>
      <c r="AB569">
        <v>-4.7384364602017497E-2</v>
      </c>
      <c r="AC569">
        <v>-0.230557572685749</v>
      </c>
    </row>
    <row r="570" spans="1:29" x14ac:dyDescent="0.2">
      <c r="A570">
        <v>569</v>
      </c>
      <c r="B570" t="s">
        <v>723</v>
      </c>
      <c r="C570" t="s">
        <v>218</v>
      </c>
      <c r="D570" t="s">
        <v>142</v>
      </c>
      <c r="E570">
        <v>-0.14915667092332399</v>
      </c>
      <c r="F570">
        <v>0.85569957396738305</v>
      </c>
      <c r="G570">
        <v>3.6270688463557201E-3</v>
      </c>
      <c r="H570">
        <v>0.86329540963958096</v>
      </c>
      <c r="I570">
        <v>0.85966834079322496</v>
      </c>
      <c r="J570">
        <v>1.0048562448907099</v>
      </c>
      <c r="K570">
        <v>3.6270688463557201E-3</v>
      </c>
      <c r="L570">
        <v>-0.14915667092332399</v>
      </c>
      <c r="M570">
        <v>0.85207250512102695</v>
      </c>
      <c r="N570">
        <v>1.0048562448907099</v>
      </c>
      <c r="O570">
        <v>0.85966834079322496</v>
      </c>
      <c r="P570">
        <v>1.0124520805629</v>
      </c>
      <c r="Q570" t="s">
        <v>1067</v>
      </c>
      <c r="R570" t="s">
        <v>1068</v>
      </c>
      <c r="S570" t="s">
        <v>1173</v>
      </c>
      <c r="T570" t="s">
        <v>1068</v>
      </c>
      <c r="U570" t="s">
        <v>944</v>
      </c>
      <c r="V570">
        <v>0</v>
      </c>
      <c r="W570" t="s">
        <v>944</v>
      </c>
      <c r="X570" t="s">
        <v>1175</v>
      </c>
      <c r="Y570">
        <v>1</v>
      </c>
      <c r="Z570">
        <v>0.87947772078899999</v>
      </c>
      <c r="AA570">
        <v>-0.142835975684312</v>
      </c>
      <c r="AB570">
        <v>0.98105318657141005</v>
      </c>
      <c r="AC570">
        <v>-0.100569978956665</v>
      </c>
    </row>
    <row r="571" spans="1:29" x14ac:dyDescent="0.2">
      <c r="A571">
        <v>570</v>
      </c>
      <c r="B571" t="s">
        <v>724</v>
      </c>
      <c r="C571" t="s">
        <v>218</v>
      </c>
      <c r="D571" t="s">
        <v>144</v>
      </c>
      <c r="E571">
        <v>-1.19859484969525E-2</v>
      </c>
      <c r="F571">
        <v>0.69385723915334496</v>
      </c>
      <c r="G571">
        <v>2.8289559989188198E-3</v>
      </c>
      <c r="H571">
        <v>0.65812392157884203</v>
      </c>
      <c r="I571">
        <v>0.65529496557992295</v>
      </c>
      <c r="J571">
        <v>0.70584318765029697</v>
      </c>
      <c r="K571">
        <v>2.8289559989188198E-3</v>
      </c>
      <c r="L571">
        <v>-1.19859484969525E-2</v>
      </c>
      <c r="M571">
        <v>0.69102828315442599</v>
      </c>
      <c r="N571">
        <v>0.70584318765029697</v>
      </c>
      <c r="O571">
        <v>0.65529496557992295</v>
      </c>
      <c r="P571">
        <v>0.67010987007579403</v>
      </c>
      <c r="Q571" t="s">
        <v>1173</v>
      </c>
      <c r="R571" t="s">
        <v>1068</v>
      </c>
      <c r="S571" t="s">
        <v>1173</v>
      </c>
      <c r="T571" t="s">
        <v>1068</v>
      </c>
      <c r="U571" t="s">
        <v>944</v>
      </c>
      <c r="V571">
        <v>0</v>
      </c>
      <c r="W571" t="s">
        <v>944</v>
      </c>
      <c r="X571" t="s">
        <v>1175</v>
      </c>
      <c r="Y571">
        <v>1</v>
      </c>
      <c r="Z571">
        <v>5.2172026007740097E-2</v>
      </c>
      <c r="AA571">
        <v>-0.24252081962011399</v>
      </c>
      <c r="AB571">
        <v>0.13348720130626601</v>
      </c>
      <c r="AC571">
        <v>-0.28867668904476401</v>
      </c>
    </row>
    <row r="572" spans="1:29" x14ac:dyDescent="0.2">
      <c r="A572">
        <v>571</v>
      </c>
      <c r="B572" t="s">
        <v>725</v>
      </c>
      <c r="C572" t="s">
        <v>218</v>
      </c>
      <c r="D572" t="s">
        <v>146</v>
      </c>
      <c r="E572">
        <v>-1.33926673900189E-2</v>
      </c>
      <c r="F572">
        <v>-0.16335548210515499</v>
      </c>
      <c r="G572">
        <v>-0.187160792260368</v>
      </c>
      <c r="H572">
        <v>-0.384178639434543</v>
      </c>
      <c r="I572">
        <v>-0.197017847174175</v>
      </c>
      <c r="J572">
        <v>-0.14996281471513601</v>
      </c>
      <c r="K572">
        <v>-1.33926673900189E-2</v>
      </c>
      <c r="L572">
        <v>-0.187160792260368</v>
      </c>
      <c r="M572">
        <v>-0.14996281471513601</v>
      </c>
      <c r="N572">
        <v>2.3805310155212998E-2</v>
      </c>
      <c r="O572">
        <v>-0.37078597204452401</v>
      </c>
      <c r="P572">
        <v>-0.197017847174175</v>
      </c>
      <c r="Q572" t="s">
        <v>1173</v>
      </c>
      <c r="R572" t="s">
        <v>1067</v>
      </c>
      <c r="S572" t="s">
        <v>1067</v>
      </c>
      <c r="T572" t="s">
        <v>1067</v>
      </c>
      <c r="U572" t="s">
        <v>1174</v>
      </c>
      <c r="V572">
        <v>1</v>
      </c>
      <c r="W572" t="s">
        <v>1174</v>
      </c>
      <c r="X572" t="s">
        <v>1175</v>
      </c>
      <c r="Y572">
        <v>1</v>
      </c>
      <c r="Z572">
        <v>7.9178317719152097E-2</v>
      </c>
      <c r="AA572">
        <v>-0.176812497186773</v>
      </c>
      <c r="AB572">
        <v>-4.8108594006380997E-2</v>
      </c>
      <c r="AC572">
        <v>-0.31216381378004798</v>
      </c>
    </row>
    <row r="573" spans="1:29" x14ac:dyDescent="0.2">
      <c r="A573">
        <v>572</v>
      </c>
      <c r="B573" t="s">
        <v>726</v>
      </c>
      <c r="C573" t="s">
        <v>218</v>
      </c>
      <c r="D573" t="s">
        <v>200</v>
      </c>
      <c r="E573">
        <v>-0.188172092257477</v>
      </c>
      <c r="F573">
        <v>0.77478762468530404</v>
      </c>
      <c r="G573">
        <v>-8.4827518080703004E-2</v>
      </c>
      <c r="H573">
        <v>0.74087471667282001</v>
      </c>
      <c r="I573">
        <v>0.825702234753523</v>
      </c>
      <c r="J573">
        <v>0.96295971694278104</v>
      </c>
      <c r="K573">
        <v>-8.4827518080703004E-2</v>
      </c>
      <c r="L573">
        <v>-0.188172092257477</v>
      </c>
      <c r="M573">
        <v>0.85961514276600703</v>
      </c>
      <c r="N573">
        <v>0.96295971694278104</v>
      </c>
      <c r="O573">
        <v>0.825702234753523</v>
      </c>
      <c r="P573">
        <v>0.92904680893029701</v>
      </c>
      <c r="Q573" t="s">
        <v>1067</v>
      </c>
      <c r="R573" t="s">
        <v>1068</v>
      </c>
      <c r="S573" t="s">
        <v>1173</v>
      </c>
      <c r="T573" t="s">
        <v>1068</v>
      </c>
      <c r="U573" t="s">
        <v>944</v>
      </c>
      <c r="V573">
        <v>0</v>
      </c>
      <c r="W573" t="s">
        <v>944</v>
      </c>
      <c r="X573" t="s">
        <v>1175</v>
      </c>
      <c r="Y573">
        <v>1</v>
      </c>
      <c r="Z573">
        <v>7.7012249484206999E-2</v>
      </c>
      <c r="AA573">
        <v>-0.205521122628957</v>
      </c>
      <c r="AB573">
        <v>0.25473427340548199</v>
      </c>
      <c r="AC573">
        <v>-0.19648245627656</v>
      </c>
    </row>
    <row r="574" spans="1:29" x14ac:dyDescent="0.2">
      <c r="A574">
        <v>573</v>
      </c>
      <c r="B574" t="s">
        <v>727</v>
      </c>
      <c r="C574" t="s">
        <v>218</v>
      </c>
      <c r="D574" t="s">
        <v>148</v>
      </c>
      <c r="E574">
        <v>1.9740097167699699E-3</v>
      </c>
      <c r="F574">
        <v>7.3993509502639498E-2</v>
      </c>
      <c r="G574">
        <v>3.6696117290116901E-3</v>
      </c>
      <c r="H574">
        <v>-0.115543746123768</v>
      </c>
      <c r="I574">
        <v>-0.11921335785278001</v>
      </c>
      <c r="J574">
        <v>7.2019499785869495E-2</v>
      </c>
      <c r="K574">
        <v>3.6696117290116901E-3</v>
      </c>
      <c r="L574">
        <v>1.9740097167699699E-3</v>
      </c>
      <c r="M574">
        <v>7.0323897773627797E-2</v>
      </c>
      <c r="N574">
        <v>7.2019499785869495E-2</v>
      </c>
      <c r="O574">
        <v>-0.11921335785278001</v>
      </c>
      <c r="P574">
        <v>-0.117517755840538</v>
      </c>
      <c r="Q574" t="s">
        <v>1173</v>
      </c>
      <c r="R574" t="s">
        <v>1173</v>
      </c>
      <c r="S574" t="s">
        <v>1173</v>
      </c>
      <c r="T574" t="s">
        <v>1067</v>
      </c>
      <c r="U574" t="s">
        <v>944</v>
      </c>
      <c r="V574">
        <v>1</v>
      </c>
      <c r="W574" t="s">
        <v>944</v>
      </c>
      <c r="X574" t="s">
        <v>1175</v>
      </c>
      <c r="Y574">
        <v>0</v>
      </c>
      <c r="Z574">
        <v>-0.280144962470603</v>
      </c>
      <c r="AA574">
        <v>-0.28258510799035502</v>
      </c>
      <c r="AB574">
        <v>-7.4050128635054797E-3</v>
      </c>
      <c r="AC574">
        <v>-0.229095248008443</v>
      </c>
    </row>
    <row r="575" spans="1:29" x14ac:dyDescent="0.2">
      <c r="A575">
        <v>574</v>
      </c>
      <c r="B575" t="s">
        <v>728</v>
      </c>
      <c r="C575" t="s">
        <v>218</v>
      </c>
      <c r="D575" t="s">
        <v>150</v>
      </c>
      <c r="E575">
        <v>-1.23399584989125E-2</v>
      </c>
      <c r="F575">
        <v>-0.16950096106208301</v>
      </c>
      <c r="G575">
        <v>-8.7941912186388402E-2</v>
      </c>
      <c r="H575">
        <v>-0.39229241433406498</v>
      </c>
      <c r="I575">
        <v>-0.304350502147677</v>
      </c>
      <c r="J575">
        <v>-0.15716100256317</v>
      </c>
      <c r="K575">
        <v>-1.23399584989125E-2</v>
      </c>
      <c r="L575">
        <v>-8.7941912186388402E-2</v>
      </c>
      <c r="M575">
        <v>-0.15716100256317</v>
      </c>
      <c r="N575">
        <v>-8.1559048875694595E-2</v>
      </c>
      <c r="O575">
        <v>-0.37995245583515203</v>
      </c>
      <c r="P575">
        <v>-0.304350502147677</v>
      </c>
      <c r="Q575" t="s">
        <v>1173</v>
      </c>
      <c r="R575" t="s">
        <v>1067</v>
      </c>
      <c r="S575" t="s">
        <v>1173</v>
      </c>
      <c r="T575" t="s">
        <v>1067</v>
      </c>
      <c r="U575" t="s">
        <v>1174</v>
      </c>
      <c r="V575">
        <v>1</v>
      </c>
      <c r="W575" t="s">
        <v>1174</v>
      </c>
      <c r="X575" t="s">
        <v>1175</v>
      </c>
      <c r="Y575">
        <v>1</v>
      </c>
      <c r="Z575">
        <v>-9.7952141570149497E-3</v>
      </c>
      <c r="AA575">
        <v>-0.21372534985491801</v>
      </c>
      <c r="AB575">
        <v>-5.1156177884677502E-2</v>
      </c>
      <c r="AC575">
        <v>-0.31281836445408701</v>
      </c>
    </row>
    <row r="576" spans="1:29" x14ac:dyDescent="0.2">
      <c r="A576">
        <v>575</v>
      </c>
      <c r="B576" t="s">
        <v>729</v>
      </c>
      <c r="C576" t="s">
        <v>218</v>
      </c>
      <c r="D576" t="s">
        <v>204</v>
      </c>
      <c r="E576">
        <v>-0.31972558766645598</v>
      </c>
      <c r="F576">
        <v>-0.298518057083346</v>
      </c>
      <c r="G576">
        <v>-0.112681356811725</v>
      </c>
      <c r="H576">
        <v>-0.58334713689333895</v>
      </c>
      <c r="I576">
        <v>-0.47066578008161403</v>
      </c>
      <c r="J576">
        <v>2.120753058311E-2</v>
      </c>
      <c r="K576">
        <v>-0.112681356811725</v>
      </c>
      <c r="L576">
        <v>-0.31972558766645598</v>
      </c>
      <c r="M576">
        <v>-0.185836700271621</v>
      </c>
      <c r="N576">
        <v>2.120753058311E-2</v>
      </c>
      <c r="O576">
        <v>-0.47066578008161403</v>
      </c>
      <c r="P576">
        <v>-0.26362154922688302</v>
      </c>
      <c r="Q576" t="s">
        <v>1067</v>
      </c>
      <c r="R576" t="s">
        <v>1067</v>
      </c>
      <c r="S576" t="s">
        <v>1067</v>
      </c>
      <c r="T576" t="s">
        <v>1067</v>
      </c>
      <c r="U576" t="s">
        <v>944</v>
      </c>
      <c r="V576">
        <v>1</v>
      </c>
      <c r="W576" t="s">
        <v>944</v>
      </c>
      <c r="X576" t="s">
        <v>1175</v>
      </c>
      <c r="Y576">
        <v>0</v>
      </c>
      <c r="Z576">
        <v>-0.18958745531417501</v>
      </c>
      <c r="AA576">
        <v>-0.23108695830821699</v>
      </c>
      <c r="AB576">
        <v>-4.4158069355737503E-2</v>
      </c>
      <c r="AC576">
        <v>-0.23072024369362901</v>
      </c>
    </row>
    <row r="577" spans="1:29" x14ac:dyDescent="0.2">
      <c r="A577">
        <v>576</v>
      </c>
      <c r="B577" t="s">
        <v>730</v>
      </c>
      <c r="C577" t="s">
        <v>218</v>
      </c>
      <c r="D577" t="s">
        <v>152</v>
      </c>
      <c r="E577">
        <v>-0.14905038054678499</v>
      </c>
      <c r="F577">
        <v>0.856516334659846</v>
      </c>
      <c r="G577">
        <v>3.6270688463557201E-3</v>
      </c>
      <c r="H577">
        <v>0.86395527607901901</v>
      </c>
      <c r="I577">
        <v>0.86032820723266301</v>
      </c>
      <c r="J577">
        <v>1.0055667152066301</v>
      </c>
      <c r="K577">
        <v>3.6270688463557201E-3</v>
      </c>
      <c r="L577">
        <v>-0.14905038054678499</v>
      </c>
      <c r="M577">
        <v>0.85288926581349001</v>
      </c>
      <c r="N577">
        <v>1.0055667152066301</v>
      </c>
      <c r="O577">
        <v>0.86032820723266301</v>
      </c>
      <c r="P577">
        <v>1.0130056566258001</v>
      </c>
      <c r="Q577" t="s">
        <v>1067</v>
      </c>
      <c r="R577" t="s">
        <v>1068</v>
      </c>
      <c r="S577" t="s">
        <v>1173</v>
      </c>
      <c r="T577" t="s">
        <v>1068</v>
      </c>
      <c r="U577" t="s">
        <v>944</v>
      </c>
      <c r="V577">
        <v>0</v>
      </c>
      <c r="W577" t="s">
        <v>944</v>
      </c>
      <c r="X577" t="s">
        <v>1175</v>
      </c>
      <c r="Y577">
        <v>1</v>
      </c>
      <c r="Z577">
        <v>0.87960496596593496</v>
      </c>
      <c r="AA577">
        <v>-0.14282064174617601</v>
      </c>
      <c r="AB577">
        <v>0.98136311807227095</v>
      </c>
      <c r="AC577">
        <v>-0.10056895816928201</v>
      </c>
    </row>
    <row r="578" spans="1:29" x14ac:dyDescent="0.2">
      <c r="A578">
        <v>577</v>
      </c>
      <c r="B578" t="s">
        <v>731</v>
      </c>
      <c r="C578" t="s">
        <v>218</v>
      </c>
      <c r="D578" t="s">
        <v>209</v>
      </c>
      <c r="E578">
        <v>-0.17021339927510701</v>
      </c>
      <c r="F578">
        <v>-0.11463220438471999</v>
      </c>
      <c r="G578">
        <v>-0.114345313118228</v>
      </c>
      <c r="H578">
        <v>-0.484456970433501</v>
      </c>
      <c r="I578">
        <v>-0.37011165731527301</v>
      </c>
      <c r="J578">
        <v>5.5581194890387001E-2</v>
      </c>
      <c r="K578">
        <v>-0.114345313118228</v>
      </c>
      <c r="L578">
        <v>-0.17021339927510701</v>
      </c>
      <c r="M578">
        <v>-2.8689126649199303E-4</v>
      </c>
      <c r="N578">
        <v>5.5581194890387001E-2</v>
      </c>
      <c r="O578">
        <v>-0.37011165731527301</v>
      </c>
      <c r="P578">
        <v>-0.31424357115839402</v>
      </c>
      <c r="Q578" t="s">
        <v>1067</v>
      </c>
      <c r="R578" t="s">
        <v>1067</v>
      </c>
      <c r="S578" t="s">
        <v>1067</v>
      </c>
      <c r="T578" t="s">
        <v>1067</v>
      </c>
      <c r="U578" t="s">
        <v>944</v>
      </c>
      <c r="V578">
        <v>1</v>
      </c>
      <c r="W578" t="s">
        <v>944</v>
      </c>
      <c r="X578" t="s">
        <v>1175</v>
      </c>
      <c r="Y578">
        <v>0</v>
      </c>
      <c r="Z578">
        <v>-0.13331387478259199</v>
      </c>
      <c r="AA578">
        <v>-0.223779292330477</v>
      </c>
      <c r="AB578">
        <v>8.9526938553825298E-3</v>
      </c>
      <c r="AC578">
        <v>-0.22560556091533299</v>
      </c>
    </row>
    <row r="579" spans="1:29" x14ac:dyDescent="0.2">
      <c r="A579">
        <v>578</v>
      </c>
      <c r="B579" t="s">
        <v>732</v>
      </c>
      <c r="C579" t="s">
        <v>218</v>
      </c>
      <c r="D579" t="s">
        <v>154</v>
      </c>
      <c r="E579">
        <v>-0.35433520595456203</v>
      </c>
      <c r="F579">
        <v>-0.32043182462199199</v>
      </c>
      <c r="G579">
        <v>-0.112681356608114</v>
      </c>
      <c r="H579">
        <v>-0.63607024104770005</v>
      </c>
      <c r="I579">
        <v>-0.52338888443958598</v>
      </c>
      <c r="J579">
        <v>3.3903381332570003E-2</v>
      </c>
      <c r="K579">
        <v>-0.112681356608114</v>
      </c>
      <c r="L579">
        <v>-0.35433520595456203</v>
      </c>
      <c r="M579">
        <v>-0.207750468013878</v>
      </c>
      <c r="N579">
        <v>3.3903381332570003E-2</v>
      </c>
      <c r="O579">
        <v>-0.52338888443958598</v>
      </c>
      <c r="P579">
        <v>-0.28173503509313802</v>
      </c>
      <c r="Q579" t="s">
        <v>1067</v>
      </c>
      <c r="R579" t="s">
        <v>1067</v>
      </c>
      <c r="S579" t="s">
        <v>1067</v>
      </c>
      <c r="T579" t="s">
        <v>1067</v>
      </c>
      <c r="U579" t="s">
        <v>944</v>
      </c>
      <c r="V579">
        <v>1</v>
      </c>
      <c r="W579" t="s">
        <v>944</v>
      </c>
      <c r="X579" t="s">
        <v>1175</v>
      </c>
      <c r="Y579">
        <v>0</v>
      </c>
      <c r="Z579">
        <v>-0.19243336213558401</v>
      </c>
      <c r="AA579">
        <v>-0.231429910075271</v>
      </c>
      <c r="AB579">
        <v>-4.6862977240019997E-2</v>
      </c>
      <c r="AC579">
        <v>-0.23100806274513799</v>
      </c>
    </row>
    <row r="580" spans="1:29" x14ac:dyDescent="0.2">
      <c r="A580">
        <v>579</v>
      </c>
      <c r="B580" t="s">
        <v>733</v>
      </c>
      <c r="C580" t="s">
        <v>218</v>
      </c>
      <c r="D580" t="s">
        <v>156</v>
      </c>
      <c r="E580">
        <v>-0.17193541355338901</v>
      </c>
      <c r="F580">
        <v>-0.130237280209169</v>
      </c>
      <c r="G580">
        <v>3.6270708053379001E-3</v>
      </c>
      <c r="H580">
        <v>-0.28486872103242999</v>
      </c>
      <c r="I580">
        <v>-0.28849579183776802</v>
      </c>
      <c r="J580">
        <v>4.1698133344219998E-2</v>
      </c>
      <c r="K580">
        <v>3.6270708053379001E-3</v>
      </c>
      <c r="L580">
        <v>-0.17193541355338901</v>
      </c>
      <c r="M580">
        <v>-0.133864351014507</v>
      </c>
      <c r="N580">
        <v>4.1698133344219998E-2</v>
      </c>
      <c r="O580">
        <v>-0.28849579183776802</v>
      </c>
      <c r="P580">
        <v>-0.112933307479041</v>
      </c>
      <c r="Q580" t="s">
        <v>1067</v>
      </c>
      <c r="R580" t="s">
        <v>1067</v>
      </c>
      <c r="S580" t="s">
        <v>1173</v>
      </c>
      <c r="T580" t="s">
        <v>1067</v>
      </c>
      <c r="U580" t="s">
        <v>944</v>
      </c>
      <c r="V580">
        <v>1</v>
      </c>
      <c r="W580" t="s">
        <v>944</v>
      </c>
      <c r="X580" t="s">
        <v>1175</v>
      </c>
      <c r="Y580">
        <v>0</v>
      </c>
      <c r="Z580">
        <v>-6.14135157054604E-2</v>
      </c>
      <c r="AA580">
        <v>-0.25621998253643702</v>
      </c>
      <c r="AB580">
        <v>0.22981549183928801</v>
      </c>
      <c r="AC580">
        <v>-0.196250412365642</v>
      </c>
    </row>
    <row r="581" spans="1:29" x14ac:dyDescent="0.2">
      <c r="A581">
        <v>580</v>
      </c>
      <c r="B581" t="s">
        <v>734</v>
      </c>
      <c r="C581" t="s">
        <v>218</v>
      </c>
      <c r="D581" t="s">
        <v>158</v>
      </c>
      <c r="E581">
        <v>-0.359463420956593</v>
      </c>
      <c r="F581">
        <v>0.21141746519622201</v>
      </c>
      <c r="G581">
        <v>-0.111799779278259</v>
      </c>
      <c r="H581">
        <v>9.6539409207109406E-2</v>
      </c>
      <c r="I581">
        <v>0.208339188485368</v>
      </c>
      <c r="J581">
        <v>0.57088088615281496</v>
      </c>
      <c r="K581">
        <v>-0.111799779278259</v>
      </c>
      <c r="L581">
        <v>-0.359463420956593</v>
      </c>
      <c r="M581">
        <v>0.32321724447448102</v>
      </c>
      <c r="N581">
        <v>0.57088088615281496</v>
      </c>
      <c r="O581">
        <v>0.208339188485368</v>
      </c>
      <c r="P581">
        <v>0.45600283016370202</v>
      </c>
      <c r="Q581" t="s">
        <v>1067</v>
      </c>
      <c r="R581" t="s">
        <v>1068</v>
      </c>
      <c r="S581" t="s">
        <v>1067</v>
      </c>
      <c r="T581" t="s">
        <v>1173</v>
      </c>
      <c r="U581" t="s">
        <v>944</v>
      </c>
      <c r="V581">
        <v>0</v>
      </c>
      <c r="W581" t="s">
        <v>944</v>
      </c>
      <c r="X581" t="s">
        <v>1175</v>
      </c>
      <c r="Y581">
        <v>1</v>
      </c>
      <c r="Z581">
        <v>-0.19855394873146501</v>
      </c>
      <c r="AA581">
        <v>-0.23261112683975499</v>
      </c>
      <c r="AB581">
        <v>-5.3330105998290502E-2</v>
      </c>
      <c r="AC581">
        <v>-0.23182327972003899</v>
      </c>
    </row>
    <row r="582" spans="1:29" x14ac:dyDescent="0.2">
      <c r="A582">
        <v>581</v>
      </c>
      <c r="B582" t="s">
        <v>735</v>
      </c>
      <c r="C582" t="s">
        <v>218</v>
      </c>
      <c r="D582" t="s">
        <v>214</v>
      </c>
      <c r="E582">
        <v>-0.33011681632503098</v>
      </c>
      <c r="F582">
        <v>0.266771822475658</v>
      </c>
      <c r="G582">
        <v>-0.112728271692225</v>
      </c>
      <c r="H582">
        <v>0.17029916179018501</v>
      </c>
      <c r="I582">
        <v>0.28302743348241</v>
      </c>
      <c r="J582">
        <v>0.59688863880068899</v>
      </c>
      <c r="K582">
        <v>-0.112728271692225</v>
      </c>
      <c r="L582">
        <v>-0.33011681632503098</v>
      </c>
      <c r="M582">
        <v>0.379500094167883</v>
      </c>
      <c r="N582">
        <v>0.59688863880068899</v>
      </c>
      <c r="O582">
        <v>0.28302743348241</v>
      </c>
      <c r="P582">
        <v>0.50041597811521599</v>
      </c>
      <c r="Q582" t="s">
        <v>1067</v>
      </c>
      <c r="R582" t="s">
        <v>1068</v>
      </c>
      <c r="S582" t="s">
        <v>1067</v>
      </c>
      <c r="T582" t="s">
        <v>1068</v>
      </c>
      <c r="U582" t="s">
        <v>944</v>
      </c>
      <c r="V582">
        <v>0</v>
      </c>
      <c r="W582" t="s">
        <v>944</v>
      </c>
      <c r="X582" t="s">
        <v>1175</v>
      </c>
      <c r="Y582">
        <v>1</v>
      </c>
      <c r="Z582">
        <v>-0.20104103575585699</v>
      </c>
      <c r="AA582">
        <v>-0.23263768530781401</v>
      </c>
      <c r="AB582">
        <v>-5.7352700163368499E-2</v>
      </c>
      <c r="AC582">
        <v>-0.23243544238942501</v>
      </c>
    </row>
    <row r="583" spans="1:29" x14ac:dyDescent="0.2">
      <c r="A583">
        <v>582</v>
      </c>
      <c r="B583" t="s">
        <v>736</v>
      </c>
      <c r="C583" t="s">
        <v>218</v>
      </c>
      <c r="D583" t="s">
        <v>160</v>
      </c>
      <c r="E583">
        <v>-0.15779503372178999</v>
      </c>
      <c r="F583">
        <v>-0.16664128831748501</v>
      </c>
      <c r="G583">
        <v>2.93373832030976E-3</v>
      </c>
      <c r="H583">
        <v>-0.38364051367951102</v>
      </c>
      <c r="I583">
        <v>-0.38657425199982098</v>
      </c>
      <c r="J583">
        <v>-8.8462545956950207E-3</v>
      </c>
      <c r="K583">
        <v>2.93373832030976E-3</v>
      </c>
      <c r="L583">
        <v>-0.15779503372178999</v>
      </c>
      <c r="M583">
        <v>-0.169575026637795</v>
      </c>
      <c r="N583">
        <v>-8.8462545956950207E-3</v>
      </c>
      <c r="O583">
        <v>-0.38657425199982098</v>
      </c>
      <c r="P583">
        <v>-0.225845479957721</v>
      </c>
      <c r="Q583" t="s">
        <v>1067</v>
      </c>
      <c r="R583" t="s">
        <v>1067</v>
      </c>
      <c r="S583" t="s">
        <v>1173</v>
      </c>
      <c r="T583" t="s">
        <v>1067</v>
      </c>
      <c r="U583" t="s">
        <v>1174</v>
      </c>
      <c r="V583">
        <v>1</v>
      </c>
      <c r="W583" t="s">
        <v>944</v>
      </c>
      <c r="X583" t="s">
        <v>1175</v>
      </c>
      <c r="Y583">
        <v>0</v>
      </c>
      <c r="Z583">
        <v>-0.100138922656718</v>
      </c>
      <c r="AA583">
        <v>-0.26067176218336802</v>
      </c>
      <c r="AB583">
        <v>0.18494255284785199</v>
      </c>
      <c r="AC583">
        <v>-0.202597516948444</v>
      </c>
    </row>
    <row r="584" spans="1:29" x14ac:dyDescent="0.2">
      <c r="A584">
        <v>583</v>
      </c>
      <c r="B584" t="s">
        <v>737</v>
      </c>
      <c r="C584" t="s">
        <v>218</v>
      </c>
      <c r="D584" t="s">
        <v>162</v>
      </c>
      <c r="E584">
        <v>-1.23399584989125E-2</v>
      </c>
      <c r="F584">
        <v>0.96403905700061598</v>
      </c>
      <c r="G584">
        <v>0.78866136164468104</v>
      </c>
      <c r="H584">
        <v>0.95845360713136796</v>
      </c>
      <c r="I584">
        <v>0.169792245486687</v>
      </c>
      <c r="J584">
        <v>0.97637901549952799</v>
      </c>
      <c r="K584">
        <v>0.78866136164468104</v>
      </c>
      <c r="L584">
        <v>-1.23399584989125E-2</v>
      </c>
      <c r="M584">
        <v>0.175377695355935</v>
      </c>
      <c r="N584">
        <v>0.97637901549952799</v>
      </c>
      <c r="O584">
        <v>0.169792245486687</v>
      </c>
      <c r="P584">
        <v>0.97079356563027996</v>
      </c>
      <c r="Q584" t="s">
        <v>1173</v>
      </c>
      <c r="R584" t="s">
        <v>1068</v>
      </c>
      <c r="S584" t="s">
        <v>1068</v>
      </c>
      <c r="T584" t="s">
        <v>1068</v>
      </c>
      <c r="U584" t="s">
        <v>944</v>
      </c>
      <c r="V584">
        <v>0</v>
      </c>
      <c r="W584" t="s">
        <v>944</v>
      </c>
      <c r="X584" t="s">
        <v>1176</v>
      </c>
      <c r="Y584">
        <v>1</v>
      </c>
      <c r="Z584">
        <v>9.6029912729505597E-3</v>
      </c>
      <c r="AA584">
        <v>-0.20603475334529101</v>
      </c>
      <c r="AB584">
        <v>-4.9763612124864499E-2</v>
      </c>
      <c r="AC584">
        <v>-0.31263628984785502</v>
      </c>
    </row>
    <row r="585" spans="1:29" x14ac:dyDescent="0.2">
      <c r="A585">
        <v>584</v>
      </c>
      <c r="B585" t="s">
        <v>738</v>
      </c>
      <c r="C585" t="s">
        <v>218</v>
      </c>
      <c r="D585" t="s">
        <v>220</v>
      </c>
      <c r="E585">
        <v>-1.23399584989125E-2</v>
      </c>
      <c r="F585">
        <v>0.92638559604181203</v>
      </c>
      <c r="G585">
        <v>0.77077608302521206</v>
      </c>
      <c r="H585">
        <v>0.91650734671468304</v>
      </c>
      <c r="I585">
        <v>0.14573126368947101</v>
      </c>
      <c r="J585">
        <v>0.93872555454072404</v>
      </c>
      <c r="K585">
        <v>0.77077608302521206</v>
      </c>
      <c r="L585">
        <v>-1.23399584989125E-2</v>
      </c>
      <c r="M585">
        <v>0.1556095130166</v>
      </c>
      <c r="N585">
        <v>0.93872555454072404</v>
      </c>
      <c r="O585">
        <v>0.14573126368947101</v>
      </c>
      <c r="P585">
        <v>0.92884730521359504</v>
      </c>
      <c r="Q585" t="s">
        <v>1173</v>
      </c>
      <c r="R585" t="s">
        <v>1068</v>
      </c>
      <c r="S585" t="s">
        <v>1068</v>
      </c>
      <c r="T585" t="s">
        <v>1068</v>
      </c>
      <c r="U585" t="s">
        <v>944</v>
      </c>
      <c r="V585">
        <v>0</v>
      </c>
      <c r="W585" t="s">
        <v>944</v>
      </c>
      <c r="X585" t="s">
        <v>1175</v>
      </c>
      <c r="Y585">
        <v>1</v>
      </c>
      <c r="Z585">
        <v>2.3002127926184598E-2</v>
      </c>
      <c r="AA585">
        <v>-0.200400389776722</v>
      </c>
      <c r="AB585">
        <v>-5.0124662567627501E-2</v>
      </c>
      <c r="AC585">
        <v>-0.31268349632032</v>
      </c>
    </row>
    <row r="586" spans="1:29" x14ac:dyDescent="0.2">
      <c r="A586">
        <v>585</v>
      </c>
      <c r="B586" t="s">
        <v>739</v>
      </c>
      <c r="C586" t="s">
        <v>218</v>
      </c>
      <c r="D586" t="s">
        <v>164</v>
      </c>
      <c r="E586">
        <v>-0.144099926868096</v>
      </c>
      <c r="F586">
        <v>0.80135421296711795</v>
      </c>
      <c r="G586">
        <v>-3.8717643495932201E-2</v>
      </c>
      <c r="H586">
        <v>0.76654399426856501</v>
      </c>
      <c r="I586">
        <v>0.805261637764497</v>
      </c>
      <c r="J586">
        <v>0.94545413983521398</v>
      </c>
      <c r="K586">
        <v>-3.8717643495932201E-2</v>
      </c>
      <c r="L586">
        <v>-0.144099926868096</v>
      </c>
      <c r="M586">
        <v>0.84007185646305005</v>
      </c>
      <c r="N586">
        <v>0.94545413983521398</v>
      </c>
      <c r="O586">
        <v>0.805261637764497</v>
      </c>
      <c r="P586">
        <v>0.91064392113666104</v>
      </c>
      <c r="Q586" t="s">
        <v>1067</v>
      </c>
      <c r="R586" t="s">
        <v>1068</v>
      </c>
      <c r="S586" t="s">
        <v>1173</v>
      </c>
      <c r="T586" t="s">
        <v>1068</v>
      </c>
      <c r="U586" t="s">
        <v>944</v>
      </c>
      <c r="V586">
        <v>0</v>
      </c>
      <c r="W586" t="s">
        <v>944</v>
      </c>
      <c r="X586" t="s">
        <v>1175</v>
      </c>
      <c r="Y586">
        <v>1</v>
      </c>
      <c r="Z586">
        <v>0.12968719590884101</v>
      </c>
      <c r="AA586">
        <v>-0.221760222424779</v>
      </c>
      <c r="AB586">
        <v>0.38492174321001599</v>
      </c>
      <c r="AC586">
        <v>-0.179439790439093</v>
      </c>
    </row>
    <row r="587" spans="1:29" x14ac:dyDescent="0.2">
      <c r="A587">
        <v>586</v>
      </c>
      <c r="B587" t="s">
        <v>740</v>
      </c>
      <c r="C587" t="s">
        <v>218</v>
      </c>
      <c r="D587" t="s">
        <v>166</v>
      </c>
      <c r="E587">
        <v>-1.23399584989125E-2</v>
      </c>
      <c r="F587">
        <v>-1.56907541724376E-2</v>
      </c>
      <c r="G587">
        <v>3.66961372827419E-3</v>
      </c>
      <c r="H587">
        <v>-0.12786161596533999</v>
      </c>
      <c r="I587">
        <v>-0.131531229693614</v>
      </c>
      <c r="J587">
        <v>-3.3507956735251E-3</v>
      </c>
      <c r="K587">
        <v>3.66961372827419E-3</v>
      </c>
      <c r="L587">
        <v>-1.23399584989125E-2</v>
      </c>
      <c r="M587">
        <v>-1.93603679007118E-2</v>
      </c>
      <c r="N587">
        <v>-3.3507956735251E-3</v>
      </c>
      <c r="O587">
        <v>-0.131531229693614</v>
      </c>
      <c r="P587">
        <v>-0.11552165746642699</v>
      </c>
      <c r="Q587" t="s">
        <v>1173</v>
      </c>
      <c r="R587" t="s">
        <v>1173</v>
      </c>
      <c r="S587" t="s">
        <v>1173</v>
      </c>
      <c r="T587" t="s">
        <v>1067</v>
      </c>
      <c r="U587" t="s">
        <v>1174</v>
      </c>
      <c r="V587">
        <v>1</v>
      </c>
      <c r="W587" t="s">
        <v>944</v>
      </c>
      <c r="X587" t="s">
        <v>1175</v>
      </c>
      <c r="Y587">
        <v>0</v>
      </c>
      <c r="Z587">
        <v>9.7337038556505995E-2</v>
      </c>
      <c r="AA587">
        <v>-0.23709587381438799</v>
      </c>
      <c r="AB587">
        <v>0.18047445740632201</v>
      </c>
      <c r="AC587">
        <v>-0.282533218912703</v>
      </c>
    </row>
    <row r="588" spans="1:29" x14ac:dyDescent="0.2">
      <c r="A588">
        <v>587</v>
      </c>
      <c r="B588" t="s">
        <v>741</v>
      </c>
      <c r="C588" t="s">
        <v>218</v>
      </c>
      <c r="D588" t="s">
        <v>226</v>
      </c>
      <c r="E588">
        <v>1.56698859147681E-2</v>
      </c>
      <c r="F588">
        <v>-0.329519949092205</v>
      </c>
      <c r="G588">
        <v>-9.8101787435661406E-2</v>
      </c>
      <c r="H588">
        <v>-0.63612475964849502</v>
      </c>
      <c r="I588">
        <v>-0.53802297221283402</v>
      </c>
      <c r="J588">
        <v>-0.34518983500697298</v>
      </c>
      <c r="K588">
        <v>1.56698859147681E-2</v>
      </c>
      <c r="L588">
        <v>-9.8101787435661406E-2</v>
      </c>
      <c r="M588">
        <v>-0.34518983500697298</v>
      </c>
      <c r="N588">
        <v>-0.231418161656544</v>
      </c>
      <c r="O588">
        <v>-0.65179464556326305</v>
      </c>
      <c r="P588">
        <v>-0.53802297221283402</v>
      </c>
      <c r="Q588" t="s">
        <v>1173</v>
      </c>
      <c r="R588" t="s">
        <v>1067</v>
      </c>
      <c r="S588" t="s">
        <v>1173</v>
      </c>
      <c r="T588" t="s">
        <v>1067</v>
      </c>
      <c r="U588" t="s">
        <v>1174</v>
      </c>
      <c r="V588">
        <v>1</v>
      </c>
      <c r="W588" t="s">
        <v>1174</v>
      </c>
      <c r="X588" t="s">
        <v>1175</v>
      </c>
      <c r="Y588">
        <v>1</v>
      </c>
      <c r="Z588">
        <v>-0.17974891036877899</v>
      </c>
      <c r="AA588">
        <v>-0.232195327954794</v>
      </c>
      <c r="AB588">
        <v>-3.7106618397896501E-2</v>
      </c>
      <c r="AC588">
        <v>-0.23424573097207199</v>
      </c>
    </row>
    <row r="589" spans="1:29" x14ac:dyDescent="0.2">
      <c r="A589">
        <v>588</v>
      </c>
      <c r="B589" t="s">
        <v>742</v>
      </c>
      <c r="C589" t="s">
        <v>218</v>
      </c>
      <c r="D589" t="s">
        <v>168</v>
      </c>
      <c r="E589">
        <v>0.34885424720884201</v>
      </c>
      <c r="F589">
        <v>0.55343709574983002</v>
      </c>
      <c r="G589">
        <v>-8.45846380308128E-2</v>
      </c>
      <c r="H589">
        <v>0.50753292685377305</v>
      </c>
      <c r="I589">
        <v>0.592117564884586</v>
      </c>
      <c r="J589">
        <v>0.20458284854098799</v>
      </c>
      <c r="K589">
        <v>0.34885424720884201</v>
      </c>
      <c r="L589">
        <v>-8.45846380308128E-2</v>
      </c>
      <c r="M589">
        <v>0.20458284854098799</v>
      </c>
      <c r="N589">
        <v>0.63802173378064297</v>
      </c>
      <c r="O589">
        <v>0.15867867964493099</v>
      </c>
      <c r="P589">
        <v>0.592117564884586</v>
      </c>
      <c r="Q589" t="s">
        <v>1068</v>
      </c>
      <c r="R589" t="s">
        <v>1068</v>
      </c>
      <c r="S589" t="s">
        <v>1173</v>
      </c>
      <c r="T589" t="s">
        <v>1068</v>
      </c>
      <c r="U589" t="s">
        <v>944</v>
      </c>
      <c r="V589">
        <v>0</v>
      </c>
      <c r="W589" t="s">
        <v>944</v>
      </c>
      <c r="X589" t="s">
        <v>1175</v>
      </c>
      <c r="Y589">
        <v>1</v>
      </c>
      <c r="Z589">
        <v>-0.19925350233105299</v>
      </c>
      <c r="AA589">
        <v>-0.23887590678676501</v>
      </c>
      <c r="AB589">
        <v>-4.8017201663186002E-2</v>
      </c>
      <c r="AC589">
        <v>-0.23719084130681201</v>
      </c>
    </row>
    <row r="590" spans="1:29" x14ac:dyDescent="0.2">
      <c r="A590">
        <v>589</v>
      </c>
      <c r="B590" t="s">
        <v>743</v>
      </c>
      <c r="C590" t="s">
        <v>220</v>
      </c>
      <c r="D590" t="s">
        <v>129</v>
      </c>
      <c r="E590">
        <v>6.1141898607081496E-3</v>
      </c>
      <c r="F590">
        <v>-0.19341889194796799</v>
      </c>
      <c r="G590">
        <v>-6.2843536222509794E-2</v>
      </c>
      <c r="H590">
        <v>-0.30592154480300299</v>
      </c>
      <c r="I590">
        <v>-0.243078008580493</v>
      </c>
      <c r="J590">
        <v>-0.19953308180867599</v>
      </c>
      <c r="K590">
        <v>6.1141898607081496E-3</v>
      </c>
      <c r="L590">
        <v>-6.2843536222509794E-2</v>
      </c>
      <c r="M590">
        <v>-0.19953308180867599</v>
      </c>
      <c r="N590">
        <v>-0.130575355725458</v>
      </c>
      <c r="O590">
        <v>-0.31203573466371098</v>
      </c>
      <c r="P590">
        <v>-0.243078008580493</v>
      </c>
      <c r="Q590" t="s">
        <v>1173</v>
      </c>
      <c r="R590" t="s">
        <v>1067</v>
      </c>
      <c r="S590" t="s">
        <v>1173</v>
      </c>
      <c r="T590" t="s">
        <v>1067</v>
      </c>
      <c r="U590" t="s">
        <v>1174</v>
      </c>
      <c r="V590">
        <v>1</v>
      </c>
      <c r="W590" t="s">
        <v>1174</v>
      </c>
      <c r="X590" t="s">
        <v>1175</v>
      </c>
      <c r="Y590">
        <v>1</v>
      </c>
      <c r="Z590">
        <v>-0.31938353669159197</v>
      </c>
      <c r="AA590">
        <v>-0.25908074932803599</v>
      </c>
      <c r="AB590">
        <v>-0.36199160423832899</v>
      </c>
      <c r="AC590">
        <v>-0.35558333141987802</v>
      </c>
    </row>
    <row r="591" spans="1:29" x14ac:dyDescent="0.2">
      <c r="A591">
        <v>590</v>
      </c>
      <c r="B591" t="s">
        <v>744</v>
      </c>
      <c r="C591" t="s">
        <v>220</v>
      </c>
      <c r="D591" t="s">
        <v>130</v>
      </c>
      <c r="E591">
        <v>-2.1099594971774001E-2</v>
      </c>
      <c r="F591">
        <v>0.58461071043593205</v>
      </c>
      <c r="G591">
        <v>0.30337339649394202</v>
      </c>
      <c r="H591">
        <v>0.51244674818763902</v>
      </c>
      <c r="I591">
        <v>0.20907335169369701</v>
      </c>
      <c r="J591">
        <v>0.60571030540770598</v>
      </c>
      <c r="K591">
        <v>0.30337339649394202</v>
      </c>
      <c r="L591">
        <v>-2.1099594971774001E-2</v>
      </c>
      <c r="M591">
        <v>0.28123731394198997</v>
      </c>
      <c r="N591">
        <v>0.60571030540770598</v>
      </c>
      <c r="O591">
        <v>0.20907335169369701</v>
      </c>
      <c r="P591">
        <v>0.53354634315941296</v>
      </c>
      <c r="Q591" t="s">
        <v>1173</v>
      </c>
      <c r="R591" t="s">
        <v>1068</v>
      </c>
      <c r="S591" t="s">
        <v>1068</v>
      </c>
      <c r="T591" t="s">
        <v>1068</v>
      </c>
      <c r="U591" t="s">
        <v>944</v>
      </c>
      <c r="V591">
        <v>0</v>
      </c>
      <c r="W591" t="s">
        <v>944</v>
      </c>
      <c r="X591" t="s">
        <v>1175</v>
      </c>
      <c r="Y591">
        <v>1</v>
      </c>
      <c r="Z591">
        <v>-9.8385481468714495E-2</v>
      </c>
      <c r="AA591">
        <v>-0.19528345070278499</v>
      </c>
      <c r="AB591">
        <v>-0.46077777559792099</v>
      </c>
      <c r="AC591">
        <v>-0.44626219038332099</v>
      </c>
    </row>
    <row r="592" spans="1:29" x14ac:dyDescent="0.2">
      <c r="A592">
        <v>591</v>
      </c>
      <c r="B592" t="s">
        <v>745</v>
      </c>
      <c r="C592" t="s">
        <v>220</v>
      </c>
      <c r="D592" t="s">
        <v>132</v>
      </c>
      <c r="E592">
        <v>3.3918019569443899E-3</v>
      </c>
      <c r="F592">
        <v>-0.37548669120550698</v>
      </c>
      <c r="G592">
        <v>-6.9117677401485195E-2</v>
      </c>
      <c r="H592">
        <v>-0.52506897708747202</v>
      </c>
      <c r="I592">
        <v>-0.45595129968598702</v>
      </c>
      <c r="J592">
        <v>-0.37887849316245098</v>
      </c>
      <c r="K592">
        <v>3.3918019569443899E-3</v>
      </c>
      <c r="L592">
        <v>-6.9117677401485195E-2</v>
      </c>
      <c r="M592">
        <v>-0.37887849316245098</v>
      </c>
      <c r="N592">
        <v>-0.30636901380402198</v>
      </c>
      <c r="O592">
        <v>-0.52846077904441602</v>
      </c>
      <c r="P592">
        <v>-0.45595129968598702</v>
      </c>
      <c r="Q592" t="s">
        <v>1173</v>
      </c>
      <c r="R592" t="s">
        <v>1067</v>
      </c>
      <c r="S592" t="s">
        <v>1173</v>
      </c>
      <c r="T592" t="s">
        <v>1067</v>
      </c>
      <c r="U592" t="s">
        <v>1174</v>
      </c>
      <c r="V592">
        <v>1</v>
      </c>
      <c r="W592" t="s">
        <v>1174</v>
      </c>
      <c r="X592" t="s">
        <v>1175</v>
      </c>
      <c r="Y592">
        <v>1</v>
      </c>
      <c r="Z592">
        <v>-0.36813440761949801</v>
      </c>
      <c r="AA592">
        <v>-0.265026971909053</v>
      </c>
      <c r="AB592">
        <v>-0.41928127975291801</v>
      </c>
      <c r="AC592">
        <v>-0.364986534400012</v>
      </c>
    </row>
    <row r="593" spans="1:29" x14ac:dyDescent="0.2">
      <c r="A593">
        <v>592</v>
      </c>
      <c r="B593" t="s">
        <v>746</v>
      </c>
      <c r="C593" t="s">
        <v>220</v>
      </c>
      <c r="D593" t="s">
        <v>134</v>
      </c>
      <c r="E593">
        <v>6.9308068746409199E-2</v>
      </c>
      <c r="F593">
        <v>7.0519134249571902E-2</v>
      </c>
      <c r="G593">
        <v>2.8954371074825301E-3</v>
      </c>
      <c r="H593">
        <v>-0.140940761247355</v>
      </c>
      <c r="I593">
        <v>-0.14383619835483799</v>
      </c>
      <c r="J593">
        <v>1.2110655031627E-3</v>
      </c>
      <c r="K593">
        <v>6.9308068746409199E-2</v>
      </c>
      <c r="L593">
        <v>2.8954371074825301E-3</v>
      </c>
      <c r="M593">
        <v>1.2110655031627E-3</v>
      </c>
      <c r="N593">
        <v>6.7623697142089406E-2</v>
      </c>
      <c r="O593">
        <v>-0.21024882999376401</v>
      </c>
      <c r="P593">
        <v>-0.14383619835483799</v>
      </c>
      <c r="Q593" t="s">
        <v>1173</v>
      </c>
      <c r="R593" t="s">
        <v>1173</v>
      </c>
      <c r="S593" t="s">
        <v>1173</v>
      </c>
      <c r="T593" t="s">
        <v>1067</v>
      </c>
      <c r="U593" t="s">
        <v>944</v>
      </c>
      <c r="V593">
        <v>1</v>
      </c>
      <c r="W593" t="s">
        <v>944</v>
      </c>
      <c r="X593" t="s">
        <v>1175</v>
      </c>
      <c r="Y593">
        <v>0</v>
      </c>
      <c r="Z593">
        <v>-0.23498885539172301</v>
      </c>
      <c r="AA593">
        <v>-0.28472566791474802</v>
      </c>
      <c r="AB593">
        <v>-0.33813996381044698</v>
      </c>
      <c r="AC593">
        <v>-0.42218490918868501</v>
      </c>
    </row>
    <row r="594" spans="1:29" x14ac:dyDescent="0.2">
      <c r="A594">
        <v>593</v>
      </c>
      <c r="B594" t="s">
        <v>747</v>
      </c>
      <c r="C594" t="s">
        <v>220</v>
      </c>
      <c r="D594" t="s">
        <v>136</v>
      </c>
      <c r="E594">
        <v>-1.1555128337008599E-2</v>
      </c>
      <c r="F594">
        <v>0.263851321555578</v>
      </c>
      <c r="G594">
        <v>2.8954371074825301E-3</v>
      </c>
      <c r="H594">
        <v>0.132688515390533</v>
      </c>
      <c r="I594">
        <v>0.12979307828305001</v>
      </c>
      <c r="J594">
        <v>0.275406449892587</v>
      </c>
      <c r="K594">
        <v>2.8954371074825301E-3</v>
      </c>
      <c r="L594">
        <v>-1.1555128337008599E-2</v>
      </c>
      <c r="M594">
        <v>0.26095588444809498</v>
      </c>
      <c r="N594">
        <v>0.275406449892587</v>
      </c>
      <c r="O594">
        <v>0.12979307828305001</v>
      </c>
      <c r="P594">
        <v>0.144243643727542</v>
      </c>
      <c r="Q594" t="s">
        <v>1173</v>
      </c>
      <c r="R594" t="s">
        <v>1068</v>
      </c>
      <c r="S594" t="s">
        <v>1173</v>
      </c>
      <c r="T594" t="s">
        <v>1068</v>
      </c>
      <c r="U594" t="s">
        <v>944</v>
      </c>
      <c r="V594">
        <v>0</v>
      </c>
      <c r="W594" t="s">
        <v>944</v>
      </c>
      <c r="X594" t="s">
        <v>1175</v>
      </c>
      <c r="Y594">
        <v>1</v>
      </c>
      <c r="Z594">
        <v>-0.31367973451863801</v>
      </c>
      <c r="AA594">
        <v>-0.29420847191169902</v>
      </c>
      <c r="AB594">
        <v>-0.22633834590178201</v>
      </c>
      <c r="AC594">
        <v>-0.33587948920894301</v>
      </c>
    </row>
    <row r="595" spans="1:29" x14ac:dyDescent="0.2">
      <c r="A595">
        <v>594</v>
      </c>
      <c r="B595" t="s">
        <v>748</v>
      </c>
      <c r="C595" t="s">
        <v>220</v>
      </c>
      <c r="D595" t="s">
        <v>138</v>
      </c>
      <c r="E595">
        <v>1.03242556252774E-2</v>
      </c>
      <c r="F595">
        <v>-0.19637755261654299</v>
      </c>
      <c r="G595">
        <v>-0.19944669553397301</v>
      </c>
      <c r="H595">
        <v>-0.45917507994183998</v>
      </c>
      <c r="I595">
        <v>-0.259728384407867</v>
      </c>
      <c r="J595">
        <v>-0.20670180824182</v>
      </c>
      <c r="K595">
        <v>1.03242556252774E-2</v>
      </c>
      <c r="L595">
        <v>-0.19944669553397301</v>
      </c>
      <c r="M595">
        <v>-0.20670180824182</v>
      </c>
      <c r="N595">
        <v>3.0691429174300199E-3</v>
      </c>
      <c r="O595">
        <v>-0.46949933556711698</v>
      </c>
      <c r="P595">
        <v>-0.259728384407867</v>
      </c>
      <c r="Q595" t="s">
        <v>1173</v>
      </c>
      <c r="R595" t="s">
        <v>1067</v>
      </c>
      <c r="S595" t="s">
        <v>1067</v>
      </c>
      <c r="T595" t="s">
        <v>1067</v>
      </c>
      <c r="U595" t="s">
        <v>1174</v>
      </c>
      <c r="V595">
        <v>1</v>
      </c>
      <c r="W595" t="s">
        <v>1174</v>
      </c>
      <c r="X595" t="s">
        <v>1175</v>
      </c>
      <c r="Y595">
        <v>1</v>
      </c>
      <c r="Z595">
        <v>0.536853073185665</v>
      </c>
      <c r="AA595">
        <v>-0.13368513101875701</v>
      </c>
      <c r="AB595">
        <v>0.425941145270051</v>
      </c>
      <c r="AC595">
        <v>-0.25677295846752501</v>
      </c>
    </row>
    <row r="596" spans="1:29" x14ac:dyDescent="0.2">
      <c r="A596">
        <v>595</v>
      </c>
      <c r="B596" t="s">
        <v>749</v>
      </c>
      <c r="C596" t="s">
        <v>220</v>
      </c>
      <c r="D596" t="s">
        <v>140</v>
      </c>
      <c r="E596">
        <v>-1.1426034349795E-2</v>
      </c>
      <c r="F596">
        <v>0.75342977098625297</v>
      </c>
      <c r="G596">
        <v>0.93797311896884905</v>
      </c>
      <c r="H596">
        <v>0.90908083832257103</v>
      </c>
      <c r="I596">
        <v>-2.8892280646277999E-2</v>
      </c>
      <c r="J596">
        <v>0.76485580533604802</v>
      </c>
      <c r="K596">
        <v>0.93797311896884905</v>
      </c>
      <c r="L596">
        <v>-1.1426034349795E-2</v>
      </c>
      <c r="M596">
        <v>-0.184543347982596</v>
      </c>
      <c r="N596">
        <v>0.76485580533604802</v>
      </c>
      <c r="O596">
        <v>-2.8892280646277999E-2</v>
      </c>
      <c r="P596">
        <v>0.92050687267236597</v>
      </c>
      <c r="Q596" t="s">
        <v>1173</v>
      </c>
      <c r="R596" t="s">
        <v>1068</v>
      </c>
      <c r="S596" t="s">
        <v>1068</v>
      </c>
      <c r="T596" t="s">
        <v>1068</v>
      </c>
      <c r="U596" t="s">
        <v>944</v>
      </c>
      <c r="V596">
        <v>1</v>
      </c>
      <c r="W596" t="s">
        <v>944</v>
      </c>
      <c r="X596" t="s">
        <v>1175</v>
      </c>
      <c r="Y596">
        <v>1</v>
      </c>
      <c r="Z596">
        <v>-0.30111566184077998</v>
      </c>
      <c r="AA596">
        <v>-0.229476760360147</v>
      </c>
      <c r="AB596">
        <v>-0.43367383626938399</v>
      </c>
      <c r="AC596">
        <v>-0.36330367444711098</v>
      </c>
    </row>
    <row r="597" spans="1:29" x14ac:dyDescent="0.2">
      <c r="A597">
        <v>596</v>
      </c>
      <c r="B597" t="s">
        <v>750</v>
      </c>
      <c r="C597" t="s">
        <v>220</v>
      </c>
      <c r="D597" t="s">
        <v>142</v>
      </c>
      <c r="E597">
        <v>-1.2531180505102201E-2</v>
      </c>
      <c r="F597">
        <v>0.58866817470083899</v>
      </c>
      <c r="G597">
        <v>2.8954371074825301E-3</v>
      </c>
      <c r="H597">
        <v>0.62524951073521895</v>
      </c>
      <c r="I597">
        <v>0.62235407362773598</v>
      </c>
      <c r="J597">
        <v>0.60119935520594103</v>
      </c>
      <c r="K597">
        <v>2.8954371074825301E-3</v>
      </c>
      <c r="L597">
        <v>-1.2531180505102201E-2</v>
      </c>
      <c r="M597">
        <v>0.58577273759335602</v>
      </c>
      <c r="N597">
        <v>0.60119935520594103</v>
      </c>
      <c r="O597">
        <v>0.62235407362773598</v>
      </c>
      <c r="P597">
        <v>0.637780691240321</v>
      </c>
      <c r="Q597" t="s">
        <v>1173</v>
      </c>
      <c r="R597" t="s">
        <v>1068</v>
      </c>
      <c r="S597" t="s">
        <v>1173</v>
      </c>
      <c r="T597" t="s">
        <v>1068</v>
      </c>
      <c r="U597" t="s">
        <v>944</v>
      </c>
      <c r="V597">
        <v>0</v>
      </c>
      <c r="W597" t="s">
        <v>944</v>
      </c>
      <c r="X597" t="s">
        <v>1175</v>
      </c>
      <c r="Y597">
        <v>1</v>
      </c>
      <c r="Z597">
        <v>0.66837569353953596</v>
      </c>
      <c r="AA597">
        <v>-0.175863890662354</v>
      </c>
      <c r="AB597">
        <v>0.570519592007798</v>
      </c>
      <c r="AC597">
        <v>-0.23416055723547399</v>
      </c>
    </row>
    <row r="598" spans="1:29" x14ac:dyDescent="0.2">
      <c r="A598">
        <v>597</v>
      </c>
      <c r="B598" t="s">
        <v>751</v>
      </c>
      <c r="C598" t="s">
        <v>220</v>
      </c>
      <c r="D598" t="s">
        <v>144</v>
      </c>
      <c r="E598">
        <v>-2.1182829810826601E-2</v>
      </c>
      <c r="F598">
        <v>5.6717649787488902E-2</v>
      </c>
      <c r="G598">
        <v>1.23817978536987E-2</v>
      </c>
      <c r="H598">
        <v>-0.109977862252015</v>
      </c>
      <c r="I598">
        <v>-0.122359660105714</v>
      </c>
      <c r="J598">
        <v>7.7900479598315503E-2</v>
      </c>
      <c r="K598">
        <v>1.23817978536987E-2</v>
      </c>
      <c r="L598">
        <v>-2.1182829810826601E-2</v>
      </c>
      <c r="M598">
        <v>4.43358519337902E-2</v>
      </c>
      <c r="N598">
        <v>7.7900479598315503E-2</v>
      </c>
      <c r="O598">
        <v>-0.122359660105714</v>
      </c>
      <c r="P598">
        <v>-8.8795032441188401E-2</v>
      </c>
      <c r="Q598" t="s">
        <v>1173</v>
      </c>
      <c r="R598" t="s">
        <v>1173</v>
      </c>
      <c r="S598" t="s">
        <v>1173</v>
      </c>
      <c r="T598" t="s">
        <v>1067</v>
      </c>
      <c r="U598" t="s">
        <v>944</v>
      </c>
      <c r="V598">
        <v>1</v>
      </c>
      <c r="W598" t="s">
        <v>944</v>
      </c>
      <c r="X598" t="s">
        <v>1175</v>
      </c>
      <c r="Y598">
        <v>0</v>
      </c>
      <c r="Z598">
        <v>-0.15893000124172299</v>
      </c>
      <c r="AA598">
        <v>-0.27554873459815599</v>
      </c>
      <c r="AB598">
        <v>-0.27704639325734598</v>
      </c>
      <c r="AC598">
        <v>-0.422267267323573</v>
      </c>
    </row>
    <row r="599" spans="1:29" x14ac:dyDescent="0.2">
      <c r="A599">
        <v>598</v>
      </c>
      <c r="B599" t="s">
        <v>752</v>
      </c>
      <c r="C599" t="s">
        <v>220</v>
      </c>
      <c r="D599" t="s">
        <v>146</v>
      </c>
      <c r="E599">
        <v>-2.0850851688414902E-2</v>
      </c>
      <c r="F599">
        <v>0.20297706009414801</v>
      </c>
      <c r="G599">
        <v>-0.14868150497398699</v>
      </c>
      <c r="H599">
        <v>1.4480744034895E-2</v>
      </c>
      <c r="I599">
        <v>0.16316224900888199</v>
      </c>
      <c r="J599">
        <v>0.223827911782563</v>
      </c>
      <c r="K599">
        <v>-2.0850851688414902E-2</v>
      </c>
      <c r="L599">
        <v>-0.14868150497398699</v>
      </c>
      <c r="M599">
        <v>0.223827911782563</v>
      </c>
      <c r="N599">
        <v>0.35165856506813498</v>
      </c>
      <c r="O599">
        <v>3.5331595723309898E-2</v>
      </c>
      <c r="P599">
        <v>0.16316224900888199</v>
      </c>
      <c r="Q599" t="s">
        <v>1173</v>
      </c>
      <c r="R599" t="s">
        <v>1068</v>
      </c>
      <c r="S599" t="s">
        <v>1067</v>
      </c>
      <c r="T599" t="s">
        <v>1173</v>
      </c>
      <c r="U599" t="s">
        <v>944</v>
      </c>
      <c r="V599">
        <v>0</v>
      </c>
      <c r="W599" t="s">
        <v>944</v>
      </c>
      <c r="X599" t="s">
        <v>1175</v>
      </c>
      <c r="Y599">
        <v>1</v>
      </c>
      <c r="Z599">
        <v>-0.13192370953031099</v>
      </c>
      <c r="AA599">
        <v>-0.209840412164816</v>
      </c>
      <c r="AB599">
        <v>-0.458642188569994</v>
      </c>
      <c r="AC599">
        <v>-0.44575439205885697</v>
      </c>
    </row>
    <row r="600" spans="1:29" x14ac:dyDescent="0.2">
      <c r="A600">
        <v>599</v>
      </c>
      <c r="B600" t="s">
        <v>753</v>
      </c>
      <c r="C600" t="s">
        <v>220</v>
      </c>
      <c r="D600" t="s">
        <v>148</v>
      </c>
      <c r="E600">
        <v>-1.29994173110922E-2</v>
      </c>
      <c r="F600">
        <v>-0.167941641760607</v>
      </c>
      <c r="G600">
        <v>2.9380112695613302E-3</v>
      </c>
      <c r="H600">
        <v>-0.32351595642368097</v>
      </c>
      <c r="I600">
        <v>-0.32645396769324198</v>
      </c>
      <c r="J600">
        <v>-0.154942224449515</v>
      </c>
      <c r="K600">
        <v>2.9380112695613302E-3</v>
      </c>
      <c r="L600">
        <v>-1.29994173110922E-2</v>
      </c>
      <c r="M600">
        <v>-0.170879653030168</v>
      </c>
      <c r="N600">
        <v>-0.154942224449515</v>
      </c>
      <c r="O600">
        <v>-0.32645396769324198</v>
      </c>
      <c r="P600">
        <v>-0.31051653911258897</v>
      </c>
      <c r="Q600" t="s">
        <v>1173</v>
      </c>
      <c r="R600" t="s">
        <v>1067</v>
      </c>
      <c r="S600" t="s">
        <v>1173</v>
      </c>
      <c r="T600" t="s">
        <v>1067</v>
      </c>
      <c r="U600" t="s">
        <v>1174</v>
      </c>
      <c r="V600">
        <v>1</v>
      </c>
      <c r="W600" t="s">
        <v>1174</v>
      </c>
      <c r="X600" t="s">
        <v>1175</v>
      </c>
      <c r="Y600">
        <v>1</v>
      </c>
      <c r="Z600">
        <v>-0.49124698972006697</v>
      </c>
      <c r="AA600">
        <v>-0.31561302296839699</v>
      </c>
      <c r="AB600">
        <v>-0.41793860742711803</v>
      </c>
      <c r="AC600">
        <v>-0.36268582628725199</v>
      </c>
    </row>
    <row r="601" spans="1:29" x14ac:dyDescent="0.2">
      <c r="A601">
        <v>600</v>
      </c>
      <c r="B601" t="s">
        <v>754</v>
      </c>
      <c r="C601" t="s">
        <v>220</v>
      </c>
      <c r="D601" t="s">
        <v>150</v>
      </c>
      <c r="E601">
        <v>-2.1182829810826601E-2</v>
      </c>
      <c r="F601">
        <v>0.213189437532181</v>
      </c>
      <c r="G601">
        <v>-6.1471949116277097E-2</v>
      </c>
      <c r="H601">
        <v>1.3227274793191799E-2</v>
      </c>
      <c r="I601">
        <v>7.4699223909468898E-2</v>
      </c>
      <c r="J601">
        <v>0.23437226734300801</v>
      </c>
      <c r="K601">
        <v>-2.1182829810826601E-2</v>
      </c>
      <c r="L601">
        <v>-6.1471949116277097E-2</v>
      </c>
      <c r="M601">
        <v>0.23437226734300801</v>
      </c>
      <c r="N601">
        <v>0.27466138664845802</v>
      </c>
      <c r="O601">
        <v>3.4410104604018402E-2</v>
      </c>
      <c r="P601">
        <v>7.4699223909468898E-2</v>
      </c>
      <c r="Q601" t="s">
        <v>1173</v>
      </c>
      <c r="R601" t="s">
        <v>1068</v>
      </c>
      <c r="S601" t="s">
        <v>1173</v>
      </c>
      <c r="T601" t="s">
        <v>1173</v>
      </c>
      <c r="U601" t="s">
        <v>944</v>
      </c>
      <c r="V601">
        <v>0</v>
      </c>
      <c r="W601" t="s">
        <v>944</v>
      </c>
      <c r="X601" t="s">
        <v>1175</v>
      </c>
      <c r="Y601">
        <v>1</v>
      </c>
      <c r="Z601">
        <v>-0.22089724140647801</v>
      </c>
      <c r="AA601">
        <v>-0.24675326483296101</v>
      </c>
      <c r="AB601">
        <v>-0.46168977244829001</v>
      </c>
      <c r="AC601">
        <v>-0.446408942732895</v>
      </c>
    </row>
    <row r="602" spans="1:29" x14ac:dyDescent="0.2">
      <c r="A602">
        <v>601</v>
      </c>
      <c r="B602" t="s">
        <v>755</v>
      </c>
      <c r="C602" t="s">
        <v>220</v>
      </c>
      <c r="D602" t="s">
        <v>204</v>
      </c>
      <c r="E602">
        <v>-3.6566630446001898E-2</v>
      </c>
      <c r="F602">
        <v>-0.52329109855174605</v>
      </c>
      <c r="G602">
        <v>-7.1625601848472206E-2</v>
      </c>
      <c r="H602">
        <v>-0.85814715716543399</v>
      </c>
      <c r="I602">
        <v>-0.786521555316962</v>
      </c>
      <c r="J602">
        <v>-0.48672446810574399</v>
      </c>
      <c r="K602">
        <v>-3.6566630446001898E-2</v>
      </c>
      <c r="L602">
        <v>-7.1625601848472206E-2</v>
      </c>
      <c r="M602">
        <v>-0.48672446810574399</v>
      </c>
      <c r="N602">
        <v>-0.45166549670327399</v>
      </c>
      <c r="O602">
        <v>-0.82158052671943205</v>
      </c>
      <c r="P602">
        <v>-0.786521555316962</v>
      </c>
      <c r="Q602" t="s">
        <v>1173</v>
      </c>
      <c r="R602" t="s">
        <v>1067</v>
      </c>
      <c r="S602" t="s">
        <v>1173</v>
      </c>
      <c r="T602" t="s">
        <v>1067</v>
      </c>
      <c r="U602" t="s">
        <v>1174</v>
      </c>
      <c r="V602">
        <v>1</v>
      </c>
      <c r="W602" t="s">
        <v>1174</v>
      </c>
      <c r="X602" t="s">
        <v>1175</v>
      </c>
      <c r="Y602">
        <v>1</v>
      </c>
      <c r="Z602">
        <v>-0.40068948256363901</v>
      </c>
      <c r="AA602">
        <v>-0.26411487328625999</v>
      </c>
      <c r="AB602">
        <v>-0.45469166391935001</v>
      </c>
      <c r="AC602">
        <v>-0.36431082197243703</v>
      </c>
    </row>
    <row r="603" spans="1:29" x14ac:dyDescent="0.2">
      <c r="A603">
        <v>602</v>
      </c>
      <c r="B603" t="s">
        <v>756</v>
      </c>
      <c r="C603" t="s">
        <v>220</v>
      </c>
      <c r="D603" t="s">
        <v>152</v>
      </c>
      <c r="E603">
        <v>-1.2588011976389899E-2</v>
      </c>
      <c r="F603">
        <v>0.59010173191705495</v>
      </c>
      <c r="G603">
        <v>2.8954371074825301E-3</v>
      </c>
      <c r="H603">
        <v>0.62682996498296395</v>
      </c>
      <c r="I603">
        <v>0.62393452787548098</v>
      </c>
      <c r="J603">
        <v>0.60268974389344498</v>
      </c>
      <c r="K603">
        <v>2.8954371074825301E-3</v>
      </c>
      <c r="L603">
        <v>-1.2588011976389899E-2</v>
      </c>
      <c r="M603">
        <v>0.58720629480957198</v>
      </c>
      <c r="N603">
        <v>0.60268974389344498</v>
      </c>
      <c r="O603">
        <v>0.62393452787548098</v>
      </c>
      <c r="P603">
        <v>0.63941797695935398</v>
      </c>
      <c r="Q603" t="s">
        <v>1173</v>
      </c>
      <c r="R603" t="s">
        <v>1068</v>
      </c>
      <c r="S603" t="s">
        <v>1173</v>
      </c>
      <c r="T603" t="s">
        <v>1068</v>
      </c>
      <c r="U603" t="s">
        <v>944</v>
      </c>
      <c r="V603">
        <v>0</v>
      </c>
      <c r="W603" t="s">
        <v>944</v>
      </c>
      <c r="X603" t="s">
        <v>1175</v>
      </c>
      <c r="Y603">
        <v>1</v>
      </c>
      <c r="Z603">
        <v>0.66850293871647104</v>
      </c>
      <c r="AA603">
        <v>-0.17584855672421801</v>
      </c>
      <c r="AB603">
        <v>0.57082952350865801</v>
      </c>
      <c r="AC603">
        <v>-0.23415953644809101</v>
      </c>
    </row>
    <row r="604" spans="1:29" x14ac:dyDescent="0.2">
      <c r="A604">
        <v>603</v>
      </c>
      <c r="B604" t="s">
        <v>757</v>
      </c>
      <c r="C604" t="s">
        <v>220</v>
      </c>
      <c r="D604" t="s">
        <v>154</v>
      </c>
      <c r="E604">
        <v>-3.6470646804609201E-2</v>
      </c>
      <c r="F604">
        <v>-0.49822840586038097</v>
      </c>
      <c r="G604">
        <v>-7.1625601914239001E-2</v>
      </c>
      <c r="H604">
        <v>-0.83574430963417501</v>
      </c>
      <c r="I604">
        <v>-0.76411870771993595</v>
      </c>
      <c r="J604">
        <v>-0.46175775905577199</v>
      </c>
      <c r="K604">
        <v>-3.6470646804609201E-2</v>
      </c>
      <c r="L604">
        <v>-7.1625601914239001E-2</v>
      </c>
      <c r="M604">
        <v>-0.46175775905577199</v>
      </c>
      <c r="N604">
        <v>-0.42660280394614197</v>
      </c>
      <c r="O604">
        <v>-0.79927366282956602</v>
      </c>
      <c r="P604">
        <v>-0.76411870771993595</v>
      </c>
      <c r="Q604" t="s">
        <v>1173</v>
      </c>
      <c r="R604" t="s">
        <v>1067</v>
      </c>
      <c r="S604" t="s">
        <v>1173</v>
      </c>
      <c r="T604" t="s">
        <v>1067</v>
      </c>
      <c r="U604" t="s">
        <v>1174</v>
      </c>
      <c r="V604">
        <v>1</v>
      </c>
      <c r="W604" t="s">
        <v>1174</v>
      </c>
      <c r="X604" t="s">
        <v>1175</v>
      </c>
      <c r="Y604">
        <v>1</v>
      </c>
      <c r="Z604">
        <v>-0.40353538938504802</v>
      </c>
      <c r="AA604">
        <v>-0.264457825053314</v>
      </c>
      <c r="AB604">
        <v>-0.45739657180363302</v>
      </c>
      <c r="AC604">
        <v>-0.36459864102394701</v>
      </c>
    </row>
    <row r="605" spans="1:29" x14ac:dyDescent="0.2">
      <c r="A605">
        <v>604</v>
      </c>
      <c r="B605" t="s">
        <v>758</v>
      </c>
      <c r="C605" t="s">
        <v>220</v>
      </c>
      <c r="D605" t="s">
        <v>156</v>
      </c>
      <c r="E605">
        <v>-1.2536000162858401E-2</v>
      </c>
      <c r="F605">
        <v>0.374102945316167</v>
      </c>
      <c r="G605">
        <v>2.8954371074825301E-3</v>
      </c>
      <c r="H605">
        <v>0.26005727967471398</v>
      </c>
      <c r="I605">
        <v>0.25716184256723101</v>
      </c>
      <c r="J605">
        <v>0.386638945479025</v>
      </c>
      <c r="K605">
        <v>2.8954371074825301E-3</v>
      </c>
      <c r="L605">
        <v>-1.2536000162858401E-2</v>
      </c>
      <c r="M605">
        <v>0.37120750820868398</v>
      </c>
      <c r="N605">
        <v>0.386638945479025</v>
      </c>
      <c r="O605">
        <v>0.25716184256723101</v>
      </c>
      <c r="P605">
        <v>0.27259327983757198</v>
      </c>
      <c r="Q605" t="s">
        <v>1173</v>
      </c>
      <c r="R605" t="s">
        <v>1068</v>
      </c>
      <c r="S605" t="s">
        <v>1173</v>
      </c>
      <c r="T605" t="s">
        <v>1068</v>
      </c>
      <c r="U605" t="s">
        <v>944</v>
      </c>
      <c r="V605">
        <v>0</v>
      </c>
      <c r="W605" t="s">
        <v>944</v>
      </c>
      <c r="X605" t="s">
        <v>1175</v>
      </c>
      <c r="Y605">
        <v>1</v>
      </c>
      <c r="Z605">
        <v>-0.27251554295492397</v>
      </c>
      <c r="AA605">
        <v>-0.28924789751447999</v>
      </c>
      <c r="AB605">
        <v>-0.18071810272432501</v>
      </c>
      <c r="AC605">
        <v>-0.32984099064445099</v>
      </c>
    </row>
    <row r="606" spans="1:29" x14ac:dyDescent="0.2">
      <c r="A606">
        <v>605</v>
      </c>
      <c r="B606" t="s">
        <v>759</v>
      </c>
      <c r="C606" t="s">
        <v>220</v>
      </c>
      <c r="D606" t="s">
        <v>158</v>
      </c>
      <c r="E606">
        <v>-3.6749368457804903E-2</v>
      </c>
      <c r="F606">
        <v>-0.132259366133441</v>
      </c>
      <c r="G606">
        <v>-7.0872242362887E-2</v>
      </c>
      <c r="H606">
        <v>-0.27166279308633501</v>
      </c>
      <c r="I606">
        <v>-0.20079055072344801</v>
      </c>
      <c r="J606">
        <v>-9.5509997675636102E-2</v>
      </c>
      <c r="K606">
        <v>-3.6749368457804903E-2</v>
      </c>
      <c r="L606">
        <v>-7.0872242362887E-2</v>
      </c>
      <c r="M606">
        <v>-9.5509997675636102E-2</v>
      </c>
      <c r="N606">
        <v>-6.1387123770553997E-2</v>
      </c>
      <c r="O606">
        <v>-0.23491342462852999</v>
      </c>
      <c r="P606">
        <v>-0.20079055072344801</v>
      </c>
      <c r="Q606" t="s">
        <v>1173</v>
      </c>
      <c r="R606" t="s">
        <v>1067</v>
      </c>
      <c r="S606" t="s">
        <v>1173</v>
      </c>
      <c r="T606" t="s">
        <v>1067</v>
      </c>
      <c r="U606" t="s">
        <v>1174</v>
      </c>
      <c r="V606">
        <v>1</v>
      </c>
      <c r="W606" t="s">
        <v>1174</v>
      </c>
      <c r="X606" t="s">
        <v>1175</v>
      </c>
      <c r="Y606">
        <v>0</v>
      </c>
      <c r="Z606">
        <v>-0.40965597598092801</v>
      </c>
      <c r="AA606">
        <v>-0.26563904181779802</v>
      </c>
      <c r="AB606">
        <v>-0.46386370056190301</v>
      </c>
      <c r="AC606">
        <v>-0.36541385799884701</v>
      </c>
    </row>
    <row r="607" spans="1:29" x14ac:dyDescent="0.2">
      <c r="A607">
        <v>606</v>
      </c>
      <c r="B607" t="s">
        <v>760</v>
      </c>
      <c r="C607" t="s">
        <v>220</v>
      </c>
      <c r="D607" t="s">
        <v>160</v>
      </c>
      <c r="E607">
        <v>-1.1997947217700301E-2</v>
      </c>
      <c r="F607">
        <v>-0.180892995983605</v>
      </c>
      <c r="G607">
        <v>2.4061615639364899E-3</v>
      </c>
      <c r="H607">
        <v>-0.50421096477412597</v>
      </c>
      <c r="I607">
        <v>-0.506617126338062</v>
      </c>
      <c r="J607">
        <v>-0.168895048765905</v>
      </c>
      <c r="K607">
        <v>2.4061615639364899E-3</v>
      </c>
      <c r="L607">
        <v>-1.1997947217700301E-2</v>
      </c>
      <c r="M607">
        <v>-0.183299157547542</v>
      </c>
      <c r="N607">
        <v>-0.168895048765905</v>
      </c>
      <c r="O607">
        <v>-0.506617126338062</v>
      </c>
      <c r="P607">
        <v>-0.49221301755642599</v>
      </c>
      <c r="Q607" t="s">
        <v>1173</v>
      </c>
      <c r="R607" t="s">
        <v>1067</v>
      </c>
      <c r="S607" t="s">
        <v>1173</v>
      </c>
      <c r="T607" t="s">
        <v>1067</v>
      </c>
      <c r="U607" t="s">
        <v>1174</v>
      </c>
      <c r="V607">
        <v>1</v>
      </c>
      <c r="W607" t="s">
        <v>1174</v>
      </c>
      <c r="X607" t="s">
        <v>1175</v>
      </c>
      <c r="Y607">
        <v>1</v>
      </c>
      <c r="Z607">
        <v>-0.31124094990618201</v>
      </c>
      <c r="AA607">
        <v>-0.29369967716141099</v>
      </c>
      <c r="AB607">
        <v>-0.225591041715761</v>
      </c>
      <c r="AC607">
        <v>-0.33618809522725202</v>
      </c>
    </row>
    <row r="608" spans="1:29" x14ac:dyDescent="0.2">
      <c r="A608">
        <v>607</v>
      </c>
      <c r="B608" t="s">
        <v>761</v>
      </c>
      <c r="C608" t="s">
        <v>220</v>
      </c>
      <c r="D608" t="s">
        <v>162</v>
      </c>
      <c r="E608">
        <v>-2.1182829810826601E-2</v>
      </c>
      <c r="F608">
        <v>0.88603592579270296</v>
      </c>
      <c r="G608">
        <v>0.67014381710848803</v>
      </c>
      <c r="H608">
        <v>0.87366694241328802</v>
      </c>
      <c r="I608">
        <v>0.20352312530479999</v>
      </c>
      <c r="J608">
        <v>0.90721875560353005</v>
      </c>
      <c r="K608">
        <v>0.67014381710848803</v>
      </c>
      <c r="L608">
        <v>-2.1182829810826601E-2</v>
      </c>
      <c r="M608">
        <v>0.21589210868421499</v>
      </c>
      <c r="N608">
        <v>0.90721875560353005</v>
      </c>
      <c r="O608">
        <v>0.20352312530479999</v>
      </c>
      <c r="P608">
        <v>0.89484977222411499</v>
      </c>
      <c r="Q608" t="s">
        <v>1173</v>
      </c>
      <c r="R608" t="s">
        <v>1068</v>
      </c>
      <c r="S608" t="s">
        <v>1068</v>
      </c>
      <c r="T608" t="s">
        <v>1068</v>
      </c>
      <c r="U608" t="s">
        <v>944</v>
      </c>
      <c r="V608">
        <v>0</v>
      </c>
      <c r="W608" t="s">
        <v>944</v>
      </c>
      <c r="X608" t="s">
        <v>1175</v>
      </c>
      <c r="Y608">
        <v>1</v>
      </c>
      <c r="Z608">
        <v>-0.201499035976513</v>
      </c>
      <c r="AA608">
        <v>-0.239062668323334</v>
      </c>
      <c r="AB608">
        <v>-0.46029720668847701</v>
      </c>
      <c r="AC608">
        <v>-0.44622686812666301</v>
      </c>
    </row>
    <row r="609" spans="1:29" x14ac:dyDescent="0.2">
      <c r="A609">
        <v>608</v>
      </c>
      <c r="B609" t="s">
        <v>762</v>
      </c>
      <c r="C609" t="s">
        <v>220</v>
      </c>
      <c r="D609" t="s">
        <v>164</v>
      </c>
      <c r="E609">
        <v>3.91694028827519E-3</v>
      </c>
      <c r="F609">
        <v>0.64888600016803499</v>
      </c>
      <c r="G609">
        <v>-3.4549343710419497E-2</v>
      </c>
      <c r="H609">
        <v>0.60506013111744705</v>
      </c>
      <c r="I609">
        <v>0.63960947482786701</v>
      </c>
      <c r="J609">
        <v>0.64496905987976005</v>
      </c>
      <c r="K609">
        <v>3.91694028827519E-3</v>
      </c>
      <c r="L609">
        <v>-3.4549343710419497E-2</v>
      </c>
      <c r="M609">
        <v>0.64496905987976005</v>
      </c>
      <c r="N609">
        <v>0.68343534387845495</v>
      </c>
      <c r="O609">
        <v>0.601143190829172</v>
      </c>
      <c r="P609">
        <v>0.63960947482786701</v>
      </c>
      <c r="Q609" t="s">
        <v>1173</v>
      </c>
      <c r="R609" t="s">
        <v>1068</v>
      </c>
      <c r="S609" t="s">
        <v>1173</v>
      </c>
      <c r="T609" t="s">
        <v>1068</v>
      </c>
      <c r="U609" t="s">
        <v>944</v>
      </c>
      <c r="V609">
        <v>0</v>
      </c>
      <c r="W609" t="s">
        <v>944</v>
      </c>
      <c r="X609" t="s">
        <v>1175</v>
      </c>
      <c r="Y609">
        <v>1</v>
      </c>
      <c r="Z609">
        <v>-8.1414831340622495E-2</v>
      </c>
      <c r="AA609">
        <v>-0.25478813740282102</v>
      </c>
      <c r="AB609">
        <v>-2.5611851353596601E-2</v>
      </c>
      <c r="AC609">
        <v>-0.31303036871790202</v>
      </c>
    </row>
    <row r="610" spans="1:29" x14ac:dyDescent="0.2">
      <c r="A610">
        <v>609</v>
      </c>
      <c r="B610" t="s">
        <v>763</v>
      </c>
      <c r="C610" t="s">
        <v>220</v>
      </c>
      <c r="D610" t="s">
        <v>166</v>
      </c>
      <c r="E610">
        <v>-2.11828298122663E-2</v>
      </c>
      <c r="F610">
        <v>-2.17220599859194E-3</v>
      </c>
      <c r="G610">
        <v>2.9380112695613302E-3</v>
      </c>
      <c r="H610">
        <v>-0.195597138776653</v>
      </c>
      <c r="I610">
        <v>-0.198535150046214</v>
      </c>
      <c r="J610">
        <v>1.9010623813674399E-2</v>
      </c>
      <c r="K610">
        <v>2.9380112695613302E-3</v>
      </c>
      <c r="L610">
        <v>-2.11828298122663E-2</v>
      </c>
      <c r="M610">
        <v>-5.1102172681532698E-3</v>
      </c>
      <c r="N610">
        <v>1.9010623813674399E-2</v>
      </c>
      <c r="O610">
        <v>-0.198535150046214</v>
      </c>
      <c r="P610">
        <v>-0.174414308964387</v>
      </c>
      <c r="Q610" t="s">
        <v>1173</v>
      </c>
      <c r="R610" t="s">
        <v>1173</v>
      </c>
      <c r="S610" t="s">
        <v>1173</v>
      </c>
      <c r="T610" t="s">
        <v>1067</v>
      </c>
      <c r="U610" t="s">
        <v>944</v>
      </c>
      <c r="V610">
        <v>1</v>
      </c>
      <c r="W610" t="s">
        <v>944</v>
      </c>
      <c r="X610" t="s">
        <v>1175</v>
      </c>
      <c r="Y610">
        <v>0</v>
      </c>
      <c r="Z610">
        <v>-0.11376498869295799</v>
      </c>
      <c r="AA610">
        <v>-0.27012378879242999</v>
      </c>
      <c r="AB610">
        <v>-0.23005913715729001</v>
      </c>
      <c r="AC610">
        <v>-0.41612379719151199</v>
      </c>
    </row>
    <row r="611" spans="1:29" x14ac:dyDescent="0.2">
      <c r="A611">
        <v>610</v>
      </c>
      <c r="B611" t="s">
        <v>764</v>
      </c>
      <c r="C611" t="s">
        <v>220</v>
      </c>
      <c r="D611" t="s">
        <v>168</v>
      </c>
      <c r="E611">
        <v>2.63364071316919E-3</v>
      </c>
      <c r="F611">
        <v>-0.69306901407038801</v>
      </c>
      <c r="G611">
        <v>-5.7400008231362799E-2</v>
      </c>
      <c r="H611">
        <v>-0.94495917366194904</v>
      </c>
      <c r="I611">
        <v>-0.88755916543058599</v>
      </c>
      <c r="J611">
        <v>-0.69570265478355697</v>
      </c>
      <c r="K611">
        <v>2.63364071316919E-3</v>
      </c>
      <c r="L611">
        <v>-5.7400008231362799E-2</v>
      </c>
      <c r="M611">
        <v>-0.69570265478355697</v>
      </c>
      <c r="N611">
        <v>-0.63566900583902497</v>
      </c>
      <c r="O611">
        <v>-0.947592814375118</v>
      </c>
      <c r="P611">
        <v>-0.88755916543058599</v>
      </c>
      <c r="Q611" t="s">
        <v>1173</v>
      </c>
      <c r="R611" t="s">
        <v>1067</v>
      </c>
      <c r="S611" t="s">
        <v>1173</v>
      </c>
      <c r="T611" t="s">
        <v>1067</v>
      </c>
      <c r="U611" t="s">
        <v>1174</v>
      </c>
      <c r="V611">
        <v>1</v>
      </c>
      <c r="W611" t="s">
        <v>1174</v>
      </c>
      <c r="X611" t="s">
        <v>1175</v>
      </c>
      <c r="Y611">
        <v>1</v>
      </c>
      <c r="Z611">
        <v>-0.41035552958051702</v>
      </c>
      <c r="AA611">
        <v>-0.27190382176480798</v>
      </c>
      <c r="AB611">
        <v>-0.45855079622679901</v>
      </c>
      <c r="AC611">
        <v>-0.370781419585621</v>
      </c>
    </row>
    <row r="612" spans="1:29" x14ac:dyDescent="0.2">
      <c r="A612">
        <v>611</v>
      </c>
      <c r="B612" t="s">
        <v>765</v>
      </c>
      <c r="C612" t="s">
        <v>164</v>
      </c>
      <c r="D612" t="s">
        <v>130</v>
      </c>
      <c r="E612">
        <v>3.7781525811084E-3</v>
      </c>
      <c r="F612">
        <v>0.67244391038631701</v>
      </c>
      <c r="G612">
        <v>-3.1434380262526401E-2</v>
      </c>
      <c r="H612">
        <v>0.64783623344314401</v>
      </c>
      <c r="I612">
        <v>0.67927061370566999</v>
      </c>
      <c r="J612">
        <v>0.66866575780520898</v>
      </c>
      <c r="K612">
        <v>3.7781525811084E-3</v>
      </c>
      <c r="L612">
        <v>-3.1434380262526401E-2</v>
      </c>
      <c r="M612">
        <v>0.66866575780520898</v>
      </c>
      <c r="N612">
        <v>0.703878290648843</v>
      </c>
      <c r="O612">
        <v>0.64405808086203598</v>
      </c>
      <c r="P612">
        <v>0.67927061370566999</v>
      </c>
      <c r="Q612" t="s">
        <v>1173</v>
      </c>
      <c r="R612" t="s">
        <v>1068</v>
      </c>
      <c r="S612" t="s">
        <v>1173</v>
      </c>
      <c r="T612" t="s">
        <v>1068</v>
      </c>
      <c r="U612" t="s">
        <v>944</v>
      </c>
      <c r="V612">
        <v>0</v>
      </c>
      <c r="W612" t="s">
        <v>944</v>
      </c>
      <c r="X612" t="s">
        <v>1175</v>
      </c>
      <c r="Y612">
        <v>1</v>
      </c>
      <c r="Z612">
        <v>8.29958651394197E-3</v>
      </c>
      <c r="AA612">
        <v>-0.21664328335084099</v>
      </c>
      <c r="AB612">
        <v>-2.5731369820277E-2</v>
      </c>
      <c r="AC612">
        <v>-0.31301848450209402</v>
      </c>
    </row>
    <row r="613" spans="1:29" x14ac:dyDescent="0.2">
      <c r="A613">
        <v>612</v>
      </c>
      <c r="B613" t="s">
        <v>766</v>
      </c>
      <c r="C613" t="s">
        <v>164</v>
      </c>
      <c r="D613" t="s">
        <v>132</v>
      </c>
      <c r="E613">
        <v>-0.35995974951012999</v>
      </c>
      <c r="F613">
        <v>-0.156613354624283</v>
      </c>
      <c r="G613">
        <v>-3.3435590742761603E-2</v>
      </c>
      <c r="H613">
        <v>-0.85151012327758602</v>
      </c>
      <c r="I613">
        <v>-0.81807453253482398</v>
      </c>
      <c r="J613">
        <v>0.20334639488584699</v>
      </c>
      <c r="K613">
        <v>-3.3435590742761603E-2</v>
      </c>
      <c r="L613">
        <v>-0.35995974951012999</v>
      </c>
      <c r="M613">
        <v>-0.123177763881521</v>
      </c>
      <c r="N613">
        <v>0.20334639488584699</v>
      </c>
      <c r="O613">
        <v>-0.81807453253482398</v>
      </c>
      <c r="P613">
        <v>-0.49155037376745597</v>
      </c>
      <c r="Q613" t="s">
        <v>1067</v>
      </c>
      <c r="R613" t="s">
        <v>1067</v>
      </c>
      <c r="S613" t="s">
        <v>1173</v>
      </c>
      <c r="T613" t="s">
        <v>1067</v>
      </c>
      <c r="U613" t="s">
        <v>944</v>
      </c>
      <c r="V613">
        <v>1</v>
      </c>
      <c r="W613" t="s">
        <v>944</v>
      </c>
      <c r="X613" t="s">
        <v>1175</v>
      </c>
      <c r="Y613">
        <v>1</v>
      </c>
      <c r="Z613">
        <v>-0.26144933963684203</v>
      </c>
      <c r="AA613">
        <v>-0.28638680455711002</v>
      </c>
      <c r="AB613">
        <v>1.57651260247255E-2</v>
      </c>
      <c r="AC613">
        <v>-0.231742828518786</v>
      </c>
    </row>
    <row r="614" spans="1:29" x14ac:dyDescent="0.2">
      <c r="A614">
        <v>613</v>
      </c>
      <c r="B614" t="s">
        <v>767</v>
      </c>
      <c r="C614" t="s">
        <v>164</v>
      </c>
      <c r="D614" t="s">
        <v>134</v>
      </c>
      <c r="E614">
        <v>7.3483254420499494E-2</v>
      </c>
      <c r="F614">
        <v>0.113539180747491</v>
      </c>
      <c r="G614">
        <v>-1.71549417698382E-2</v>
      </c>
      <c r="H614">
        <v>-9.6764916433475706E-2</v>
      </c>
      <c r="I614">
        <v>-7.9609974663637506E-2</v>
      </c>
      <c r="J614">
        <v>4.0055926326991502E-2</v>
      </c>
      <c r="K614">
        <v>7.3483254420499494E-2</v>
      </c>
      <c r="L614">
        <v>-1.71549417698382E-2</v>
      </c>
      <c r="M614">
        <v>4.0055926326991502E-2</v>
      </c>
      <c r="N614">
        <v>0.13069412251732901</v>
      </c>
      <c r="O614">
        <v>-0.17024817085397501</v>
      </c>
      <c r="P614">
        <v>-7.9609974663637506E-2</v>
      </c>
      <c r="Q614" t="s">
        <v>1173</v>
      </c>
      <c r="R614" t="s">
        <v>1068</v>
      </c>
      <c r="S614" t="s">
        <v>1173</v>
      </c>
      <c r="T614" t="s">
        <v>1173</v>
      </c>
      <c r="U614" t="s">
        <v>944</v>
      </c>
      <c r="V614">
        <v>1</v>
      </c>
      <c r="W614" t="s">
        <v>944</v>
      </c>
      <c r="X614" t="s">
        <v>1175</v>
      </c>
      <c r="Y614">
        <v>0</v>
      </c>
      <c r="Z614">
        <v>-0.128303787409067</v>
      </c>
      <c r="AA614">
        <v>-0.30608550056280498</v>
      </c>
      <c r="AB614">
        <v>9.6906441967196499E-2</v>
      </c>
      <c r="AC614">
        <v>-0.28894120330745898</v>
      </c>
    </row>
    <row r="615" spans="1:29" x14ac:dyDescent="0.2">
      <c r="A615">
        <v>614</v>
      </c>
      <c r="B615" t="s">
        <v>768</v>
      </c>
      <c r="C615" t="s">
        <v>164</v>
      </c>
      <c r="D615" t="s">
        <v>136</v>
      </c>
      <c r="E615">
        <v>-0.13196893911348601</v>
      </c>
      <c r="F615">
        <v>0.69343768967699904</v>
      </c>
      <c r="G615">
        <v>-1.71549417698382E-2</v>
      </c>
      <c r="H615">
        <v>0.66518189539407402</v>
      </c>
      <c r="I615">
        <v>0.68233683716391202</v>
      </c>
      <c r="J615">
        <v>0.82540662879048499</v>
      </c>
      <c r="K615">
        <v>-1.71549417698382E-2</v>
      </c>
      <c r="L615">
        <v>-0.13196893911348601</v>
      </c>
      <c r="M615">
        <v>0.71059263144683704</v>
      </c>
      <c r="N615">
        <v>0.82540662879048499</v>
      </c>
      <c r="O615">
        <v>0.68233683716391202</v>
      </c>
      <c r="P615">
        <v>0.79715083450755997</v>
      </c>
      <c r="Q615" t="s">
        <v>1067</v>
      </c>
      <c r="R615" t="s">
        <v>1068</v>
      </c>
      <c r="S615" t="s">
        <v>1173</v>
      </c>
      <c r="T615" t="s">
        <v>1068</v>
      </c>
      <c r="U615" t="s">
        <v>944</v>
      </c>
      <c r="V615">
        <v>0</v>
      </c>
      <c r="W615" t="s">
        <v>944</v>
      </c>
      <c r="X615" t="s">
        <v>1175</v>
      </c>
      <c r="Y615">
        <v>1</v>
      </c>
      <c r="Z615">
        <v>-0.206994666535982</v>
      </c>
      <c r="AA615">
        <v>-0.31556830455975599</v>
      </c>
      <c r="AB615">
        <v>0.208708059875861</v>
      </c>
      <c r="AC615">
        <v>-0.20263578332771601</v>
      </c>
    </row>
    <row r="616" spans="1:29" x14ac:dyDescent="0.2">
      <c r="A616">
        <v>615</v>
      </c>
      <c r="B616" t="s">
        <v>769</v>
      </c>
      <c r="C616" t="s">
        <v>164</v>
      </c>
      <c r="D616" t="s">
        <v>140</v>
      </c>
      <c r="E616">
        <v>-0.12975532473297699</v>
      </c>
      <c r="F616">
        <v>0.105063573666135</v>
      </c>
      <c r="G616">
        <v>-9.6366965102642407E-3</v>
      </c>
      <c r="H616">
        <v>-6.7451252952134694E-2</v>
      </c>
      <c r="I616">
        <v>-5.7814556441870502E-2</v>
      </c>
      <c r="J616">
        <v>0.23481889839911199</v>
      </c>
      <c r="K616">
        <v>-9.6366965102642407E-3</v>
      </c>
      <c r="L616">
        <v>-0.12975532473297699</v>
      </c>
      <c r="M616">
        <v>0.114700270176399</v>
      </c>
      <c r="N616">
        <v>0.23481889839911199</v>
      </c>
      <c r="O616">
        <v>-5.7814556441870502E-2</v>
      </c>
      <c r="P616">
        <v>6.2304071780842303E-2</v>
      </c>
      <c r="Q616" t="s">
        <v>1067</v>
      </c>
      <c r="R616" t="s">
        <v>1068</v>
      </c>
      <c r="S616" t="s">
        <v>1173</v>
      </c>
      <c r="T616" t="s">
        <v>1173</v>
      </c>
      <c r="U616" t="s">
        <v>944</v>
      </c>
      <c r="V616">
        <v>1</v>
      </c>
      <c r="W616" t="s">
        <v>944</v>
      </c>
      <c r="X616" t="s">
        <v>1175</v>
      </c>
      <c r="Y616">
        <v>1</v>
      </c>
      <c r="Z616">
        <v>-0.194430593858123</v>
      </c>
      <c r="AA616">
        <v>-0.25083659300820399</v>
      </c>
      <c r="AB616">
        <v>1.37256950825948E-3</v>
      </c>
      <c r="AC616">
        <v>-0.23005996856588501</v>
      </c>
    </row>
    <row r="617" spans="1:29" x14ac:dyDescent="0.2">
      <c r="A617">
        <v>616</v>
      </c>
      <c r="B617" t="s">
        <v>770</v>
      </c>
      <c r="C617" t="s">
        <v>164</v>
      </c>
      <c r="D617" t="s">
        <v>142</v>
      </c>
      <c r="E617">
        <v>0.597813946332726</v>
      </c>
      <c r="F617">
        <v>0.92672038103258003</v>
      </c>
      <c r="G617">
        <v>-1.71549417698382E-2</v>
      </c>
      <c r="H617">
        <v>0.92916633403982296</v>
      </c>
      <c r="I617">
        <v>0.94632127580966097</v>
      </c>
      <c r="J617">
        <v>0.32890643469985398</v>
      </c>
      <c r="K617">
        <v>0.597813946332726</v>
      </c>
      <c r="L617">
        <v>-1.71549417698382E-2</v>
      </c>
      <c r="M617">
        <v>0.32890643469985398</v>
      </c>
      <c r="N617">
        <v>0.94387532280241804</v>
      </c>
      <c r="O617">
        <v>0.33135238770709702</v>
      </c>
      <c r="P617">
        <v>0.94632127580966097</v>
      </c>
      <c r="Q617" t="s">
        <v>1068</v>
      </c>
      <c r="R617" t="s">
        <v>1068</v>
      </c>
      <c r="S617" t="s">
        <v>1173</v>
      </c>
      <c r="T617" t="s">
        <v>1068</v>
      </c>
      <c r="U617" t="s">
        <v>944</v>
      </c>
      <c r="V617">
        <v>0</v>
      </c>
      <c r="W617" t="s">
        <v>944</v>
      </c>
      <c r="X617" t="s">
        <v>1175</v>
      </c>
      <c r="Y617">
        <v>1</v>
      </c>
      <c r="Z617">
        <v>0.77506076152219205</v>
      </c>
      <c r="AA617">
        <v>-0.19722372331041099</v>
      </c>
      <c r="AB617">
        <v>1.0055659977854401</v>
      </c>
      <c r="AC617">
        <v>-0.10091685135424699</v>
      </c>
    </row>
    <row r="618" spans="1:29" x14ac:dyDescent="0.2">
      <c r="A618">
        <v>617</v>
      </c>
      <c r="B618" t="s">
        <v>771</v>
      </c>
      <c r="C618" t="s">
        <v>164</v>
      </c>
      <c r="D618" t="s">
        <v>146</v>
      </c>
      <c r="E618">
        <v>2.85214255943219E-3</v>
      </c>
      <c r="F618">
        <v>0.66532987023652401</v>
      </c>
      <c r="G618">
        <v>-2.7711094975346601E-3</v>
      </c>
      <c r="H618">
        <v>0.63972674250881501</v>
      </c>
      <c r="I618">
        <v>0.64249785200635001</v>
      </c>
      <c r="J618">
        <v>0.66247772767709201</v>
      </c>
      <c r="K618">
        <v>2.85214255943219E-3</v>
      </c>
      <c r="L618">
        <v>-2.7711094975346601E-3</v>
      </c>
      <c r="M618">
        <v>0.66247772767709201</v>
      </c>
      <c r="N618">
        <v>0.66810097973405902</v>
      </c>
      <c r="O618">
        <v>0.636874599949383</v>
      </c>
      <c r="P618">
        <v>0.64249785200635001</v>
      </c>
      <c r="Q618" t="s">
        <v>1173</v>
      </c>
      <c r="R618" t="s">
        <v>1068</v>
      </c>
      <c r="S618" t="s">
        <v>1173</v>
      </c>
      <c r="T618" t="s">
        <v>1068</v>
      </c>
      <c r="U618" t="s">
        <v>944</v>
      </c>
      <c r="V618">
        <v>0</v>
      </c>
      <c r="W618" t="s">
        <v>944</v>
      </c>
      <c r="X618" t="s">
        <v>1175</v>
      </c>
      <c r="Y618">
        <v>1</v>
      </c>
      <c r="Z618">
        <v>-2.5238641547655E-2</v>
      </c>
      <c r="AA618">
        <v>-0.23120024481287199</v>
      </c>
      <c r="AB618">
        <v>-2.3595782792350001E-2</v>
      </c>
      <c r="AC618">
        <v>-0.31251068617763</v>
      </c>
    </row>
    <row r="619" spans="1:29" x14ac:dyDescent="0.2">
      <c r="A619">
        <v>618</v>
      </c>
      <c r="B619" t="s">
        <v>772</v>
      </c>
      <c r="C619" t="s">
        <v>164</v>
      </c>
      <c r="D619" t="s">
        <v>148</v>
      </c>
      <c r="E619">
        <v>-0.45558722415944702</v>
      </c>
      <c r="F619">
        <v>0.108377051241765</v>
      </c>
      <c r="G619">
        <v>-1.7111511500875601E-2</v>
      </c>
      <c r="H619">
        <v>-4.80970960362802E-2</v>
      </c>
      <c r="I619">
        <v>-3.0985584535404599E-2</v>
      </c>
      <c r="J619">
        <v>0.56396427540121197</v>
      </c>
      <c r="K619">
        <v>-1.7111511500875601E-2</v>
      </c>
      <c r="L619">
        <v>-0.45558722415944702</v>
      </c>
      <c r="M619">
        <v>0.125488562742641</v>
      </c>
      <c r="N619">
        <v>0.56396427540121197</v>
      </c>
      <c r="O619">
        <v>-3.0985584535404599E-2</v>
      </c>
      <c r="P619">
        <v>0.40749012812316698</v>
      </c>
      <c r="Q619" t="s">
        <v>1067</v>
      </c>
      <c r="R619" t="s">
        <v>1068</v>
      </c>
      <c r="S619" t="s">
        <v>1173</v>
      </c>
      <c r="T619" t="s">
        <v>1173</v>
      </c>
      <c r="U619" t="s">
        <v>944</v>
      </c>
      <c r="V619">
        <v>1</v>
      </c>
      <c r="W619" t="s">
        <v>944</v>
      </c>
      <c r="X619" t="s">
        <v>1175</v>
      </c>
      <c r="Y619">
        <v>1</v>
      </c>
      <c r="Z619">
        <v>-0.38456192173741</v>
      </c>
      <c r="AA619">
        <v>-0.33697285561645401</v>
      </c>
      <c r="AB619">
        <v>1.7107798350525501E-2</v>
      </c>
      <c r="AC619">
        <v>-0.22944212040602499</v>
      </c>
    </row>
    <row r="620" spans="1:29" x14ac:dyDescent="0.2">
      <c r="A620">
        <v>619</v>
      </c>
      <c r="B620" t="s">
        <v>773</v>
      </c>
      <c r="C620" t="s">
        <v>164</v>
      </c>
      <c r="D620" t="s">
        <v>150</v>
      </c>
      <c r="E620">
        <v>3.9169402884034104E-3</v>
      </c>
      <c r="F620">
        <v>0.65089136057411001</v>
      </c>
      <c r="G620">
        <v>-3.0501047746491001E-2</v>
      </c>
      <c r="H620">
        <v>0.623859674421268</v>
      </c>
      <c r="I620">
        <v>0.65436072216775898</v>
      </c>
      <c r="J620">
        <v>0.64697442028570695</v>
      </c>
      <c r="K620">
        <v>3.9169402884034104E-3</v>
      </c>
      <c r="L620">
        <v>-3.0501047746491001E-2</v>
      </c>
      <c r="M620">
        <v>0.64697442028570695</v>
      </c>
      <c r="N620">
        <v>0.681392408320601</v>
      </c>
      <c r="O620">
        <v>0.61994273413286505</v>
      </c>
      <c r="P620">
        <v>0.65436072216775898</v>
      </c>
      <c r="Q620" t="s">
        <v>1173</v>
      </c>
      <c r="R620" t="s">
        <v>1068</v>
      </c>
      <c r="S620" t="s">
        <v>1173</v>
      </c>
      <c r="T620" t="s">
        <v>1068</v>
      </c>
      <c r="U620" t="s">
        <v>944</v>
      </c>
      <c r="V620">
        <v>0</v>
      </c>
      <c r="W620" t="s">
        <v>944</v>
      </c>
      <c r="X620" t="s">
        <v>1175</v>
      </c>
      <c r="Y620">
        <v>1</v>
      </c>
      <c r="Z620">
        <v>-0.11421217342382201</v>
      </c>
      <c r="AA620">
        <v>-0.26811309748101803</v>
      </c>
      <c r="AB620">
        <v>-2.6643366670646498E-2</v>
      </c>
      <c r="AC620">
        <v>-0.31316523685166903</v>
      </c>
    </row>
    <row r="621" spans="1:29" x14ac:dyDescent="0.2">
      <c r="A621">
        <v>620</v>
      </c>
      <c r="B621" t="s">
        <v>774</v>
      </c>
      <c r="C621" t="s">
        <v>164</v>
      </c>
      <c r="D621" t="s">
        <v>152</v>
      </c>
      <c r="E621">
        <v>0.59766094653179602</v>
      </c>
      <c r="F621">
        <v>0.92963294918931705</v>
      </c>
      <c r="G621">
        <v>-1.71549417698382E-2</v>
      </c>
      <c r="H621">
        <v>0.92922336124082305</v>
      </c>
      <c r="I621">
        <v>0.94637830301066095</v>
      </c>
      <c r="J621">
        <v>0.33197200265752103</v>
      </c>
      <c r="K621">
        <v>0.59766094653179602</v>
      </c>
      <c r="L621">
        <v>-1.71549417698382E-2</v>
      </c>
      <c r="M621">
        <v>0.33197200265752103</v>
      </c>
      <c r="N621">
        <v>0.94678789095915505</v>
      </c>
      <c r="O621">
        <v>0.33156241470902698</v>
      </c>
      <c r="P621">
        <v>0.94637830301066095</v>
      </c>
      <c r="Q621" t="s">
        <v>1068</v>
      </c>
      <c r="R621" t="s">
        <v>1068</v>
      </c>
      <c r="S621" t="s">
        <v>1173</v>
      </c>
      <c r="T621" t="s">
        <v>1068</v>
      </c>
      <c r="U621" t="s">
        <v>944</v>
      </c>
      <c r="V621">
        <v>0</v>
      </c>
      <c r="W621" t="s">
        <v>944</v>
      </c>
      <c r="X621" t="s">
        <v>1175</v>
      </c>
      <c r="Y621">
        <v>1</v>
      </c>
      <c r="Z621">
        <v>0.77518800669912702</v>
      </c>
      <c r="AA621">
        <v>-0.197208389372275</v>
      </c>
      <c r="AB621">
        <v>1.0058759292863</v>
      </c>
      <c r="AC621">
        <v>-0.100915830566864</v>
      </c>
    </row>
    <row r="622" spans="1:29" x14ac:dyDescent="0.2">
      <c r="A622">
        <v>621</v>
      </c>
      <c r="B622" t="s">
        <v>775</v>
      </c>
      <c r="C622" t="s">
        <v>164</v>
      </c>
      <c r="D622" t="s">
        <v>156</v>
      </c>
      <c r="E622">
        <v>0.39612573769030501</v>
      </c>
      <c r="F622">
        <v>-0.20748667134096699</v>
      </c>
      <c r="G622">
        <v>-1.71549417698382E-2</v>
      </c>
      <c r="H622">
        <v>-0.81908183075874896</v>
      </c>
      <c r="I622">
        <v>-0.80192688898891096</v>
      </c>
      <c r="J622">
        <v>-0.603612409031272</v>
      </c>
      <c r="K622">
        <v>0.39612573769030501</v>
      </c>
      <c r="L622">
        <v>-1.71549417698382E-2</v>
      </c>
      <c r="M622">
        <v>-0.603612409031272</v>
      </c>
      <c r="N622">
        <v>-0.19033172957112901</v>
      </c>
      <c r="O622">
        <v>-1.21520756844905</v>
      </c>
      <c r="P622">
        <v>-0.80192688898891096</v>
      </c>
      <c r="Q622" t="s">
        <v>1068</v>
      </c>
      <c r="R622" t="s">
        <v>1067</v>
      </c>
      <c r="S622" t="s">
        <v>1173</v>
      </c>
      <c r="T622" t="s">
        <v>1067</v>
      </c>
      <c r="U622" t="s">
        <v>1174</v>
      </c>
      <c r="V622">
        <v>1</v>
      </c>
      <c r="W622" t="s">
        <v>1174</v>
      </c>
      <c r="X622" t="s">
        <v>1175</v>
      </c>
      <c r="Y622">
        <v>1</v>
      </c>
      <c r="Z622">
        <v>-0.16583047497226699</v>
      </c>
      <c r="AA622">
        <v>-0.31060773016253701</v>
      </c>
      <c r="AB622">
        <v>0.25432830305331899</v>
      </c>
      <c r="AC622">
        <v>-0.196597284763224</v>
      </c>
    </row>
    <row r="623" spans="1:29" x14ac:dyDescent="0.2">
      <c r="A623">
        <v>622</v>
      </c>
      <c r="B623" t="s">
        <v>776</v>
      </c>
      <c r="C623" t="s">
        <v>164</v>
      </c>
      <c r="D623" t="s">
        <v>158</v>
      </c>
      <c r="E623">
        <v>-0.340330263865533</v>
      </c>
      <c r="F623">
        <v>0.170189196985572</v>
      </c>
      <c r="G623">
        <v>-3.0588550056411399E-2</v>
      </c>
      <c r="H623">
        <v>6.3772825312565895E-2</v>
      </c>
      <c r="I623">
        <v>9.4361375368977304E-2</v>
      </c>
      <c r="J623">
        <v>0.510519460851105</v>
      </c>
      <c r="K623">
        <v>-3.0588550056411399E-2</v>
      </c>
      <c r="L623">
        <v>-0.340330263865533</v>
      </c>
      <c r="M623">
        <v>0.20077774704198301</v>
      </c>
      <c r="N623">
        <v>0.510519460851105</v>
      </c>
      <c r="O623">
        <v>9.4361375368977304E-2</v>
      </c>
      <c r="P623">
        <v>0.40410308917809901</v>
      </c>
      <c r="Q623" t="s">
        <v>1067</v>
      </c>
      <c r="R623" t="s">
        <v>1068</v>
      </c>
      <c r="S623" t="s">
        <v>1173</v>
      </c>
      <c r="T623" t="s">
        <v>1173</v>
      </c>
      <c r="U623" t="s">
        <v>944</v>
      </c>
      <c r="V623">
        <v>0</v>
      </c>
      <c r="W623" t="s">
        <v>944</v>
      </c>
      <c r="X623" t="s">
        <v>1175</v>
      </c>
      <c r="Y623">
        <v>1</v>
      </c>
      <c r="Z623">
        <v>-0.30297090799827198</v>
      </c>
      <c r="AA623">
        <v>-0.28699887446585498</v>
      </c>
      <c r="AB623">
        <v>-2.8817294784259501E-2</v>
      </c>
      <c r="AC623">
        <v>-0.23217015211762099</v>
      </c>
    </row>
    <row r="624" spans="1:29" x14ac:dyDescent="0.2">
      <c r="A624">
        <v>623</v>
      </c>
      <c r="B624" t="s">
        <v>777</v>
      </c>
      <c r="C624" t="s">
        <v>164</v>
      </c>
      <c r="D624" t="s">
        <v>160</v>
      </c>
      <c r="E624">
        <v>-0.12911468699658499</v>
      </c>
      <c r="F624">
        <v>0.65457948210968897</v>
      </c>
      <c r="G624">
        <v>-1.7497421714513801E-2</v>
      </c>
      <c r="H624">
        <v>0.62950873251010797</v>
      </c>
      <c r="I624">
        <v>0.64700615422462204</v>
      </c>
      <c r="J624">
        <v>0.78369416910627399</v>
      </c>
      <c r="K624">
        <v>-1.7497421714513801E-2</v>
      </c>
      <c r="L624">
        <v>-0.12911468699658499</v>
      </c>
      <c r="M624">
        <v>0.67207690382420304</v>
      </c>
      <c r="N624">
        <v>0.78369416910627399</v>
      </c>
      <c r="O624">
        <v>0.64700615422462204</v>
      </c>
      <c r="P624">
        <v>0.75862341950669299</v>
      </c>
      <c r="Q624" t="s">
        <v>1067</v>
      </c>
      <c r="R624" t="s">
        <v>1068</v>
      </c>
      <c r="S624" t="s">
        <v>1173</v>
      </c>
      <c r="T624" t="s">
        <v>1068</v>
      </c>
      <c r="U624" t="s">
        <v>944</v>
      </c>
      <c r="V624">
        <v>0</v>
      </c>
      <c r="W624" t="s">
        <v>944</v>
      </c>
      <c r="X624" t="s">
        <v>1175</v>
      </c>
      <c r="Y624">
        <v>1</v>
      </c>
      <c r="Z624">
        <v>-0.204555881923526</v>
      </c>
      <c r="AA624">
        <v>-0.31505950980946701</v>
      </c>
      <c r="AB624">
        <v>0.209455364061883</v>
      </c>
      <c r="AC624">
        <v>-0.20294438934602599</v>
      </c>
    </row>
    <row r="625" spans="1:29" x14ac:dyDescent="0.2">
      <c r="A625">
        <v>624</v>
      </c>
      <c r="B625" t="s">
        <v>778</v>
      </c>
      <c r="C625" t="s">
        <v>164</v>
      </c>
      <c r="D625" t="s">
        <v>162</v>
      </c>
      <c r="E625">
        <v>3.91694028827519E-3</v>
      </c>
      <c r="F625">
        <v>0.64842729325998105</v>
      </c>
      <c r="G625">
        <v>-3.0391293118028701E-2</v>
      </c>
      <c r="H625">
        <v>0.60307753546613896</v>
      </c>
      <c r="I625">
        <v>0.63346882858416798</v>
      </c>
      <c r="J625">
        <v>0.644510352971706</v>
      </c>
      <c r="K625">
        <v>3.91694028827519E-3</v>
      </c>
      <c r="L625">
        <v>-3.0391293118028701E-2</v>
      </c>
      <c r="M625">
        <v>0.644510352971706</v>
      </c>
      <c r="N625">
        <v>0.67881858637800996</v>
      </c>
      <c r="O625">
        <v>0.59916059517786402</v>
      </c>
      <c r="P625">
        <v>0.63346882858416798</v>
      </c>
      <c r="Q625" t="s">
        <v>1173</v>
      </c>
      <c r="R625" t="s">
        <v>1068</v>
      </c>
      <c r="S625" t="s">
        <v>1173</v>
      </c>
      <c r="T625" t="s">
        <v>1068</v>
      </c>
      <c r="U625" t="s">
        <v>944</v>
      </c>
      <c r="V625">
        <v>0</v>
      </c>
      <c r="W625" t="s">
        <v>944</v>
      </c>
      <c r="X625" t="s">
        <v>1175</v>
      </c>
      <c r="Y625">
        <v>1</v>
      </c>
      <c r="Z625">
        <v>-9.4813967993856496E-2</v>
      </c>
      <c r="AA625">
        <v>-0.26042250097139003</v>
      </c>
      <c r="AB625">
        <v>-2.5250800910833499E-2</v>
      </c>
      <c r="AC625">
        <v>-0.31298316224543699</v>
      </c>
    </row>
    <row r="626" spans="1:29" x14ac:dyDescent="0.2">
      <c r="A626">
        <v>625</v>
      </c>
      <c r="B626" t="s">
        <v>779</v>
      </c>
      <c r="C626" t="s">
        <v>164</v>
      </c>
      <c r="D626" t="s">
        <v>166</v>
      </c>
      <c r="E626">
        <v>3.91694028827519E-3</v>
      </c>
      <c r="F626">
        <v>-1.57562950068133E-3</v>
      </c>
      <c r="G626">
        <v>-1.7111511500875601E-2</v>
      </c>
      <c r="H626">
        <v>-0.13446635751363301</v>
      </c>
      <c r="I626">
        <v>-0.117354846012757</v>
      </c>
      <c r="J626">
        <v>-5.49256978895652E-3</v>
      </c>
      <c r="K626">
        <v>3.91694028827519E-3</v>
      </c>
      <c r="L626">
        <v>-1.7111511500875601E-2</v>
      </c>
      <c r="M626">
        <v>-5.49256978895652E-3</v>
      </c>
      <c r="N626">
        <v>1.55358820001943E-2</v>
      </c>
      <c r="O626">
        <v>-0.138383297801908</v>
      </c>
      <c r="P626">
        <v>-0.117354846012757</v>
      </c>
      <c r="Q626" t="s">
        <v>1173</v>
      </c>
      <c r="R626" t="s">
        <v>1173</v>
      </c>
      <c r="S626" t="s">
        <v>1173</v>
      </c>
      <c r="T626" t="s">
        <v>1067</v>
      </c>
      <c r="U626" t="s">
        <v>1174</v>
      </c>
      <c r="V626">
        <v>1</v>
      </c>
      <c r="W626" t="s">
        <v>944</v>
      </c>
      <c r="X626" t="s">
        <v>1175</v>
      </c>
      <c r="Y626">
        <v>0</v>
      </c>
      <c r="Z626">
        <v>-7.0799207103010601E-3</v>
      </c>
      <c r="AA626">
        <v>-0.29148362144048701</v>
      </c>
      <c r="AB626">
        <v>0.20498726862035299</v>
      </c>
      <c r="AC626">
        <v>-0.28288009131028602</v>
      </c>
    </row>
    <row r="627" spans="1:29" x14ac:dyDescent="0.2">
      <c r="A627">
        <v>626</v>
      </c>
      <c r="B627" t="s">
        <v>780</v>
      </c>
      <c r="C627" t="s">
        <v>164</v>
      </c>
      <c r="D627" t="s">
        <v>168</v>
      </c>
      <c r="E627">
        <v>0.41712276095081802</v>
      </c>
      <c r="F627">
        <v>0.43897967631864299</v>
      </c>
      <c r="G627">
        <v>-1.8828626045828599E-2</v>
      </c>
      <c r="H627">
        <v>0.32920164851959999</v>
      </c>
      <c r="I627">
        <v>0.34803027456542901</v>
      </c>
      <c r="J627">
        <v>2.1856915367825001E-2</v>
      </c>
      <c r="K627">
        <v>0.41712276095081802</v>
      </c>
      <c r="L627">
        <v>-1.8828626045828599E-2</v>
      </c>
      <c r="M627">
        <v>2.1856915367825001E-2</v>
      </c>
      <c r="N627">
        <v>0.45780830236447201</v>
      </c>
      <c r="O627">
        <v>-8.7921112431218001E-2</v>
      </c>
      <c r="P627">
        <v>0.34803027456542901</v>
      </c>
      <c r="Q627" t="s">
        <v>1068</v>
      </c>
      <c r="R627" t="s">
        <v>1068</v>
      </c>
      <c r="S627" t="s">
        <v>1173</v>
      </c>
      <c r="T627" t="s">
        <v>1068</v>
      </c>
      <c r="U627" t="s">
        <v>944</v>
      </c>
      <c r="V627">
        <v>0</v>
      </c>
      <c r="W627" t="s">
        <v>944</v>
      </c>
      <c r="X627" t="s">
        <v>1175</v>
      </c>
      <c r="Y627">
        <v>0</v>
      </c>
      <c r="Z627">
        <v>-0.30367046159785999</v>
      </c>
      <c r="AA627">
        <v>-0.293263654412865</v>
      </c>
      <c r="AB627">
        <v>-2.3504390449155001E-2</v>
      </c>
      <c r="AC627">
        <v>-0.237537713704394</v>
      </c>
    </row>
    <row r="628" spans="1:29" x14ac:dyDescent="0.2">
      <c r="A628">
        <v>627</v>
      </c>
      <c r="B628" t="s">
        <v>781</v>
      </c>
      <c r="C628" t="s">
        <v>166</v>
      </c>
      <c r="D628" t="s">
        <v>130</v>
      </c>
      <c r="E628">
        <v>-2.1099594971774001E-2</v>
      </c>
      <c r="F628">
        <v>-7.9032624734824903E-4</v>
      </c>
      <c r="G628">
        <v>-9.0582976653299698E-3</v>
      </c>
      <c r="H628">
        <v>-0.19636853592935299</v>
      </c>
      <c r="I628">
        <v>-0.18731023826402299</v>
      </c>
      <c r="J628">
        <v>2.0309268724425799E-2</v>
      </c>
      <c r="K628">
        <v>-9.0582976653299698E-3</v>
      </c>
      <c r="L628">
        <v>-2.1099594971774001E-2</v>
      </c>
      <c r="M628">
        <v>8.2679714179817194E-3</v>
      </c>
      <c r="N628">
        <v>2.0309268724425799E-2</v>
      </c>
      <c r="O628">
        <v>-0.18731023826402299</v>
      </c>
      <c r="P628">
        <v>-0.175268940957579</v>
      </c>
      <c r="Q628" t="s">
        <v>1173</v>
      </c>
      <c r="R628" t="s">
        <v>1173</v>
      </c>
      <c r="S628" t="s">
        <v>1173</v>
      </c>
      <c r="T628" t="s">
        <v>1067</v>
      </c>
      <c r="U628" t="s">
        <v>944</v>
      </c>
      <c r="V628">
        <v>1</v>
      </c>
      <c r="W628" t="s">
        <v>944</v>
      </c>
      <c r="X628" t="s">
        <v>1175</v>
      </c>
      <c r="Y628">
        <v>0</v>
      </c>
      <c r="Z628">
        <v>-2.4050570838393098E-2</v>
      </c>
      <c r="AA628">
        <v>-0.23197893474045</v>
      </c>
      <c r="AB628">
        <v>-0.230178655623971</v>
      </c>
      <c r="AC628">
        <v>-0.41611191297570499</v>
      </c>
    </row>
    <row r="629" spans="1:29" x14ac:dyDescent="0.2">
      <c r="A629">
        <v>628</v>
      </c>
      <c r="B629" t="s">
        <v>782</v>
      </c>
      <c r="C629" t="s">
        <v>166</v>
      </c>
      <c r="D629" t="s">
        <v>132</v>
      </c>
      <c r="E629">
        <v>3.3918019569443899E-3</v>
      </c>
      <c r="F629">
        <v>-1.31695986112371E-3</v>
      </c>
      <c r="G629">
        <v>3.2490723293387199E-3</v>
      </c>
      <c r="H629">
        <v>-0.105997853548936</v>
      </c>
      <c r="I629">
        <v>-0.109246925878275</v>
      </c>
      <c r="J629">
        <v>-4.7087618180680999E-3</v>
      </c>
      <c r="K629">
        <v>3.3918019569443899E-3</v>
      </c>
      <c r="L629">
        <v>3.2490723293387199E-3</v>
      </c>
      <c r="M629">
        <v>-4.7087618180680999E-3</v>
      </c>
      <c r="N629">
        <v>-4.5660321904624299E-3</v>
      </c>
      <c r="O629">
        <v>-0.10938965550588001</v>
      </c>
      <c r="P629">
        <v>-0.109246925878275</v>
      </c>
      <c r="Q629" t="s">
        <v>1173</v>
      </c>
      <c r="R629" t="s">
        <v>1173</v>
      </c>
      <c r="S629" t="s">
        <v>1173</v>
      </c>
      <c r="T629" t="s">
        <v>1067</v>
      </c>
      <c r="U629" t="s">
        <v>1174</v>
      </c>
      <c r="V629">
        <v>1</v>
      </c>
      <c r="W629" t="s">
        <v>944</v>
      </c>
      <c r="X629" t="s">
        <v>1175</v>
      </c>
      <c r="Y629">
        <v>0</v>
      </c>
      <c r="Z629">
        <v>-0.29379949698917701</v>
      </c>
      <c r="AA629">
        <v>-0.30172245594671898</v>
      </c>
      <c r="AB629">
        <v>-0.18868215977896799</v>
      </c>
      <c r="AC629">
        <v>-0.334836256992396</v>
      </c>
    </row>
    <row r="630" spans="1:29" x14ac:dyDescent="0.2">
      <c r="A630">
        <v>629</v>
      </c>
      <c r="B630" t="s">
        <v>783</v>
      </c>
      <c r="C630" t="s">
        <v>166</v>
      </c>
      <c r="D630" t="s">
        <v>134</v>
      </c>
      <c r="E630">
        <v>6.9308068746409199E-2</v>
      </c>
      <c r="F630">
        <v>-1.43076488650009E-2</v>
      </c>
      <c r="G630">
        <v>6.2382960333897198E-3</v>
      </c>
      <c r="H630">
        <v>-0.16015199843958899</v>
      </c>
      <c r="I630">
        <v>-0.16639029447297901</v>
      </c>
      <c r="J630">
        <v>-8.3615717611410095E-2</v>
      </c>
      <c r="K630">
        <v>6.9308068746409199E-2</v>
      </c>
      <c r="L630">
        <v>6.2382960333897198E-3</v>
      </c>
      <c r="M630">
        <v>-8.3615717611410095E-2</v>
      </c>
      <c r="N630">
        <v>-2.0545944898390602E-2</v>
      </c>
      <c r="O630">
        <v>-0.22946006718599801</v>
      </c>
      <c r="P630">
        <v>-0.16639029447297901</v>
      </c>
      <c r="Q630" t="s">
        <v>1173</v>
      </c>
      <c r="R630" t="s">
        <v>1173</v>
      </c>
      <c r="S630" t="s">
        <v>1173</v>
      </c>
      <c r="T630" t="s">
        <v>1067</v>
      </c>
      <c r="U630" t="s">
        <v>1174</v>
      </c>
      <c r="V630">
        <v>1</v>
      </c>
      <c r="W630" t="s">
        <v>1174</v>
      </c>
      <c r="X630" t="s">
        <v>1175</v>
      </c>
      <c r="Y630">
        <v>0</v>
      </c>
      <c r="Z630">
        <v>-0.16065394476140199</v>
      </c>
      <c r="AA630">
        <v>-0.321421151952414</v>
      </c>
      <c r="AB630">
        <v>-0.10754084383649699</v>
      </c>
      <c r="AC630">
        <v>-0.39203463178106901</v>
      </c>
    </row>
    <row r="631" spans="1:29" x14ac:dyDescent="0.2">
      <c r="A631">
        <v>630</v>
      </c>
      <c r="B631" t="s">
        <v>784</v>
      </c>
      <c r="C631" t="s">
        <v>166</v>
      </c>
      <c r="D631" t="s">
        <v>136</v>
      </c>
      <c r="E631">
        <v>-1.1555128337008599E-2</v>
      </c>
      <c r="F631">
        <v>-1.1641387561646601E-3</v>
      </c>
      <c r="G631">
        <v>6.2907341559516597E-3</v>
      </c>
      <c r="H631">
        <v>-0.207054609508739</v>
      </c>
      <c r="I631">
        <v>-0.21334534366469099</v>
      </c>
      <c r="J631">
        <v>1.0390989580843901E-2</v>
      </c>
      <c r="K631">
        <v>6.2907341559516597E-3</v>
      </c>
      <c r="L631">
        <v>-1.1555128337008599E-2</v>
      </c>
      <c r="M631">
        <v>-7.4548729121163204E-3</v>
      </c>
      <c r="N631">
        <v>1.0390989580843901E-2</v>
      </c>
      <c r="O631">
        <v>-0.21334534366469099</v>
      </c>
      <c r="P631">
        <v>-0.19549948117172999</v>
      </c>
      <c r="Q631" t="s">
        <v>1173</v>
      </c>
      <c r="R631" t="s">
        <v>1173</v>
      </c>
      <c r="S631" t="s">
        <v>1173</v>
      </c>
      <c r="T631" t="s">
        <v>1067</v>
      </c>
      <c r="U631" t="s">
        <v>944</v>
      </c>
      <c r="V631">
        <v>1</v>
      </c>
      <c r="W631" t="s">
        <v>944</v>
      </c>
      <c r="X631" t="s">
        <v>1175</v>
      </c>
      <c r="Y631">
        <v>0</v>
      </c>
      <c r="Z631">
        <v>-0.23934482388831699</v>
      </c>
      <c r="AA631">
        <v>-0.330903955949365</v>
      </c>
      <c r="AB631">
        <v>4.2607740721679601E-3</v>
      </c>
      <c r="AC631">
        <v>-0.30572921180132701</v>
      </c>
    </row>
    <row r="632" spans="1:29" x14ac:dyDescent="0.2">
      <c r="A632">
        <v>631</v>
      </c>
      <c r="B632" t="s">
        <v>785</v>
      </c>
      <c r="C632" t="s">
        <v>166</v>
      </c>
      <c r="D632" t="s">
        <v>140</v>
      </c>
      <c r="E632">
        <v>-1.1426034349795E-2</v>
      </c>
      <c r="F632">
        <v>-0.10093759675278299</v>
      </c>
      <c r="G632">
        <v>4.0957591003291799E-3</v>
      </c>
      <c r="H632">
        <v>-0.30782290492812803</v>
      </c>
      <c r="I632">
        <v>-0.31191866402845703</v>
      </c>
      <c r="J632">
        <v>-8.9511562402988007E-2</v>
      </c>
      <c r="K632">
        <v>4.0957591003291799E-3</v>
      </c>
      <c r="L632">
        <v>-1.1426034349795E-2</v>
      </c>
      <c r="M632">
        <v>-0.10503335585311201</v>
      </c>
      <c r="N632">
        <v>-8.9511562402988007E-2</v>
      </c>
      <c r="O632">
        <v>-0.31191866402845703</v>
      </c>
      <c r="P632">
        <v>-0.29639687057833303</v>
      </c>
      <c r="Q632" t="s">
        <v>1173</v>
      </c>
      <c r="R632" t="s">
        <v>1067</v>
      </c>
      <c r="S632" t="s">
        <v>1173</v>
      </c>
      <c r="T632" t="s">
        <v>1067</v>
      </c>
      <c r="U632" t="s">
        <v>1174</v>
      </c>
      <c r="V632">
        <v>1</v>
      </c>
      <c r="W632" t="s">
        <v>1174</v>
      </c>
      <c r="X632" t="s">
        <v>1175</v>
      </c>
      <c r="Y632">
        <v>0</v>
      </c>
      <c r="Z632">
        <v>-0.22678075121045799</v>
      </c>
      <c r="AA632">
        <v>-0.26617224439781301</v>
      </c>
      <c r="AB632">
        <v>-0.203074716295434</v>
      </c>
      <c r="AC632">
        <v>-0.33315339703949498</v>
      </c>
    </row>
    <row r="633" spans="1:29" x14ac:dyDescent="0.2">
      <c r="A633">
        <v>632</v>
      </c>
      <c r="B633" t="s">
        <v>786</v>
      </c>
      <c r="C633" t="s">
        <v>166</v>
      </c>
      <c r="D633" t="s">
        <v>142</v>
      </c>
      <c r="E633">
        <v>-1.2531180505102201E-2</v>
      </c>
      <c r="F633">
        <v>-4.2558385676917797E-2</v>
      </c>
      <c r="G633">
        <v>6.2907341559516597E-3</v>
      </c>
      <c r="H633">
        <v>-6.78618172457775E-2</v>
      </c>
      <c r="I633">
        <v>-7.4152551401729203E-2</v>
      </c>
      <c r="J633">
        <v>-3.0027205171815601E-2</v>
      </c>
      <c r="K633">
        <v>6.2907341559516597E-3</v>
      </c>
      <c r="L633">
        <v>-1.2531180505102201E-2</v>
      </c>
      <c r="M633">
        <v>-4.8849119832869499E-2</v>
      </c>
      <c r="N633">
        <v>-3.0027205171815601E-2</v>
      </c>
      <c r="O633">
        <v>-7.4152551401729203E-2</v>
      </c>
      <c r="P633">
        <v>-5.5330636740675301E-2</v>
      </c>
      <c r="Q633" t="s">
        <v>1173</v>
      </c>
      <c r="R633" t="s">
        <v>1173</v>
      </c>
      <c r="S633" t="s">
        <v>1173</v>
      </c>
      <c r="T633" t="s">
        <v>1173</v>
      </c>
      <c r="U633" t="s">
        <v>1174</v>
      </c>
      <c r="V633">
        <v>1</v>
      </c>
      <c r="W633" t="s">
        <v>944</v>
      </c>
      <c r="X633" t="s">
        <v>1175</v>
      </c>
      <c r="Y633">
        <v>0</v>
      </c>
      <c r="Z633">
        <v>0.74271060416985701</v>
      </c>
      <c r="AA633">
        <v>-0.21255937470002001</v>
      </c>
      <c r="AB633">
        <v>0.801118711981748</v>
      </c>
      <c r="AC633">
        <v>-0.20401027982785699</v>
      </c>
    </row>
    <row r="634" spans="1:29" x14ac:dyDescent="0.2">
      <c r="A634">
        <v>633</v>
      </c>
      <c r="B634" t="s">
        <v>787</v>
      </c>
      <c r="C634" t="s">
        <v>166</v>
      </c>
      <c r="D634" t="s">
        <v>146</v>
      </c>
      <c r="E634">
        <v>-2.0850851688414902E-2</v>
      </c>
      <c r="F634">
        <v>-1.0272017917959801E-3</v>
      </c>
      <c r="G634">
        <v>-1.06276120374676E-2</v>
      </c>
      <c r="H634">
        <v>-0.19797815779306899</v>
      </c>
      <c r="I634">
        <v>-0.18735054575560101</v>
      </c>
      <c r="J634">
        <v>1.9823649896618899E-2</v>
      </c>
      <c r="K634">
        <v>-1.06276120374676E-2</v>
      </c>
      <c r="L634">
        <v>-2.0850851688414902E-2</v>
      </c>
      <c r="M634">
        <v>9.6004102456716204E-3</v>
      </c>
      <c r="N634">
        <v>1.9823649896618899E-2</v>
      </c>
      <c r="O634">
        <v>-0.18735054575560101</v>
      </c>
      <c r="P634">
        <v>-0.17712730610465399</v>
      </c>
      <c r="Q634" t="s">
        <v>1173</v>
      </c>
      <c r="R634" t="s">
        <v>1173</v>
      </c>
      <c r="S634" t="s">
        <v>1173</v>
      </c>
      <c r="T634" t="s">
        <v>1067</v>
      </c>
      <c r="U634" t="s">
        <v>944</v>
      </c>
      <c r="V634">
        <v>1</v>
      </c>
      <c r="W634" t="s">
        <v>944</v>
      </c>
      <c r="X634" t="s">
        <v>1175</v>
      </c>
      <c r="Y634">
        <v>0</v>
      </c>
      <c r="Z634">
        <v>-5.7588798899990003E-2</v>
      </c>
      <c r="AA634">
        <v>-0.24653589620248101</v>
      </c>
      <c r="AB634">
        <v>-0.22804306859604401</v>
      </c>
      <c r="AC634">
        <v>-0.41560411465124097</v>
      </c>
    </row>
    <row r="635" spans="1:29" x14ac:dyDescent="0.2">
      <c r="A635">
        <v>634</v>
      </c>
      <c r="B635" t="s">
        <v>788</v>
      </c>
      <c r="C635" t="s">
        <v>166</v>
      </c>
      <c r="D635" t="s">
        <v>148</v>
      </c>
      <c r="E635">
        <v>-1.29994173110922E-2</v>
      </c>
      <c r="F635">
        <v>1.13075860027518E-3</v>
      </c>
      <c r="G635">
        <v>6.3331633463471898E-3</v>
      </c>
      <c r="H635">
        <v>-0.181144677660034</v>
      </c>
      <c r="I635">
        <v>-0.18747784100638101</v>
      </c>
      <c r="J635">
        <v>1.41301759113674E-2</v>
      </c>
      <c r="K635">
        <v>6.3331633463471898E-3</v>
      </c>
      <c r="L635">
        <v>-1.29994173110922E-2</v>
      </c>
      <c r="M635">
        <v>-5.2024047460720096E-3</v>
      </c>
      <c r="N635">
        <v>1.41301759113674E-2</v>
      </c>
      <c r="O635">
        <v>-0.18747784100638101</v>
      </c>
      <c r="P635">
        <v>-0.16814526034894201</v>
      </c>
      <c r="Q635" t="s">
        <v>1173</v>
      </c>
      <c r="R635" t="s">
        <v>1173</v>
      </c>
      <c r="S635" t="s">
        <v>1173</v>
      </c>
      <c r="T635" t="s">
        <v>1067</v>
      </c>
      <c r="U635" t="s">
        <v>944</v>
      </c>
      <c r="V635">
        <v>1</v>
      </c>
      <c r="W635" t="s">
        <v>944</v>
      </c>
      <c r="X635" t="s">
        <v>1175</v>
      </c>
      <c r="Y635">
        <v>0</v>
      </c>
      <c r="Z635">
        <v>-0.41691207908974498</v>
      </c>
      <c r="AA635">
        <v>-0.35230850700606298</v>
      </c>
      <c r="AB635">
        <v>-0.187339487453168</v>
      </c>
      <c r="AC635">
        <v>-0.33253554887963599</v>
      </c>
    </row>
    <row r="636" spans="1:29" x14ac:dyDescent="0.2">
      <c r="A636">
        <v>635</v>
      </c>
      <c r="B636" t="s">
        <v>789</v>
      </c>
      <c r="C636" t="s">
        <v>166</v>
      </c>
      <c r="D636" t="s">
        <v>150</v>
      </c>
      <c r="E636">
        <v>-2.1182829810826601E-2</v>
      </c>
      <c r="F636">
        <v>-1.04009977275614E-3</v>
      </c>
      <c r="G636">
        <v>2.8615667172481899E-3</v>
      </c>
      <c r="H636">
        <v>-0.19748990474352099</v>
      </c>
      <c r="I636">
        <v>-0.20035147146076901</v>
      </c>
      <c r="J636">
        <v>2.0142730038070499E-2</v>
      </c>
      <c r="K636">
        <v>2.8615667172481899E-3</v>
      </c>
      <c r="L636">
        <v>-2.1182829810826601E-2</v>
      </c>
      <c r="M636">
        <v>-3.9016664900043299E-3</v>
      </c>
      <c r="N636">
        <v>2.0142730038070499E-2</v>
      </c>
      <c r="O636">
        <v>-0.20035147146076901</v>
      </c>
      <c r="P636">
        <v>-0.17630707493269401</v>
      </c>
      <c r="Q636" t="s">
        <v>1173</v>
      </c>
      <c r="R636" t="s">
        <v>1173</v>
      </c>
      <c r="S636" t="s">
        <v>1173</v>
      </c>
      <c r="T636" t="s">
        <v>1067</v>
      </c>
      <c r="U636" t="s">
        <v>944</v>
      </c>
      <c r="V636">
        <v>1</v>
      </c>
      <c r="W636" t="s">
        <v>944</v>
      </c>
      <c r="X636" t="s">
        <v>1175</v>
      </c>
      <c r="Y636">
        <v>0</v>
      </c>
      <c r="Z636">
        <v>-0.14656233077615699</v>
      </c>
      <c r="AA636">
        <v>-0.28344874887062699</v>
      </c>
      <c r="AB636">
        <v>-0.23109065247433999</v>
      </c>
      <c r="AC636">
        <v>-0.416258665325279</v>
      </c>
    </row>
    <row r="637" spans="1:29" x14ac:dyDescent="0.2">
      <c r="A637">
        <v>636</v>
      </c>
      <c r="B637" t="s">
        <v>790</v>
      </c>
      <c r="C637" t="s">
        <v>166</v>
      </c>
      <c r="D637" t="s">
        <v>152</v>
      </c>
      <c r="E637">
        <v>-1.2588011976389899E-2</v>
      </c>
      <c r="F637">
        <v>-4.2562982611262602E-2</v>
      </c>
      <c r="G637">
        <v>6.2907341559516597E-3</v>
      </c>
      <c r="H637">
        <v>-6.7851114971226201E-2</v>
      </c>
      <c r="I637">
        <v>-7.4141849127177903E-2</v>
      </c>
      <c r="J637">
        <v>-2.99749706348727E-2</v>
      </c>
      <c r="K637">
        <v>6.2907341559516597E-3</v>
      </c>
      <c r="L637">
        <v>-1.2588011976389899E-2</v>
      </c>
      <c r="M637">
        <v>-4.8853716767214297E-2</v>
      </c>
      <c r="N637">
        <v>-2.99749706348727E-2</v>
      </c>
      <c r="O637">
        <v>-7.4141849127177903E-2</v>
      </c>
      <c r="P637">
        <v>-5.5263102994836298E-2</v>
      </c>
      <c r="Q637" t="s">
        <v>1173</v>
      </c>
      <c r="R637" t="s">
        <v>1173</v>
      </c>
      <c r="S637" t="s">
        <v>1173</v>
      </c>
      <c r="T637" t="s">
        <v>1173</v>
      </c>
      <c r="U637" t="s">
        <v>1174</v>
      </c>
      <c r="V637">
        <v>1</v>
      </c>
      <c r="W637" t="s">
        <v>944</v>
      </c>
      <c r="X637" t="s">
        <v>1175</v>
      </c>
      <c r="Y637">
        <v>0</v>
      </c>
      <c r="Z637">
        <v>0.74283784934679198</v>
      </c>
      <c r="AA637">
        <v>-0.21254404076188399</v>
      </c>
      <c r="AB637">
        <v>0.80142864348260801</v>
      </c>
      <c r="AC637">
        <v>-0.20400925904047501</v>
      </c>
    </row>
    <row r="638" spans="1:29" x14ac:dyDescent="0.2">
      <c r="A638">
        <v>637</v>
      </c>
      <c r="B638" t="s">
        <v>791</v>
      </c>
      <c r="C638" t="s">
        <v>166</v>
      </c>
      <c r="D638" t="s">
        <v>156</v>
      </c>
      <c r="E638">
        <v>-1.2536000162858401E-2</v>
      </c>
      <c r="F638">
        <v>-1.7669206136988001E-3</v>
      </c>
      <c r="G638">
        <v>6.2382960333897198E-3</v>
      </c>
      <c r="H638">
        <v>-0.25162046054887799</v>
      </c>
      <c r="I638">
        <v>-0.25785875658226798</v>
      </c>
      <c r="J638">
        <v>1.0769079549159601E-2</v>
      </c>
      <c r="K638">
        <v>6.2382960333897198E-3</v>
      </c>
      <c r="L638">
        <v>-1.2536000162858401E-2</v>
      </c>
      <c r="M638">
        <v>-8.0052166470885207E-3</v>
      </c>
      <c r="N638">
        <v>1.0769079549159601E-2</v>
      </c>
      <c r="O638">
        <v>-0.25785875658226798</v>
      </c>
      <c r="P638">
        <v>-0.23908446038601999</v>
      </c>
      <c r="Q638" t="s">
        <v>1173</v>
      </c>
      <c r="R638" t="s">
        <v>1173</v>
      </c>
      <c r="S638" t="s">
        <v>1173</v>
      </c>
      <c r="T638" t="s">
        <v>1067</v>
      </c>
      <c r="U638" t="s">
        <v>944</v>
      </c>
      <c r="V638">
        <v>1</v>
      </c>
      <c r="W638" t="s">
        <v>944</v>
      </c>
      <c r="X638" t="s">
        <v>1175</v>
      </c>
      <c r="Y638">
        <v>0</v>
      </c>
      <c r="Z638">
        <v>-0.19818063232460301</v>
      </c>
      <c r="AA638">
        <v>-0.32594338155214603</v>
      </c>
      <c r="AB638">
        <v>4.9881017249625403E-2</v>
      </c>
      <c r="AC638">
        <v>-0.29969071323683499</v>
      </c>
    </row>
    <row r="639" spans="1:29" x14ac:dyDescent="0.2">
      <c r="A639">
        <v>638</v>
      </c>
      <c r="B639" t="s">
        <v>792</v>
      </c>
      <c r="C639" t="s">
        <v>166</v>
      </c>
      <c r="D639" t="s">
        <v>158</v>
      </c>
      <c r="E639">
        <v>-3.6749368457804903E-2</v>
      </c>
      <c r="F639">
        <v>-5.56921832608833E-2</v>
      </c>
      <c r="G639">
        <v>3.8316038910786799E-3</v>
      </c>
      <c r="H639">
        <v>-0.186544157989361</v>
      </c>
      <c r="I639">
        <v>-0.19037576188044</v>
      </c>
      <c r="J639">
        <v>-1.8942814803078401E-2</v>
      </c>
      <c r="K639">
        <v>3.8316038910786799E-3</v>
      </c>
      <c r="L639">
        <v>-3.6749368457804903E-2</v>
      </c>
      <c r="M639">
        <v>-5.9523787151962E-2</v>
      </c>
      <c r="N639">
        <v>-1.8942814803078401E-2</v>
      </c>
      <c r="O639">
        <v>-0.19037576188044</v>
      </c>
      <c r="P639">
        <v>-0.14979478953155601</v>
      </c>
      <c r="Q639" t="s">
        <v>1173</v>
      </c>
      <c r="R639" t="s">
        <v>1173</v>
      </c>
      <c r="S639" t="s">
        <v>1173</v>
      </c>
      <c r="T639" t="s">
        <v>1067</v>
      </c>
      <c r="U639" t="s">
        <v>1174</v>
      </c>
      <c r="V639">
        <v>1</v>
      </c>
      <c r="W639" t="s">
        <v>1174</v>
      </c>
      <c r="X639" t="s">
        <v>1175</v>
      </c>
      <c r="Y639">
        <v>0</v>
      </c>
      <c r="Z639">
        <v>-0.33532106535060702</v>
      </c>
      <c r="AA639">
        <v>-0.302334525855464</v>
      </c>
      <c r="AB639">
        <v>-0.23326458058795299</v>
      </c>
      <c r="AC639">
        <v>-0.33526358059123101</v>
      </c>
    </row>
    <row r="640" spans="1:29" x14ac:dyDescent="0.2">
      <c r="A640">
        <v>639</v>
      </c>
      <c r="B640" t="s">
        <v>793</v>
      </c>
      <c r="C640" t="s">
        <v>166</v>
      </c>
      <c r="D640" t="s">
        <v>160</v>
      </c>
      <c r="E640">
        <v>-1.1997947217700301E-2</v>
      </c>
      <c r="F640">
        <v>3.1529092948677799E-4</v>
      </c>
      <c r="G640">
        <v>6.1832970377915103E-3</v>
      </c>
      <c r="H640">
        <v>-0.14097503585212801</v>
      </c>
      <c r="I640">
        <v>-0.14715833288992</v>
      </c>
      <c r="J640">
        <v>1.23132381471871E-2</v>
      </c>
      <c r="K640">
        <v>6.1832970377915103E-3</v>
      </c>
      <c r="L640">
        <v>-1.1997947217700301E-2</v>
      </c>
      <c r="M640">
        <v>-5.86800610830473E-3</v>
      </c>
      <c r="N640">
        <v>1.23132381471871E-2</v>
      </c>
      <c r="O640">
        <v>-0.14715833288992</v>
      </c>
      <c r="P640">
        <v>-0.128977088634428</v>
      </c>
      <c r="Q640" t="s">
        <v>1173</v>
      </c>
      <c r="R640" t="s">
        <v>1173</v>
      </c>
      <c r="S640" t="s">
        <v>1173</v>
      </c>
      <c r="T640" t="s">
        <v>1067</v>
      </c>
      <c r="U640" t="s">
        <v>944</v>
      </c>
      <c r="V640">
        <v>1</v>
      </c>
      <c r="W640" t="s">
        <v>944</v>
      </c>
      <c r="X640" t="s">
        <v>1176</v>
      </c>
      <c r="Y640">
        <v>0</v>
      </c>
      <c r="Z640">
        <v>-0.23690603927586101</v>
      </c>
      <c r="AA640">
        <v>-0.33039516119907603</v>
      </c>
      <c r="AB640">
        <v>5.0080782581894403E-3</v>
      </c>
      <c r="AC640">
        <v>-0.30603781781963602</v>
      </c>
    </row>
    <row r="641" spans="1:29" x14ac:dyDescent="0.2">
      <c r="A641">
        <v>640</v>
      </c>
      <c r="B641" t="s">
        <v>794</v>
      </c>
      <c r="C641" t="s">
        <v>166</v>
      </c>
      <c r="D641" t="s">
        <v>162</v>
      </c>
      <c r="E641">
        <v>-2.1182829810826601E-2</v>
      </c>
      <c r="F641">
        <v>-5.8552509683999104E-4</v>
      </c>
      <c r="G641">
        <v>2.4863547592306801E-3</v>
      </c>
      <c r="H641">
        <v>-0.19595904181947801</v>
      </c>
      <c r="I641">
        <v>-0.19844539657870899</v>
      </c>
      <c r="J641">
        <v>2.0597304713986599E-2</v>
      </c>
      <c r="K641">
        <v>2.4863547592306801E-3</v>
      </c>
      <c r="L641">
        <v>-2.1182829810826601E-2</v>
      </c>
      <c r="M641">
        <v>-3.0718798560706701E-3</v>
      </c>
      <c r="N641">
        <v>2.0597304713986599E-2</v>
      </c>
      <c r="O641">
        <v>-0.19844539657870899</v>
      </c>
      <c r="P641">
        <v>-0.17477621200865101</v>
      </c>
      <c r="Q641" t="s">
        <v>1173</v>
      </c>
      <c r="R641" t="s">
        <v>1173</v>
      </c>
      <c r="S641" t="s">
        <v>1173</v>
      </c>
      <c r="T641" t="s">
        <v>1067</v>
      </c>
      <c r="U641" t="s">
        <v>944</v>
      </c>
      <c r="V641">
        <v>1</v>
      </c>
      <c r="W641" t="s">
        <v>944</v>
      </c>
      <c r="X641" t="s">
        <v>1175</v>
      </c>
      <c r="Y641">
        <v>0</v>
      </c>
      <c r="Z641">
        <v>-0.12716412534619201</v>
      </c>
      <c r="AA641">
        <v>-0.27575815236099899</v>
      </c>
      <c r="AB641">
        <v>-0.22969808671452699</v>
      </c>
      <c r="AC641">
        <v>-0.41607659071904701</v>
      </c>
    </row>
    <row r="642" spans="1:29" x14ac:dyDescent="0.2">
      <c r="A642">
        <v>641</v>
      </c>
      <c r="B642" t="s">
        <v>795</v>
      </c>
      <c r="C642" t="s">
        <v>166</v>
      </c>
      <c r="D642" t="s">
        <v>168</v>
      </c>
      <c r="E642">
        <v>2.63364071316919E-3</v>
      </c>
      <c r="F642">
        <v>-1.3696135954176699E-2</v>
      </c>
      <c r="G642">
        <v>1.7305131218349999E-2</v>
      </c>
      <c r="H642">
        <v>-0.133279102363107</v>
      </c>
      <c r="I642">
        <v>-0.15058423358145701</v>
      </c>
      <c r="J642">
        <v>-1.6329776667345901E-2</v>
      </c>
      <c r="K642">
        <v>1.7305131218349999E-2</v>
      </c>
      <c r="L642">
        <v>2.63364071316919E-3</v>
      </c>
      <c r="M642">
        <v>-3.10012671725267E-2</v>
      </c>
      <c r="N642">
        <v>-1.6329776667345901E-2</v>
      </c>
      <c r="O642">
        <v>-0.15058423358145701</v>
      </c>
      <c r="P642">
        <v>-0.13591274307627599</v>
      </c>
      <c r="Q642" t="s">
        <v>1173</v>
      </c>
      <c r="R642" t="s">
        <v>1173</v>
      </c>
      <c r="S642" t="s">
        <v>1173</v>
      </c>
      <c r="T642" t="s">
        <v>1067</v>
      </c>
      <c r="U642" t="s">
        <v>1174</v>
      </c>
      <c r="V642">
        <v>1</v>
      </c>
      <c r="W642" t="s">
        <v>944</v>
      </c>
      <c r="X642" t="s">
        <v>1175</v>
      </c>
      <c r="Y642">
        <v>0</v>
      </c>
      <c r="Z642">
        <v>-0.33602061895019503</v>
      </c>
      <c r="AA642">
        <v>-0.30859930580247302</v>
      </c>
      <c r="AB642">
        <v>-0.22795167625284901</v>
      </c>
      <c r="AC642">
        <v>-0.340631142178005</v>
      </c>
    </row>
    <row r="643" spans="1:29" x14ac:dyDescent="0.2">
      <c r="A643">
        <v>642</v>
      </c>
      <c r="B643" t="s">
        <v>796</v>
      </c>
      <c r="C643" t="s">
        <v>224</v>
      </c>
      <c r="D643" t="s">
        <v>129</v>
      </c>
      <c r="E643">
        <v>-0.35252990674934498</v>
      </c>
      <c r="F643">
        <v>-1</v>
      </c>
      <c r="G643">
        <v>-0.14237403788900299</v>
      </c>
      <c r="H643">
        <v>-1</v>
      </c>
      <c r="I643">
        <v>-0.85762596211099695</v>
      </c>
      <c r="J643">
        <v>-0.64747009325065497</v>
      </c>
      <c r="K643">
        <v>-0.14237403788900299</v>
      </c>
      <c r="L643">
        <v>-0.35252990674934498</v>
      </c>
      <c r="M643">
        <v>-0.85762596211099695</v>
      </c>
      <c r="N643">
        <v>-0.64747009325065497</v>
      </c>
      <c r="O643">
        <v>-0.85762596211099695</v>
      </c>
      <c r="P643">
        <v>-0.64747009325065497</v>
      </c>
      <c r="Q643" t="s">
        <v>1067</v>
      </c>
      <c r="R643" t="s">
        <v>1067</v>
      </c>
      <c r="S643" t="s">
        <v>1067</v>
      </c>
      <c r="T643" t="s">
        <v>1067</v>
      </c>
      <c r="U643" t="s">
        <v>1174</v>
      </c>
      <c r="V643">
        <v>1</v>
      </c>
      <c r="W643" t="s">
        <v>944</v>
      </c>
      <c r="X643" t="s">
        <v>1175</v>
      </c>
      <c r="Y643">
        <v>1</v>
      </c>
      <c r="Z643">
        <v>-0.39015944105109102</v>
      </c>
      <c r="AA643">
        <v>-0.24795747878456301</v>
      </c>
      <c r="AB643">
        <v>-0.29987727750427401</v>
      </c>
      <c r="AC643">
        <v>-0.269280138876905</v>
      </c>
    </row>
    <row r="644" spans="1:29" x14ac:dyDescent="0.2">
      <c r="A644">
        <v>643</v>
      </c>
      <c r="B644" t="s">
        <v>797</v>
      </c>
      <c r="C644" t="s">
        <v>224</v>
      </c>
      <c r="D644" t="s">
        <v>130</v>
      </c>
      <c r="E644">
        <v>6.11998824950681E-3</v>
      </c>
      <c r="F644">
        <v>0.478928649281466</v>
      </c>
      <c r="G644">
        <v>0.45210673050400702</v>
      </c>
      <c r="H644">
        <v>0.37598683825455498</v>
      </c>
      <c r="I644">
        <v>-7.6119892249451995E-2</v>
      </c>
      <c r="J644">
        <v>0.47280866103195901</v>
      </c>
      <c r="K644">
        <v>0.45210673050400702</v>
      </c>
      <c r="L644">
        <v>6.11998824950681E-3</v>
      </c>
      <c r="M644">
        <v>2.6821918777459E-2</v>
      </c>
      <c r="N644">
        <v>0.47280866103195901</v>
      </c>
      <c r="O644">
        <v>-7.6119892249451995E-2</v>
      </c>
      <c r="P644">
        <v>0.36986685000504799</v>
      </c>
      <c r="Q644" t="s">
        <v>1173</v>
      </c>
      <c r="R644" t="s">
        <v>1068</v>
      </c>
      <c r="S644" t="s">
        <v>1068</v>
      </c>
      <c r="T644" t="s">
        <v>1068</v>
      </c>
      <c r="U644" t="s">
        <v>944</v>
      </c>
      <c r="V644">
        <v>1</v>
      </c>
      <c r="W644" t="s">
        <v>944</v>
      </c>
      <c r="X644" t="s">
        <v>1175</v>
      </c>
      <c r="Y644">
        <v>1</v>
      </c>
      <c r="Z644">
        <v>-0.169161385828213</v>
      </c>
      <c r="AA644">
        <v>-0.18416018015931199</v>
      </c>
      <c r="AB644">
        <v>-0.39866344886386601</v>
      </c>
      <c r="AC644">
        <v>-0.35995899784034802</v>
      </c>
    </row>
    <row r="645" spans="1:29" x14ac:dyDescent="0.2">
      <c r="A645">
        <v>644</v>
      </c>
      <c r="B645" t="s">
        <v>798</v>
      </c>
      <c r="C645" t="s">
        <v>224</v>
      </c>
      <c r="D645" t="s">
        <v>132</v>
      </c>
      <c r="E645">
        <v>-0.12344440720189</v>
      </c>
      <c r="F645">
        <v>-1</v>
      </c>
      <c r="G645">
        <v>-8.8918521786632093E-2</v>
      </c>
      <c r="H645">
        <v>-1</v>
      </c>
      <c r="I645">
        <v>-0.91108147821336805</v>
      </c>
      <c r="J645">
        <v>-0.87655559279811002</v>
      </c>
      <c r="K645">
        <v>-8.8918521786632093E-2</v>
      </c>
      <c r="L645">
        <v>-0.12344440720189</v>
      </c>
      <c r="M645">
        <v>-0.91108147821336805</v>
      </c>
      <c r="N645">
        <v>-0.87655559279811002</v>
      </c>
      <c r="O645">
        <v>-0.91108147821336805</v>
      </c>
      <c r="P645">
        <v>-0.87655559279811002</v>
      </c>
      <c r="Q645" t="s">
        <v>1067</v>
      </c>
      <c r="R645" t="s">
        <v>1067</v>
      </c>
      <c r="S645" t="s">
        <v>1173</v>
      </c>
      <c r="T645" t="s">
        <v>1067</v>
      </c>
      <c r="U645" t="s">
        <v>1174</v>
      </c>
      <c r="V645">
        <v>1</v>
      </c>
      <c r="W645" t="s">
        <v>944</v>
      </c>
      <c r="X645" t="s">
        <v>1175</v>
      </c>
      <c r="Y645">
        <v>1</v>
      </c>
      <c r="Z645">
        <v>-0.43891031197899699</v>
      </c>
      <c r="AA645">
        <v>-0.25390370136557999</v>
      </c>
      <c r="AB645">
        <v>-0.35716695301886298</v>
      </c>
      <c r="AC645">
        <v>-0.27868334185704002</v>
      </c>
    </row>
    <row r="646" spans="1:29" x14ac:dyDescent="0.2">
      <c r="A646">
        <v>645</v>
      </c>
      <c r="B646" t="s">
        <v>799</v>
      </c>
      <c r="C646" t="s">
        <v>224</v>
      </c>
      <c r="D646" t="s">
        <v>134</v>
      </c>
      <c r="E646">
        <v>6.7557608744168801E-2</v>
      </c>
      <c r="F646">
        <v>-0.35714677760847502</v>
      </c>
      <c r="G646">
        <v>-1.03423390625573E-2</v>
      </c>
      <c r="H646">
        <v>-0.608247505650644</v>
      </c>
      <c r="I646">
        <v>-0.59790516658808701</v>
      </c>
      <c r="J646">
        <v>-0.42470438635264401</v>
      </c>
      <c r="K646">
        <v>6.7557608744168801E-2</v>
      </c>
      <c r="L646">
        <v>-1.03423390625573E-2</v>
      </c>
      <c r="M646">
        <v>-0.42470438635264401</v>
      </c>
      <c r="N646">
        <v>-0.34680443854591803</v>
      </c>
      <c r="O646">
        <v>-0.67580511439481294</v>
      </c>
      <c r="P646">
        <v>-0.59790516658808701</v>
      </c>
      <c r="Q646" t="s">
        <v>1173</v>
      </c>
      <c r="R646" t="s">
        <v>1067</v>
      </c>
      <c r="S646" t="s">
        <v>1173</v>
      </c>
      <c r="T646" t="s">
        <v>1067</v>
      </c>
      <c r="U646" t="s">
        <v>1174</v>
      </c>
      <c r="V646">
        <v>1</v>
      </c>
      <c r="W646" t="s">
        <v>1174</v>
      </c>
      <c r="X646" t="s">
        <v>1175</v>
      </c>
      <c r="Y646">
        <v>1</v>
      </c>
      <c r="Z646">
        <v>-0.30576475975122203</v>
      </c>
      <c r="AA646">
        <v>-0.27360239737127501</v>
      </c>
      <c r="AB646">
        <v>-0.27602563707639199</v>
      </c>
      <c r="AC646">
        <v>-0.33588171664571298</v>
      </c>
    </row>
    <row r="647" spans="1:29" x14ac:dyDescent="0.2">
      <c r="A647">
        <v>646</v>
      </c>
      <c r="B647" t="s">
        <v>800</v>
      </c>
      <c r="C647" t="s">
        <v>224</v>
      </c>
      <c r="D647" t="s">
        <v>136</v>
      </c>
      <c r="E647">
        <v>-0.14067799843677001</v>
      </c>
      <c r="F647">
        <v>-7.4601817272318002E-2</v>
      </c>
      <c r="G647">
        <v>-1.03423391214489E-2</v>
      </c>
      <c r="H647">
        <v>-0.29186747469720797</v>
      </c>
      <c r="I647">
        <v>-0.28152513557575898</v>
      </c>
      <c r="J647">
        <v>6.6076181164452005E-2</v>
      </c>
      <c r="K647">
        <v>-1.03423391214489E-2</v>
      </c>
      <c r="L647">
        <v>-0.14067799843677001</v>
      </c>
      <c r="M647">
        <v>-6.4259478150869104E-2</v>
      </c>
      <c r="N647">
        <v>6.6076181164452005E-2</v>
      </c>
      <c r="O647">
        <v>-0.28152513557575898</v>
      </c>
      <c r="P647">
        <v>-0.15118947626043799</v>
      </c>
      <c r="Q647" t="s">
        <v>1067</v>
      </c>
      <c r="R647" t="s">
        <v>1173</v>
      </c>
      <c r="S647" t="s">
        <v>1173</v>
      </c>
      <c r="T647" t="s">
        <v>1067</v>
      </c>
      <c r="U647" t="s">
        <v>944</v>
      </c>
      <c r="V647">
        <v>1</v>
      </c>
      <c r="W647" t="s">
        <v>944</v>
      </c>
      <c r="X647" t="s">
        <v>1175</v>
      </c>
      <c r="Y647">
        <v>0</v>
      </c>
      <c r="Z647">
        <v>-0.384455638878137</v>
      </c>
      <c r="AA647">
        <v>-0.28308520136822601</v>
      </c>
      <c r="AB647">
        <v>-0.164224019167727</v>
      </c>
      <c r="AC647">
        <v>-0.24957629666597</v>
      </c>
    </row>
    <row r="648" spans="1:29" x14ac:dyDescent="0.2">
      <c r="A648">
        <v>647</v>
      </c>
      <c r="B648" t="s">
        <v>801</v>
      </c>
      <c r="C648" t="s">
        <v>224</v>
      </c>
      <c r="D648" t="s">
        <v>138</v>
      </c>
      <c r="E648">
        <v>-9.91450993518221E-2</v>
      </c>
      <c r="F648">
        <v>0.10539281346976299</v>
      </c>
      <c r="G648">
        <v>-8.2844857409884495E-2</v>
      </c>
      <c r="H648">
        <v>4.4791485731766802E-3</v>
      </c>
      <c r="I648">
        <v>8.7324005983061198E-2</v>
      </c>
      <c r="J648">
        <v>0.20453791282158501</v>
      </c>
      <c r="K648">
        <v>-8.2844857409884495E-2</v>
      </c>
      <c r="L648">
        <v>-9.91450993518221E-2</v>
      </c>
      <c r="M648">
        <v>0.18823767087964699</v>
      </c>
      <c r="N648">
        <v>0.20453791282158501</v>
      </c>
      <c r="O648">
        <v>8.7324005983061198E-2</v>
      </c>
      <c r="P648">
        <v>0.103624247924999</v>
      </c>
      <c r="Q648" t="s">
        <v>1173</v>
      </c>
      <c r="R648" t="s">
        <v>1068</v>
      </c>
      <c r="S648" t="s">
        <v>1173</v>
      </c>
      <c r="T648" t="s">
        <v>1173</v>
      </c>
      <c r="U648" t="s">
        <v>944</v>
      </c>
      <c r="V648">
        <v>0</v>
      </c>
      <c r="W648" t="s">
        <v>944</v>
      </c>
      <c r="X648" t="s">
        <v>1175</v>
      </c>
      <c r="Y648">
        <v>1</v>
      </c>
      <c r="Z648">
        <v>0.46607716882616601</v>
      </c>
      <c r="AA648">
        <v>-0.122561860475284</v>
      </c>
      <c r="AB648">
        <v>0.48805547200410598</v>
      </c>
      <c r="AC648">
        <v>-0.17046976592455201</v>
      </c>
    </row>
    <row r="649" spans="1:29" x14ac:dyDescent="0.2">
      <c r="A649">
        <v>648</v>
      </c>
      <c r="B649" t="s">
        <v>802</v>
      </c>
      <c r="C649" t="s">
        <v>224</v>
      </c>
      <c r="D649" t="s">
        <v>182</v>
      </c>
      <c r="E649">
        <v>-0.122422006499287</v>
      </c>
      <c r="F649">
        <v>0.75641444510745204</v>
      </c>
      <c r="G649">
        <v>-8.2595494151683005E-2</v>
      </c>
      <c r="H649">
        <v>0.75238108653654201</v>
      </c>
      <c r="I649">
        <v>0.834976580688225</v>
      </c>
      <c r="J649">
        <v>0.87883645160673896</v>
      </c>
      <c r="K649">
        <v>-8.2595494151683005E-2</v>
      </c>
      <c r="L649">
        <v>-0.122422006499287</v>
      </c>
      <c r="M649">
        <v>0.83900993925913503</v>
      </c>
      <c r="N649">
        <v>0.87883645160673896</v>
      </c>
      <c r="O649">
        <v>0.834976580688225</v>
      </c>
      <c r="P649">
        <v>0.87480309303582904</v>
      </c>
      <c r="Q649" t="s">
        <v>1067</v>
      </c>
      <c r="R649" t="s">
        <v>1068</v>
      </c>
      <c r="S649" t="s">
        <v>1173</v>
      </c>
      <c r="T649" t="s">
        <v>1068</v>
      </c>
      <c r="U649" t="s">
        <v>944</v>
      </c>
      <c r="V649">
        <v>0</v>
      </c>
      <c r="W649" t="s">
        <v>944</v>
      </c>
      <c r="X649" t="s">
        <v>1175</v>
      </c>
      <c r="Y649">
        <v>1</v>
      </c>
      <c r="Z649">
        <v>0.434030506536005</v>
      </c>
      <c r="AA649">
        <v>-0.14785333455628299</v>
      </c>
      <c r="AB649">
        <v>0.47567882490851798</v>
      </c>
      <c r="AC649">
        <v>-0.17002532408739099</v>
      </c>
    </row>
    <row r="650" spans="1:29" x14ac:dyDescent="0.2">
      <c r="A650">
        <v>649</v>
      </c>
      <c r="B650" t="s">
        <v>803</v>
      </c>
      <c r="C650" t="s">
        <v>224</v>
      </c>
      <c r="D650" t="s">
        <v>184</v>
      </c>
      <c r="E650">
        <v>-0.150755222469515</v>
      </c>
      <c r="F650">
        <v>-0.73514635853549404</v>
      </c>
      <c r="G650">
        <v>-0.15705042897704</v>
      </c>
      <c r="H650">
        <v>-1</v>
      </c>
      <c r="I650">
        <v>-0.84294957102295998</v>
      </c>
      <c r="J650">
        <v>-0.58439113606597903</v>
      </c>
      <c r="K650">
        <v>-0.150755222469515</v>
      </c>
      <c r="L650">
        <v>-0.15705042897704</v>
      </c>
      <c r="M650">
        <v>-0.58439113606597903</v>
      </c>
      <c r="N650">
        <v>-0.57809592955845401</v>
      </c>
      <c r="O650">
        <v>-0.849244777530485</v>
      </c>
      <c r="P650">
        <v>-0.84294957102295998</v>
      </c>
      <c r="Q650" t="s">
        <v>1067</v>
      </c>
      <c r="R650" t="s">
        <v>1067</v>
      </c>
      <c r="S650" t="s">
        <v>1067</v>
      </c>
      <c r="T650" t="s">
        <v>1067</v>
      </c>
      <c r="U650" t="s">
        <v>1174</v>
      </c>
      <c r="V650">
        <v>1</v>
      </c>
      <c r="W650" t="s">
        <v>944</v>
      </c>
      <c r="X650" t="s">
        <v>1175</v>
      </c>
      <c r="Y650">
        <v>1</v>
      </c>
      <c r="Z650">
        <v>-0.31565738898098</v>
      </c>
      <c r="AA650">
        <v>-0.21802591962607401</v>
      </c>
      <c r="AB650">
        <v>-0.28847431503057003</v>
      </c>
      <c r="AC650">
        <v>-0.26611315093180599</v>
      </c>
    </row>
    <row r="651" spans="1:29" x14ac:dyDescent="0.2">
      <c r="A651">
        <v>650</v>
      </c>
      <c r="B651" t="s">
        <v>804</v>
      </c>
      <c r="C651" t="s">
        <v>224</v>
      </c>
      <c r="D651" t="s">
        <v>186</v>
      </c>
      <c r="E651">
        <v>-0.15562048466204001</v>
      </c>
      <c r="F651">
        <v>-1</v>
      </c>
      <c r="G651">
        <v>-0.179479951045006</v>
      </c>
      <c r="H651">
        <v>-1</v>
      </c>
      <c r="I651">
        <v>-0.82052004895499397</v>
      </c>
      <c r="J651">
        <v>-0.84437951533795996</v>
      </c>
      <c r="K651">
        <v>-0.15562048466204001</v>
      </c>
      <c r="L651">
        <v>-0.179479951045006</v>
      </c>
      <c r="M651">
        <v>-0.84437951533795996</v>
      </c>
      <c r="N651">
        <v>-0.82052004895499397</v>
      </c>
      <c r="O651">
        <v>-0.84437951533795996</v>
      </c>
      <c r="P651">
        <v>-0.82052004895499397</v>
      </c>
      <c r="Q651" t="s">
        <v>1067</v>
      </c>
      <c r="R651" t="s">
        <v>1067</v>
      </c>
      <c r="S651" t="s">
        <v>1067</v>
      </c>
      <c r="T651" t="s">
        <v>1067</v>
      </c>
      <c r="U651" t="s">
        <v>1174</v>
      </c>
      <c r="V651">
        <v>1</v>
      </c>
      <c r="W651" t="s">
        <v>944</v>
      </c>
      <c r="X651" t="s">
        <v>1175</v>
      </c>
      <c r="Y651">
        <v>1</v>
      </c>
      <c r="Z651">
        <v>-0.40630916932264599</v>
      </c>
      <c r="AA651">
        <v>-0.23244624548560999</v>
      </c>
      <c r="AB651">
        <v>-0.370527068790864</v>
      </c>
      <c r="AC651">
        <v>-0.27574508822121002</v>
      </c>
    </row>
    <row r="652" spans="1:29" x14ac:dyDescent="0.2">
      <c r="A652">
        <v>651</v>
      </c>
      <c r="B652" t="s">
        <v>805</v>
      </c>
      <c r="C652" t="s">
        <v>224</v>
      </c>
      <c r="D652" t="s">
        <v>188</v>
      </c>
      <c r="E652">
        <v>-0.12320656845844501</v>
      </c>
      <c r="F652">
        <v>0.73669259645418395</v>
      </c>
      <c r="G652">
        <v>-1.5848429089486499E-2</v>
      </c>
      <c r="H652">
        <v>0.72216610317262298</v>
      </c>
      <c r="I652">
        <v>0.73801453226211</v>
      </c>
      <c r="J652">
        <v>0.85989916491262897</v>
      </c>
      <c r="K652">
        <v>-1.5848429089486499E-2</v>
      </c>
      <c r="L652">
        <v>-0.12320656845844501</v>
      </c>
      <c r="M652">
        <v>0.75254102554366997</v>
      </c>
      <c r="N652">
        <v>0.85989916491262897</v>
      </c>
      <c r="O652">
        <v>0.73801453226211</v>
      </c>
      <c r="P652">
        <v>0.845372671631068</v>
      </c>
      <c r="Q652" t="s">
        <v>1067</v>
      </c>
      <c r="R652" t="s">
        <v>1068</v>
      </c>
      <c r="S652" t="s">
        <v>1173</v>
      </c>
      <c r="T652" t="s">
        <v>1068</v>
      </c>
      <c r="U652" t="s">
        <v>944</v>
      </c>
      <c r="V652">
        <v>0</v>
      </c>
      <c r="W652" t="s">
        <v>944</v>
      </c>
      <c r="X652" t="s">
        <v>1175</v>
      </c>
      <c r="Y652">
        <v>1</v>
      </c>
      <c r="Z652">
        <v>0.47192455129552102</v>
      </c>
      <c r="AA652">
        <v>-0.13642369189926901</v>
      </c>
      <c r="AB652">
        <v>0.51070883999386396</v>
      </c>
      <c r="AC652">
        <v>-0.16537090239890501</v>
      </c>
    </row>
    <row r="653" spans="1:29" x14ac:dyDescent="0.2">
      <c r="A653">
        <v>652</v>
      </c>
      <c r="B653" t="s">
        <v>806</v>
      </c>
      <c r="C653" t="s">
        <v>224</v>
      </c>
      <c r="D653" t="s">
        <v>140</v>
      </c>
      <c r="E653">
        <v>-0.13878665122959899</v>
      </c>
      <c r="F653">
        <v>-1</v>
      </c>
      <c r="G653">
        <v>-0.18592087210628</v>
      </c>
      <c r="H653">
        <v>-1</v>
      </c>
      <c r="I653">
        <v>-0.81407912789371994</v>
      </c>
      <c r="J653">
        <v>-0.86121334877040101</v>
      </c>
      <c r="K653">
        <v>-0.13878665122959899</v>
      </c>
      <c r="L653">
        <v>-0.18592087210628</v>
      </c>
      <c r="M653">
        <v>-0.86121334877040101</v>
      </c>
      <c r="N653">
        <v>-0.81407912789371994</v>
      </c>
      <c r="O653">
        <v>-0.86121334877040101</v>
      </c>
      <c r="P653">
        <v>-0.81407912789371994</v>
      </c>
      <c r="Q653" t="s">
        <v>1067</v>
      </c>
      <c r="R653" t="s">
        <v>1067</v>
      </c>
      <c r="S653" t="s">
        <v>1067</v>
      </c>
      <c r="T653" t="s">
        <v>1067</v>
      </c>
      <c r="U653" t="s">
        <v>1174</v>
      </c>
      <c r="V653">
        <v>1</v>
      </c>
      <c r="W653" t="s">
        <v>944</v>
      </c>
      <c r="X653" t="s">
        <v>1175</v>
      </c>
      <c r="Y653">
        <v>1</v>
      </c>
      <c r="Z653">
        <v>-0.37189156620027902</v>
      </c>
      <c r="AA653">
        <v>-0.21835348981667399</v>
      </c>
      <c r="AB653">
        <v>-0.37155950953532901</v>
      </c>
      <c r="AC653">
        <v>-0.27700048190413901</v>
      </c>
    </row>
    <row r="654" spans="1:29" x14ac:dyDescent="0.2">
      <c r="A654">
        <v>653</v>
      </c>
      <c r="B654" t="s">
        <v>807</v>
      </c>
      <c r="C654" t="s">
        <v>224</v>
      </c>
      <c r="D654" t="s">
        <v>191</v>
      </c>
      <c r="E654">
        <v>-0.136481794978521</v>
      </c>
      <c r="F654">
        <v>-1</v>
      </c>
      <c r="G654">
        <v>-0.18590263662619999</v>
      </c>
      <c r="H654">
        <v>-1</v>
      </c>
      <c r="I654">
        <v>-0.81409736337380001</v>
      </c>
      <c r="J654">
        <v>-0.86351820502147902</v>
      </c>
      <c r="K654">
        <v>-0.136481794978521</v>
      </c>
      <c r="L654">
        <v>-0.18590263662619999</v>
      </c>
      <c r="M654">
        <v>-0.86351820502147902</v>
      </c>
      <c r="N654">
        <v>-0.81409736337380001</v>
      </c>
      <c r="O654">
        <v>-0.86351820502147902</v>
      </c>
      <c r="P654">
        <v>-0.81409736337380001</v>
      </c>
      <c r="Q654" t="s">
        <v>1067</v>
      </c>
      <c r="R654" t="s">
        <v>1067</v>
      </c>
      <c r="S654" t="s">
        <v>1067</v>
      </c>
      <c r="T654" t="s">
        <v>1067</v>
      </c>
      <c r="U654" t="s">
        <v>1174</v>
      </c>
      <c r="V654">
        <v>1</v>
      </c>
      <c r="W654" t="s">
        <v>944</v>
      </c>
      <c r="X654" t="s">
        <v>1175</v>
      </c>
      <c r="Y654">
        <v>1</v>
      </c>
      <c r="Z654">
        <v>-0.37146413191635802</v>
      </c>
      <c r="AA654">
        <v>-0.213663487156245</v>
      </c>
      <c r="AB654">
        <v>-0.38909370371018398</v>
      </c>
      <c r="AC654">
        <v>-0.27996384464496499</v>
      </c>
    </row>
    <row r="655" spans="1:29" x14ac:dyDescent="0.2">
      <c r="A655">
        <v>654</v>
      </c>
      <c r="B655" t="s">
        <v>808</v>
      </c>
      <c r="C655" t="s">
        <v>224</v>
      </c>
      <c r="D655" t="s">
        <v>193</v>
      </c>
      <c r="E655">
        <v>-0.16035941783260299</v>
      </c>
      <c r="F655">
        <v>-1</v>
      </c>
      <c r="G655">
        <v>-0.24224595307185501</v>
      </c>
      <c r="H655">
        <v>-1</v>
      </c>
      <c r="I655">
        <v>-0.75775404692814496</v>
      </c>
      <c r="J655">
        <v>-0.83964058216739701</v>
      </c>
      <c r="K655">
        <v>-0.16035941783260299</v>
      </c>
      <c r="L655">
        <v>-0.24224595307185501</v>
      </c>
      <c r="M655">
        <v>-0.83964058216739701</v>
      </c>
      <c r="N655">
        <v>-0.75775404692814496</v>
      </c>
      <c r="O655">
        <v>-0.83964058216739701</v>
      </c>
      <c r="P655">
        <v>-0.75775404692814496</v>
      </c>
      <c r="Q655" t="s">
        <v>1067</v>
      </c>
      <c r="R655" t="s">
        <v>1067</v>
      </c>
      <c r="S655" t="s">
        <v>1067</v>
      </c>
      <c r="T655" t="s">
        <v>1067</v>
      </c>
      <c r="U655" t="s">
        <v>1174</v>
      </c>
      <c r="V655">
        <v>1</v>
      </c>
      <c r="W655" t="s">
        <v>944</v>
      </c>
      <c r="X655" t="s">
        <v>1175</v>
      </c>
      <c r="Y655">
        <v>1</v>
      </c>
      <c r="Z655">
        <v>-0.372562832619452</v>
      </c>
      <c r="AA655">
        <v>-0.21049522179569999</v>
      </c>
      <c r="AB655">
        <v>-0.39580363243157501</v>
      </c>
      <c r="AC655">
        <v>-0.27784495842158402</v>
      </c>
    </row>
    <row r="656" spans="1:29" x14ac:dyDescent="0.2">
      <c r="A656">
        <v>655</v>
      </c>
      <c r="B656" t="s">
        <v>809</v>
      </c>
      <c r="C656" t="s">
        <v>224</v>
      </c>
      <c r="D656" t="s">
        <v>142</v>
      </c>
      <c r="E656">
        <v>-0.13983184555026701</v>
      </c>
      <c r="F656">
        <v>0.67377903059241695</v>
      </c>
      <c r="G656">
        <v>-1.0342339005275E-2</v>
      </c>
      <c r="H656">
        <v>0.69330794214805003</v>
      </c>
      <c r="I656">
        <v>0.70365028115332495</v>
      </c>
      <c r="J656">
        <v>0.81361087614268401</v>
      </c>
      <c r="K656">
        <v>-1.0342339005275E-2</v>
      </c>
      <c r="L656">
        <v>-0.13983184555026701</v>
      </c>
      <c r="M656">
        <v>0.68412136959769199</v>
      </c>
      <c r="N656">
        <v>0.81361087614268401</v>
      </c>
      <c r="O656">
        <v>0.70365028115332495</v>
      </c>
      <c r="P656">
        <v>0.83313978769831698</v>
      </c>
      <c r="Q656" t="s">
        <v>1067</v>
      </c>
      <c r="R656" t="s">
        <v>1068</v>
      </c>
      <c r="S656" t="s">
        <v>1173</v>
      </c>
      <c r="T656" t="s">
        <v>1068</v>
      </c>
      <c r="U656" t="s">
        <v>944</v>
      </c>
      <c r="V656">
        <v>0</v>
      </c>
      <c r="W656" t="s">
        <v>944</v>
      </c>
      <c r="X656" t="s">
        <v>1175</v>
      </c>
      <c r="Y656">
        <v>1</v>
      </c>
      <c r="Z656">
        <v>0.59759978918003698</v>
      </c>
      <c r="AA656">
        <v>-0.16474062011888099</v>
      </c>
      <c r="AB656">
        <v>0.63263391874185304</v>
      </c>
      <c r="AC656">
        <v>-0.14785736469250099</v>
      </c>
    </row>
    <row r="657" spans="1:29" x14ac:dyDescent="0.2">
      <c r="A657">
        <v>656</v>
      </c>
      <c r="B657" t="s">
        <v>810</v>
      </c>
      <c r="C657" t="s">
        <v>224</v>
      </c>
      <c r="D657" t="s">
        <v>196</v>
      </c>
      <c r="E657">
        <v>-0.27691087491400801</v>
      </c>
      <c r="F657">
        <v>-0.75077209162662595</v>
      </c>
      <c r="G657">
        <v>-0.19473750726609301</v>
      </c>
      <c r="H657">
        <v>-0.97357841334184902</v>
      </c>
      <c r="I657">
        <v>-0.77884090607575596</v>
      </c>
      <c r="J657">
        <v>-0.47386121671261799</v>
      </c>
      <c r="K657">
        <v>-0.19473750726609301</v>
      </c>
      <c r="L657">
        <v>-0.27691087491400801</v>
      </c>
      <c r="M657">
        <v>-0.55603458436053299</v>
      </c>
      <c r="N657">
        <v>-0.47386121671261799</v>
      </c>
      <c r="O657">
        <v>-0.77884090607575596</v>
      </c>
      <c r="P657">
        <v>-0.69666753842784102</v>
      </c>
      <c r="Q657" t="s">
        <v>1067</v>
      </c>
      <c r="R657" t="s">
        <v>1067</v>
      </c>
      <c r="S657" t="s">
        <v>1067</v>
      </c>
      <c r="T657" t="s">
        <v>1067</v>
      </c>
      <c r="U657" t="s">
        <v>1174</v>
      </c>
      <c r="V657">
        <v>1</v>
      </c>
      <c r="W657" t="s">
        <v>944</v>
      </c>
      <c r="X657" t="s">
        <v>1175</v>
      </c>
      <c r="Y657">
        <v>1</v>
      </c>
      <c r="Z657">
        <v>-0.16571671825041701</v>
      </c>
      <c r="AA657">
        <v>-0.20514158969014301</v>
      </c>
      <c r="AB657">
        <v>-8.0951495372252005E-2</v>
      </c>
      <c r="AC657">
        <v>-0.227634558766282</v>
      </c>
    </row>
    <row r="658" spans="1:29" x14ac:dyDescent="0.2">
      <c r="A658">
        <v>657</v>
      </c>
      <c r="B658" t="s">
        <v>811</v>
      </c>
      <c r="C658" t="s">
        <v>224</v>
      </c>
      <c r="D658" t="s">
        <v>144</v>
      </c>
      <c r="E658">
        <v>6.2838764921217902E-3</v>
      </c>
      <c r="F658">
        <v>0.15657499790323001</v>
      </c>
      <c r="G658">
        <v>3.6887595793893501E-3</v>
      </c>
      <c r="H658">
        <v>6.2721089507871298E-3</v>
      </c>
      <c r="I658">
        <v>2.5833493713977801E-3</v>
      </c>
      <c r="J658">
        <v>0.15029112141110801</v>
      </c>
      <c r="K658">
        <v>6.2838764921217902E-3</v>
      </c>
      <c r="L658">
        <v>3.6887595793893501E-3</v>
      </c>
      <c r="M658">
        <v>0.15029112141110801</v>
      </c>
      <c r="N658">
        <v>0.15288623832384099</v>
      </c>
      <c r="O658" s="11">
        <v>-1.1767541334660501E-5</v>
      </c>
      <c r="P658">
        <v>2.5833493713977801E-3</v>
      </c>
      <c r="Q658" t="s">
        <v>1173</v>
      </c>
      <c r="R658" t="s">
        <v>1068</v>
      </c>
      <c r="S658" t="s">
        <v>1173</v>
      </c>
      <c r="T658" t="s">
        <v>1173</v>
      </c>
      <c r="U658" t="s">
        <v>944</v>
      </c>
      <c r="V658">
        <v>0</v>
      </c>
      <c r="W658" t="s">
        <v>944</v>
      </c>
      <c r="X658" t="s">
        <v>1175</v>
      </c>
      <c r="Y658">
        <v>1</v>
      </c>
      <c r="Z658">
        <v>-0.229705905601222</v>
      </c>
      <c r="AA658">
        <v>-0.26442546405468298</v>
      </c>
      <c r="AB658">
        <v>-0.214932066523291</v>
      </c>
      <c r="AC658">
        <v>-0.33596407478059997</v>
      </c>
    </row>
    <row r="659" spans="1:29" x14ac:dyDescent="0.2">
      <c r="A659">
        <v>658</v>
      </c>
      <c r="B659" t="s">
        <v>812</v>
      </c>
      <c r="C659" t="s">
        <v>224</v>
      </c>
      <c r="D659" t="s">
        <v>146</v>
      </c>
      <c r="E659">
        <v>5.0192452167539797E-3</v>
      </c>
      <c r="F659">
        <v>-0.22171372856504201</v>
      </c>
      <c r="G659">
        <v>-0.150334945210089</v>
      </c>
      <c r="H659">
        <v>-0.47609233577471699</v>
      </c>
      <c r="I659">
        <v>-0.32575739056462799</v>
      </c>
      <c r="J659">
        <v>-0.22673297378179599</v>
      </c>
      <c r="K659">
        <v>5.0192452167539797E-3</v>
      </c>
      <c r="L659">
        <v>-0.150334945210089</v>
      </c>
      <c r="M659">
        <v>-0.22673297378179599</v>
      </c>
      <c r="N659">
        <v>-7.1378783354952999E-2</v>
      </c>
      <c r="O659">
        <v>-0.481111580991471</v>
      </c>
      <c r="P659">
        <v>-0.32575739056462799</v>
      </c>
      <c r="Q659" t="s">
        <v>1173</v>
      </c>
      <c r="R659" t="s">
        <v>1067</v>
      </c>
      <c r="S659" t="s">
        <v>1067</v>
      </c>
      <c r="T659" t="s">
        <v>1067</v>
      </c>
      <c r="U659" t="s">
        <v>1174</v>
      </c>
      <c r="V659">
        <v>1</v>
      </c>
      <c r="W659" t="s">
        <v>1174</v>
      </c>
      <c r="X659" t="s">
        <v>1175</v>
      </c>
      <c r="Y659">
        <v>1</v>
      </c>
      <c r="Z659">
        <v>-0.20269961388981</v>
      </c>
      <c r="AA659">
        <v>-0.19871714162134199</v>
      </c>
      <c r="AB659">
        <v>-0.39652786183593802</v>
      </c>
      <c r="AC659">
        <v>-0.359451199515884</v>
      </c>
    </row>
    <row r="660" spans="1:29" x14ac:dyDescent="0.2">
      <c r="A660">
        <v>659</v>
      </c>
      <c r="B660" t="s">
        <v>813</v>
      </c>
      <c r="C660" t="s">
        <v>224</v>
      </c>
      <c r="D660" t="s">
        <v>200</v>
      </c>
      <c r="E660">
        <v>0.65363041342353501</v>
      </c>
      <c r="F660">
        <v>0.81341144059391002</v>
      </c>
      <c r="G660">
        <v>0.47121886703811999</v>
      </c>
      <c r="H660">
        <v>0.79164881881989801</v>
      </c>
      <c r="I660">
        <v>0.32042995178177802</v>
      </c>
      <c r="J660">
        <v>0.15978102717037501</v>
      </c>
      <c r="K660">
        <v>0.65363041342353501</v>
      </c>
      <c r="L660">
        <v>0.47121886703811999</v>
      </c>
      <c r="M660">
        <v>0.15978102717037501</v>
      </c>
      <c r="N660">
        <v>0.34219257355579002</v>
      </c>
      <c r="O660">
        <v>0.13801840539636301</v>
      </c>
      <c r="P660">
        <v>0.32042995178177802</v>
      </c>
      <c r="Q660" t="s">
        <v>1068</v>
      </c>
      <c r="R660" t="s">
        <v>1068</v>
      </c>
      <c r="S660" t="s">
        <v>1068</v>
      </c>
      <c r="T660" t="s">
        <v>1068</v>
      </c>
      <c r="U660" t="s">
        <v>944</v>
      </c>
      <c r="V660">
        <v>0</v>
      </c>
      <c r="W660" t="s">
        <v>944</v>
      </c>
      <c r="X660" t="s">
        <v>1175</v>
      </c>
      <c r="Y660">
        <v>1</v>
      </c>
      <c r="Z660">
        <v>-0.20486568212475501</v>
      </c>
      <c r="AA660">
        <v>-0.22742576706352699</v>
      </c>
      <c r="AB660">
        <v>-9.3684994424075504E-2</v>
      </c>
      <c r="AC660">
        <v>-0.24376984201239499</v>
      </c>
    </row>
    <row r="661" spans="1:29" x14ac:dyDescent="0.2">
      <c r="A661">
        <v>660</v>
      </c>
      <c r="B661" t="s">
        <v>814</v>
      </c>
      <c r="C661" t="s">
        <v>224</v>
      </c>
      <c r="D661" t="s">
        <v>148</v>
      </c>
      <c r="E661">
        <v>-0.35945057839640099</v>
      </c>
      <c r="F661">
        <v>-0.68004542673056301</v>
      </c>
      <c r="G661">
        <v>-1.02991997355696E-2</v>
      </c>
      <c r="H661">
        <v>-1</v>
      </c>
      <c r="I661">
        <v>-0.98970080026442997</v>
      </c>
      <c r="J661">
        <v>-0.32059484833416202</v>
      </c>
      <c r="K661">
        <v>-1.02991997355696E-2</v>
      </c>
      <c r="L661">
        <v>-0.35945057839640099</v>
      </c>
      <c r="M661">
        <v>-0.66974622699499298</v>
      </c>
      <c r="N661">
        <v>-0.32059484833416202</v>
      </c>
      <c r="O661">
        <v>-0.98970080026442997</v>
      </c>
      <c r="P661">
        <v>-0.64054942160359896</v>
      </c>
      <c r="Q661" t="s">
        <v>1067</v>
      </c>
      <c r="R661" t="s">
        <v>1067</v>
      </c>
      <c r="S661" t="s">
        <v>1173</v>
      </c>
      <c r="T661" t="s">
        <v>1067</v>
      </c>
      <c r="U661" t="s">
        <v>1174</v>
      </c>
      <c r="V661">
        <v>1</v>
      </c>
      <c r="W661" t="s">
        <v>944</v>
      </c>
      <c r="X661" t="s">
        <v>1175</v>
      </c>
      <c r="Y661">
        <v>1</v>
      </c>
      <c r="Z661">
        <v>-0.56202289407956596</v>
      </c>
      <c r="AA661">
        <v>-0.30448975242492399</v>
      </c>
      <c r="AB661">
        <v>-0.35582428069306299</v>
      </c>
      <c r="AC661">
        <v>-0.27638263374427902</v>
      </c>
    </row>
    <row r="662" spans="1:29" x14ac:dyDescent="0.2">
      <c r="A662">
        <v>661</v>
      </c>
      <c r="B662" t="s">
        <v>815</v>
      </c>
      <c r="C662" t="s">
        <v>224</v>
      </c>
      <c r="D662" t="s">
        <v>150</v>
      </c>
      <c r="E662">
        <v>5.9535524564877903E-3</v>
      </c>
      <c r="F662">
        <v>-0.228063123531832</v>
      </c>
      <c r="G662">
        <v>-0.151321265477913</v>
      </c>
      <c r="H662">
        <v>-0.483366517379684</v>
      </c>
      <c r="I662">
        <v>-0.33204525190177098</v>
      </c>
      <c r="J662">
        <v>-0.23401667598831999</v>
      </c>
      <c r="K662">
        <v>5.9535524564877903E-3</v>
      </c>
      <c r="L662">
        <v>-0.151321265477913</v>
      </c>
      <c r="M662">
        <v>-0.23401667598831999</v>
      </c>
      <c r="N662">
        <v>-7.6741858053919004E-2</v>
      </c>
      <c r="O662">
        <v>-0.48932006983617199</v>
      </c>
      <c r="P662">
        <v>-0.33204525190177098</v>
      </c>
      <c r="Q662" t="s">
        <v>1173</v>
      </c>
      <c r="R662" t="s">
        <v>1067</v>
      </c>
      <c r="S662" t="s">
        <v>1067</v>
      </c>
      <c r="T662" t="s">
        <v>1067</v>
      </c>
      <c r="U662" t="s">
        <v>1174</v>
      </c>
      <c r="V662">
        <v>1</v>
      </c>
      <c r="W662" t="s">
        <v>1174</v>
      </c>
      <c r="X662" t="s">
        <v>1175</v>
      </c>
      <c r="Y662">
        <v>1</v>
      </c>
      <c r="Z662">
        <v>-0.29167314576597703</v>
      </c>
      <c r="AA662">
        <v>-0.235629994289488</v>
      </c>
      <c r="AB662">
        <v>-0.39957544571423498</v>
      </c>
      <c r="AC662">
        <v>-0.36010575018992302</v>
      </c>
    </row>
    <row r="663" spans="1:29" x14ac:dyDescent="0.2">
      <c r="A663">
        <v>662</v>
      </c>
      <c r="B663" t="s">
        <v>816</v>
      </c>
      <c r="C663" t="s">
        <v>224</v>
      </c>
      <c r="D663" t="s">
        <v>204</v>
      </c>
      <c r="E663">
        <v>-0.31046420793099799</v>
      </c>
      <c r="F663">
        <v>-1</v>
      </c>
      <c r="G663">
        <v>-0.16102319924671199</v>
      </c>
      <c r="H663">
        <v>-1</v>
      </c>
      <c r="I663">
        <v>-0.83897680075328795</v>
      </c>
      <c r="J663">
        <v>-0.68953579206900195</v>
      </c>
      <c r="K663">
        <v>-0.16102319924671199</v>
      </c>
      <c r="L663">
        <v>-0.31046420793099799</v>
      </c>
      <c r="M663">
        <v>-0.83897680075328795</v>
      </c>
      <c r="N663">
        <v>-0.68953579206900195</v>
      </c>
      <c r="O663">
        <v>-0.83897680075328795</v>
      </c>
      <c r="P663">
        <v>-0.68953579206900195</v>
      </c>
      <c r="Q663" t="s">
        <v>1067</v>
      </c>
      <c r="R663" t="s">
        <v>1067</v>
      </c>
      <c r="S663" t="s">
        <v>1067</v>
      </c>
      <c r="T663" t="s">
        <v>1067</v>
      </c>
      <c r="U663" t="s">
        <v>1174</v>
      </c>
      <c r="V663">
        <v>1</v>
      </c>
      <c r="W663" t="s">
        <v>944</v>
      </c>
      <c r="X663" t="s">
        <v>1175</v>
      </c>
      <c r="Y663">
        <v>1</v>
      </c>
      <c r="Z663">
        <v>-0.471465386923137</v>
      </c>
      <c r="AA663">
        <v>-0.25299160274278698</v>
      </c>
      <c r="AB663">
        <v>-0.39257733718529497</v>
      </c>
      <c r="AC663">
        <v>-0.278007629429465</v>
      </c>
    </row>
    <row r="664" spans="1:29" x14ac:dyDescent="0.2">
      <c r="A664">
        <v>663</v>
      </c>
      <c r="B664" t="s">
        <v>817</v>
      </c>
      <c r="C664" t="s">
        <v>224</v>
      </c>
      <c r="D664" t="s">
        <v>152</v>
      </c>
      <c r="E664">
        <v>-0.13978162464532401</v>
      </c>
      <c r="F664">
        <v>0.67323750100874102</v>
      </c>
      <c r="G664">
        <v>-1.0342339005275E-2</v>
      </c>
      <c r="H664">
        <v>0.69208623890133103</v>
      </c>
      <c r="I664">
        <v>0.70242857790660596</v>
      </c>
      <c r="J664">
        <v>0.81301912565406498</v>
      </c>
      <c r="K664">
        <v>-1.0342339005275E-2</v>
      </c>
      <c r="L664">
        <v>-0.13978162464532401</v>
      </c>
      <c r="M664">
        <v>0.68357984001401595</v>
      </c>
      <c r="N664">
        <v>0.81301912565406498</v>
      </c>
      <c r="O664">
        <v>0.70242857790660596</v>
      </c>
      <c r="P664">
        <v>0.83186786354665498</v>
      </c>
      <c r="Q664" t="s">
        <v>1067</v>
      </c>
      <c r="R664" t="s">
        <v>1068</v>
      </c>
      <c r="S664" t="s">
        <v>1173</v>
      </c>
      <c r="T664" t="s">
        <v>1068</v>
      </c>
      <c r="U664" t="s">
        <v>944</v>
      </c>
      <c r="V664">
        <v>0</v>
      </c>
      <c r="W664" t="s">
        <v>944</v>
      </c>
      <c r="X664" t="s">
        <v>1175</v>
      </c>
      <c r="Y664">
        <v>1</v>
      </c>
      <c r="Z664">
        <v>0.59772703435697205</v>
      </c>
      <c r="AA664">
        <v>-0.164725286180745</v>
      </c>
      <c r="AB664">
        <v>0.63294385024271305</v>
      </c>
      <c r="AC664">
        <v>-0.14785634390511801</v>
      </c>
    </row>
    <row r="665" spans="1:29" x14ac:dyDescent="0.2">
      <c r="A665">
        <v>664</v>
      </c>
      <c r="B665" t="s">
        <v>818</v>
      </c>
      <c r="C665" t="s">
        <v>224</v>
      </c>
      <c r="D665" t="s">
        <v>207</v>
      </c>
      <c r="E665">
        <v>-0.17611627134751001</v>
      </c>
      <c r="F665">
        <v>-0.85193402314236299</v>
      </c>
      <c r="G665">
        <v>-0.17983622625124701</v>
      </c>
      <c r="H665">
        <v>-1</v>
      </c>
      <c r="I665">
        <v>-0.82016377374875304</v>
      </c>
      <c r="J665">
        <v>-0.67581775179485304</v>
      </c>
      <c r="K665">
        <v>-0.17611627134751001</v>
      </c>
      <c r="L665">
        <v>-0.17983622625124701</v>
      </c>
      <c r="M665">
        <v>-0.67581775179485304</v>
      </c>
      <c r="N665">
        <v>-0.67209779689111604</v>
      </c>
      <c r="O665">
        <v>-0.82388372865249004</v>
      </c>
      <c r="P665">
        <v>-0.82016377374875304</v>
      </c>
      <c r="Q665" t="s">
        <v>1067</v>
      </c>
      <c r="R665" t="s">
        <v>1067</v>
      </c>
      <c r="S665" t="s">
        <v>1067</v>
      </c>
      <c r="T665" t="s">
        <v>1067</v>
      </c>
      <c r="U665" t="s">
        <v>1174</v>
      </c>
      <c r="V665">
        <v>1</v>
      </c>
      <c r="W665" t="s">
        <v>944</v>
      </c>
      <c r="X665" t="s">
        <v>1175</v>
      </c>
      <c r="Y665">
        <v>1</v>
      </c>
      <c r="Z665">
        <v>-0.394386435359317</v>
      </c>
      <c r="AA665">
        <v>-0.237645600124572</v>
      </c>
      <c r="AB665">
        <v>-0.329215746185128</v>
      </c>
      <c r="AC665">
        <v>-0.26870947861455002</v>
      </c>
    </row>
    <row r="666" spans="1:29" x14ac:dyDescent="0.2">
      <c r="A666">
        <v>665</v>
      </c>
      <c r="B666" t="s">
        <v>819</v>
      </c>
      <c r="C666" t="s">
        <v>224</v>
      </c>
      <c r="D666" t="s">
        <v>209</v>
      </c>
      <c r="E666">
        <v>-0.14900190777121999</v>
      </c>
      <c r="F666">
        <v>-1</v>
      </c>
      <c r="G666">
        <v>-0.15949874934716299</v>
      </c>
      <c r="H666">
        <v>-1</v>
      </c>
      <c r="I666">
        <v>-0.84050125065283698</v>
      </c>
      <c r="J666">
        <v>-0.85099809222877998</v>
      </c>
      <c r="K666">
        <v>-0.14900190777121999</v>
      </c>
      <c r="L666">
        <v>-0.15949874934716299</v>
      </c>
      <c r="M666">
        <v>-0.85099809222877998</v>
      </c>
      <c r="N666">
        <v>-0.84050125065283698</v>
      </c>
      <c r="O666">
        <v>-0.85099809222877998</v>
      </c>
      <c r="P666">
        <v>-0.84050125065283698</v>
      </c>
      <c r="Q666" t="s">
        <v>1067</v>
      </c>
      <c r="R666" t="s">
        <v>1067</v>
      </c>
      <c r="S666" t="s">
        <v>1067</v>
      </c>
      <c r="T666" t="s">
        <v>1067</v>
      </c>
      <c r="U666" t="s">
        <v>1174</v>
      </c>
      <c r="V666">
        <v>1</v>
      </c>
      <c r="W666" t="s">
        <v>944</v>
      </c>
      <c r="X666" t="s">
        <v>1175</v>
      </c>
      <c r="Y666">
        <v>1</v>
      </c>
      <c r="Z666">
        <v>-0.41519180639155501</v>
      </c>
      <c r="AA666">
        <v>-0.24568393676504699</v>
      </c>
      <c r="AB666">
        <v>-0.33946657397417501</v>
      </c>
      <c r="AC666">
        <v>-0.27289294665116898</v>
      </c>
    </row>
    <row r="667" spans="1:29" x14ac:dyDescent="0.2">
      <c r="A667">
        <v>666</v>
      </c>
      <c r="B667" t="s">
        <v>820</v>
      </c>
      <c r="C667" t="s">
        <v>224</v>
      </c>
      <c r="D667" t="s">
        <v>154</v>
      </c>
      <c r="E667">
        <v>-0.32406837017906298</v>
      </c>
      <c r="F667">
        <v>-1</v>
      </c>
      <c r="G667">
        <v>-0.161023199302116</v>
      </c>
      <c r="H667">
        <v>-1</v>
      </c>
      <c r="I667">
        <v>-0.83897680069788405</v>
      </c>
      <c r="J667">
        <v>-0.67593162982093702</v>
      </c>
      <c r="K667">
        <v>-0.161023199302116</v>
      </c>
      <c r="L667">
        <v>-0.32406837017906298</v>
      </c>
      <c r="M667">
        <v>-0.83897680069788405</v>
      </c>
      <c r="N667">
        <v>-0.67593162982093702</v>
      </c>
      <c r="O667">
        <v>-0.83897680069788405</v>
      </c>
      <c r="P667">
        <v>-0.67593162982093702</v>
      </c>
      <c r="Q667" t="s">
        <v>1067</v>
      </c>
      <c r="R667" t="s">
        <v>1067</v>
      </c>
      <c r="S667" t="s">
        <v>1067</v>
      </c>
      <c r="T667" t="s">
        <v>1067</v>
      </c>
      <c r="U667" t="s">
        <v>1174</v>
      </c>
      <c r="V667">
        <v>1</v>
      </c>
      <c r="W667" t="s">
        <v>944</v>
      </c>
      <c r="X667" t="s">
        <v>1175</v>
      </c>
      <c r="Y667">
        <v>1</v>
      </c>
      <c r="Z667">
        <v>-0.474311293744547</v>
      </c>
      <c r="AA667">
        <v>-0.25333455450984099</v>
      </c>
      <c r="AB667">
        <v>-0.39528224506957699</v>
      </c>
      <c r="AC667">
        <v>-0.27829544848097398</v>
      </c>
    </row>
    <row r="668" spans="1:29" x14ac:dyDescent="0.2">
      <c r="A668">
        <v>667</v>
      </c>
      <c r="B668" t="s">
        <v>821</v>
      </c>
      <c r="C668" t="s">
        <v>224</v>
      </c>
      <c r="D668" t="s">
        <v>156</v>
      </c>
      <c r="E668">
        <v>-0.15258319451278601</v>
      </c>
      <c r="F668">
        <v>7.6118922964945795E-2</v>
      </c>
      <c r="G668">
        <v>-1.03423390625573E-2</v>
      </c>
      <c r="H668">
        <v>-0.108471405797977</v>
      </c>
      <c r="I668">
        <v>-9.8129066735419698E-2</v>
      </c>
      <c r="J668">
        <v>0.228702117477732</v>
      </c>
      <c r="K668">
        <v>-1.03423390625573E-2</v>
      </c>
      <c r="L668">
        <v>-0.15258319451278601</v>
      </c>
      <c r="M668">
        <v>8.6461262027503094E-2</v>
      </c>
      <c r="N668">
        <v>0.228702117477732</v>
      </c>
      <c r="O668">
        <v>-9.8129066735419698E-2</v>
      </c>
      <c r="P668">
        <v>4.4111788714809003E-2</v>
      </c>
      <c r="Q668" t="s">
        <v>1067</v>
      </c>
      <c r="R668" t="s">
        <v>1173</v>
      </c>
      <c r="S668" t="s">
        <v>1173</v>
      </c>
      <c r="T668" t="s">
        <v>1067</v>
      </c>
      <c r="U668" t="s">
        <v>944</v>
      </c>
      <c r="V668">
        <v>1</v>
      </c>
      <c r="W668" t="s">
        <v>944</v>
      </c>
      <c r="X668" t="s">
        <v>1175</v>
      </c>
      <c r="Y668">
        <v>1</v>
      </c>
      <c r="Z668">
        <v>-0.34329144731442301</v>
      </c>
      <c r="AA668">
        <v>-0.27812462697100698</v>
      </c>
      <c r="AB668">
        <v>-0.11860377599027</v>
      </c>
      <c r="AC668">
        <v>-0.24353779810147799</v>
      </c>
    </row>
    <row r="669" spans="1:29" x14ac:dyDescent="0.2">
      <c r="A669">
        <v>668</v>
      </c>
      <c r="B669" t="s">
        <v>822</v>
      </c>
      <c r="C669" t="s">
        <v>224</v>
      </c>
      <c r="D669" t="s">
        <v>158</v>
      </c>
      <c r="E669">
        <v>-0.40750445801968799</v>
      </c>
      <c r="F669">
        <v>-1</v>
      </c>
      <c r="G669">
        <v>-0.16274165824005399</v>
      </c>
      <c r="H669">
        <v>-1</v>
      </c>
      <c r="I669">
        <v>-0.83725834175994596</v>
      </c>
      <c r="J669">
        <v>-0.59249554198031196</v>
      </c>
      <c r="K669">
        <v>-0.16274165824005399</v>
      </c>
      <c r="L669">
        <v>-0.40750445801968799</v>
      </c>
      <c r="M669">
        <v>-0.83725834175994596</v>
      </c>
      <c r="N669">
        <v>-0.59249554198031196</v>
      </c>
      <c r="O669">
        <v>-0.83725834175994596</v>
      </c>
      <c r="P669">
        <v>-0.59249554198031196</v>
      </c>
      <c r="Q669" t="s">
        <v>1067</v>
      </c>
      <c r="R669" t="s">
        <v>1067</v>
      </c>
      <c r="S669" t="s">
        <v>1067</v>
      </c>
      <c r="T669" t="s">
        <v>1067</v>
      </c>
      <c r="U669" t="s">
        <v>1174</v>
      </c>
      <c r="V669">
        <v>1</v>
      </c>
      <c r="W669" t="s">
        <v>944</v>
      </c>
      <c r="X669" t="s">
        <v>1175</v>
      </c>
      <c r="Y669">
        <v>1</v>
      </c>
      <c r="Z669">
        <v>-0.480431880340427</v>
      </c>
      <c r="AA669">
        <v>-0.25451577127432501</v>
      </c>
      <c r="AB669">
        <v>-0.40174937382784798</v>
      </c>
      <c r="AC669">
        <v>-0.27911066545587498</v>
      </c>
    </row>
    <row r="670" spans="1:29" x14ac:dyDescent="0.2">
      <c r="A670">
        <v>669</v>
      </c>
      <c r="B670" t="s">
        <v>823</v>
      </c>
      <c r="C670" t="s">
        <v>224</v>
      </c>
      <c r="D670" t="s">
        <v>214</v>
      </c>
      <c r="E670">
        <v>-0.40309811449810501</v>
      </c>
      <c r="F670">
        <v>-1</v>
      </c>
      <c r="G670">
        <v>-0.158709599607811</v>
      </c>
      <c r="H670">
        <v>-1</v>
      </c>
      <c r="I670">
        <v>-0.84129040039218905</v>
      </c>
      <c r="J670">
        <v>-0.59690188550189505</v>
      </c>
      <c r="K670">
        <v>-0.158709599607811</v>
      </c>
      <c r="L670">
        <v>-0.40309811449810501</v>
      </c>
      <c r="M670">
        <v>-0.84129040039218905</v>
      </c>
      <c r="N670">
        <v>-0.59690188550189505</v>
      </c>
      <c r="O670">
        <v>-0.84129040039218905</v>
      </c>
      <c r="P670">
        <v>-0.59690188550189505</v>
      </c>
      <c r="Q670" t="s">
        <v>1067</v>
      </c>
      <c r="R670" t="s">
        <v>1067</v>
      </c>
      <c r="S670" t="s">
        <v>1067</v>
      </c>
      <c r="T670" t="s">
        <v>1067</v>
      </c>
      <c r="U670" t="s">
        <v>1174</v>
      </c>
      <c r="V670">
        <v>1</v>
      </c>
      <c r="W670" t="s">
        <v>944</v>
      </c>
      <c r="X670" t="s">
        <v>1175</v>
      </c>
      <c r="Y670">
        <v>1</v>
      </c>
      <c r="Z670">
        <v>-0.48291896736481899</v>
      </c>
      <c r="AA670">
        <v>-0.254542329742384</v>
      </c>
      <c r="AB670">
        <v>-0.40577196799292597</v>
      </c>
      <c r="AC670">
        <v>-0.279722828125261</v>
      </c>
    </row>
    <row r="671" spans="1:29" x14ac:dyDescent="0.2">
      <c r="A671">
        <v>670</v>
      </c>
      <c r="B671" t="s">
        <v>824</v>
      </c>
      <c r="C671" t="s">
        <v>224</v>
      </c>
      <c r="D671" t="s">
        <v>160</v>
      </c>
      <c r="E671">
        <v>-0.15020394455929101</v>
      </c>
      <c r="F671">
        <v>-0.544373209822264</v>
      </c>
      <c r="G671">
        <v>-1.1638154786107901E-2</v>
      </c>
      <c r="H671">
        <v>-0.85227758797539999</v>
      </c>
      <c r="I671">
        <v>-0.84063943318929202</v>
      </c>
      <c r="J671">
        <v>-0.39416926526297302</v>
      </c>
      <c r="K671">
        <v>-1.1638154786107901E-2</v>
      </c>
      <c r="L671">
        <v>-0.15020394455929101</v>
      </c>
      <c r="M671">
        <v>-0.53273505503615604</v>
      </c>
      <c r="N671">
        <v>-0.39416926526297302</v>
      </c>
      <c r="O671">
        <v>-0.84063943318929202</v>
      </c>
      <c r="P671">
        <v>-0.70207364341610901</v>
      </c>
      <c r="Q671" t="s">
        <v>1067</v>
      </c>
      <c r="R671" t="s">
        <v>1067</v>
      </c>
      <c r="S671" t="s">
        <v>1173</v>
      </c>
      <c r="T671" t="s">
        <v>1067</v>
      </c>
      <c r="U671" t="s">
        <v>1174</v>
      </c>
      <c r="V671">
        <v>1</v>
      </c>
      <c r="W671" t="s">
        <v>944</v>
      </c>
      <c r="X671" t="s">
        <v>1175</v>
      </c>
      <c r="Y671">
        <v>1</v>
      </c>
      <c r="Z671">
        <v>-0.38201685426568099</v>
      </c>
      <c r="AA671">
        <v>-0.28257640661793798</v>
      </c>
      <c r="AB671">
        <v>-0.16347671498170499</v>
      </c>
      <c r="AC671">
        <v>-0.24988490268428001</v>
      </c>
    </row>
    <row r="672" spans="1:29" x14ac:dyDescent="0.2">
      <c r="A672">
        <v>671</v>
      </c>
      <c r="B672" t="s">
        <v>825</v>
      </c>
      <c r="C672" t="s">
        <v>224</v>
      </c>
      <c r="D672" t="s">
        <v>162</v>
      </c>
      <c r="E672">
        <v>5.9535524564877903E-3</v>
      </c>
      <c r="F672">
        <v>-0.22432093189348201</v>
      </c>
      <c r="G672">
        <v>-0.16340085261227899</v>
      </c>
      <c r="H672">
        <v>-0.47718634196773502</v>
      </c>
      <c r="I672">
        <v>-0.31378548935545603</v>
      </c>
      <c r="J672">
        <v>-0.23027448434997</v>
      </c>
      <c r="K672">
        <v>5.9535524564877903E-3</v>
      </c>
      <c r="L672">
        <v>-0.16340085261227899</v>
      </c>
      <c r="M672">
        <v>-0.23027448434997</v>
      </c>
      <c r="N672">
        <v>-6.0920079281203E-2</v>
      </c>
      <c r="O672">
        <v>-0.483139894424223</v>
      </c>
      <c r="P672">
        <v>-0.31378548935545603</v>
      </c>
      <c r="Q672" t="s">
        <v>1173</v>
      </c>
      <c r="R672" t="s">
        <v>1067</v>
      </c>
      <c r="S672" t="s">
        <v>1067</v>
      </c>
      <c r="T672" t="s">
        <v>1067</v>
      </c>
      <c r="U672" t="s">
        <v>1174</v>
      </c>
      <c r="V672">
        <v>1</v>
      </c>
      <c r="W672" t="s">
        <v>1174</v>
      </c>
      <c r="X672" t="s">
        <v>1175</v>
      </c>
      <c r="Y672">
        <v>1</v>
      </c>
      <c r="Z672">
        <v>-0.27227494033601202</v>
      </c>
      <c r="AA672">
        <v>-0.22793939777986</v>
      </c>
      <c r="AB672">
        <v>-0.39818287995442198</v>
      </c>
      <c r="AC672">
        <v>-0.35992367558369098</v>
      </c>
    </row>
    <row r="673" spans="1:29" x14ac:dyDescent="0.2">
      <c r="A673">
        <v>672</v>
      </c>
      <c r="B673" t="s">
        <v>826</v>
      </c>
      <c r="C673" t="s">
        <v>224</v>
      </c>
      <c r="D673" t="s">
        <v>218</v>
      </c>
      <c r="E673">
        <v>-0.15198591473308401</v>
      </c>
      <c r="F673">
        <v>-0.203275311068215</v>
      </c>
      <c r="G673">
        <v>-0.16902479704727</v>
      </c>
      <c r="H673">
        <v>-0.53942913577069995</v>
      </c>
      <c r="I673">
        <v>-0.37040433872342998</v>
      </c>
      <c r="J673">
        <v>-5.1289396335131E-2</v>
      </c>
      <c r="K673">
        <v>-0.15198591473308401</v>
      </c>
      <c r="L673">
        <v>-0.16902479704727</v>
      </c>
      <c r="M673">
        <v>-5.1289396335131E-2</v>
      </c>
      <c r="N673">
        <v>-3.4250514020944998E-2</v>
      </c>
      <c r="O673">
        <v>-0.38744322103761603</v>
      </c>
      <c r="P673">
        <v>-0.37040433872342998</v>
      </c>
      <c r="Q673" t="s">
        <v>1067</v>
      </c>
      <c r="R673" t="s">
        <v>1067</v>
      </c>
      <c r="S673" t="s">
        <v>1067</v>
      </c>
      <c r="T673" t="s">
        <v>1067</v>
      </c>
      <c r="U673" t="s">
        <v>1174</v>
      </c>
      <c r="V673">
        <v>1</v>
      </c>
      <c r="W673" t="s">
        <v>944</v>
      </c>
      <c r="X673" t="s">
        <v>1175</v>
      </c>
      <c r="Y673">
        <v>0</v>
      </c>
      <c r="Z673">
        <v>-4.7773776433314402E-2</v>
      </c>
      <c r="AA673">
        <v>-0.189277119233249</v>
      </c>
      <c r="AB673">
        <v>1.1989664166427501E-2</v>
      </c>
      <c r="AC673">
        <v>-0.226380303777347</v>
      </c>
    </row>
    <row r="674" spans="1:29" x14ac:dyDescent="0.2">
      <c r="A674">
        <v>673</v>
      </c>
      <c r="B674" t="s">
        <v>827</v>
      </c>
      <c r="C674" t="s">
        <v>224</v>
      </c>
      <c r="D674" t="s">
        <v>220</v>
      </c>
      <c r="E674">
        <v>5.9535524564877903E-3</v>
      </c>
      <c r="F674">
        <v>-0.227400924162208</v>
      </c>
      <c r="G674">
        <v>-0.174956365000938</v>
      </c>
      <c r="H674">
        <v>-0.47499733629855201</v>
      </c>
      <c r="I674">
        <v>-0.30004097129761398</v>
      </c>
      <c r="J674">
        <v>-0.23335447661869599</v>
      </c>
      <c r="K674">
        <v>5.9535524564877903E-3</v>
      </c>
      <c r="L674">
        <v>-0.174956365000938</v>
      </c>
      <c r="M674">
        <v>-0.23335447661869599</v>
      </c>
      <c r="N674">
        <v>-5.2444559161269999E-2</v>
      </c>
      <c r="O674">
        <v>-0.48095088875504</v>
      </c>
      <c r="P674">
        <v>-0.30004097129761398</v>
      </c>
      <c r="Q674" t="s">
        <v>1173</v>
      </c>
      <c r="R674" t="s">
        <v>1067</v>
      </c>
      <c r="S674" t="s">
        <v>1067</v>
      </c>
      <c r="T674" t="s">
        <v>1067</v>
      </c>
      <c r="U674" t="s">
        <v>1174</v>
      </c>
      <c r="V674">
        <v>1</v>
      </c>
      <c r="W674" t="s">
        <v>1174</v>
      </c>
      <c r="X674" t="s">
        <v>1175</v>
      </c>
      <c r="Y674">
        <v>1</v>
      </c>
      <c r="Z674">
        <v>-0.25887580368277802</v>
      </c>
      <c r="AA674">
        <v>-0.222305034211292</v>
      </c>
      <c r="AB674">
        <v>-0.398543930397185</v>
      </c>
      <c r="AC674">
        <v>-0.35997088205615502</v>
      </c>
    </row>
    <row r="675" spans="1:29" x14ac:dyDescent="0.2">
      <c r="A675">
        <v>674</v>
      </c>
      <c r="B675" t="s">
        <v>1188</v>
      </c>
      <c r="C675" t="s">
        <v>224</v>
      </c>
      <c r="D675" t="s">
        <v>164</v>
      </c>
      <c r="E675">
        <v>0.61159316616579995</v>
      </c>
      <c r="F675">
        <v>1</v>
      </c>
      <c r="G675">
        <v>1</v>
      </c>
      <c r="H675">
        <v>1</v>
      </c>
      <c r="I675">
        <v>0</v>
      </c>
      <c r="J675">
        <v>0.38840683383419999</v>
      </c>
      <c r="K675">
        <v>1</v>
      </c>
      <c r="L675">
        <v>0.61159316616579995</v>
      </c>
      <c r="M675">
        <v>0</v>
      </c>
      <c r="N675">
        <v>0.38840683383419999</v>
      </c>
      <c r="O675">
        <v>0</v>
      </c>
      <c r="P675">
        <v>0.38840683383419999</v>
      </c>
      <c r="Q675" t="s">
        <v>1068</v>
      </c>
      <c r="R675" t="s">
        <v>1068</v>
      </c>
      <c r="S675" t="s">
        <v>1068</v>
      </c>
      <c r="T675" t="s">
        <v>1068</v>
      </c>
      <c r="U675" t="s">
        <v>944</v>
      </c>
      <c r="V675">
        <v>0</v>
      </c>
      <c r="W675" t="s">
        <v>944</v>
      </c>
      <c r="X675" t="s">
        <v>1175</v>
      </c>
      <c r="Y675">
        <v>1</v>
      </c>
      <c r="Z675">
        <v>-0.15219073570012101</v>
      </c>
      <c r="AA675">
        <v>-0.24366486685934799</v>
      </c>
      <c r="AB675">
        <v>3.6502475380458498E-2</v>
      </c>
      <c r="AC675">
        <v>-0.22672717617492899</v>
      </c>
    </row>
    <row r="676" spans="1:29" x14ac:dyDescent="0.2">
      <c r="A676">
        <v>675</v>
      </c>
      <c r="B676" t="s">
        <v>828</v>
      </c>
      <c r="C676" t="s">
        <v>224</v>
      </c>
      <c r="D676" t="s">
        <v>166</v>
      </c>
      <c r="E676">
        <v>5.9535524564877903E-3</v>
      </c>
      <c r="F676">
        <v>-0.116292654551665</v>
      </c>
      <c r="G676">
        <v>-1.0299199459080199E-2</v>
      </c>
      <c r="H676">
        <v>-0.31135257709812397</v>
      </c>
      <c r="I676">
        <v>-0.301053377639044</v>
      </c>
      <c r="J676">
        <v>-0.122246207008153</v>
      </c>
      <c r="K676">
        <v>5.9535524564877903E-3</v>
      </c>
      <c r="L676">
        <v>-1.0299199459080199E-2</v>
      </c>
      <c r="M676">
        <v>-0.122246207008153</v>
      </c>
      <c r="N676">
        <v>-0.105993455092585</v>
      </c>
      <c r="O676">
        <v>-0.31730612955461202</v>
      </c>
      <c r="P676">
        <v>-0.301053377639044</v>
      </c>
      <c r="Q676" t="s">
        <v>1173</v>
      </c>
      <c r="R676" t="s">
        <v>1067</v>
      </c>
      <c r="S676" t="s">
        <v>1173</v>
      </c>
      <c r="T676" t="s">
        <v>1067</v>
      </c>
      <c r="U676" t="s">
        <v>1174</v>
      </c>
      <c r="V676">
        <v>1</v>
      </c>
      <c r="W676" t="s">
        <v>1174</v>
      </c>
      <c r="X676" t="s">
        <v>1175</v>
      </c>
      <c r="Y676">
        <v>1</v>
      </c>
      <c r="Z676">
        <v>-0.18454089305245699</v>
      </c>
      <c r="AA676">
        <v>-0.25900051824895698</v>
      </c>
      <c r="AB676">
        <v>-0.167944810423235</v>
      </c>
      <c r="AC676">
        <v>-0.32982060464853902</v>
      </c>
    </row>
    <row r="677" spans="1:29" x14ac:dyDescent="0.2">
      <c r="A677">
        <v>676</v>
      </c>
      <c r="B677" t="s">
        <v>829</v>
      </c>
      <c r="C677" t="s">
        <v>224</v>
      </c>
      <c r="D677" t="s">
        <v>226</v>
      </c>
      <c r="E677">
        <v>-0.337834168634985</v>
      </c>
      <c r="F677">
        <v>-1</v>
      </c>
      <c r="G677">
        <v>-0.15835773002001599</v>
      </c>
      <c r="H677">
        <v>-1</v>
      </c>
      <c r="I677">
        <v>-0.84164226997998404</v>
      </c>
      <c r="J677">
        <v>-0.66216583136501495</v>
      </c>
      <c r="K677">
        <v>-0.15835773002001599</v>
      </c>
      <c r="L677">
        <v>-0.337834168634985</v>
      </c>
      <c r="M677">
        <v>-0.84164226997998404</v>
      </c>
      <c r="N677">
        <v>-0.66216583136501495</v>
      </c>
      <c r="O677">
        <v>-0.84164226997998404</v>
      </c>
      <c r="P677">
        <v>-0.66216583136501495</v>
      </c>
      <c r="Q677" t="s">
        <v>1067</v>
      </c>
      <c r="R677" t="s">
        <v>1067</v>
      </c>
      <c r="S677" t="s">
        <v>1067</v>
      </c>
      <c r="T677" t="s">
        <v>1067</v>
      </c>
      <c r="U677" t="s">
        <v>1174</v>
      </c>
      <c r="V677">
        <v>1</v>
      </c>
      <c r="W677" t="s">
        <v>944</v>
      </c>
      <c r="X677" t="s">
        <v>1175</v>
      </c>
      <c r="Y677">
        <v>1</v>
      </c>
      <c r="Z677">
        <v>-0.46162684197774201</v>
      </c>
      <c r="AA677">
        <v>-0.25409997238936399</v>
      </c>
      <c r="AB677">
        <v>-0.38552588622745398</v>
      </c>
      <c r="AC677">
        <v>-0.28153311670790698</v>
      </c>
    </row>
    <row r="678" spans="1:29" x14ac:dyDescent="0.2">
      <c r="A678">
        <v>677</v>
      </c>
      <c r="B678" t="s">
        <v>830</v>
      </c>
      <c r="C678" t="s">
        <v>224</v>
      </c>
      <c r="D678" t="s">
        <v>168</v>
      </c>
      <c r="E678">
        <v>0.36042203203775902</v>
      </c>
      <c r="F678">
        <v>-0.57137152269867997</v>
      </c>
      <c r="G678">
        <v>-0.12716695087836899</v>
      </c>
      <c r="H678">
        <v>-0.83500348589503504</v>
      </c>
      <c r="I678">
        <v>-0.70783653501666599</v>
      </c>
      <c r="J678">
        <v>-0.93179355473643899</v>
      </c>
      <c r="K678">
        <v>0.36042203203775902</v>
      </c>
      <c r="L678">
        <v>-0.12716695087836899</v>
      </c>
      <c r="M678">
        <v>-0.93179355473643899</v>
      </c>
      <c r="N678">
        <v>-0.44420457182031098</v>
      </c>
      <c r="O678">
        <v>-1.1954255179327899</v>
      </c>
      <c r="P678">
        <v>-0.70783653501666599</v>
      </c>
      <c r="Q678" t="s">
        <v>1068</v>
      </c>
      <c r="R678" t="s">
        <v>1067</v>
      </c>
      <c r="S678" t="s">
        <v>1067</v>
      </c>
      <c r="T678" t="s">
        <v>1067</v>
      </c>
      <c r="U678" t="s">
        <v>1174</v>
      </c>
      <c r="V678">
        <v>1</v>
      </c>
      <c r="W678" t="s">
        <v>1174</v>
      </c>
      <c r="X678" t="s">
        <v>1175</v>
      </c>
      <c r="Y678">
        <v>1</v>
      </c>
      <c r="Z678">
        <v>-0.48113143394001601</v>
      </c>
      <c r="AA678">
        <v>-0.26078055122133498</v>
      </c>
      <c r="AB678">
        <v>-0.39643646949274303</v>
      </c>
      <c r="AC678">
        <v>-0.28447822704264802</v>
      </c>
    </row>
    <row r="679" spans="1:29" x14ac:dyDescent="0.2">
      <c r="A679">
        <v>678</v>
      </c>
      <c r="B679" t="s">
        <v>831</v>
      </c>
      <c r="C679" t="s">
        <v>832</v>
      </c>
      <c r="D679" t="s">
        <v>129</v>
      </c>
      <c r="E679">
        <v>-0.36957363942337801</v>
      </c>
      <c r="F679">
        <v>-0.145328463511918</v>
      </c>
      <c r="G679">
        <v>-6.7367051085927998E-2</v>
      </c>
      <c r="H679">
        <v>-0.26624961288018001</v>
      </c>
      <c r="I679">
        <v>-0.19888256179425201</v>
      </c>
      <c r="J679">
        <v>0.22424517591146001</v>
      </c>
      <c r="K679">
        <v>-6.7367051085927998E-2</v>
      </c>
      <c r="L679">
        <v>-0.36957363942337801</v>
      </c>
      <c r="M679">
        <v>-7.7961412425990001E-2</v>
      </c>
      <c r="N679">
        <v>0.22424517591146001</v>
      </c>
      <c r="O679">
        <v>-0.19888256179425201</v>
      </c>
      <c r="P679">
        <v>0.103324026543198</v>
      </c>
      <c r="Q679" t="s">
        <v>1067</v>
      </c>
      <c r="R679" t="s">
        <v>1067</v>
      </c>
      <c r="S679" t="s">
        <v>1173</v>
      </c>
      <c r="T679" t="s">
        <v>1067</v>
      </c>
      <c r="U679" t="s">
        <v>944</v>
      </c>
      <c r="V679">
        <v>1</v>
      </c>
      <c r="W679" t="s">
        <v>944</v>
      </c>
      <c r="X679" t="s">
        <v>1175</v>
      </c>
      <c r="Y679">
        <v>1</v>
      </c>
      <c r="Z679">
        <v>-0.18502504386657101</v>
      </c>
      <c r="AA679">
        <v>-0.23900130072772599</v>
      </c>
      <c r="AB679">
        <v>-2.2133225355548399E-2</v>
      </c>
      <c r="AC679">
        <v>-0.23158806030717499</v>
      </c>
    </row>
    <row r="680" spans="1:29" x14ac:dyDescent="0.2">
      <c r="A680">
        <v>679</v>
      </c>
      <c r="B680" t="s">
        <v>833</v>
      </c>
      <c r="C680" t="s">
        <v>832</v>
      </c>
      <c r="D680" t="s">
        <v>130</v>
      </c>
      <c r="E680">
        <v>-1.2878981169476399E-2</v>
      </c>
      <c r="F680">
        <v>0.65239163407077605</v>
      </c>
      <c r="G680">
        <v>-0.166501949154197</v>
      </c>
      <c r="H680">
        <v>0.61041257376808</v>
      </c>
      <c r="I680">
        <v>0.77691452292227703</v>
      </c>
      <c r="J680">
        <v>0.66527061524025199</v>
      </c>
      <c r="K680">
        <v>-1.2878981169476399E-2</v>
      </c>
      <c r="L680">
        <v>-0.166501949154197</v>
      </c>
      <c r="M680">
        <v>0.66527061524025199</v>
      </c>
      <c r="N680">
        <v>0.81889358322497297</v>
      </c>
      <c r="O680">
        <v>0.62329155493755595</v>
      </c>
      <c r="P680">
        <v>0.77691452292227703</v>
      </c>
      <c r="Q680" t="s">
        <v>1173</v>
      </c>
      <c r="R680" t="s">
        <v>1068</v>
      </c>
      <c r="S680" t="s">
        <v>1067</v>
      </c>
      <c r="T680" t="s">
        <v>1068</v>
      </c>
      <c r="U680" t="s">
        <v>944</v>
      </c>
      <c r="V680">
        <v>0</v>
      </c>
      <c r="W680" t="s">
        <v>944</v>
      </c>
      <c r="X680" t="s">
        <v>1175</v>
      </c>
      <c r="Y680">
        <v>1</v>
      </c>
      <c r="Z680">
        <v>3.5973011356306497E-2</v>
      </c>
      <c r="AA680">
        <v>-0.175204002102475</v>
      </c>
      <c r="AB680">
        <v>-0.12091939671514</v>
      </c>
      <c r="AC680">
        <v>-0.32226691927061801</v>
      </c>
    </row>
    <row r="681" spans="1:29" x14ac:dyDescent="0.2">
      <c r="A681">
        <v>680</v>
      </c>
      <c r="B681" t="s">
        <v>834</v>
      </c>
      <c r="C681" t="s">
        <v>832</v>
      </c>
      <c r="D681" t="s">
        <v>132</v>
      </c>
      <c r="E681">
        <v>-0.14042192658092101</v>
      </c>
      <c r="F681">
        <v>-0.689980821212827</v>
      </c>
      <c r="G681">
        <v>-7.9700606980105407E-2</v>
      </c>
      <c r="H681">
        <v>-1</v>
      </c>
      <c r="I681">
        <v>-0.92029939301989505</v>
      </c>
      <c r="J681">
        <v>-0.54955889463190599</v>
      </c>
      <c r="K681">
        <v>-7.9700606980105407E-2</v>
      </c>
      <c r="L681">
        <v>-0.14042192658092101</v>
      </c>
      <c r="M681">
        <v>-0.61028021423272205</v>
      </c>
      <c r="N681">
        <v>-0.54955889463190599</v>
      </c>
      <c r="O681">
        <v>-0.92029939301989505</v>
      </c>
      <c r="P681">
        <v>-0.85957807341907899</v>
      </c>
      <c r="Q681" t="s">
        <v>1067</v>
      </c>
      <c r="R681" t="s">
        <v>1067</v>
      </c>
      <c r="S681" t="s">
        <v>1173</v>
      </c>
      <c r="T681" t="s">
        <v>1067</v>
      </c>
      <c r="U681" t="s">
        <v>1174</v>
      </c>
      <c r="V681">
        <v>1</v>
      </c>
      <c r="W681" t="s">
        <v>944</v>
      </c>
      <c r="X681" t="s">
        <v>1175</v>
      </c>
      <c r="Y681">
        <v>1</v>
      </c>
      <c r="Z681">
        <v>-0.23377591479447701</v>
      </c>
      <c r="AA681">
        <v>-0.244947523308743</v>
      </c>
      <c r="AB681">
        <v>-7.9422900870137494E-2</v>
      </c>
      <c r="AC681">
        <v>-0.24099126328730999</v>
      </c>
    </row>
    <row r="682" spans="1:29" x14ac:dyDescent="0.2">
      <c r="A682">
        <v>681</v>
      </c>
      <c r="B682" t="s">
        <v>835</v>
      </c>
      <c r="C682" t="s">
        <v>832</v>
      </c>
      <c r="D682" t="s">
        <v>175</v>
      </c>
      <c r="E682">
        <v>-0.174590291246457</v>
      </c>
      <c r="F682">
        <v>3.2086039362154997E-2</v>
      </c>
      <c r="G682">
        <v>-9.3484699562050702E-2</v>
      </c>
      <c r="H682">
        <v>-8.7706938903487006E-2</v>
      </c>
      <c r="I682">
        <v>5.7777606585636999E-3</v>
      </c>
      <c r="J682">
        <v>0.20667633060861201</v>
      </c>
      <c r="K682">
        <v>-9.3484699562050702E-2</v>
      </c>
      <c r="L682">
        <v>-0.174590291246457</v>
      </c>
      <c r="M682">
        <v>0.125570738924206</v>
      </c>
      <c r="N682">
        <v>0.20667633060861201</v>
      </c>
      <c r="O682">
        <v>5.7777606585636999E-3</v>
      </c>
      <c r="P682">
        <v>8.6883352342969997E-2</v>
      </c>
      <c r="Q682" t="s">
        <v>1067</v>
      </c>
      <c r="R682" t="s">
        <v>1173</v>
      </c>
      <c r="S682" t="s">
        <v>1173</v>
      </c>
      <c r="T682" t="s">
        <v>1173</v>
      </c>
      <c r="U682" t="s">
        <v>944</v>
      </c>
      <c r="V682">
        <v>0</v>
      </c>
      <c r="W682" t="s">
        <v>944</v>
      </c>
      <c r="X682" t="s">
        <v>1175</v>
      </c>
      <c r="Y682">
        <v>1</v>
      </c>
      <c r="Z682">
        <v>-0.27704922446180902</v>
      </c>
      <c r="AA682">
        <v>-0.24452253702575399</v>
      </c>
      <c r="AB682">
        <v>-0.13281434484849799</v>
      </c>
      <c r="AC682">
        <v>-0.24343506701006001</v>
      </c>
    </row>
    <row r="683" spans="1:29" x14ac:dyDescent="0.2">
      <c r="A683">
        <v>682</v>
      </c>
      <c r="B683" t="s">
        <v>836</v>
      </c>
      <c r="C683" t="s">
        <v>832</v>
      </c>
      <c r="D683" t="s">
        <v>134</v>
      </c>
      <c r="E683">
        <v>5.3434082813328898E-2</v>
      </c>
      <c r="F683">
        <v>0.47376297246625099</v>
      </c>
      <c r="G683">
        <v>3.1707558722358798E-3</v>
      </c>
      <c r="H683">
        <v>0.21641683211679699</v>
      </c>
      <c r="I683">
        <v>0.21324607624456099</v>
      </c>
      <c r="J683">
        <v>0.42032888965292198</v>
      </c>
      <c r="K683">
        <v>5.3434082813328898E-2</v>
      </c>
      <c r="L683">
        <v>3.1707558722358798E-3</v>
      </c>
      <c r="M683">
        <v>0.42032888965292198</v>
      </c>
      <c r="N683">
        <v>0.47059221659401501</v>
      </c>
      <c r="O683">
        <v>0.16298274930346801</v>
      </c>
      <c r="P683">
        <v>0.21324607624456099</v>
      </c>
      <c r="Q683" t="s">
        <v>1173</v>
      </c>
      <c r="R683" t="s">
        <v>1068</v>
      </c>
      <c r="S683" t="s">
        <v>1173</v>
      </c>
      <c r="T683" t="s">
        <v>1068</v>
      </c>
      <c r="U683" t="s">
        <v>944</v>
      </c>
      <c r="V683">
        <v>0</v>
      </c>
      <c r="W683" t="s">
        <v>944</v>
      </c>
      <c r="X683" t="s">
        <v>1175</v>
      </c>
      <c r="Y683">
        <v>1</v>
      </c>
      <c r="Z683">
        <v>-0.10063036256670201</v>
      </c>
      <c r="AA683">
        <v>-0.26464621931443799</v>
      </c>
      <c r="AB683">
        <v>1.71841507233356E-3</v>
      </c>
      <c r="AC683">
        <v>-0.29818963807598298</v>
      </c>
    </row>
    <row r="684" spans="1:29" x14ac:dyDescent="0.2">
      <c r="A684">
        <v>683</v>
      </c>
      <c r="B684" t="s">
        <v>837</v>
      </c>
      <c r="C684" t="s">
        <v>832</v>
      </c>
      <c r="D684" t="s">
        <v>136</v>
      </c>
      <c r="E684">
        <v>-0.158502892860932</v>
      </c>
      <c r="F684">
        <v>0.69231778721572701</v>
      </c>
      <c r="G684">
        <v>3.5667761532685799E-3</v>
      </c>
      <c r="H684">
        <v>0.62366309067638603</v>
      </c>
      <c r="I684">
        <v>0.62009631452311698</v>
      </c>
      <c r="J684">
        <v>0.85082068007665901</v>
      </c>
      <c r="K684">
        <v>3.5667761532685799E-3</v>
      </c>
      <c r="L684">
        <v>-0.158502892860932</v>
      </c>
      <c r="M684">
        <v>0.68875101106245795</v>
      </c>
      <c r="N684">
        <v>0.85082068007665901</v>
      </c>
      <c r="O684">
        <v>0.62009631452311698</v>
      </c>
      <c r="P684">
        <v>0.78216598353731803</v>
      </c>
      <c r="Q684" t="s">
        <v>1067</v>
      </c>
      <c r="R684" t="s">
        <v>1068</v>
      </c>
      <c r="S684" t="s">
        <v>1173</v>
      </c>
      <c r="T684" t="s">
        <v>1068</v>
      </c>
      <c r="U684" t="s">
        <v>944</v>
      </c>
      <c r="V684">
        <v>0</v>
      </c>
      <c r="W684" t="s">
        <v>944</v>
      </c>
      <c r="X684" t="s">
        <v>1175</v>
      </c>
      <c r="Y684">
        <v>1</v>
      </c>
      <c r="Z684">
        <v>-0.17932124169361699</v>
      </c>
      <c r="AA684">
        <v>-0.274129023311389</v>
      </c>
      <c r="AB684">
        <v>0.113520032980999</v>
      </c>
      <c r="AC684">
        <v>-0.21188421809624</v>
      </c>
    </row>
    <row r="685" spans="1:29" x14ac:dyDescent="0.2">
      <c r="A685">
        <v>684</v>
      </c>
      <c r="B685" t="s">
        <v>838</v>
      </c>
      <c r="C685" t="s">
        <v>832</v>
      </c>
      <c r="D685" t="s">
        <v>138</v>
      </c>
      <c r="E685">
        <v>-0.113466497430422</v>
      </c>
      <c r="F685">
        <v>1.3531935914876799E-2</v>
      </c>
      <c r="G685">
        <v>-9.7854675653341702E-2</v>
      </c>
      <c r="H685">
        <v>-5.0166057708448501E-2</v>
      </c>
      <c r="I685">
        <v>4.7688617944893201E-2</v>
      </c>
      <c r="J685">
        <v>0.12699843334529901</v>
      </c>
      <c r="K685">
        <v>-9.7854675653341702E-2</v>
      </c>
      <c r="L685">
        <v>-0.113466497430422</v>
      </c>
      <c r="M685">
        <v>0.111386611568218</v>
      </c>
      <c r="N685">
        <v>0.12699843334529901</v>
      </c>
      <c r="O685">
        <v>4.7688617944893201E-2</v>
      </c>
      <c r="P685">
        <v>6.3300439721973495E-2</v>
      </c>
      <c r="Q685" t="s">
        <v>1067</v>
      </c>
      <c r="R685" t="s">
        <v>1173</v>
      </c>
      <c r="S685" t="s">
        <v>1173</v>
      </c>
      <c r="T685" t="s">
        <v>1173</v>
      </c>
      <c r="U685" t="s">
        <v>944</v>
      </c>
      <c r="V685">
        <v>0</v>
      </c>
      <c r="W685" t="s">
        <v>944</v>
      </c>
      <c r="X685" t="s">
        <v>1175</v>
      </c>
      <c r="Y685">
        <v>1</v>
      </c>
      <c r="Z685">
        <v>0.67121156601068599</v>
      </c>
      <c r="AA685">
        <v>-0.113605682418447</v>
      </c>
      <c r="AB685">
        <v>0.76579952415283103</v>
      </c>
      <c r="AC685">
        <v>-0.13277768735482201</v>
      </c>
    </row>
    <row r="686" spans="1:29" x14ac:dyDescent="0.2">
      <c r="A686">
        <v>685</v>
      </c>
      <c r="B686" t="s">
        <v>839</v>
      </c>
      <c r="C686" t="s">
        <v>832</v>
      </c>
      <c r="D686" t="s">
        <v>182</v>
      </c>
      <c r="E686">
        <v>-0.12913768646040899</v>
      </c>
      <c r="F686">
        <v>1.28565790938821E-2</v>
      </c>
      <c r="G686">
        <v>-8.1960037225126597E-2</v>
      </c>
      <c r="H686">
        <v>-6.8178817186673707E-2</v>
      </c>
      <c r="I686">
        <v>1.3781220038452901E-2</v>
      </c>
      <c r="J686">
        <v>0.14199426555429101</v>
      </c>
      <c r="K686">
        <v>-8.1960037225126597E-2</v>
      </c>
      <c r="L686">
        <v>-0.12913768646040899</v>
      </c>
      <c r="M686">
        <v>9.4816616319008701E-2</v>
      </c>
      <c r="N686">
        <v>0.14199426555429101</v>
      </c>
      <c r="O686">
        <v>1.3781220038452901E-2</v>
      </c>
      <c r="P686">
        <v>6.0958869273735297E-2</v>
      </c>
      <c r="Q686" t="s">
        <v>1067</v>
      </c>
      <c r="R686" t="s">
        <v>1173</v>
      </c>
      <c r="S686" t="s">
        <v>1173</v>
      </c>
      <c r="T686" t="s">
        <v>1173</v>
      </c>
      <c r="U686" t="s">
        <v>944</v>
      </c>
      <c r="V686">
        <v>0</v>
      </c>
      <c r="W686" t="s">
        <v>944</v>
      </c>
      <c r="X686" t="s">
        <v>1175</v>
      </c>
      <c r="Y686">
        <v>1</v>
      </c>
      <c r="Z686">
        <v>0.63916490372052503</v>
      </c>
      <c r="AA686">
        <v>-0.13889715649944601</v>
      </c>
      <c r="AB686">
        <v>0.75342287705724398</v>
      </c>
      <c r="AC686">
        <v>-0.13233324551766101</v>
      </c>
    </row>
    <row r="687" spans="1:29" x14ac:dyDescent="0.2">
      <c r="A687">
        <v>686</v>
      </c>
      <c r="B687" t="s">
        <v>840</v>
      </c>
      <c r="C687" t="s">
        <v>832</v>
      </c>
      <c r="D687" t="s">
        <v>184</v>
      </c>
      <c r="E687">
        <v>-0.16784071185391999</v>
      </c>
      <c r="F687">
        <v>0.58995673657578795</v>
      </c>
      <c r="G687">
        <v>-0.146698261464482</v>
      </c>
      <c r="H687">
        <v>0.53384945677261197</v>
      </c>
      <c r="I687">
        <v>0.68054771823709403</v>
      </c>
      <c r="J687">
        <v>0.75779744842970798</v>
      </c>
      <c r="K687">
        <v>-0.146698261464482</v>
      </c>
      <c r="L687">
        <v>-0.16784071185391999</v>
      </c>
      <c r="M687">
        <v>0.73665499804027001</v>
      </c>
      <c r="N687">
        <v>0.75779744842970798</v>
      </c>
      <c r="O687">
        <v>0.68054771823709403</v>
      </c>
      <c r="P687">
        <v>0.701690168626532</v>
      </c>
      <c r="Q687" t="s">
        <v>1067</v>
      </c>
      <c r="R687" t="s">
        <v>1068</v>
      </c>
      <c r="S687" t="s">
        <v>1067</v>
      </c>
      <c r="T687" t="s">
        <v>1068</v>
      </c>
      <c r="U687" t="s">
        <v>944</v>
      </c>
      <c r="V687">
        <v>0</v>
      </c>
      <c r="W687" t="s">
        <v>944</v>
      </c>
      <c r="X687" t="s">
        <v>1175</v>
      </c>
      <c r="Y687">
        <v>1</v>
      </c>
      <c r="Z687">
        <v>-0.11052299179646</v>
      </c>
      <c r="AA687">
        <v>-0.20906974156923699</v>
      </c>
      <c r="AB687">
        <v>-1.0730262881845001E-2</v>
      </c>
      <c r="AC687">
        <v>-0.22842107236207701</v>
      </c>
    </row>
    <row r="688" spans="1:29" x14ac:dyDescent="0.2">
      <c r="A688">
        <v>687</v>
      </c>
      <c r="B688" t="s">
        <v>841</v>
      </c>
      <c r="C688" t="s">
        <v>832</v>
      </c>
      <c r="D688" t="s">
        <v>186</v>
      </c>
      <c r="E688">
        <v>-0.17350529699899001</v>
      </c>
      <c r="F688">
        <v>0.33546613500524303</v>
      </c>
      <c r="G688">
        <v>-0.13650192417770199</v>
      </c>
      <c r="H688">
        <v>0.24664816371821599</v>
      </c>
      <c r="I688">
        <v>0.38315008789591798</v>
      </c>
      <c r="J688">
        <v>0.508971432004233</v>
      </c>
      <c r="K688">
        <v>-0.13650192417770199</v>
      </c>
      <c r="L688">
        <v>-0.17350529699899001</v>
      </c>
      <c r="M688">
        <v>0.47196805918294499</v>
      </c>
      <c r="N688">
        <v>0.508971432004233</v>
      </c>
      <c r="O688">
        <v>0.38315008789591798</v>
      </c>
      <c r="P688">
        <v>0.420153460717206</v>
      </c>
      <c r="Q688" t="s">
        <v>1067</v>
      </c>
      <c r="R688" t="s">
        <v>1068</v>
      </c>
      <c r="S688" t="s">
        <v>1067</v>
      </c>
      <c r="T688" t="s">
        <v>1068</v>
      </c>
      <c r="U688" t="s">
        <v>944</v>
      </c>
      <c r="V688">
        <v>0</v>
      </c>
      <c r="W688" t="s">
        <v>944</v>
      </c>
      <c r="X688" t="s">
        <v>1175</v>
      </c>
      <c r="Y688">
        <v>1</v>
      </c>
      <c r="Z688">
        <v>-0.20117477213812601</v>
      </c>
      <c r="AA688">
        <v>-0.223490067428773</v>
      </c>
      <c r="AB688">
        <v>-9.2783016642138394E-2</v>
      </c>
      <c r="AC688">
        <v>-0.23805300965147999</v>
      </c>
    </row>
    <row r="689" spans="1:29" x14ac:dyDescent="0.2">
      <c r="A689">
        <v>688</v>
      </c>
      <c r="B689" t="s">
        <v>842</v>
      </c>
      <c r="C689" t="s">
        <v>832</v>
      </c>
      <c r="D689" t="s">
        <v>188</v>
      </c>
      <c r="E689">
        <v>-0.138637676645645</v>
      </c>
      <c r="F689">
        <v>3.8821454778528601E-2</v>
      </c>
      <c r="G689">
        <v>-4.6891114294725401E-2</v>
      </c>
      <c r="H689">
        <v>-5.5400943194958002E-2</v>
      </c>
      <c r="I689">
        <v>-8.5098289002326008E-3</v>
      </c>
      <c r="J689">
        <v>0.17745913142417399</v>
      </c>
      <c r="K689">
        <v>-4.6891114294725401E-2</v>
      </c>
      <c r="L689">
        <v>-0.138637676645645</v>
      </c>
      <c r="M689">
        <v>8.5712569073254002E-2</v>
      </c>
      <c r="N689">
        <v>0.17745913142417399</v>
      </c>
      <c r="O689">
        <v>-8.5098289002326008E-3</v>
      </c>
      <c r="P689">
        <v>8.3236733450686995E-2</v>
      </c>
      <c r="Q689" t="s">
        <v>1067</v>
      </c>
      <c r="R689" t="s">
        <v>1173</v>
      </c>
      <c r="S689" t="s">
        <v>1173</v>
      </c>
      <c r="T689" t="s">
        <v>1173</v>
      </c>
      <c r="U689" t="s">
        <v>944</v>
      </c>
      <c r="V689">
        <v>1</v>
      </c>
      <c r="W689" t="s">
        <v>944</v>
      </c>
      <c r="X689" t="s">
        <v>1175</v>
      </c>
      <c r="Y689">
        <v>1</v>
      </c>
      <c r="Z689">
        <v>0.677058948480041</v>
      </c>
      <c r="AA689">
        <v>-0.12746751384243199</v>
      </c>
      <c r="AB689">
        <v>0.78845289214258896</v>
      </c>
      <c r="AC689">
        <v>-0.127678823829175</v>
      </c>
    </row>
    <row r="690" spans="1:29" x14ac:dyDescent="0.2">
      <c r="A690">
        <v>689</v>
      </c>
      <c r="B690" t="s">
        <v>843</v>
      </c>
      <c r="C690" t="s">
        <v>832</v>
      </c>
      <c r="D690" t="s">
        <v>140</v>
      </c>
      <c r="E690">
        <v>-0.157215606268028</v>
      </c>
      <c r="F690">
        <v>0.201516385365475</v>
      </c>
      <c r="G690">
        <v>-0.16391552973661999</v>
      </c>
      <c r="H690">
        <v>1.2787021182793601E-2</v>
      </c>
      <c r="I690">
        <v>0.176702550919414</v>
      </c>
      <c r="J690">
        <v>0.358731991633503</v>
      </c>
      <c r="K690">
        <v>-0.157215606268028</v>
      </c>
      <c r="L690">
        <v>-0.16391552973661999</v>
      </c>
      <c r="M690">
        <v>0.358731991633503</v>
      </c>
      <c r="N690">
        <v>0.365431915102095</v>
      </c>
      <c r="O690">
        <v>0.17000262745082201</v>
      </c>
      <c r="P690">
        <v>0.176702550919414</v>
      </c>
      <c r="Q690" t="s">
        <v>1067</v>
      </c>
      <c r="R690" t="s">
        <v>1068</v>
      </c>
      <c r="S690" t="s">
        <v>1067</v>
      </c>
      <c r="T690" t="s">
        <v>1173</v>
      </c>
      <c r="U690" t="s">
        <v>944</v>
      </c>
      <c r="V690">
        <v>0</v>
      </c>
      <c r="W690" t="s">
        <v>944</v>
      </c>
      <c r="X690" t="s">
        <v>1175</v>
      </c>
      <c r="Y690">
        <v>1</v>
      </c>
      <c r="Z690">
        <v>-0.16675716901575899</v>
      </c>
      <c r="AA690">
        <v>-0.209397311759837</v>
      </c>
      <c r="AB690">
        <v>-9.3815457386603504E-2</v>
      </c>
      <c r="AC690">
        <v>-0.239308403334409</v>
      </c>
    </row>
    <row r="691" spans="1:29" x14ac:dyDescent="0.2">
      <c r="A691">
        <v>690</v>
      </c>
      <c r="B691" t="s">
        <v>844</v>
      </c>
      <c r="C691" t="s">
        <v>832</v>
      </c>
      <c r="D691" t="s">
        <v>191</v>
      </c>
      <c r="E691">
        <v>-0.15382651826854901</v>
      </c>
      <c r="F691">
        <v>4.5527874657284598E-2</v>
      </c>
      <c r="G691">
        <v>-0.19035112448967501</v>
      </c>
      <c r="H691">
        <v>-0.18184508267133101</v>
      </c>
      <c r="I691">
        <v>8.5060418183440008E-3</v>
      </c>
      <c r="J691">
        <v>0.19935439292583401</v>
      </c>
      <c r="K691">
        <v>-0.15382651826854901</v>
      </c>
      <c r="L691">
        <v>-0.19035112448967501</v>
      </c>
      <c r="M691">
        <v>0.19935439292583401</v>
      </c>
      <c r="N691">
        <v>0.23587899914696001</v>
      </c>
      <c r="O691">
        <v>-2.8018564402782001E-2</v>
      </c>
      <c r="P691">
        <v>8.5060418183440008E-3</v>
      </c>
      <c r="Q691" t="s">
        <v>1067</v>
      </c>
      <c r="R691" t="s">
        <v>1173</v>
      </c>
      <c r="S691" t="s">
        <v>1067</v>
      </c>
      <c r="T691" t="s">
        <v>1067</v>
      </c>
      <c r="U691" t="s">
        <v>944</v>
      </c>
      <c r="V691">
        <v>0</v>
      </c>
      <c r="W691" t="s">
        <v>944</v>
      </c>
      <c r="X691" t="s">
        <v>1175</v>
      </c>
      <c r="Y691">
        <v>1</v>
      </c>
      <c r="Z691">
        <v>-0.16632973473183801</v>
      </c>
      <c r="AA691">
        <v>-0.20470730909940801</v>
      </c>
      <c r="AB691">
        <v>-0.111349651561458</v>
      </c>
      <c r="AC691">
        <v>-0.24227176607523501</v>
      </c>
    </row>
    <row r="692" spans="1:29" x14ac:dyDescent="0.2">
      <c r="A692">
        <v>691</v>
      </c>
      <c r="B692" t="s">
        <v>845</v>
      </c>
      <c r="C692" t="s">
        <v>832</v>
      </c>
      <c r="D692" t="s">
        <v>193</v>
      </c>
      <c r="E692">
        <v>-0.18067497658300599</v>
      </c>
      <c r="F692">
        <v>-0.143243172882798</v>
      </c>
      <c r="G692">
        <v>-0.18641832075095299</v>
      </c>
      <c r="H692">
        <v>-0.450885774462842</v>
      </c>
      <c r="I692">
        <v>-0.26446745371188901</v>
      </c>
      <c r="J692">
        <v>3.7431803700208002E-2</v>
      </c>
      <c r="K692">
        <v>-0.18067497658300599</v>
      </c>
      <c r="L692">
        <v>-0.18641832075095299</v>
      </c>
      <c r="M692">
        <v>3.7431803700208002E-2</v>
      </c>
      <c r="N692">
        <v>4.3175147868155003E-2</v>
      </c>
      <c r="O692">
        <v>-0.27021079787983598</v>
      </c>
      <c r="P692">
        <v>-0.26446745371188901</v>
      </c>
      <c r="Q692" t="s">
        <v>1067</v>
      </c>
      <c r="R692" t="s">
        <v>1067</v>
      </c>
      <c r="S692" t="s">
        <v>1067</v>
      </c>
      <c r="T692" t="s">
        <v>1067</v>
      </c>
      <c r="U692" t="s">
        <v>944</v>
      </c>
      <c r="V692">
        <v>1</v>
      </c>
      <c r="W692" t="s">
        <v>944</v>
      </c>
      <c r="X692" t="s">
        <v>1175</v>
      </c>
      <c r="Y692">
        <v>0</v>
      </c>
      <c r="Z692">
        <v>-0.16742843543493199</v>
      </c>
      <c r="AA692">
        <v>-0.201539043738863</v>
      </c>
      <c r="AB692">
        <v>-0.11805958028284901</v>
      </c>
      <c r="AC692">
        <v>-0.24015287985185499</v>
      </c>
    </row>
    <row r="693" spans="1:29" x14ac:dyDescent="0.2">
      <c r="A693">
        <v>692</v>
      </c>
      <c r="B693" t="s">
        <v>846</v>
      </c>
      <c r="C693" t="s">
        <v>832</v>
      </c>
      <c r="D693" t="s">
        <v>142</v>
      </c>
      <c r="E693">
        <v>-0.146989866190745</v>
      </c>
      <c r="F693">
        <v>0.121086616506693</v>
      </c>
      <c r="G693">
        <v>3.5667814627853602E-3</v>
      </c>
      <c r="H693">
        <v>2.9411196199763699E-2</v>
      </c>
      <c r="I693">
        <v>2.5844414736978301E-2</v>
      </c>
      <c r="J693">
        <v>0.268076482697438</v>
      </c>
      <c r="K693">
        <v>3.5667814627853602E-3</v>
      </c>
      <c r="L693">
        <v>-0.146989866190745</v>
      </c>
      <c r="M693">
        <v>0.11751983504390801</v>
      </c>
      <c r="N693">
        <v>0.268076482697438</v>
      </c>
      <c r="O693">
        <v>2.5844414736978301E-2</v>
      </c>
      <c r="P693">
        <v>0.17640106239050901</v>
      </c>
      <c r="Q693" t="s">
        <v>1067</v>
      </c>
      <c r="R693" t="s">
        <v>1068</v>
      </c>
      <c r="S693" t="s">
        <v>1173</v>
      </c>
      <c r="T693" t="s">
        <v>1173</v>
      </c>
      <c r="U693" t="s">
        <v>944</v>
      </c>
      <c r="V693">
        <v>0</v>
      </c>
      <c r="W693" t="s">
        <v>944</v>
      </c>
      <c r="X693" t="s">
        <v>1175</v>
      </c>
      <c r="Y693">
        <v>1</v>
      </c>
      <c r="Z693">
        <v>0.80273418636455696</v>
      </c>
      <c r="AA693">
        <v>-0.155784442062044</v>
      </c>
      <c r="AB693">
        <v>0.91037797089057804</v>
      </c>
      <c r="AC693">
        <v>-0.110165286122771</v>
      </c>
    </row>
    <row r="694" spans="1:29" x14ac:dyDescent="0.2">
      <c r="A694">
        <v>693</v>
      </c>
      <c r="B694" t="s">
        <v>847</v>
      </c>
      <c r="C694" t="s">
        <v>832</v>
      </c>
      <c r="D694" t="s">
        <v>196</v>
      </c>
      <c r="E694">
        <v>-0.29882646052232298</v>
      </c>
      <c r="F694">
        <v>-0.44773264935895601</v>
      </c>
      <c r="G694">
        <v>-0.122197763655255</v>
      </c>
      <c r="H694">
        <v>-0.64194159235359305</v>
      </c>
      <c r="I694">
        <v>-0.51974382869833802</v>
      </c>
      <c r="J694">
        <v>-0.14890618883663301</v>
      </c>
      <c r="K694">
        <v>-0.122197763655255</v>
      </c>
      <c r="L694">
        <v>-0.29882646052232298</v>
      </c>
      <c r="M694">
        <v>-0.32553488570370098</v>
      </c>
      <c r="N694">
        <v>-0.14890618883663301</v>
      </c>
      <c r="O694">
        <v>-0.51974382869833802</v>
      </c>
      <c r="P694">
        <v>-0.34311513183127001</v>
      </c>
      <c r="Q694" t="s">
        <v>1067</v>
      </c>
      <c r="R694" t="s">
        <v>1067</v>
      </c>
      <c r="S694" t="s">
        <v>1067</v>
      </c>
      <c r="T694" t="s">
        <v>1067</v>
      </c>
      <c r="U694" t="s">
        <v>1174</v>
      </c>
      <c r="V694">
        <v>1</v>
      </c>
      <c r="W694" t="s">
        <v>944</v>
      </c>
      <c r="X694" t="s">
        <v>1175</v>
      </c>
      <c r="Y694">
        <v>1</v>
      </c>
      <c r="Z694">
        <v>3.9417678934103501E-2</v>
      </c>
      <c r="AA694">
        <v>-0.19618541163330599</v>
      </c>
      <c r="AB694">
        <v>0.196792556776474</v>
      </c>
      <c r="AC694">
        <v>-0.18994248019655199</v>
      </c>
    </row>
    <row r="695" spans="1:29" x14ac:dyDescent="0.2">
      <c r="A695">
        <v>694</v>
      </c>
      <c r="B695" t="s">
        <v>848</v>
      </c>
      <c r="C695" t="s">
        <v>832</v>
      </c>
      <c r="D695" t="s">
        <v>144</v>
      </c>
      <c r="E695">
        <v>-1.1772731979704999E-2</v>
      </c>
      <c r="F695">
        <v>0.77036700930778801</v>
      </c>
      <c r="G695">
        <v>3.6821770976499003E-2</v>
      </c>
      <c r="H695">
        <v>0.73735397443450901</v>
      </c>
      <c r="I695">
        <v>0.70053220345801004</v>
      </c>
      <c r="J695">
        <v>0.78213974128749297</v>
      </c>
      <c r="K695">
        <v>3.6821770976499003E-2</v>
      </c>
      <c r="L695">
        <v>-1.1772731979704999E-2</v>
      </c>
      <c r="M695">
        <v>0.73354523833128904</v>
      </c>
      <c r="N695">
        <v>0.78213974128749297</v>
      </c>
      <c r="O695">
        <v>0.70053220345801004</v>
      </c>
      <c r="P695">
        <v>0.74912670641421397</v>
      </c>
      <c r="Q695" t="s">
        <v>1173</v>
      </c>
      <c r="R695" t="s">
        <v>1068</v>
      </c>
      <c r="S695" t="s">
        <v>1173</v>
      </c>
      <c r="T695" t="s">
        <v>1068</v>
      </c>
      <c r="U695" t="s">
        <v>944</v>
      </c>
      <c r="V695">
        <v>0</v>
      </c>
      <c r="W695" t="s">
        <v>944</v>
      </c>
      <c r="X695" t="s">
        <v>1175</v>
      </c>
      <c r="Y695">
        <v>1</v>
      </c>
      <c r="Z695">
        <v>-2.4571508416702501E-2</v>
      </c>
      <c r="AA695">
        <v>-0.25546928599784602</v>
      </c>
      <c r="AB695">
        <v>6.2811985625434497E-2</v>
      </c>
      <c r="AC695">
        <v>-0.29827199621087003</v>
      </c>
    </row>
    <row r="696" spans="1:29" x14ac:dyDescent="0.2">
      <c r="A696">
        <v>695</v>
      </c>
      <c r="B696" t="s">
        <v>849</v>
      </c>
      <c r="C696" t="s">
        <v>832</v>
      </c>
      <c r="D696" t="s">
        <v>146</v>
      </c>
      <c r="E696">
        <v>-1.37973658197626E-2</v>
      </c>
      <c r="F696">
        <v>0.65505974200148998</v>
      </c>
      <c r="G696">
        <v>-0.174418801631222</v>
      </c>
      <c r="H696">
        <v>0.60656271874478296</v>
      </c>
      <c r="I696">
        <v>0.78098152037600499</v>
      </c>
      <c r="J696">
        <v>0.66885710782125296</v>
      </c>
      <c r="K696">
        <v>-1.37973658197626E-2</v>
      </c>
      <c r="L696">
        <v>-0.174418801631222</v>
      </c>
      <c r="M696">
        <v>0.66885710782125296</v>
      </c>
      <c r="N696">
        <v>0.82947854363271201</v>
      </c>
      <c r="O696">
        <v>0.62036008456454605</v>
      </c>
      <c r="P696">
        <v>0.78098152037600499</v>
      </c>
      <c r="Q696" t="s">
        <v>1173</v>
      </c>
      <c r="R696" t="s">
        <v>1068</v>
      </c>
      <c r="S696" t="s">
        <v>1067</v>
      </c>
      <c r="T696" t="s">
        <v>1068</v>
      </c>
      <c r="U696" t="s">
        <v>944</v>
      </c>
      <c r="V696">
        <v>0</v>
      </c>
      <c r="W696" t="s">
        <v>944</v>
      </c>
      <c r="X696" t="s">
        <v>1175</v>
      </c>
      <c r="Y696">
        <v>1</v>
      </c>
      <c r="Z696">
        <v>2.43478329470953E-3</v>
      </c>
      <c r="AA696">
        <v>-0.189760963564506</v>
      </c>
      <c r="AB696">
        <v>-0.118783809687213</v>
      </c>
      <c r="AC696">
        <v>-0.321759120946154</v>
      </c>
    </row>
    <row r="697" spans="1:29" x14ac:dyDescent="0.2">
      <c r="A697">
        <v>696</v>
      </c>
      <c r="B697" t="s">
        <v>850</v>
      </c>
      <c r="C697" t="s">
        <v>832</v>
      </c>
      <c r="D697" t="s">
        <v>200</v>
      </c>
      <c r="E697">
        <v>0.64895975941087503</v>
      </c>
      <c r="F697">
        <v>0.192011665424275</v>
      </c>
      <c r="G697">
        <v>0.34291103464568901</v>
      </c>
      <c r="H697">
        <v>1.82983970603031E-2</v>
      </c>
      <c r="I697">
        <v>-0.324612637585386</v>
      </c>
      <c r="J697">
        <v>-0.45694809398660002</v>
      </c>
      <c r="K697">
        <v>0.64895975941087503</v>
      </c>
      <c r="L697">
        <v>0.34291103464568901</v>
      </c>
      <c r="M697">
        <v>-0.45694809398660002</v>
      </c>
      <c r="N697">
        <v>-0.150899369221414</v>
      </c>
      <c r="O697">
        <v>-0.63066136235057202</v>
      </c>
      <c r="P697">
        <v>-0.324612637585386</v>
      </c>
      <c r="Q697" t="s">
        <v>1068</v>
      </c>
      <c r="R697" t="s">
        <v>1068</v>
      </c>
      <c r="S697" t="s">
        <v>1068</v>
      </c>
      <c r="T697" t="s">
        <v>1173</v>
      </c>
      <c r="U697" t="s">
        <v>1174</v>
      </c>
      <c r="V697">
        <v>1</v>
      </c>
      <c r="W697" t="s">
        <v>944</v>
      </c>
      <c r="X697" t="s">
        <v>1175</v>
      </c>
      <c r="Y697">
        <v>1</v>
      </c>
      <c r="Z697">
        <v>2.6871505976450199E-4</v>
      </c>
      <c r="AA697">
        <v>-0.21846958900669</v>
      </c>
      <c r="AB697">
        <v>0.18405905772465</v>
      </c>
      <c r="AC697">
        <v>-0.20607776344266601</v>
      </c>
    </row>
    <row r="698" spans="1:29" x14ac:dyDescent="0.2">
      <c r="A698">
        <v>697</v>
      </c>
      <c r="B698" t="s">
        <v>851</v>
      </c>
      <c r="C698" t="s">
        <v>832</v>
      </c>
      <c r="D698" t="s">
        <v>148</v>
      </c>
      <c r="E698">
        <v>-0.15995648086814099</v>
      </c>
      <c r="F698">
        <v>0.239242041823295</v>
      </c>
      <c r="G698">
        <v>3.6093268696322802E-3</v>
      </c>
      <c r="H698">
        <v>9.8009950796754897E-2</v>
      </c>
      <c r="I698">
        <v>9.4400623927122604E-2</v>
      </c>
      <c r="J698">
        <v>0.39919852269143602</v>
      </c>
      <c r="K698">
        <v>3.6093268696322802E-3</v>
      </c>
      <c r="L698">
        <v>-0.15995648086814099</v>
      </c>
      <c r="M698">
        <v>0.235632714953663</v>
      </c>
      <c r="N698">
        <v>0.39919852269143602</v>
      </c>
      <c r="O698">
        <v>9.4400623927122604E-2</v>
      </c>
      <c r="P698">
        <v>0.25796643166489602</v>
      </c>
      <c r="Q698" t="s">
        <v>1067</v>
      </c>
      <c r="R698" t="s">
        <v>1068</v>
      </c>
      <c r="S698" t="s">
        <v>1173</v>
      </c>
      <c r="T698" t="s">
        <v>1173</v>
      </c>
      <c r="U698" t="s">
        <v>944</v>
      </c>
      <c r="V698">
        <v>0</v>
      </c>
      <c r="W698" t="s">
        <v>944</v>
      </c>
      <c r="X698" t="s">
        <v>1175</v>
      </c>
      <c r="Y698">
        <v>1</v>
      </c>
      <c r="Z698">
        <v>-0.35688849689504598</v>
      </c>
      <c r="AA698">
        <v>-0.29553357436808703</v>
      </c>
      <c r="AB698">
        <v>-7.8080228544337396E-2</v>
      </c>
      <c r="AC698">
        <v>-0.23869055517454901</v>
      </c>
    </row>
    <row r="699" spans="1:29" x14ac:dyDescent="0.2">
      <c r="A699">
        <v>698</v>
      </c>
      <c r="B699" t="s">
        <v>852</v>
      </c>
      <c r="C699" t="s">
        <v>832</v>
      </c>
      <c r="D699" t="s">
        <v>150</v>
      </c>
      <c r="E699">
        <v>-1.27541284183835E-2</v>
      </c>
      <c r="F699">
        <v>0.66094051512545704</v>
      </c>
      <c r="G699">
        <v>-7.7175907368528002E-2</v>
      </c>
      <c r="H699">
        <v>0.61523636043398999</v>
      </c>
      <c r="I699">
        <v>0.69241226780251797</v>
      </c>
      <c r="J699">
        <v>0.67369464354384101</v>
      </c>
      <c r="K699">
        <v>-1.27541284183835E-2</v>
      </c>
      <c r="L699">
        <v>-7.7175907368528002E-2</v>
      </c>
      <c r="M699">
        <v>0.67369464354384101</v>
      </c>
      <c r="N699">
        <v>0.73811642249398501</v>
      </c>
      <c r="O699">
        <v>0.62799048885237396</v>
      </c>
      <c r="P699">
        <v>0.69241226780251797</v>
      </c>
      <c r="Q699" t="s">
        <v>1173</v>
      </c>
      <c r="R699" t="s">
        <v>1068</v>
      </c>
      <c r="S699" t="s">
        <v>1173</v>
      </c>
      <c r="T699" t="s">
        <v>1068</v>
      </c>
      <c r="U699" t="s">
        <v>944</v>
      </c>
      <c r="V699">
        <v>0</v>
      </c>
      <c r="W699" t="s">
        <v>944</v>
      </c>
      <c r="X699" t="s">
        <v>1175</v>
      </c>
      <c r="Y699">
        <v>1</v>
      </c>
      <c r="Z699">
        <v>-8.6538748581457506E-2</v>
      </c>
      <c r="AA699">
        <v>-0.22667381623265101</v>
      </c>
      <c r="AB699">
        <v>-0.121831393565509</v>
      </c>
      <c r="AC699">
        <v>-0.32241367162019302</v>
      </c>
    </row>
    <row r="700" spans="1:29" x14ac:dyDescent="0.2">
      <c r="A700">
        <v>699</v>
      </c>
      <c r="B700" t="s">
        <v>853</v>
      </c>
      <c r="C700" t="s">
        <v>832</v>
      </c>
      <c r="D700" t="s">
        <v>204</v>
      </c>
      <c r="E700">
        <v>-0.31903571282990101</v>
      </c>
      <c r="F700">
        <v>0.10941793998253301</v>
      </c>
      <c r="G700">
        <v>-8.7198048603013098E-2</v>
      </c>
      <c r="H700">
        <v>-0.10070006714507899</v>
      </c>
      <c r="I700">
        <v>-1.35020185420659E-2</v>
      </c>
      <c r="J700">
        <v>0.42845365281243403</v>
      </c>
      <c r="K700">
        <v>-8.7198048603013098E-2</v>
      </c>
      <c r="L700">
        <v>-0.31903571282990101</v>
      </c>
      <c r="M700">
        <v>0.19661598858554599</v>
      </c>
      <c r="N700">
        <v>0.42845365281243403</v>
      </c>
      <c r="O700">
        <v>-1.35020185420659E-2</v>
      </c>
      <c r="P700">
        <v>0.218335645684822</v>
      </c>
      <c r="Q700" t="s">
        <v>1067</v>
      </c>
      <c r="R700" t="s">
        <v>1068</v>
      </c>
      <c r="S700" t="s">
        <v>1173</v>
      </c>
      <c r="T700" t="s">
        <v>1067</v>
      </c>
      <c r="U700" t="s">
        <v>944</v>
      </c>
      <c r="V700">
        <v>1</v>
      </c>
      <c r="W700" t="s">
        <v>944</v>
      </c>
      <c r="X700" t="s">
        <v>1175</v>
      </c>
      <c r="Y700">
        <v>1</v>
      </c>
      <c r="Z700">
        <v>-0.26633098973861802</v>
      </c>
      <c r="AA700">
        <v>-0.24403542468594999</v>
      </c>
      <c r="AB700">
        <v>-0.114833285036569</v>
      </c>
      <c r="AC700">
        <v>-0.24031555085973499</v>
      </c>
    </row>
    <row r="701" spans="1:29" x14ac:dyDescent="0.2">
      <c r="A701">
        <v>700</v>
      </c>
      <c r="B701" t="s">
        <v>854</v>
      </c>
      <c r="C701" t="s">
        <v>832</v>
      </c>
      <c r="D701" t="s">
        <v>152</v>
      </c>
      <c r="E701">
        <v>-0.146825888273698</v>
      </c>
      <c r="F701">
        <v>0.121149561665939</v>
      </c>
      <c r="G701">
        <v>3.5667814627853602E-3</v>
      </c>
      <c r="H701">
        <v>2.9218742417402799E-2</v>
      </c>
      <c r="I701">
        <v>2.56519609546174E-2</v>
      </c>
      <c r="J701">
        <v>0.26797544993963701</v>
      </c>
      <c r="K701">
        <v>3.5667814627853602E-3</v>
      </c>
      <c r="L701">
        <v>-0.146825888273698</v>
      </c>
      <c r="M701">
        <v>0.11758278020315401</v>
      </c>
      <c r="N701">
        <v>0.26797544993963701</v>
      </c>
      <c r="O701">
        <v>2.56519609546174E-2</v>
      </c>
      <c r="P701">
        <v>0.17604463069110099</v>
      </c>
      <c r="Q701" t="s">
        <v>1067</v>
      </c>
      <c r="R701" t="s">
        <v>1068</v>
      </c>
      <c r="S701" t="s">
        <v>1173</v>
      </c>
      <c r="T701" t="s">
        <v>1173</v>
      </c>
      <c r="U701" t="s">
        <v>944</v>
      </c>
      <c r="V701">
        <v>0</v>
      </c>
      <c r="W701" t="s">
        <v>944</v>
      </c>
      <c r="X701" t="s">
        <v>1175</v>
      </c>
      <c r="Y701">
        <v>1</v>
      </c>
      <c r="Z701">
        <v>0.80286143154149203</v>
      </c>
      <c r="AA701">
        <v>-0.15576910812390801</v>
      </c>
      <c r="AB701">
        <v>0.91068790239143904</v>
      </c>
      <c r="AC701">
        <v>-0.11016426533538801</v>
      </c>
    </row>
    <row r="702" spans="1:29" x14ac:dyDescent="0.2">
      <c r="A702">
        <v>701</v>
      </c>
      <c r="B702" t="s">
        <v>855</v>
      </c>
      <c r="C702" t="s">
        <v>832</v>
      </c>
      <c r="D702" t="s">
        <v>207</v>
      </c>
      <c r="E702">
        <v>-0.19573458971039101</v>
      </c>
      <c r="F702">
        <v>0.55716449685119596</v>
      </c>
      <c r="G702">
        <v>-0.107582796647462</v>
      </c>
      <c r="H702">
        <v>0.49654587445071002</v>
      </c>
      <c r="I702">
        <v>0.60412867109817203</v>
      </c>
      <c r="J702">
        <v>0.75289908656158699</v>
      </c>
      <c r="K702">
        <v>-0.107582796647462</v>
      </c>
      <c r="L702">
        <v>-0.19573458971039101</v>
      </c>
      <c r="M702">
        <v>0.66474729349865802</v>
      </c>
      <c r="N702">
        <v>0.75289908656158699</v>
      </c>
      <c r="O702">
        <v>0.60412867109817203</v>
      </c>
      <c r="P702">
        <v>0.69228046416110101</v>
      </c>
      <c r="Q702" t="s">
        <v>1067</v>
      </c>
      <c r="R702" t="s">
        <v>1068</v>
      </c>
      <c r="S702" t="s">
        <v>1067</v>
      </c>
      <c r="T702" t="s">
        <v>1068</v>
      </c>
      <c r="U702" t="s">
        <v>944</v>
      </c>
      <c r="V702">
        <v>0</v>
      </c>
      <c r="W702" t="s">
        <v>944</v>
      </c>
      <c r="X702" t="s">
        <v>1175</v>
      </c>
      <c r="Y702">
        <v>1</v>
      </c>
      <c r="Z702">
        <v>-0.18925203817479699</v>
      </c>
      <c r="AA702">
        <v>-0.22868942206773499</v>
      </c>
      <c r="AB702">
        <v>-5.1471694036402497E-2</v>
      </c>
      <c r="AC702">
        <v>-0.23101740004481999</v>
      </c>
    </row>
    <row r="703" spans="1:29" x14ac:dyDescent="0.2">
      <c r="A703">
        <v>702</v>
      </c>
      <c r="B703" t="s">
        <v>856</v>
      </c>
      <c r="C703" t="s">
        <v>832</v>
      </c>
      <c r="D703" t="s">
        <v>209</v>
      </c>
      <c r="E703">
        <v>-0.16836018646984199</v>
      </c>
      <c r="F703">
        <v>0.44168715828044303</v>
      </c>
      <c r="G703">
        <v>-9.2786736687270402E-2</v>
      </c>
      <c r="H703">
        <v>0.220828226623831</v>
      </c>
      <c r="I703">
        <v>0.313614963311101</v>
      </c>
      <c r="J703">
        <v>0.61004734475028499</v>
      </c>
      <c r="K703">
        <v>-9.2786736687270402E-2</v>
      </c>
      <c r="L703">
        <v>-0.16836018646984199</v>
      </c>
      <c r="M703">
        <v>0.53447389496771303</v>
      </c>
      <c r="N703">
        <v>0.61004734475028499</v>
      </c>
      <c r="O703">
        <v>0.313614963311101</v>
      </c>
      <c r="P703">
        <v>0.38918841309367302</v>
      </c>
      <c r="Q703" t="s">
        <v>1067</v>
      </c>
      <c r="R703" t="s">
        <v>1068</v>
      </c>
      <c r="S703" t="s">
        <v>1173</v>
      </c>
      <c r="T703" t="s">
        <v>1068</v>
      </c>
      <c r="U703" t="s">
        <v>944</v>
      </c>
      <c r="V703">
        <v>0</v>
      </c>
      <c r="W703" t="s">
        <v>944</v>
      </c>
      <c r="X703" t="s">
        <v>1175</v>
      </c>
      <c r="Y703">
        <v>1</v>
      </c>
      <c r="Z703">
        <v>-0.210057409207035</v>
      </c>
      <c r="AA703">
        <v>-0.23672775870821</v>
      </c>
      <c r="AB703">
        <v>-6.1722521825449399E-2</v>
      </c>
      <c r="AC703">
        <v>-0.235200868081439</v>
      </c>
    </row>
    <row r="704" spans="1:29" x14ac:dyDescent="0.2">
      <c r="A704">
        <v>703</v>
      </c>
      <c r="B704" t="s">
        <v>857</v>
      </c>
      <c r="C704" t="s">
        <v>832</v>
      </c>
      <c r="D704" t="s">
        <v>154</v>
      </c>
      <c r="E704">
        <v>-0.35254696674451502</v>
      </c>
      <c r="F704">
        <v>8.6536048257235695E-2</v>
      </c>
      <c r="G704">
        <v>-8.7198048159573299E-2</v>
      </c>
      <c r="H704">
        <v>-0.16491079113093701</v>
      </c>
      <c r="I704">
        <v>-7.7712742971363699E-2</v>
      </c>
      <c r="J704">
        <v>0.43908301500175101</v>
      </c>
      <c r="K704">
        <v>-8.7198048159573299E-2</v>
      </c>
      <c r="L704">
        <v>-0.35254696674451502</v>
      </c>
      <c r="M704">
        <v>0.17373409641680901</v>
      </c>
      <c r="N704">
        <v>0.43908301500175101</v>
      </c>
      <c r="O704">
        <v>-7.7712742971363699E-2</v>
      </c>
      <c r="P704">
        <v>0.18763617561357801</v>
      </c>
      <c r="Q704" t="s">
        <v>1067</v>
      </c>
      <c r="R704" t="s">
        <v>1173</v>
      </c>
      <c r="S704" t="s">
        <v>1173</v>
      </c>
      <c r="T704" t="s">
        <v>1067</v>
      </c>
      <c r="U704" t="s">
        <v>944</v>
      </c>
      <c r="V704">
        <v>1</v>
      </c>
      <c r="W704" t="s">
        <v>944</v>
      </c>
      <c r="X704" t="s">
        <v>1175</v>
      </c>
      <c r="Y704">
        <v>1</v>
      </c>
      <c r="Z704">
        <v>-0.26917689656002702</v>
      </c>
      <c r="AA704">
        <v>-0.244378376453004</v>
      </c>
      <c r="AB704">
        <v>-0.11753819292085201</v>
      </c>
      <c r="AC704">
        <v>-0.24060336991124401</v>
      </c>
    </row>
    <row r="705" spans="1:29" x14ac:dyDescent="0.2">
      <c r="A705">
        <v>704</v>
      </c>
      <c r="B705" t="s">
        <v>858</v>
      </c>
      <c r="C705" t="s">
        <v>832</v>
      </c>
      <c r="D705" t="s">
        <v>156</v>
      </c>
      <c r="E705">
        <v>-0.170218147339186</v>
      </c>
      <c r="F705">
        <v>0.77461915445079998</v>
      </c>
      <c r="G705">
        <v>3.1707558722358798E-3</v>
      </c>
      <c r="H705">
        <v>0.74984478127246201</v>
      </c>
      <c r="I705">
        <v>0.74667402540022598</v>
      </c>
      <c r="J705">
        <v>0.94483730178998604</v>
      </c>
      <c r="K705">
        <v>3.1707558722358798E-3</v>
      </c>
      <c r="L705">
        <v>-0.170218147339186</v>
      </c>
      <c r="M705">
        <v>0.77144839857856395</v>
      </c>
      <c r="N705">
        <v>0.94483730178998604</v>
      </c>
      <c r="O705">
        <v>0.74667402540022598</v>
      </c>
      <c r="P705">
        <v>0.92006292861164796</v>
      </c>
      <c r="Q705" t="s">
        <v>1067</v>
      </c>
      <c r="R705" t="s">
        <v>1068</v>
      </c>
      <c r="S705" t="s">
        <v>1173</v>
      </c>
      <c r="T705" t="s">
        <v>1068</v>
      </c>
      <c r="U705" t="s">
        <v>944</v>
      </c>
      <c r="V705">
        <v>0</v>
      </c>
      <c r="W705" t="s">
        <v>944</v>
      </c>
      <c r="X705" t="s">
        <v>1175</v>
      </c>
      <c r="Y705">
        <v>1</v>
      </c>
      <c r="Z705">
        <v>-0.13815705012990301</v>
      </c>
      <c r="AA705">
        <v>-0.26916844891417002</v>
      </c>
      <c r="AB705">
        <v>0.159140276158456</v>
      </c>
      <c r="AC705">
        <v>-0.20584571953174799</v>
      </c>
    </row>
    <row r="706" spans="1:29" x14ac:dyDescent="0.2">
      <c r="A706">
        <v>705</v>
      </c>
      <c r="B706" t="s">
        <v>859</v>
      </c>
      <c r="C706" t="s">
        <v>832</v>
      </c>
      <c r="D706" t="s">
        <v>158</v>
      </c>
      <c r="E706">
        <v>-0.38923670238147601</v>
      </c>
      <c r="F706">
        <v>0.18763795450917301</v>
      </c>
      <c r="G706">
        <v>-9.9307214977611205E-2</v>
      </c>
      <c r="H706">
        <v>8.1011478079200006E-2</v>
      </c>
      <c r="I706">
        <v>0.180318693056811</v>
      </c>
      <c r="J706">
        <v>0.57687465689064898</v>
      </c>
      <c r="K706">
        <v>-9.9307214977611205E-2</v>
      </c>
      <c r="L706">
        <v>-0.38923670238147601</v>
      </c>
      <c r="M706">
        <v>0.286945169486784</v>
      </c>
      <c r="N706">
        <v>0.57687465689064898</v>
      </c>
      <c r="O706">
        <v>0.180318693056811</v>
      </c>
      <c r="P706">
        <v>0.47024818046067601</v>
      </c>
      <c r="Q706" t="s">
        <v>1067</v>
      </c>
      <c r="R706" t="s">
        <v>1068</v>
      </c>
      <c r="S706" t="s">
        <v>1173</v>
      </c>
      <c r="T706" t="s">
        <v>1173</v>
      </c>
      <c r="U706" t="s">
        <v>944</v>
      </c>
      <c r="V706">
        <v>0</v>
      </c>
      <c r="W706" t="s">
        <v>944</v>
      </c>
      <c r="X706" t="s">
        <v>1175</v>
      </c>
      <c r="Y706">
        <v>1</v>
      </c>
      <c r="Z706">
        <v>-0.27529748315590702</v>
      </c>
      <c r="AA706">
        <v>-0.24555959321748799</v>
      </c>
      <c r="AB706">
        <v>-0.124005321679122</v>
      </c>
      <c r="AC706">
        <v>-0.24141858688614501</v>
      </c>
    </row>
    <row r="707" spans="1:29" x14ac:dyDescent="0.2">
      <c r="A707">
        <v>706</v>
      </c>
      <c r="B707" t="s">
        <v>860</v>
      </c>
      <c r="C707" t="s">
        <v>832</v>
      </c>
      <c r="D707" t="s">
        <v>214</v>
      </c>
      <c r="E707">
        <v>-0.39169704986763698</v>
      </c>
      <c r="F707">
        <v>-2.9305162187511901E-2</v>
      </c>
      <c r="G707">
        <v>-0.104202687513978</v>
      </c>
      <c r="H707">
        <v>-0.202932748923081</v>
      </c>
      <c r="I707">
        <v>-9.8730061409102995E-2</v>
      </c>
      <c r="J707">
        <v>0.36239188768012498</v>
      </c>
      <c r="K707">
        <v>-0.104202687513978</v>
      </c>
      <c r="L707">
        <v>-0.39169704986763698</v>
      </c>
      <c r="M707">
        <v>7.4897525326466097E-2</v>
      </c>
      <c r="N707">
        <v>0.36239188768012498</v>
      </c>
      <c r="O707">
        <v>-9.8730061409102995E-2</v>
      </c>
      <c r="P707">
        <v>0.18876430094455601</v>
      </c>
      <c r="Q707" t="s">
        <v>1067</v>
      </c>
      <c r="R707" t="s">
        <v>1173</v>
      </c>
      <c r="S707" t="s">
        <v>1067</v>
      </c>
      <c r="T707" t="s">
        <v>1067</v>
      </c>
      <c r="U707" t="s">
        <v>944</v>
      </c>
      <c r="V707">
        <v>1</v>
      </c>
      <c r="W707" t="s">
        <v>944</v>
      </c>
      <c r="X707" t="s">
        <v>1175</v>
      </c>
      <c r="Y707">
        <v>1</v>
      </c>
      <c r="Z707">
        <v>-0.27778457018029901</v>
      </c>
      <c r="AA707">
        <v>-0.24558615168554701</v>
      </c>
      <c r="AB707">
        <v>-0.12802791584420001</v>
      </c>
      <c r="AC707">
        <v>-0.242030749555531</v>
      </c>
    </row>
    <row r="708" spans="1:29" x14ac:dyDescent="0.2">
      <c r="A708">
        <v>707</v>
      </c>
      <c r="B708" t="s">
        <v>861</v>
      </c>
      <c r="C708" t="s">
        <v>832</v>
      </c>
      <c r="D708" t="s">
        <v>160</v>
      </c>
      <c r="E708">
        <v>-0.16722632888611999</v>
      </c>
      <c r="F708">
        <v>0.75273167027937504</v>
      </c>
      <c r="G708">
        <v>2.88943451709665E-3</v>
      </c>
      <c r="H708">
        <v>0.72900532814023</v>
      </c>
      <c r="I708">
        <v>0.726115893623133</v>
      </c>
      <c r="J708">
        <v>0.91995799916549503</v>
      </c>
      <c r="K708">
        <v>2.88943451709665E-3</v>
      </c>
      <c r="L708">
        <v>-0.16722632888611999</v>
      </c>
      <c r="M708">
        <v>0.74984223576227804</v>
      </c>
      <c r="N708">
        <v>0.91995799916549503</v>
      </c>
      <c r="O708">
        <v>0.726115893623133</v>
      </c>
      <c r="P708">
        <v>0.89623165702634999</v>
      </c>
      <c r="Q708" t="s">
        <v>1067</v>
      </c>
      <c r="R708" t="s">
        <v>1068</v>
      </c>
      <c r="S708" t="s">
        <v>1173</v>
      </c>
      <c r="T708" t="s">
        <v>1068</v>
      </c>
      <c r="U708" t="s">
        <v>944</v>
      </c>
      <c r="V708">
        <v>0</v>
      </c>
      <c r="W708" t="s">
        <v>944</v>
      </c>
      <c r="X708" t="s">
        <v>1175</v>
      </c>
      <c r="Y708">
        <v>1</v>
      </c>
      <c r="Z708">
        <v>-0.17688245708116099</v>
      </c>
      <c r="AA708">
        <v>-0.27362022856110102</v>
      </c>
      <c r="AB708">
        <v>0.11426733716702001</v>
      </c>
      <c r="AC708">
        <v>-0.21219282411455001</v>
      </c>
    </row>
    <row r="709" spans="1:29" x14ac:dyDescent="0.2">
      <c r="A709">
        <v>708</v>
      </c>
      <c r="B709" t="s">
        <v>862</v>
      </c>
      <c r="C709" t="s">
        <v>832</v>
      </c>
      <c r="D709" t="s">
        <v>162</v>
      </c>
      <c r="E709">
        <v>-1.27541284183835E-2</v>
      </c>
      <c r="F709">
        <v>0.66258653874768203</v>
      </c>
      <c r="G709">
        <v>-9.0445407537424305E-2</v>
      </c>
      <c r="H709">
        <v>0.60820876034699201</v>
      </c>
      <c r="I709">
        <v>0.69865416788441603</v>
      </c>
      <c r="J709">
        <v>0.675340667166066</v>
      </c>
      <c r="K709">
        <v>-1.27541284183835E-2</v>
      </c>
      <c r="L709">
        <v>-9.0445407537424305E-2</v>
      </c>
      <c r="M709">
        <v>0.675340667166066</v>
      </c>
      <c r="N709">
        <v>0.75303194628510595</v>
      </c>
      <c r="O709">
        <v>0.62096288876537598</v>
      </c>
      <c r="P709">
        <v>0.69865416788441603</v>
      </c>
      <c r="Q709" t="s">
        <v>1173</v>
      </c>
      <c r="R709" t="s">
        <v>1068</v>
      </c>
      <c r="S709" t="s">
        <v>1173</v>
      </c>
      <c r="T709" t="s">
        <v>1068</v>
      </c>
      <c r="U709" t="s">
        <v>944</v>
      </c>
      <c r="V709">
        <v>0</v>
      </c>
      <c r="W709" t="s">
        <v>944</v>
      </c>
      <c r="X709" t="s">
        <v>1175</v>
      </c>
      <c r="Y709">
        <v>1</v>
      </c>
      <c r="Z709">
        <v>-6.7140543151491996E-2</v>
      </c>
      <c r="AA709">
        <v>-0.21898321972302301</v>
      </c>
      <c r="AB709">
        <v>-0.12043882780569599</v>
      </c>
      <c r="AC709">
        <v>-0.32223159701396098</v>
      </c>
    </row>
    <row r="710" spans="1:29" x14ac:dyDescent="0.2">
      <c r="A710">
        <v>709</v>
      </c>
      <c r="B710" t="s">
        <v>863</v>
      </c>
      <c r="C710" t="s">
        <v>832</v>
      </c>
      <c r="D710" t="s">
        <v>218</v>
      </c>
      <c r="E710">
        <v>-0.16964373479439501</v>
      </c>
      <c r="F710">
        <v>0.82242954630447895</v>
      </c>
      <c r="G710">
        <v>-0.13677236611895</v>
      </c>
      <c r="H710">
        <v>0.78621737138422298</v>
      </c>
      <c r="I710">
        <v>0.92298973750317304</v>
      </c>
      <c r="J710">
        <v>0.99207328109887405</v>
      </c>
      <c r="K710">
        <v>-0.13677236611895</v>
      </c>
      <c r="L710">
        <v>-0.16964373479439501</v>
      </c>
      <c r="M710">
        <v>0.959201912423429</v>
      </c>
      <c r="N710">
        <v>0.99207328109887405</v>
      </c>
      <c r="O710">
        <v>0.92298973750317304</v>
      </c>
      <c r="P710">
        <v>0.95586110617861797</v>
      </c>
      <c r="Q710" t="s">
        <v>1067</v>
      </c>
      <c r="R710" t="s">
        <v>1068</v>
      </c>
      <c r="S710" t="s">
        <v>1067</v>
      </c>
      <c r="T710" t="s">
        <v>1068</v>
      </c>
      <c r="U710" t="s">
        <v>944</v>
      </c>
      <c r="V710">
        <v>0</v>
      </c>
      <c r="W710" t="s">
        <v>944</v>
      </c>
      <c r="X710" t="s">
        <v>1175</v>
      </c>
      <c r="Y710">
        <v>1</v>
      </c>
      <c r="Z710">
        <v>0.15736062075120599</v>
      </c>
      <c r="AA710">
        <v>-0.18032094117641201</v>
      </c>
      <c r="AB710">
        <v>0.28973371631515299</v>
      </c>
      <c r="AC710">
        <v>-0.18868822520761699</v>
      </c>
    </row>
    <row r="711" spans="1:29" x14ac:dyDescent="0.2">
      <c r="A711">
        <v>710</v>
      </c>
      <c r="B711" t="s">
        <v>864</v>
      </c>
      <c r="C711" t="s">
        <v>832</v>
      </c>
      <c r="D711" t="s">
        <v>220</v>
      </c>
      <c r="E711">
        <v>-1.27541284183835E-2</v>
      </c>
      <c r="F711">
        <v>0.66124264219089801</v>
      </c>
      <c r="G711">
        <v>-0.103414665173128</v>
      </c>
      <c r="H711">
        <v>0.60482512503138497</v>
      </c>
      <c r="I711">
        <v>0.708239790204513</v>
      </c>
      <c r="J711">
        <v>0.67399677060928198</v>
      </c>
      <c r="K711">
        <v>-1.27541284183835E-2</v>
      </c>
      <c r="L711">
        <v>-0.103414665173128</v>
      </c>
      <c r="M711">
        <v>0.67399677060928198</v>
      </c>
      <c r="N711">
        <v>0.76465730736402604</v>
      </c>
      <c r="O711">
        <v>0.61757925344976805</v>
      </c>
      <c r="P711">
        <v>0.708239790204513</v>
      </c>
      <c r="Q711" t="s">
        <v>1173</v>
      </c>
      <c r="R711" t="s">
        <v>1068</v>
      </c>
      <c r="S711" t="s">
        <v>1067</v>
      </c>
      <c r="T711" t="s">
        <v>1068</v>
      </c>
      <c r="U711" t="s">
        <v>944</v>
      </c>
      <c r="V711">
        <v>0</v>
      </c>
      <c r="W711" t="s">
        <v>944</v>
      </c>
      <c r="X711" t="s">
        <v>1175</v>
      </c>
      <c r="Y711">
        <v>1</v>
      </c>
      <c r="Z711">
        <v>-5.3741406498258003E-2</v>
      </c>
      <c r="AA711">
        <v>-0.21334885615445501</v>
      </c>
      <c r="AB711">
        <v>-0.12079987824846</v>
      </c>
      <c r="AC711">
        <v>-0.32227880348642601</v>
      </c>
    </row>
    <row r="712" spans="1:29" x14ac:dyDescent="0.2">
      <c r="A712">
        <v>711</v>
      </c>
      <c r="B712" t="s">
        <v>865</v>
      </c>
      <c r="C712" t="s">
        <v>832</v>
      </c>
      <c r="D712" t="s">
        <v>164</v>
      </c>
      <c r="E712">
        <v>0.31849403504330098</v>
      </c>
      <c r="F712">
        <v>0.96162814940890295</v>
      </c>
      <c r="G712">
        <v>0.69323927087638104</v>
      </c>
      <c r="H712">
        <v>0.95805029471663194</v>
      </c>
      <c r="I712">
        <v>0.26481102384025101</v>
      </c>
      <c r="J712">
        <v>0.64313411436560197</v>
      </c>
      <c r="K712">
        <v>0.69323927087638104</v>
      </c>
      <c r="L712">
        <v>0.31849403504330098</v>
      </c>
      <c r="M712">
        <v>0.26838887853252202</v>
      </c>
      <c r="N712">
        <v>0.64313411436560197</v>
      </c>
      <c r="O712">
        <v>0.26481102384025101</v>
      </c>
      <c r="P712">
        <v>0.63955625967333096</v>
      </c>
      <c r="Q712" t="s">
        <v>1068</v>
      </c>
      <c r="R712" t="s">
        <v>1068</v>
      </c>
      <c r="S712" t="s">
        <v>1068</v>
      </c>
      <c r="T712" t="s">
        <v>1068</v>
      </c>
      <c r="U712" t="s">
        <v>944</v>
      </c>
      <c r="V712">
        <v>0</v>
      </c>
      <c r="W712" t="s">
        <v>944</v>
      </c>
      <c r="X712" t="s">
        <v>1175</v>
      </c>
      <c r="Y712">
        <v>1</v>
      </c>
      <c r="Z712">
        <v>5.2943661484398503E-2</v>
      </c>
      <c r="AA712">
        <v>-0.234708688802511</v>
      </c>
      <c r="AB712">
        <v>0.31424652752918403</v>
      </c>
      <c r="AC712">
        <v>-0.18903509760519899</v>
      </c>
    </row>
    <row r="713" spans="1:29" x14ac:dyDescent="0.2">
      <c r="A713">
        <v>712</v>
      </c>
      <c r="B713" t="s">
        <v>866</v>
      </c>
      <c r="C713" t="s">
        <v>832</v>
      </c>
      <c r="D713" t="s">
        <v>166</v>
      </c>
      <c r="E713">
        <v>-1.27541284183835E-2</v>
      </c>
      <c r="F713">
        <v>-1.48831532758194E-2</v>
      </c>
      <c r="G713">
        <v>3.2133182788116302E-3</v>
      </c>
      <c r="H713">
        <v>-0.14926169205213199</v>
      </c>
      <c r="I713">
        <v>-0.15247501033094399</v>
      </c>
      <c r="J713">
        <v>-2.1290248574358998E-3</v>
      </c>
      <c r="K713">
        <v>3.2133182788116302E-3</v>
      </c>
      <c r="L713">
        <v>-1.27541284183835E-2</v>
      </c>
      <c r="M713">
        <v>-1.8096471554631E-2</v>
      </c>
      <c r="N713">
        <v>-2.1290248574358998E-3</v>
      </c>
      <c r="O713">
        <v>-0.15247501033094399</v>
      </c>
      <c r="P713">
        <v>-0.136507563633748</v>
      </c>
      <c r="Q713" t="s">
        <v>1173</v>
      </c>
      <c r="R713" t="s">
        <v>1173</v>
      </c>
      <c r="S713" t="s">
        <v>1173</v>
      </c>
      <c r="T713" t="s">
        <v>1067</v>
      </c>
      <c r="U713" t="s">
        <v>1174</v>
      </c>
      <c r="V713">
        <v>1</v>
      </c>
      <c r="W713" t="s">
        <v>944</v>
      </c>
      <c r="X713" t="s">
        <v>1175</v>
      </c>
      <c r="Y713">
        <v>0</v>
      </c>
      <c r="Z713">
        <v>2.0593504132063501E-2</v>
      </c>
      <c r="AA713">
        <v>-0.25004434019212002</v>
      </c>
      <c r="AB713">
        <v>0.10979924172548999</v>
      </c>
      <c r="AC713">
        <v>-0.29212852607880901</v>
      </c>
    </row>
    <row r="714" spans="1:29" x14ac:dyDescent="0.2">
      <c r="A714">
        <v>713</v>
      </c>
      <c r="B714" t="s">
        <v>867</v>
      </c>
      <c r="C714" t="s">
        <v>832</v>
      </c>
      <c r="D714" t="s">
        <v>224</v>
      </c>
      <c r="E714">
        <v>0.89179679433416603</v>
      </c>
      <c r="F714">
        <v>0.96783283597327496</v>
      </c>
      <c r="G714">
        <v>0.92149836693986298</v>
      </c>
      <c r="H714">
        <v>0.96660075408053003</v>
      </c>
      <c r="I714">
        <v>4.5102387140667097E-2</v>
      </c>
      <c r="J714">
        <v>7.6036041639108903E-2</v>
      </c>
      <c r="K714">
        <v>0.92149836693986298</v>
      </c>
      <c r="L714">
        <v>0.89179679433416603</v>
      </c>
      <c r="M714">
        <v>4.6334469033411999E-2</v>
      </c>
      <c r="N714">
        <v>7.6036041639108903E-2</v>
      </c>
      <c r="O714">
        <v>4.5102387140667097E-2</v>
      </c>
      <c r="P714">
        <v>7.4803959746364002E-2</v>
      </c>
      <c r="Q714" t="s">
        <v>1068</v>
      </c>
      <c r="R714" t="s">
        <v>1068</v>
      </c>
      <c r="S714" t="s">
        <v>1068</v>
      </c>
      <c r="T714" t="s">
        <v>1068</v>
      </c>
      <c r="U714" t="s">
        <v>944</v>
      </c>
      <c r="V714">
        <v>0</v>
      </c>
      <c r="W714" t="s">
        <v>944</v>
      </c>
      <c r="X714" t="s">
        <v>1176</v>
      </c>
      <c r="Y714">
        <v>0</v>
      </c>
      <c r="Z714">
        <v>-0.124517310857757</v>
      </c>
      <c r="AA714">
        <v>-0.202225585610981</v>
      </c>
      <c r="AB714">
        <v>-5.8685551514404397E-2</v>
      </c>
      <c r="AC714">
        <v>-0.23597561094345301</v>
      </c>
    </row>
    <row r="715" spans="1:29" x14ac:dyDescent="0.2">
      <c r="A715">
        <v>714</v>
      </c>
      <c r="B715" t="s">
        <v>868</v>
      </c>
      <c r="C715" t="s">
        <v>832</v>
      </c>
      <c r="D715" t="s">
        <v>226</v>
      </c>
      <c r="E715">
        <v>-0.14207363680866</v>
      </c>
      <c r="F715">
        <v>0.21263931765192301</v>
      </c>
      <c r="G715">
        <v>-5.1717777635921801E-2</v>
      </c>
      <c r="H715">
        <v>6.4333987645509294E-2</v>
      </c>
      <c r="I715">
        <v>0.116051765281431</v>
      </c>
      <c r="J715">
        <v>0.35471295446058299</v>
      </c>
      <c r="K715">
        <v>-5.1717777635921801E-2</v>
      </c>
      <c r="L715">
        <v>-0.14207363680866</v>
      </c>
      <c r="M715">
        <v>0.26435709528784501</v>
      </c>
      <c r="N715">
        <v>0.35471295446058299</v>
      </c>
      <c r="O715">
        <v>0.116051765281431</v>
      </c>
      <c r="P715">
        <v>0.20640762445416899</v>
      </c>
      <c r="Q715" t="s">
        <v>1067</v>
      </c>
      <c r="R715" t="s">
        <v>1068</v>
      </c>
      <c r="S715" t="s">
        <v>1173</v>
      </c>
      <c r="T715" t="s">
        <v>1173</v>
      </c>
      <c r="U715" t="s">
        <v>944</v>
      </c>
      <c r="V715">
        <v>0</v>
      </c>
      <c r="W715" t="s">
        <v>944</v>
      </c>
      <c r="X715" t="s">
        <v>1175</v>
      </c>
      <c r="Y715">
        <v>1</v>
      </c>
      <c r="Z715">
        <v>-0.25649244479322197</v>
      </c>
      <c r="AA715">
        <v>-0.245143794332527</v>
      </c>
      <c r="AB715">
        <v>-0.107781834078728</v>
      </c>
      <c r="AC715">
        <v>-0.24384103813817801</v>
      </c>
    </row>
    <row r="716" spans="1:29" x14ac:dyDescent="0.2">
      <c r="A716">
        <v>715</v>
      </c>
      <c r="B716" t="s">
        <v>869</v>
      </c>
      <c r="C716" t="s">
        <v>832</v>
      </c>
      <c r="D716" t="s">
        <v>870</v>
      </c>
      <c r="E716">
        <v>-0.37384065391376903</v>
      </c>
      <c r="F716">
        <v>-0.158112604232894</v>
      </c>
      <c r="G716">
        <v>-0.124538661131861</v>
      </c>
      <c r="H716">
        <v>-0.32999688999753102</v>
      </c>
      <c r="I716">
        <v>-0.20545822886567</v>
      </c>
      <c r="J716">
        <v>0.215728049680875</v>
      </c>
      <c r="K716">
        <v>-0.124538661131861</v>
      </c>
      <c r="L716">
        <v>-0.37384065391376903</v>
      </c>
      <c r="M716">
        <v>-3.3573943101033003E-2</v>
      </c>
      <c r="N716">
        <v>0.215728049680875</v>
      </c>
      <c r="O716">
        <v>-0.20545822886567</v>
      </c>
      <c r="P716">
        <v>4.3843763916238003E-2</v>
      </c>
      <c r="Q716" t="s">
        <v>1067</v>
      </c>
      <c r="R716" t="s">
        <v>1067</v>
      </c>
      <c r="S716" t="s">
        <v>1067</v>
      </c>
      <c r="T716" t="s">
        <v>1067</v>
      </c>
      <c r="U716" t="s">
        <v>944</v>
      </c>
      <c r="V716">
        <v>1</v>
      </c>
      <c r="W716" t="s">
        <v>944</v>
      </c>
      <c r="X716" t="s">
        <v>1175</v>
      </c>
      <c r="Y716">
        <v>1</v>
      </c>
      <c r="Z716">
        <v>-0.24838118954966701</v>
      </c>
      <c r="AA716">
        <v>-0.234312049122333</v>
      </c>
      <c r="AB716">
        <v>-0.117825409797874</v>
      </c>
      <c r="AC716">
        <v>-0.238336029048315</v>
      </c>
    </row>
    <row r="717" spans="1:29" x14ac:dyDescent="0.2">
      <c r="A717">
        <v>716</v>
      </c>
      <c r="B717" t="s">
        <v>871</v>
      </c>
      <c r="C717" t="s">
        <v>832</v>
      </c>
      <c r="D717" t="s">
        <v>168</v>
      </c>
      <c r="E717">
        <v>0.54723427564236704</v>
      </c>
      <c r="F717">
        <v>0.53332222091096104</v>
      </c>
      <c r="G717">
        <v>-6.3859030152112597E-2</v>
      </c>
      <c r="H717">
        <v>0.42900952894497701</v>
      </c>
      <c r="I717">
        <v>0.49286855909708999</v>
      </c>
      <c r="J717">
        <v>-1.3912054731406E-2</v>
      </c>
      <c r="K717">
        <v>0.54723427564236704</v>
      </c>
      <c r="L717">
        <v>-6.3859030152112597E-2</v>
      </c>
      <c r="M717">
        <v>-1.3912054731406E-2</v>
      </c>
      <c r="N717">
        <v>0.59718125106307396</v>
      </c>
      <c r="O717">
        <v>-0.11822474669739</v>
      </c>
      <c r="P717">
        <v>0.49286855909708999</v>
      </c>
      <c r="Q717" t="s">
        <v>1068</v>
      </c>
      <c r="R717" t="s">
        <v>1068</v>
      </c>
      <c r="S717" t="s">
        <v>1173</v>
      </c>
      <c r="T717" t="s">
        <v>1068</v>
      </c>
      <c r="U717" t="s">
        <v>1174</v>
      </c>
      <c r="V717">
        <v>0</v>
      </c>
      <c r="W717" t="s">
        <v>944</v>
      </c>
      <c r="X717" t="s">
        <v>1175</v>
      </c>
      <c r="Y717">
        <v>0</v>
      </c>
      <c r="Z717">
        <v>-0.27599703675549597</v>
      </c>
      <c r="AA717">
        <v>-0.25182437316449802</v>
      </c>
      <c r="AB717">
        <v>-0.118692417344018</v>
      </c>
      <c r="AC717">
        <v>-0.24678614847291799</v>
      </c>
    </row>
    <row r="718" spans="1:29" x14ac:dyDescent="0.2">
      <c r="A718">
        <v>717</v>
      </c>
      <c r="B718" t="s">
        <v>872</v>
      </c>
      <c r="C718" t="s">
        <v>226</v>
      </c>
      <c r="D718" t="s">
        <v>129</v>
      </c>
      <c r="E718">
        <v>-0.31130385513488001</v>
      </c>
      <c r="F718">
        <v>-1</v>
      </c>
      <c r="G718">
        <v>-3.5788214428046299E-2</v>
      </c>
      <c r="H718">
        <v>-1</v>
      </c>
      <c r="I718">
        <v>-0.96421178557195397</v>
      </c>
      <c r="J718">
        <v>-0.68869614486511999</v>
      </c>
      <c r="K718">
        <v>-3.5788214428046299E-2</v>
      </c>
      <c r="L718">
        <v>-0.31130385513488001</v>
      </c>
      <c r="M718">
        <v>-0.96421178557195397</v>
      </c>
      <c r="N718">
        <v>-0.68869614486511999</v>
      </c>
      <c r="O718">
        <v>-0.96421178557195397</v>
      </c>
      <c r="P718">
        <v>-0.68869614486511999</v>
      </c>
      <c r="Q718" t="s">
        <v>1067</v>
      </c>
      <c r="R718" t="s">
        <v>1067</v>
      </c>
      <c r="S718" t="s">
        <v>1173</v>
      </c>
      <c r="T718" t="s">
        <v>1067</v>
      </c>
      <c r="U718" t="s">
        <v>1174</v>
      </c>
      <c r="V718">
        <v>1</v>
      </c>
      <c r="W718" t="s">
        <v>944</v>
      </c>
      <c r="X718" t="s">
        <v>1175</v>
      </c>
      <c r="Y718">
        <v>1</v>
      </c>
      <c r="Z718">
        <v>-0.52213457498655602</v>
      </c>
      <c r="AA718">
        <v>-0.29087568750610798</v>
      </c>
      <c r="AB718">
        <v>-0.34897356006859798</v>
      </c>
      <c r="AC718">
        <v>-0.27714556607162999</v>
      </c>
    </row>
    <row r="719" spans="1:29" x14ac:dyDescent="0.2">
      <c r="A719">
        <v>718</v>
      </c>
      <c r="B719" t="s">
        <v>873</v>
      </c>
      <c r="C719" t="s">
        <v>226</v>
      </c>
      <c r="D719" t="s">
        <v>130</v>
      </c>
      <c r="E719">
        <v>4.5936000619771497E-3</v>
      </c>
      <c r="F719">
        <v>-0.358412373964557</v>
      </c>
      <c r="G719">
        <v>-0.203943727033223</v>
      </c>
      <c r="H719">
        <v>-0.64927401717081801</v>
      </c>
      <c r="I719">
        <v>-0.44533029013759501</v>
      </c>
      <c r="J719">
        <v>-0.36300597402653401</v>
      </c>
      <c r="K719">
        <v>4.5936000619771497E-3</v>
      </c>
      <c r="L719">
        <v>-0.203943727033223</v>
      </c>
      <c r="M719">
        <v>-0.36300597402653401</v>
      </c>
      <c r="N719">
        <v>-0.154468646931334</v>
      </c>
      <c r="O719">
        <v>-0.65386761723279496</v>
      </c>
      <c r="P719">
        <v>-0.44533029013759501</v>
      </c>
      <c r="Q719" t="s">
        <v>1173</v>
      </c>
      <c r="R719" t="s">
        <v>1067</v>
      </c>
      <c r="S719" t="s">
        <v>1067</v>
      </c>
      <c r="T719" t="s">
        <v>1067</v>
      </c>
      <c r="U719" t="s">
        <v>1174</v>
      </c>
      <c r="V719">
        <v>1</v>
      </c>
      <c r="W719" t="s">
        <v>1174</v>
      </c>
      <c r="X719" t="s">
        <v>1175</v>
      </c>
      <c r="Y719">
        <v>1</v>
      </c>
      <c r="Z719">
        <v>-0.301136519763679</v>
      </c>
      <c r="AA719">
        <v>-0.22707838888085699</v>
      </c>
      <c r="AB719">
        <v>-0.44775973142818998</v>
      </c>
      <c r="AC719">
        <v>-0.36782442503507301</v>
      </c>
    </row>
    <row r="720" spans="1:29" x14ac:dyDescent="0.2">
      <c r="A720">
        <v>719</v>
      </c>
      <c r="B720" t="s">
        <v>874</v>
      </c>
      <c r="C720" t="s">
        <v>226</v>
      </c>
      <c r="D720" t="s">
        <v>132</v>
      </c>
      <c r="E720">
        <v>-0.454514426366671</v>
      </c>
      <c r="F720">
        <v>-1</v>
      </c>
      <c r="G720">
        <v>-3.3494898547556301E-2</v>
      </c>
      <c r="H720">
        <v>-1</v>
      </c>
      <c r="I720">
        <v>-0.96650510145244395</v>
      </c>
      <c r="J720">
        <v>-0.54548557363332895</v>
      </c>
      <c r="K720">
        <v>-3.3494898547556301E-2</v>
      </c>
      <c r="L720">
        <v>-0.454514426366671</v>
      </c>
      <c r="M720">
        <v>-0.96650510145244395</v>
      </c>
      <c r="N720">
        <v>-0.54548557363332895</v>
      </c>
      <c r="O720">
        <v>-0.96650510145244395</v>
      </c>
      <c r="P720">
        <v>-0.54548557363332895</v>
      </c>
      <c r="Q720" t="s">
        <v>1067</v>
      </c>
      <c r="R720" t="s">
        <v>1067</v>
      </c>
      <c r="S720" t="s">
        <v>1173</v>
      </c>
      <c r="T720" t="s">
        <v>1067</v>
      </c>
      <c r="U720" t="s">
        <v>1174</v>
      </c>
      <c r="V720">
        <v>1</v>
      </c>
      <c r="W720" t="s">
        <v>944</v>
      </c>
      <c r="X720" t="s">
        <v>1175</v>
      </c>
      <c r="Y720">
        <v>1</v>
      </c>
      <c r="Z720">
        <v>-0.570885445914462</v>
      </c>
      <c r="AA720">
        <v>-0.296821910087125</v>
      </c>
      <c r="AB720">
        <v>-0.406263235583187</v>
      </c>
      <c r="AC720">
        <v>-0.28654876905176402</v>
      </c>
    </row>
    <row r="721" spans="1:29" x14ac:dyDescent="0.2">
      <c r="A721">
        <v>720</v>
      </c>
      <c r="B721" t="s">
        <v>875</v>
      </c>
      <c r="C721" t="s">
        <v>226</v>
      </c>
      <c r="D721" t="s">
        <v>134</v>
      </c>
      <c r="E721">
        <v>-1.84747086730889E-2</v>
      </c>
      <c r="F721">
        <v>-0.36777760858959901</v>
      </c>
      <c r="G721">
        <v>1.89494962239894E-2</v>
      </c>
      <c r="H721">
        <v>-0.625265671948389</v>
      </c>
      <c r="I721">
        <v>-0.64421516817237801</v>
      </c>
      <c r="J721">
        <v>-0.34930289991650998</v>
      </c>
      <c r="K721">
        <v>1.89494962239894E-2</v>
      </c>
      <c r="L721">
        <v>-1.84747086730889E-2</v>
      </c>
      <c r="M721">
        <v>-0.38672710481358802</v>
      </c>
      <c r="N721">
        <v>-0.34930289991650998</v>
      </c>
      <c r="O721">
        <v>-0.64421516817237801</v>
      </c>
      <c r="P721">
        <v>-0.60679096327530002</v>
      </c>
      <c r="Q721" t="s">
        <v>1173</v>
      </c>
      <c r="R721" t="s">
        <v>1067</v>
      </c>
      <c r="S721" t="s">
        <v>1173</v>
      </c>
      <c r="T721" t="s">
        <v>1067</v>
      </c>
      <c r="U721" t="s">
        <v>1174</v>
      </c>
      <c r="V721">
        <v>1</v>
      </c>
      <c r="W721" t="s">
        <v>1174</v>
      </c>
      <c r="X721" t="s">
        <v>1175</v>
      </c>
      <c r="Y721">
        <v>1</v>
      </c>
      <c r="Z721">
        <v>-0.43773989368668698</v>
      </c>
      <c r="AA721">
        <v>-0.31652060609282001</v>
      </c>
      <c r="AB721">
        <v>-0.32512191964071602</v>
      </c>
      <c r="AC721">
        <v>-0.34374714384043698</v>
      </c>
    </row>
    <row r="722" spans="1:29" x14ac:dyDescent="0.2">
      <c r="A722">
        <v>721</v>
      </c>
      <c r="B722" t="s">
        <v>876</v>
      </c>
      <c r="C722" t="s">
        <v>226</v>
      </c>
      <c r="D722" t="s">
        <v>136</v>
      </c>
      <c r="E722">
        <v>-0.386836591238508</v>
      </c>
      <c r="F722">
        <v>-0.26951826062485401</v>
      </c>
      <c r="G722">
        <v>1.8949495807629502E-2</v>
      </c>
      <c r="H722">
        <v>-0.46433618836813001</v>
      </c>
      <c r="I722">
        <v>-0.48328568417576001</v>
      </c>
      <c r="J722">
        <v>0.117318330613654</v>
      </c>
      <c r="K722">
        <v>1.8949495807629502E-2</v>
      </c>
      <c r="L722">
        <v>-0.386836591238508</v>
      </c>
      <c r="M722">
        <v>-0.28846775643248401</v>
      </c>
      <c r="N722">
        <v>0.117318330613654</v>
      </c>
      <c r="O722">
        <v>-0.48328568417576001</v>
      </c>
      <c r="P722">
        <v>-7.7499597129621997E-2</v>
      </c>
      <c r="Q722" t="s">
        <v>1067</v>
      </c>
      <c r="R722" t="s">
        <v>1067</v>
      </c>
      <c r="S722" t="s">
        <v>1173</v>
      </c>
      <c r="T722" t="s">
        <v>1067</v>
      </c>
      <c r="U722" t="s">
        <v>944</v>
      </c>
      <c r="V722">
        <v>1</v>
      </c>
      <c r="W722" t="s">
        <v>944</v>
      </c>
      <c r="X722" t="s">
        <v>1175</v>
      </c>
      <c r="Y722">
        <v>1</v>
      </c>
      <c r="Z722">
        <v>-0.51643077281360195</v>
      </c>
      <c r="AA722">
        <v>-0.32600341008977202</v>
      </c>
      <c r="AB722">
        <v>-0.21332030173205099</v>
      </c>
      <c r="AC722">
        <v>-0.25744172386069503</v>
      </c>
    </row>
    <row r="723" spans="1:29" x14ac:dyDescent="0.2">
      <c r="A723">
        <v>722</v>
      </c>
      <c r="B723" t="s">
        <v>877</v>
      </c>
      <c r="C723" t="s">
        <v>226</v>
      </c>
      <c r="D723" t="s">
        <v>138</v>
      </c>
      <c r="E723">
        <v>-0.61805422488662398</v>
      </c>
      <c r="F723">
        <v>0.25111129098146501</v>
      </c>
      <c r="G723">
        <v>-0.328894138238923</v>
      </c>
      <c r="H723">
        <v>0.143815928999384</v>
      </c>
      <c r="I723">
        <v>0.472710067238307</v>
      </c>
      <c r="J723">
        <v>0.86916551586808899</v>
      </c>
      <c r="K723">
        <v>-0.328894138238923</v>
      </c>
      <c r="L723">
        <v>-0.61805422488662398</v>
      </c>
      <c r="M723">
        <v>0.580005429220388</v>
      </c>
      <c r="N723">
        <v>0.86916551586808899</v>
      </c>
      <c r="O723">
        <v>0.472710067238307</v>
      </c>
      <c r="P723">
        <v>0.76187015388600798</v>
      </c>
      <c r="Q723" t="s">
        <v>1067</v>
      </c>
      <c r="R723" t="s">
        <v>1068</v>
      </c>
      <c r="S723" t="s">
        <v>1067</v>
      </c>
      <c r="T723" t="s">
        <v>1068</v>
      </c>
      <c r="U723" t="s">
        <v>944</v>
      </c>
      <c r="V723">
        <v>0</v>
      </c>
      <c r="W723" t="s">
        <v>944</v>
      </c>
      <c r="X723" t="s">
        <v>1175</v>
      </c>
      <c r="Y723">
        <v>1</v>
      </c>
      <c r="Z723">
        <v>0.33410203489070101</v>
      </c>
      <c r="AA723">
        <v>-0.165480069196829</v>
      </c>
      <c r="AB723">
        <v>0.43895918943978202</v>
      </c>
      <c r="AC723">
        <v>-0.17833519311927701</v>
      </c>
    </row>
    <row r="724" spans="1:29" x14ac:dyDescent="0.2">
      <c r="A724">
        <v>723</v>
      </c>
      <c r="B724" t="s">
        <v>878</v>
      </c>
      <c r="C724" t="s">
        <v>226</v>
      </c>
      <c r="D724" t="s">
        <v>140</v>
      </c>
      <c r="E724">
        <v>-0.43365644693744099</v>
      </c>
      <c r="F724">
        <v>-0.39606975610853301</v>
      </c>
      <c r="G724">
        <v>0.35862106687962703</v>
      </c>
      <c r="H724">
        <v>-0.685701707573523</v>
      </c>
      <c r="I724">
        <v>-1.04432277445315</v>
      </c>
      <c r="J724">
        <v>3.7586690828907997E-2</v>
      </c>
      <c r="K724">
        <v>0.35862106687962703</v>
      </c>
      <c r="L724">
        <v>-0.43365644693744099</v>
      </c>
      <c r="M724">
        <v>-0.75469082298816004</v>
      </c>
      <c r="N724">
        <v>3.7586690828907997E-2</v>
      </c>
      <c r="O724">
        <v>-1.04432277445315</v>
      </c>
      <c r="P724">
        <v>-0.25204526063608201</v>
      </c>
      <c r="Q724" t="s">
        <v>1067</v>
      </c>
      <c r="R724" t="s">
        <v>1067</v>
      </c>
      <c r="S724" t="s">
        <v>1068</v>
      </c>
      <c r="T724" t="s">
        <v>1067</v>
      </c>
      <c r="U724" t="s">
        <v>944</v>
      </c>
      <c r="V724">
        <v>1</v>
      </c>
      <c r="W724" t="s">
        <v>944</v>
      </c>
      <c r="X724" t="s">
        <v>1175</v>
      </c>
      <c r="Y724">
        <v>0</v>
      </c>
      <c r="Z724">
        <v>-0.50386670013574397</v>
      </c>
      <c r="AA724">
        <v>-0.26127169853821902</v>
      </c>
      <c r="AB724">
        <v>-0.42065579209965298</v>
      </c>
      <c r="AC724">
        <v>-0.284865909098863</v>
      </c>
    </row>
    <row r="725" spans="1:29" x14ac:dyDescent="0.2">
      <c r="A725">
        <v>724</v>
      </c>
      <c r="B725" t="s">
        <v>879</v>
      </c>
      <c r="C725" t="s">
        <v>226</v>
      </c>
      <c r="D725" t="s">
        <v>142</v>
      </c>
      <c r="E725">
        <v>-0.48454978830004503</v>
      </c>
      <c r="F725">
        <v>0.50036083681268295</v>
      </c>
      <c r="G725">
        <v>1.8949496261576399E-2</v>
      </c>
      <c r="H725">
        <v>0.50950444153542296</v>
      </c>
      <c r="I725">
        <v>0.49055494527384702</v>
      </c>
      <c r="J725">
        <v>0.98491062511272798</v>
      </c>
      <c r="K725">
        <v>1.8949496261576399E-2</v>
      </c>
      <c r="L725">
        <v>-0.48454978830004503</v>
      </c>
      <c r="M725">
        <v>0.48141134055110701</v>
      </c>
      <c r="N725">
        <v>0.98491062511272798</v>
      </c>
      <c r="O725">
        <v>0.49055494527384702</v>
      </c>
      <c r="P725">
        <v>0.99405422983546798</v>
      </c>
      <c r="Q725" t="s">
        <v>1067</v>
      </c>
      <c r="R725" t="s">
        <v>1068</v>
      </c>
      <c r="S725" t="s">
        <v>1173</v>
      </c>
      <c r="T725" t="s">
        <v>1068</v>
      </c>
      <c r="U725" t="s">
        <v>944</v>
      </c>
      <c r="V725">
        <v>0</v>
      </c>
      <c r="W725" t="s">
        <v>944</v>
      </c>
      <c r="X725" t="s">
        <v>1175</v>
      </c>
      <c r="Y725">
        <v>1</v>
      </c>
      <c r="Z725">
        <v>0.46562465524457203</v>
      </c>
      <c r="AA725">
        <v>-0.207658828840427</v>
      </c>
      <c r="AB725">
        <v>0.58353763617752896</v>
      </c>
      <c r="AC725">
        <v>-0.15572279188722599</v>
      </c>
    </row>
    <row r="726" spans="1:29" x14ac:dyDescent="0.2">
      <c r="A726">
        <v>725</v>
      </c>
      <c r="B726" t="s">
        <v>880</v>
      </c>
      <c r="C726" t="s">
        <v>226</v>
      </c>
      <c r="D726" t="s">
        <v>144</v>
      </c>
      <c r="E726">
        <v>0.54406938556704598</v>
      </c>
      <c r="F726">
        <v>0.59746744408407304</v>
      </c>
      <c r="G726">
        <v>0.365192211047281</v>
      </c>
      <c r="H726">
        <v>0.55179350354081802</v>
      </c>
      <c r="I726">
        <v>0.18660129249353699</v>
      </c>
      <c r="J726">
        <v>5.33980585170271E-2</v>
      </c>
      <c r="K726">
        <v>0.54406938556704598</v>
      </c>
      <c r="L726">
        <v>0.365192211047281</v>
      </c>
      <c r="M726">
        <v>5.33980585170271E-2</v>
      </c>
      <c r="N726">
        <v>0.23227523303679201</v>
      </c>
      <c r="O726">
        <v>7.7241179737720404E-3</v>
      </c>
      <c r="P726">
        <v>0.18660129249353699</v>
      </c>
      <c r="Q726" t="s">
        <v>1068</v>
      </c>
      <c r="R726" t="s">
        <v>1068</v>
      </c>
      <c r="S726" t="s">
        <v>1068</v>
      </c>
      <c r="T726" t="s">
        <v>1068</v>
      </c>
      <c r="U726" t="s">
        <v>944</v>
      </c>
      <c r="V726">
        <v>0</v>
      </c>
      <c r="W726" t="s">
        <v>944</v>
      </c>
      <c r="X726" t="s">
        <v>1176</v>
      </c>
      <c r="Y726">
        <v>0</v>
      </c>
      <c r="Z726">
        <v>-0.36168103953668701</v>
      </c>
      <c r="AA726">
        <v>-0.30734367277622898</v>
      </c>
      <c r="AB726">
        <v>-0.26402834908761502</v>
      </c>
      <c r="AC726">
        <v>-0.34382950197532502</v>
      </c>
    </row>
    <row r="727" spans="1:29" x14ac:dyDescent="0.2">
      <c r="A727">
        <v>726</v>
      </c>
      <c r="B727" t="s">
        <v>881</v>
      </c>
      <c r="C727" t="s">
        <v>226</v>
      </c>
      <c r="D727" t="s">
        <v>146</v>
      </c>
      <c r="E727">
        <v>3.6712908731659699E-3</v>
      </c>
      <c r="F727">
        <v>-0.35383727971046403</v>
      </c>
      <c r="G727">
        <v>-0.13615151919853899</v>
      </c>
      <c r="H727">
        <v>-0.64557039245680603</v>
      </c>
      <c r="I727">
        <v>-0.50941887325826696</v>
      </c>
      <c r="J727">
        <v>-0.35750857058363</v>
      </c>
      <c r="K727">
        <v>3.6712908731659699E-3</v>
      </c>
      <c r="L727">
        <v>-0.13615151919853899</v>
      </c>
      <c r="M727">
        <v>-0.35750857058363</v>
      </c>
      <c r="N727">
        <v>-0.21768576051192501</v>
      </c>
      <c r="O727">
        <v>-0.64924168332997201</v>
      </c>
      <c r="P727">
        <v>-0.50941887325826696</v>
      </c>
      <c r="Q727" t="s">
        <v>1173</v>
      </c>
      <c r="R727" t="s">
        <v>1067</v>
      </c>
      <c r="S727" t="s">
        <v>1067</v>
      </c>
      <c r="T727" t="s">
        <v>1067</v>
      </c>
      <c r="U727" t="s">
        <v>1174</v>
      </c>
      <c r="V727">
        <v>1</v>
      </c>
      <c r="W727" t="s">
        <v>1174</v>
      </c>
      <c r="X727" t="s">
        <v>1175</v>
      </c>
      <c r="Y727">
        <v>1</v>
      </c>
      <c r="Z727">
        <v>-0.33467474782527501</v>
      </c>
      <c r="AA727">
        <v>-0.24163535034288799</v>
      </c>
      <c r="AB727">
        <v>-0.44562414440026299</v>
      </c>
      <c r="AC727">
        <v>-0.367316626710609</v>
      </c>
    </row>
    <row r="728" spans="1:29" x14ac:dyDescent="0.2">
      <c r="A728">
        <v>727</v>
      </c>
      <c r="B728" t="s">
        <v>882</v>
      </c>
      <c r="C728" t="s">
        <v>226</v>
      </c>
      <c r="D728" t="s">
        <v>148</v>
      </c>
      <c r="E728">
        <v>5.69178517733539E-2</v>
      </c>
      <c r="F728">
        <v>-1</v>
      </c>
      <c r="G728">
        <v>1.8991384927665701E-2</v>
      </c>
      <c r="H728">
        <v>-1</v>
      </c>
      <c r="I728">
        <v>-1.0189913849276699</v>
      </c>
      <c r="J728">
        <v>-1.05691785177335</v>
      </c>
      <c r="K728">
        <v>5.69178517733539E-2</v>
      </c>
      <c r="L728">
        <v>1.8991384927665701E-2</v>
      </c>
      <c r="M728">
        <v>-1.05691785177335</v>
      </c>
      <c r="N728">
        <v>-1.0189913849276699</v>
      </c>
      <c r="O728">
        <v>-1.05691785177335</v>
      </c>
      <c r="P728">
        <v>-1.0189913849276699</v>
      </c>
      <c r="Q728" t="s">
        <v>1173</v>
      </c>
      <c r="R728" t="s">
        <v>1067</v>
      </c>
      <c r="S728" t="s">
        <v>1173</v>
      </c>
      <c r="T728" t="s">
        <v>1067</v>
      </c>
      <c r="U728" t="s">
        <v>1174</v>
      </c>
      <c r="V728">
        <v>1</v>
      </c>
      <c r="W728" t="s">
        <v>1174</v>
      </c>
      <c r="X728" t="s">
        <v>1175</v>
      </c>
      <c r="Y728">
        <v>1</v>
      </c>
      <c r="Z728">
        <v>-0.69399802801502997</v>
      </c>
      <c r="AA728">
        <v>-0.34740796114646999</v>
      </c>
      <c r="AB728">
        <v>-0.40492056325738701</v>
      </c>
      <c r="AC728">
        <v>-0.28424806093900401</v>
      </c>
    </row>
    <row r="729" spans="1:29" x14ac:dyDescent="0.2">
      <c r="A729">
        <v>728</v>
      </c>
      <c r="B729" t="s">
        <v>883</v>
      </c>
      <c r="C729" t="s">
        <v>226</v>
      </c>
      <c r="D729" t="s">
        <v>150</v>
      </c>
      <c r="E729">
        <v>4.7251670552862597E-3</v>
      </c>
      <c r="F729">
        <v>-0.36601301892691002</v>
      </c>
      <c r="G729">
        <v>-3.3254099453929098E-2</v>
      </c>
      <c r="H729">
        <v>-0.65736553683602095</v>
      </c>
      <c r="I729">
        <v>-0.62411143738209196</v>
      </c>
      <c r="J729">
        <v>-0.37073818598219599</v>
      </c>
      <c r="K729">
        <v>4.7251670552862597E-3</v>
      </c>
      <c r="L729">
        <v>-3.3254099453929098E-2</v>
      </c>
      <c r="M729">
        <v>-0.37073818598219599</v>
      </c>
      <c r="N729">
        <v>-0.33275891947298097</v>
      </c>
      <c r="O729">
        <v>-0.66209070389130698</v>
      </c>
      <c r="P729">
        <v>-0.62411143738209196</v>
      </c>
      <c r="Q729" t="s">
        <v>1173</v>
      </c>
      <c r="R729" t="s">
        <v>1067</v>
      </c>
      <c r="S729" t="s">
        <v>1173</v>
      </c>
      <c r="T729" t="s">
        <v>1067</v>
      </c>
      <c r="U729" t="s">
        <v>1174</v>
      </c>
      <c r="V729">
        <v>1</v>
      </c>
      <c r="W729" t="s">
        <v>1174</v>
      </c>
      <c r="X729" t="s">
        <v>1175</v>
      </c>
      <c r="Y729">
        <v>1</v>
      </c>
      <c r="Z729">
        <v>-0.42364827970144198</v>
      </c>
      <c r="AA729">
        <v>-0.278548203011033</v>
      </c>
      <c r="AB729">
        <v>-0.448671728278559</v>
      </c>
      <c r="AC729">
        <v>-0.36797117738464702</v>
      </c>
    </row>
    <row r="730" spans="1:29" x14ac:dyDescent="0.2">
      <c r="A730">
        <v>729</v>
      </c>
      <c r="B730" t="s">
        <v>884</v>
      </c>
      <c r="C730" t="s">
        <v>226</v>
      </c>
      <c r="D730" t="s">
        <v>204</v>
      </c>
      <c r="E730">
        <v>-0.31113470151664602</v>
      </c>
      <c r="F730">
        <v>-1</v>
      </c>
      <c r="G730">
        <v>-3.6864715371137897E-2</v>
      </c>
      <c r="H730">
        <v>-1</v>
      </c>
      <c r="I730">
        <v>-0.963135284628862</v>
      </c>
      <c r="J730">
        <v>-0.68886529848335398</v>
      </c>
      <c r="K730">
        <v>-3.6864715371137897E-2</v>
      </c>
      <c r="L730">
        <v>-0.31113470151664602</v>
      </c>
      <c r="M730">
        <v>-0.963135284628862</v>
      </c>
      <c r="N730">
        <v>-0.68886529848335398</v>
      </c>
      <c r="O730">
        <v>-0.963135284628862</v>
      </c>
      <c r="P730">
        <v>-0.68886529848335398</v>
      </c>
      <c r="Q730" t="s">
        <v>1067</v>
      </c>
      <c r="R730" t="s">
        <v>1067</v>
      </c>
      <c r="S730" t="s">
        <v>1173</v>
      </c>
      <c r="T730" t="s">
        <v>1067</v>
      </c>
      <c r="U730" t="s">
        <v>1174</v>
      </c>
      <c r="V730">
        <v>1</v>
      </c>
      <c r="W730" t="s">
        <v>944</v>
      </c>
      <c r="X730" t="s">
        <v>1175</v>
      </c>
      <c r="Y730">
        <v>1</v>
      </c>
      <c r="Z730">
        <v>-0.603440520858602</v>
      </c>
      <c r="AA730">
        <v>-0.29590981146433198</v>
      </c>
      <c r="AB730">
        <v>-0.441673619749619</v>
      </c>
      <c r="AC730">
        <v>-0.28587305662418899</v>
      </c>
    </row>
    <row r="731" spans="1:29" x14ac:dyDescent="0.2">
      <c r="A731">
        <v>730</v>
      </c>
      <c r="B731" t="s">
        <v>885</v>
      </c>
      <c r="C731" t="s">
        <v>226</v>
      </c>
      <c r="D731" t="s">
        <v>152</v>
      </c>
      <c r="E731">
        <v>-0.48422596479951602</v>
      </c>
      <c r="F731">
        <v>0.49905684380758603</v>
      </c>
      <c r="G731">
        <v>1.8949496238445902E-2</v>
      </c>
      <c r="H731">
        <v>0.50822879663340803</v>
      </c>
      <c r="I731">
        <v>0.48927930039496198</v>
      </c>
      <c r="J731">
        <v>0.98328280860710204</v>
      </c>
      <c r="K731">
        <v>1.8949496238445902E-2</v>
      </c>
      <c r="L731">
        <v>-0.48422596479951602</v>
      </c>
      <c r="M731">
        <v>0.48010734756913998</v>
      </c>
      <c r="N731">
        <v>0.98328280860710204</v>
      </c>
      <c r="O731">
        <v>0.48927930039496198</v>
      </c>
      <c r="P731">
        <v>0.99245476143292399</v>
      </c>
      <c r="Q731" t="s">
        <v>1067</v>
      </c>
      <c r="R731" t="s">
        <v>1068</v>
      </c>
      <c r="S731" t="s">
        <v>1173</v>
      </c>
      <c r="T731" t="s">
        <v>1068</v>
      </c>
      <c r="U731" t="s">
        <v>944</v>
      </c>
      <c r="V731">
        <v>0</v>
      </c>
      <c r="W731" t="s">
        <v>944</v>
      </c>
      <c r="X731" t="s">
        <v>1175</v>
      </c>
      <c r="Y731">
        <v>1</v>
      </c>
      <c r="Z731">
        <v>0.46575190042150699</v>
      </c>
      <c r="AA731">
        <v>-0.207643494902291</v>
      </c>
      <c r="AB731">
        <v>0.58384756767838897</v>
      </c>
      <c r="AC731">
        <v>-0.155721771099843</v>
      </c>
    </row>
    <row r="732" spans="1:29" x14ac:dyDescent="0.2">
      <c r="A732">
        <v>731</v>
      </c>
      <c r="B732" t="s">
        <v>886</v>
      </c>
      <c r="C732" t="s">
        <v>226</v>
      </c>
      <c r="D732" t="s">
        <v>154</v>
      </c>
      <c r="E732">
        <v>-0.31124090864120602</v>
      </c>
      <c r="F732">
        <v>-1</v>
      </c>
      <c r="G732">
        <v>-3.6864713054068798E-2</v>
      </c>
      <c r="H732">
        <v>-1</v>
      </c>
      <c r="I732">
        <v>-0.96313528694593098</v>
      </c>
      <c r="J732">
        <v>-0.68875909135879398</v>
      </c>
      <c r="K732">
        <v>-3.6864713054068798E-2</v>
      </c>
      <c r="L732">
        <v>-0.31124090864120602</v>
      </c>
      <c r="M732">
        <v>-0.96313528694593098</v>
      </c>
      <c r="N732">
        <v>-0.68875909135879398</v>
      </c>
      <c r="O732">
        <v>-0.96313528694593098</v>
      </c>
      <c r="P732">
        <v>-0.68875909135879398</v>
      </c>
      <c r="Q732" t="s">
        <v>1067</v>
      </c>
      <c r="R732" t="s">
        <v>1067</v>
      </c>
      <c r="S732" t="s">
        <v>1173</v>
      </c>
      <c r="T732" t="s">
        <v>1067</v>
      </c>
      <c r="U732" t="s">
        <v>1174</v>
      </c>
      <c r="V732">
        <v>1</v>
      </c>
      <c r="W732" t="s">
        <v>944</v>
      </c>
      <c r="X732" t="s">
        <v>1175</v>
      </c>
      <c r="Y732">
        <v>1</v>
      </c>
      <c r="Z732">
        <v>-0.60628642768001195</v>
      </c>
      <c r="AA732">
        <v>-0.296252763231386</v>
      </c>
      <c r="AB732">
        <v>-0.44437852763390201</v>
      </c>
      <c r="AC732">
        <v>-0.28616087567569898</v>
      </c>
    </row>
    <row r="733" spans="1:29" x14ac:dyDescent="0.2">
      <c r="A733">
        <v>732</v>
      </c>
      <c r="B733" t="s">
        <v>887</v>
      </c>
      <c r="C733" t="s">
        <v>226</v>
      </c>
      <c r="D733" t="s">
        <v>156</v>
      </c>
      <c r="E733">
        <v>0.68267855876204597</v>
      </c>
      <c r="F733">
        <v>0.26481860224242199</v>
      </c>
      <c r="G733">
        <v>1.89494962239894E-2</v>
      </c>
      <c r="H733">
        <v>7.5812794327496102E-2</v>
      </c>
      <c r="I733">
        <v>5.6863298103506703E-2</v>
      </c>
      <c r="J733">
        <v>-0.41785995651962399</v>
      </c>
      <c r="K733">
        <v>0.68267855876204597</v>
      </c>
      <c r="L733">
        <v>1.89494962239894E-2</v>
      </c>
      <c r="M733">
        <v>-0.41785995651962399</v>
      </c>
      <c r="N733">
        <v>0.24586910601843301</v>
      </c>
      <c r="O733">
        <v>-0.60686576443454998</v>
      </c>
      <c r="P733">
        <v>5.6863298103506703E-2</v>
      </c>
      <c r="Q733" t="s">
        <v>1068</v>
      </c>
      <c r="R733" t="s">
        <v>1068</v>
      </c>
      <c r="S733" t="s">
        <v>1173</v>
      </c>
      <c r="T733" t="s">
        <v>1173</v>
      </c>
      <c r="U733" t="s">
        <v>1174</v>
      </c>
      <c r="V733">
        <v>0</v>
      </c>
      <c r="W733" t="s">
        <v>944</v>
      </c>
      <c r="X733" t="s">
        <v>1175</v>
      </c>
      <c r="Y733">
        <v>1</v>
      </c>
      <c r="Z733">
        <v>-0.47526658124988802</v>
      </c>
      <c r="AA733">
        <v>-0.32104283569255199</v>
      </c>
      <c r="AB733">
        <v>-0.16770005855459399</v>
      </c>
      <c r="AC733">
        <v>-0.25140322529620301</v>
      </c>
    </row>
    <row r="734" spans="1:29" x14ac:dyDescent="0.2">
      <c r="A734">
        <v>733</v>
      </c>
      <c r="B734" t="s">
        <v>888</v>
      </c>
      <c r="C734" t="s">
        <v>226</v>
      </c>
      <c r="D734" t="s">
        <v>158</v>
      </c>
      <c r="E734">
        <v>-0.30939444227497198</v>
      </c>
      <c r="F734">
        <v>-1</v>
      </c>
      <c r="G734">
        <v>-3.6491412992574697E-2</v>
      </c>
      <c r="H734">
        <v>-1</v>
      </c>
      <c r="I734">
        <v>-0.96350858700742503</v>
      </c>
      <c r="J734">
        <v>-0.69060555772502796</v>
      </c>
      <c r="K734">
        <v>-3.6491412992574697E-2</v>
      </c>
      <c r="L734">
        <v>-0.30939444227497198</v>
      </c>
      <c r="M734">
        <v>-0.96350858700742503</v>
      </c>
      <c r="N734">
        <v>-0.69060555772502796</v>
      </c>
      <c r="O734">
        <v>-0.96350858700742503</v>
      </c>
      <c r="P734">
        <v>-0.69060555772502796</v>
      </c>
      <c r="Q734" t="s">
        <v>1067</v>
      </c>
      <c r="R734" t="s">
        <v>1067</v>
      </c>
      <c r="S734" t="s">
        <v>1173</v>
      </c>
      <c r="T734" t="s">
        <v>1067</v>
      </c>
      <c r="U734" t="s">
        <v>1174</v>
      </c>
      <c r="V734">
        <v>1</v>
      </c>
      <c r="W734" t="s">
        <v>944</v>
      </c>
      <c r="X734" t="s">
        <v>1175</v>
      </c>
      <c r="Y734">
        <v>1</v>
      </c>
      <c r="Z734">
        <v>-0.61240701427589195</v>
      </c>
      <c r="AA734">
        <v>-0.29743397999587001</v>
      </c>
      <c r="AB734">
        <v>-0.450845656392172</v>
      </c>
      <c r="AC734">
        <v>-0.28697609265059898</v>
      </c>
    </row>
    <row r="735" spans="1:29" x14ac:dyDescent="0.2">
      <c r="A735">
        <v>734</v>
      </c>
      <c r="B735" t="s">
        <v>889</v>
      </c>
      <c r="C735" t="s">
        <v>226</v>
      </c>
      <c r="D735" t="s">
        <v>160</v>
      </c>
      <c r="E735">
        <v>-0.36422945761518</v>
      </c>
      <c r="F735">
        <v>-0.60115407346101302</v>
      </c>
      <c r="G735">
        <v>1.8233452062929301E-2</v>
      </c>
      <c r="H735">
        <v>-0.94408286330487401</v>
      </c>
      <c r="I735">
        <v>-0.96231631536780304</v>
      </c>
      <c r="J735">
        <v>-0.23692461584583299</v>
      </c>
      <c r="K735">
        <v>1.8233452062929301E-2</v>
      </c>
      <c r="L735">
        <v>-0.36422945761518</v>
      </c>
      <c r="M735">
        <v>-0.61938752552394205</v>
      </c>
      <c r="N735">
        <v>-0.23692461584583299</v>
      </c>
      <c r="O735">
        <v>-0.96231631536780304</v>
      </c>
      <c r="P735">
        <v>-0.57985340568969401</v>
      </c>
      <c r="Q735" t="s">
        <v>1067</v>
      </c>
      <c r="R735" t="s">
        <v>1067</v>
      </c>
      <c r="S735" t="s">
        <v>1173</v>
      </c>
      <c r="T735" t="s">
        <v>1067</v>
      </c>
      <c r="U735" t="s">
        <v>1174</v>
      </c>
      <c r="V735">
        <v>1</v>
      </c>
      <c r="W735" t="s">
        <v>944</v>
      </c>
      <c r="X735" t="s">
        <v>1175</v>
      </c>
      <c r="Y735">
        <v>1</v>
      </c>
      <c r="Z735">
        <v>-0.513991988201146</v>
      </c>
      <c r="AA735">
        <v>-0.32549461533948298</v>
      </c>
      <c r="AB735">
        <v>-0.21257299754603001</v>
      </c>
      <c r="AC735">
        <v>-0.25775032987900398</v>
      </c>
    </row>
    <row r="736" spans="1:29" x14ac:dyDescent="0.2">
      <c r="A736">
        <v>735</v>
      </c>
      <c r="B736" t="s">
        <v>890</v>
      </c>
      <c r="C736" t="s">
        <v>226</v>
      </c>
      <c r="D736" t="s">
        <v>162</v>
      </c>
      <c r="E736">
        <v>4.7251670552862597E-3</v>
      </c>
      <c r="F736">
        <v>0.25581372252814299</v>
      </c>
      <c r="G736">
        <v>0.31762796927728898</v>
      </c>
      <c r="H736">
        <v>0.102881782586755</v>
      </c>
      <c r="I736">
        <v>-0.214746186690534</v>
      </c>
      <c r="J736">
        <v>0.25108855547285702</v>
      </c>
      <c r="K736">
        <v>0.31762796927728898</v>
      </c>
      <c r="L736">
        <v>4.7251670552862597E-3</v>
      </c>
      <c r="M736">
        <v>-6.1814246749145998E-2</v>
      </c>
      <c r="N736">
        <v>0.25108855547285702</v>
      </c>
      <c r="O736">
        <v>-0.214746186690534</v>
      </c>
      <c r="P736">
        <v>9.8156615531468705E-2</v>
      </c>
      <c r="Q736" t="s">
        <v>1173</v>
      </c>
      <c r="R736" t="s">
        <v>1068</v>
      </c>
      <c r="S736" t="s">
        <v>1068</v>
      </c>
      <c r="T736" t="s">
        <v>1068</v>
      </c>
      <c r="U736" t="s">
        <v>944</v>
      </c>
      <c r="V736">
        <v>1</v>
      </c>
      <c r="W736" t="s">
        <v>944</v>
      </c>
      <c r="X736" t="s">
        <v>1175</v>
      </c>
      <c r="Y736">
        <v>1</v>
      </c>
      <c r="Z736">
        <v>-0.40425007427147702</v>
      </c>
      <c r="AA736">
        <v>-0.270857606501406</v>
      </c>
      <c r="AB736">
        <v>-0.447279162518746</v>
      </c>
      <c r="AC736">
        <v>-0.36778910277841498</v>
      </c>
    </row>
    <row r="737" spans="1:29" x14ac:dyDescent="0.2">
      <c r="A737">
        <v>736</v>
      </c>
      <c r="B737" t="s">
        <v>891</v>
      </c>
      <c r="C737" t="s">
        <v>226</v>
      </c>
      <c r="D737" t="s">
        <v>220</v>
      </c>
      <c r="E737">
        <v>4.7251670552862597E-3</v>
      </c>
      <c r="F737">
        <v>-0.36239120007502401</v>
      </c>
      <c r="G737">
        <v>-5.4873460498663401E-2</v>
      </c>
      <c r="H737">
        <v>-0.64825936108389104</v>
      </c>
      <c r="I737">
        <v>-0.593385900585228</v>
      </c>
      <c r="J737">
        <v>-0.36711636713030998</v>
      </c>
      <c r="K737">
        <v>4.7251670552862597E-3</v>
      </c>
      <c r="L737">
        <v>-5.4873460498663401E-2</v>
      </c>
      <c r="M737">
        <v>-0.36711636713030998</v>
      </c>
      <c r="N737">
        <v>-0.30751773957636103</v>
      </c>
      <c r="O737">
        <v>-0.65298452813917696</v>
      </c>
      <c r="P737">
        <v>-0.593385900585228</v>
      </c>
      <c r="Q737" t="s">
        <v>1173</v>
      </c>
      <c r="R737" t="s">
        <v>1067</v>
      </c>
      <c r="S737" t="s">
        <v>1173</v>
      </c>
      <c r="T737" t="s">
        <v>1067</v>
      </c>
      <c r="U737" t="s">
        <v>1174</v>
      </c>
      <c r="V737">
        <v>1</v>
      </c>
      <c r="W737" t="s">
        <v>1174</v>
      </c>
      <c r="X737" t="s">
        <v>1175</v>
      </c>
      <c r="Y737">
        <v>1</v>
      </c>
      <c r="Z737">
        <v>-0.39085093761824302</v>
      </c>
      <c r="AA737">
        <v>-0.265223242932837</v>
      </c>
      <c r="AB737">
        <v>-0.44764021296150902</v>
      </c>
      <c r="AC737">
        <v>-0.36783630925088001</v>
      </c>
    </row>
    <row r="738" spans="1:29" x14ac:dyDescent="0.2">
      <c r="A738">
        <v>737</v>
      </c>
      <c r="B738" t="s">
        <v>892</v>
      </c>
      <c r="C738" t="s">
        <v>226</v>
      </c>
      <c r="D738" t="s">
        <v>164</v>
      </c>
      <c r="E738">
        <v>-0.413697589126231</v>
      </c>
      <c r="F738">
        <v>0.189358882804328</v>
      </c>
      <c r="G738">
        <v>-1.10183646814775E-2</v>
      </c>
      <c r="H738">
        <v>4.89337296267848E-2</v>
      </c>
      <c r="I738">
        <v>5.9952094308262302E-2</v>
      </c>
      <c r="J738">
        <v>0.603056471930559</v>
      </c>
      <c r="K738">
        <v>-1.10183646814775E-2</v>
      </c>
      <c r="L738">
        <v>-0.413697589126231</v>
      </c>
      <c r="M738">
        <v>0.20037724748580499</v>
      </c>
      <c r="N738">
        <v>0.603056471930559</v>
      </c>
      <c r="O738">
        <v>5.9952094308262302E-2</v>
      </c>
      <c r="P738">
        <v>0.462631318753016</v>
      </c>
      <c r="Q738" t="s">
        <v>1067</v>
      </c>
      <c r="R738" t="s">
        <v>1068</v>
      </c>
      <c r="S738" t="s">
        <v>1173</v>
      </c>
      <c r="T738" t="s">
        <v>1173</v>
      </c>
      <c r="U738" t="s">
        <v>944</v>
      </c>
      <c r="V738">
        <v>0</v>
      </c>
      <c r="W738" t="s">
        <v>944</v>
      </c>
      <c r="X738" t="s">
        <v>1175</v>
      </c>
      <c r="Y738">
        <v>1</v>
      </c>
      <c r="Z738">
        <v>-0.28416586963558599</v>
      </c>
      <c r="AA738">
        <v>-0.28658307558089402</v>
      </c>
      <c r="AB738">
        <v>-1.2593807183865499E-2</v>
      </c>
      <c r="AC738">
        <v>-0.23459260336965401</v>
      </c>
    </row>
    <row r="739" spans="1:29" x14ac:dyDescent="0.2">
      <c r="A739">
        <v>738</v>
      </c>
      <c r="B739" t="s">
        <v>893</v>
      </c>
      <c r="C739" t="s">
        <v>226</v>
      </c>
      <c r="D739" t="s">
        <v>166</v>
      </c>
      <c r="E739">
        <v>4.7251670552862597E-3</v>
      </c>
      <c r="F739">
        <v>-0.12855883292317999</v>
      </c>
      <c r="G739">
        <v>1.8991384913209799E-2</v>
      </c>
      <c r="H739">
        <v>-0.34876440597748498</v>
      </c>
      <c r="I739">
        <v>-0.36775579089069499</v>
      </c>
      <c r="J739">
        <v>-0.13328399997846599</v>
      </c>
      <c r="K739">
        <v>1.8991384913209799E-2</v>
      </c>
      <c r="L739">
        <v>4.7251670552862597E-3</v>
      </c>
      <c r="M739">
        <v>-0.14755021783639</v>
      </c>
      <c r="N739">
        <v>-0.13328399997846599</v>
      </c>
      <c r="O739">
        <v>-0.36775579089069499</v>
      </c>
      <c r="P739">
        <v>-0.35348957303277101</v>
      </c>
      <c r="Q739" t="s">
        <v>1173</v>
      </c>
      <c r="R739" t="s">
        <v>1067</v>
      </c>
      <c r="S739" t="s">
        <v>1173</v>
      </c>
      <c r="T739" t="s">
        <v>1067</v>
      </c>
      <c r="U739" t="s">
        <v>1174</v>
      </c>
      <c r="V739">
        <v>1</v>
      </c>
      <c r="W739" t="s">
        <v>1174</v>
      </c>
      <c r="X739" t="s">
        <v>1175</v>
      </c>
      <c r="Y739">
        <v>1</v>
      </c>
      <c r="Z739">
        <v>-0.31651602698792197</v>
      </c>
      <c r="AA739">
        <v>-0.30191872697050298</v>
      </c>
      <c r="AB739">
        <v>-0.217041092987559</v>
      </c>
      <c r="AC739">
        <v>-0.33768603184326401</v>
      </c>
    </row>
    <row r="740" spans="1:29" x14ac:dyDescent="0.2">
      <c r="A740">
        <v>739</v>
      </c>
      <c r="B740" t="s">
        <v>894</v>
      </c>
      <c r="C740" t="s">
        <v>226</v>
      </c>
      <c r="D740" t="s">
        <v>168</v>
      </c>
      <c r="E740">
        <v>0.59098317435046299</v>
      </c>
      <c r="F740">
        <v>-0.26705901530168802</v>
      </c>
      <c r="G740">
        <v>0.64982562074552397</v>
      </c>
      <c r="H740">
        <v>-0.52405334169773099</v>
      </c>
      <c r="I740">
        <v>-1.17387896244326</v>
      </c>
      <c r="J740">
        <v>-0.85804218965215096</v>
      </c>
      <c r="K740">
        <v>0.64982562074552397</v>
      </c>
      <c r="L740">
        <v>0.59098317435046299</v>
      </c>
      <c r="M740">
        <v>-0.91688463604721204</v>
      </c>
      <c r="N740">
        <v>-0.85804218965215096</v>
      </c>
      <c r="O740">
        <v>-1.17387896244326</v>
      </c>
      <c r="P740">
        <v>-1.1150365160481901</v>
      </c>
      <c r="Q740" t="s">
        <v>1068</v>
      </c>
      <c r="R740" t="s">
        <v>1067</v>
      </c>
      <c r="S740" t="s">
        <v>1068</v>
      </c>
      <c r="T740" t="s">
        <v>1067</v>
      </c>
      <c r="U740" t="s">
        <v>1174</v>
      </c>
      <c r="V740">
        <v>1</v>
      </c>
      <c r="W740" t="s">
        <v>1174</v>
      </c>
      <c r="X740" t="s">
        <v>1175</v>
      </c>
      <c r="Y740">
        <v>1</v>
      </c>
      <c r="Z740">
        <v>-0.61310656787548101</v>
      </c>
      <c r="AA740">
        <v>-0.30369875994287998</v>
      </c>
      <c r="AB740">
        <v>-0.44553275205706699</v>
      </c>
      <c r="AC740">
        <v>-0.29234365423737302</v>
      </c>
    </row>
    <row r="741" spans="1:29" x14ac:dyDescent="0.2">
      <c r="A741">
        <v>740</v>
      </c>
      <c r="B741" t="s">
        <v>895</v>
      </c>
      <c r="C741" t="s">
        <v>870</v>
      </c>
      <c r="D741" t="s">
        <v>129</v>
      </c>
      <c r="E741">
        <v>-0.279184157160692</v>
      </c>
      <c r="F741">
        <v>-1</v>
      </c>
      <c r="G741">
        <v>-8.2514496996242401E-2</v>
      </c>
      <c r="H741">
        <v>-1</v>
      </c>
      <c r="I741">
        <v>-0.91748550300375797</v>
      </c>
      <c r="J741">
        <v>-0.720815842839308</v>
      </c>
      <c r="K741">
        <v>-8.2514496996242401E-2</v>
      </c>
      <c r="L741">
        <v>-0.279184157160692</v>
      </c>
      <c r="M741">
        <v>-0.91748550300375797</v>
      </c>
      <c r="N741">
        <v>-0.720815842839308</v>
      </c>
      <c r="O741">
        <v>-0.91748550300375797</v>
      </c>
      <c r="P741">
        <v>-0.720815842839308</v>
      </c>
      <c r="Q741" t="s">
        <v>1067</v>
      </c>
      <c r="R741" t="s">
        <v>1067</v>
      </c>
      <c r="S741" t="s">
        <v>1173</v>
      </c>
      <c r="T741" t="s">
        <v>1067</v>
      </c>
      <c r="U741" t="s">
        <v>1174</v>
      </c>
      <c r="V741">
        <v>1</v>
      </c>
      <c r="W741" t="s">
        <v>944</v>
      </c>
      <c r="X741" t="s">
        <v>1175</v>
      </c>
      <c r="Y741">
        <v>1</v>
      </c>
      <c r="Z741">
        <v>-0.51402331974300197</v>
      </c>
      <c r="AA741">
        <v>-0.280043942295915</v>
      </c>
      <c r="AB741">
        <v>-0.35901713578774302</v>
      </c>
      <c r="AC741">
        <v>-0.27164055698176698</v>
      </c>
    </row>
    <row r="742" spans="1:29" x14ac:dyDescent="0.2">
      <c r="A742">
        <v>741</v>
      </c>
      <c r="B742" t="s">
        <v>896</v>
      </c>
      <c r="C742" t="s">
        <v>870</v>
      </c>
      <c r="D742" t="s">
        <v>130</v>
      </c>
      <c r="E742">
        <v>-3.7862257269194302E-2</v>
      </c>
      <c r="F742">
        <v>3.7520684297084397E-2</v>
      </c>
      <c r="G742">
        <v>0.13922990428760301</v>
      </c>
      <c r="H742">
        <v>-8.0217025234184794E-2</v>
      </c>
      <c r="I742">
        <v>-0.21944692952178799</v>
      </c>
      <c r="J742">
        <v>7.5382941566278699E-2</v>
      </c>
      <c r="K742">
        <v>0.13922990428760301</v>
      </c>
      <c r="L742">
        <v>-3.7862257269194302E-2</v>
      </c>
      <c r="M742">
        <v>-0.101709219990519</v>
      </c>
      <c r="N742">
        <v>7.5382941566278699E-2</v>
      </c>
      <c r="O742">
        <v>-0.21944692952178799</v>
      </c>
      <c r="P742">
        <v>-4.2354767964990499E-2</v>
      </c>
      <c r="Q742" t="s">
        <v>1173</v>
      </c>
      <c r="R742" t="s">
        <v>1173</v>
      </c>
      <c r="S742" t="s">
        <v>1068</v>
      </c>
      <c r="T742" t="s">
        <v>1173</v>
      </c>
      <c r="U742" t="s">
        <v>944</v>
      </c>
      <c r="V742">
        <v>1</v>
      </c>
      <c r="W742" t="s">
        <v>944</v>
      </c>
      <c r="X742" t="s">
        <v>1175</v>
      </c>
      <c r="Y742">
        <v>0</v>
      </c>
      <c r="Z742">
        <v>-0.29302526452012401</v>
      </c>
      <c r="AA742">
        <v>-0.21624664367066301</v>
      </c>
      <c r="AB742">
        <v>-0.45780330714733503</v>
      </c>
      <c r="AC742">
        <v>-0.362319415945211</v>
      </c>
    </row>
    <row r="743" spans="1:29" x14ac:dyDescent="0.2">
      <c r="A743">
        <v>742</v>
      </c>
      <c r="B743" t="s">
        <v>897</v>
      </c>
      <c r="C743" t="s">
        <v>870</v>
      </c>
      <c r="D743" t="s">
        <v>132</v>
      </c>
      <c r="E743">
        <v>-0.37616041407005502</v>
      </c>
      <c r="F743">
        <v>-1</v>
      </c>
      <c r="G743">
        <v>-9.2151739446919803E-2</v>
      </c>
      <c r="H743">
        <v>-1</v>
      </c>
      <c r="I743">
        <v>-0.90784826055307999</v>
      </c>
      <c r="J743">
        <v>-0.62383958592994504</v>
      </c>
      <c r="K743">
        <v>-9.2151739446919803E-2</v>
      </c>
      <c r="L743">
        <v>-0.37616041407005502</v>
      </c>
      <c r="M743">
        <v>-0.90784826055307999</v>
      </c>
      <c r="N743">
        <v>-0.62383958592994504</v>
      </c>
      <c r="O743">
        <v>-0.90784826055307999</v>
      </c>
      <c r="P743">
        <v>-0.62383958592994504</v>
      </c>
      <c r="Q743" t="s">
        <v>1067</v>
      </c>
      <c r="R743" t="s">
        <v>1067</v>
      </c>
      <c r="S743" t="s">
        <v>1173</v>
      </c>
      <c r="T743" t="s">
        <v>1067</v>
      </c>
      <c r="U743" t="s">
        <v>1174</v>
      </c>
      <c r="V743">
        <v>1</v>
      </c>
      <c r="W743" t="s">
        <v>944</v>
      </c>
      <c r="X743" t="s">
        <v>1175</v>
      </c>
      <c r="Y743">
        <v>1</v>
      </c>
      <c r="Z743">
        <v>-0.56277419067090695</v>
      </c>
      <c r="AA743">
        <v>-0.28599016487693202</v>
      </c>
      <c r="AB743">
        <v>-0.41630681130233199</v>
      </c>
      <c r="AC743">
        <v>-0.28104375996190201</v>
      </c>
    </row>
    <row r="744" spans="1:29" x14ac:dyDescent="0.2">
      <c r="A744">
        <v>743</v>
      </c>
      <c r="B744" t="s">
        <v>898</v>
      </c>
      <c r="C744" t="s">
        <v>870</v>
      </c>
      <c r="D744" t="s">
        <v>175</v>
      </c>
      <c r="E744">
        <v>0.90666815540634604</v>
      </c>
      <c r="F744">
        <v>-2.6198558987365001E-3</v>
      </c>
      <c r="G744">
        <v>0.71851313966630703</v>
      </c>
      <c r="H744">
        <v>-0.14217523661187201</v>
      </c>
      <c r="I744">
        <v>-0.86068837627817896</v>
      </c>
      <c r="J744">
        <v>-0.90928801130508297</v>
      </c>
      <c r="K744">
        <v>0.90666815540634604</v>
      </c>
      <c r="L744">
        <v>0.71851313966630703</v>
      </c>
      <c r="M744">
        <v>-0.90928801130508297</v>
      </c>
      <c r="N744">
        <v>-0.72113299556504395</v>
      </c>
      <c r="O744">
        <v>-1.0488433920182201</v>
      </c>
      <c r="P744">
        <v>-0.86068837627817896</v>
      </c>
      <c r="Q744" t="s">
        <v>1068</v>
      </c>
      <c r="R744" t="s">
        <v>1173</v>
      </c>
      <c r="S744" t="s">
        <v>1068</v>
      </c>
      <c r="T744" t="s">
        <v>1067</v>
      </c>
      <c r="U744" t="s">
        <v>1174</v>
      </c>
      <c r="V744">
        <v>1</v>
      </c>
      <c r="W744" t="s">
        <v>1174</v>
      </c>
      <c r="X744" t="s">
        <v>1176</v>
      </c>
      <c r="Y744">
        <v>1</v>
      </c>
      <c r="Z744">
        <v>-0.60604750033823895</v>
      </c>
      <c r="AA744">
        <v>-0.28556517859394298</v>
      </c>
      <c r="AB744">
        <v>-0.46969825528069298</v>
      </c>
      <c r="AC744">
        <v>-0.283487563684652</v>
      </c>
    </row>
    <row r="745" spans="1:29" x14ac:dyDescent="0.2">
      <c r="A745">
        <v>744</v>
      </c>
      <c r="B745" t="s">
        <v>899</v>
      </c>
      <c r="C745" t="s">
        <v>870</v>
      </c>
      <c r="D745" t="s">
        <v>134</v>
      </c>
      <c r="E745">
        <v>-7.5451047602874799E-2</v>
      </c>
      <c r="F745">
        <v>3.7787079695322301E-2</v>
      </c>
      <c r="G745">
        <v>-1.2838473634889399E-2</v>
      </c>
      <c r="H745">
        <v>-1.86825999965172E-2</v>
      </c>
      <c r="I745">
        <v>-5.8441263616277996E-3</v>
      </c>
      <c r="J745">
        <v>0.113238127298197</v>
      </c>
      <c r="K745">
        <v>-1.2838473634889399E-2</v>
      </c>
      <c r="L745">
        <v>-7.5451047602874799E-2</v>
      </c>
      <c r="M745">
        <v>5.0625553330211702E-2</v>
      </c>
      <c r="N745">
        <v>0.113238127298197</v>
      </c>
      <c r="O745">
        <v>-5.8441263616277996E-3</v>
      </c>
      <c r="P745">
        <v>5.6768447606357603E-2</v>
      </c>
      <c r="Q745" t="s">
        <v>1173</v>
      </c>
      <c r="R745" t="s">
        <v>1173</v>
      </c>
      <c r="S745" t="s">
        <v>1173</v>
      </c>
      <c r="T745" t="s">
        <v>1173</v>
      </c>
      <c r="U745" t="s">
        <v>944</v>
      </c>
      <c r="V745">
        <v>1</v>
      </c>
      <c r="W745" t="s">
        <v>944</v>
      </c>
      <c r="X745" t="s">
        <v>1175</v>
      </c>
      <c r="Y745">
        <v>1</v>
      </c>
      <c r="Z745">
        <v>-0.42962863844313198</v>
      </c>
      <c r="AA745">
        <v>-0.30568886088262698</v>
      </c>
      <c r="AB745">
        <v>-0.33516549535986101</v>
      </c>
      <c r="AC745">
        <v>-0.33824213475057502</v>
      </c>
    </row>
    <row r="746" spans="1:29" x14ac:dyDescent="0.2">
      <c r="A746">
        <v>745</v>
      </c>
      <c r="B746" t="s">
        <v>900</v>
      </c>
      <c r="C746" t="s">
        <v>870</v>
      </c>
      <c r="D746" t="s">
        <v>136</v>
      </c>
      <c r="E746">
        <v>-0.34261559119684998</v>
      </c>
      <c r="F746">
        <v>-0.473504290557549</v>
      </c>
      <c r="G746">
        <v>-1.2838473634889399E-2</v>
      </c>
      <c r="H746">
        <v>-0.63459814196265196</v>
      </c>
      <c r="I746">
        <v>-0.62175966832776297</v>
      </c>
      <c r="J746">
        <v>-0.130888699360699</v>
      </c>
      <c r="K746">
        <v>-1.2838473634889399E-2</v>
      </c>
      <c r="L746">
        <v>-0.34261559119684998</v>
      </c>
      <c r="M746">
        <v>-0.46066581692266001</v>
      </c>
      <c r="N746">
        <v>-0.130888699360699</v>
      </c>
      <c r="O746">
        <v>-0.62175966832776297</v>
      </c>
      <c r="P746">
        <v>-0.29198255076580198</v>
      </c>
      <c r="Q746" t="s">
        <v>1067</v>
      </c>
      <c r="R746" t="s">
        <v>1067</v>
      </c>
      <c r="S746" t="s">
        <v>1173</v>
      </c>
      <c r="T746" t="s">
        <v>1067</v>
      </c>
      <c r="U746" t="s">
        <v>1174</v>
      </c>
      <c r="V746">
        <v>1</v>
      </c>
      <c r="W746" t="s">
        <v>944</v>
      </c>
      <c r="X746" t="s">
        <v>1175</v>
      </c>
      <c r="Y746">
        <v>1</v>
      </c>
      <c r="Z746">
        <v>-0.50831951757004701</v>
      </c>
      <c r="AA746">
        <v>-0.31517166487957798</v>
      </c>
      <c r="AB746">
        <v>-0.22336387745119601</v>
      </c>
      <c r="AC746">
        <v>-0.25193671477083202</v>
      </c>
    </row>
    <row r="747" spans="1:29" x14ac:dyDescent="0.2">
      <c r="A747">
        <v>746</v>
      </c>
      <c r="B747" t="s">
        <v>901</v>
      </c>
      <c r="C747" t="s">
        <v>870</v>
      </c>
      <c r="D747" t="s">
        <v>138</v>
      </c>
      <c r="E747">
        <v>-0.34127599233378098</v>
      </c>
      <c r="F747">
        <v>0.52992870793854796</v>
      </c>
      <c r="G747">
        <v>-0.22093277244482401</v>
      </c>
      <c r="H747">
        <v>0.46195036825459201</v>
      </c>
      <c r="I747">
        <v>0.68288314069941602</v>
      </c>
      <c r="J747">
        <v>0.87120470027232899</v>
      </c>
      <c r="K747">
        <v>-0.22093277244482401</v>
      </c>
      <c r="L747">
        <v>-0.34127599233378098</v>
      </c>
      <c r="M747">
        <v>0.75086148038337197</v>
      </c>
      <c r="N747">
        <v>0.87120470027232899</v>
      </c>
      <c r="O747">
        <v>0.68288314069941602</v>
      </c>
      <c r="P747">
        <v>0.80322636058837305</v>
      </c>
      <c r="Q747" t="s">
        <v>1067</v>
      </c>
      <c r="R747" t="s">
        <v>1068</v>
      </c>
      <c r="S747" t="s">
        <v>1067</v>
      </c>
      <c r="T747" t="s">
        <v>1068</v>
      </c>
      <c r="U747" t="s">
        <v>944</v>
      </c>
      <c r="V747">
        <v>0</v>
      </c>
      <c r="W747" t="s">
        <v>944</v>
      </c>
      <c r="X747" t="s">
        <v>1175</v>
      </c>
      <c r="Y747">
        <v>1</v>
      </c>
      <c r="Z747">
        <v>0.342213290134256</v>
      </c>
      <c r="AA747">
        <v>-0.154648323986635</v>
      </c>
      <c r="AB747">
        <v>0.42891561372063602</v>
      </c>
      <c r="AC747">
        <v>-0.172830184029414</v>
      </c>
    </row>
    <row r="748" spans="1:29" x14ac:dyDescent="0.2">
      <c r="A748">
        <v>747</v>
      </c>
      <c r="B748" t="s">
        <v>902</v>
      </c>
      <c r="C748" t="s">
        <v>870</v>
      </c>
      <c r="D748" t="s">
        <v>182</v>
      </c>
      <c r="E748">
        <v>-0.37435628162819401</v>
      </c>
      <c r="F748">
        <v>0.33550978691095001</v>
      </c>
      <c r="G748">
        <v>-9.3606534670360703E-2</v>
      </c>
      <c r="H748">
        <v>0.32031694950033701</v>
      </c>
      <c r="I748">
        <v>0.41392348417069802</v>
      </c>
      <c r="J748">
        <v>0.70986606853914402</v>
      </c>
      <c r="K748">
        <v>-9.3606534670360703E-2</v>
      </c>
      <c r="L748">
        <v>-0.37435628162819401</v>
      </c>
      <c r="M748">
        <v>0.42911632158131102</v>
      </c>
      <c r="N748">
        <v>0.70986606853914402</v>
      </c>
      <c r="O748">
        <v>0.41392348417069802</v>
      </c>
      <c r="P748">
        <v>0.69467323112853097</v>
      </c>
      <c r="Q748" t="s">
        <v>1067</v>
      </c>
      <c r="R748" t="s">
        <v>1068</v>
      </c>
      <c r="S748" t="s">
        <v>1173</v>
      </c>
      <c r="T748" t="s">
        <v>1068</v>
      </c>
      <c r="U748" t="s">
        <v>944</v>
      </c>
      <c r="V748">
        <v>0</v>
      </c>
      <c r="W748" t="s">
        <v>944</v>
      </c>
      <c r="X748" t="s">
        <v>1175</v>
      </c>
      <c r="Y748">
        <v>1</v>
      </c>
      <c r="Z748">
        <v>0.31016662784409499</v>
      </c>
      <c r="AA748">
        <v>-0.17993979806763499</v>
      </c>
      <c r="AB748">
        <v>0.41653896662504902</v>
      </c>
      <c r="AC748">
        <v>-0.172385742192253</v>
      </c>
    </row>
    <row r="749" spans="1:29" x14ac:dyDescent="0.2">
      <c r="A749">
        <v>748</v>
      </c>
      <c r="B749" t="s">
        <v>903</v>
      </c>
      <c r="C749" t="s">
        <v>870</v>
      </c>
      <c r="D749" t="s">
        <v>184</v>
      </c>
      <c r="E749">
        <v>-0.37140420236504001</v>
      </c>
      <c r="F749">
        <v>-0.72392081318824897</v>
      </c>
      <c r="G749">
        <v>-0.155169392222577</v>
      </c>
      <c r="H749">
        <v>-0.93926788916482495</v>
      </c>
      <c r="I749">
        <v>-0.78409849694224798</v>
      </c>
      <c r="J749">
        <v>-0.35251661082320901</v>
      </c>
      <c r="K749">
        <v>-0.155169392222577</v>
      </c>
      <c r="L749">
        <v>-0.37140420236504001</v>
      </c>
      <c r="M749">
        <v>-0.56875142096567199</v>
      </c>
      <c r="N749">
        <v>-0.35251661082320901</v>
      </c>
      <c r="O749">
        <v>-0.78409849694224798</v>
      </c>
      <c r="P749">
        <v>-0.56786368679978505</v>
      </c>
      <c r="Q749" t="s">
        <v>1067</v>
      </c>
      <c r="R749" t="s">
        <v>1067</v>
      </c>
      <c r="S749" t="s">
        <v>1067</v>
      </c>
      <c r="T749" t="s">
        <v>1067</v>
      </c>
      <c r="U749" t="s">
        <v>1174</v>
      </c>
      <c r="V749">
        <v>1</v>
      </c>
      <c r="W749" t="s">
        <v>944</v>
      </c>
      <c r="X749" t="s">
        <v>1175</v>
      </c>
      <c r="Y749">
        <v>1</v>
      </c>
      <c r="Z749">
        <v>-0.43952126767289001</v>
      </c>
      <c r="AA749">
        <v>-0.25011238313742601</v>
      </c>
      <c r="AB749">
        <v>-0.34761417331403999</v>
      </c>
      <c r="AC749">
        <v>-0.26847356903666902</v>
      </c>
    </row>
    <row r="750" spans="1:29" x14ac:dyDescent="0.2">
      <c r="A750">
        <v>749</v>
      </c>
      <c r="B750" t="s">
        <v>904</v>
      </c>
      <c r="C750" t="s">
        <v>870</v>
      </c>
      <c r="D750" t="s">
        <v>186</v>
      </c>
      <c r="E750">
        <v>-0.33757025958521097</v>
      </c>
      <c r="F750">
        <v>-1</v>
      </c>
      <c r="G750">
        <v>-0.13414704044464601</v>
      </c>
      <c r="H750">
        <v>-1</v>
      </c>
      <c r="I750">
        <v>-0.86585295955535402</v>
      </c>
      <c r="J750">
        <v>-0.66242974041478897</v>
      </c>
      <c r="K750">
        <v>-0.13414704044464601</v>
      </c>
      <c r="L750">
        <v>-0.33757025958521097</v>
      </c>
      <c r="M750">
        <v>-0.86585295955535402</v>
      </c>
      <c r="N750">
        <v>-0.66242974041478897</v>
      </c>
      <c r="O750">
        <v>-0.86585295955535402</v>
      </c>
      <c r="P750">
        <v>-0.66242974041478897</v>
      </c>
      <c r="Q750" t="s">
        <v>1067</v>
      </c>
      <c r="R750" t="s">
        <v>1067</v>
      </c>
      <c r="S750" t="s">
        <v>1067</v>
      </c>
      <c r="T750" t="s">
        <v>1067</v>
      </c>
      <c r="U750" t="s">
        <v>1174</v>
      </c>
      <c r="V750">
        <v>1</v>
      </c>
      <c r="W750" t="s">
        <v>944</v>
      </c>
      <c r="X750" t="s">
        <v>1175</v>
      </c>
      <c r="Y750">
        <v>1</v>
      </c>
      <c r="Z750">
        <v>-0.530173048014556</v>
      </c>
      <c r="AA750">
        <v>-0.26453270899696202</v>
      </c>
      <c r="AB750">
        <v>-0.42966692707433302</v>
      </c>
      <c r="AC750">
        <v>-0.27810550632607201</v>
      </c>
    </row>
    <row r="751" spans="1:29" x14ac:dyDescent="0.2">
      <c r="A751">
        <v>750</v>
      </c>
      <c r="B751" t="s">
        <v>905</v>
      </c>
      <c r="C751" t="s">
        <v>870</v>
      </c>
      <c r="D751" t="s">
        <v>188</v>
      </c>
      <c r="E751">
        <v>-0.36898289212895002</v>
      </c>
      <c r="F751">
        <v>0.24094602374825</v>
      </c>
      <c r="G751">
        <v>-0.13470894517090601</v>
      </c>
      <c r="H751">
        <v>0.115965717262603</v>
      </c>
      <c r="I751">
        <v>0.250674662433509</v>
      </c>
      <c r="J751">
        <v>0.6099289158772</v>
      </c>
      <c r="K751">
        <v>-0.13470894517090601</v>
      </c>
      <c r="L751">
        <v>-0.36898289212895002</v>
      </c>
      <c r="M751">
        <v>0.37565496891915601</v>
      </c>
      <c r="N751">
        <v>0.6099289158772</v>
      </c>
      <c r="O751">
        <v>0.250674662433509</v>
      </c>
      <c r="P751">
        <v>0.48494860939155299</v>
      </c>
      <c r="Q751" t="s">
        <v>1067</v>
      </c>
      <c r="R751" t="s">
        <v>1068</v>
      </c>
      <c r="S751" t="s">
        <v>1067</v>
      </c>
      <c r="T751" t="s">
        <v>1068</v>
      </c>
      <c r="U751" t="s">
        <v>944</v>
      </c>
      <c r="V751">
        <v>0</v>
      </c>
      <c r="W751" t="s">
        <v>944</v>
      </c>
      <c r="X751" t="s">
        <v>1175</v>
      </c>
      <c r="Y751">
        <v>1</v>
      </c>
      <c r="Z751">
        <v>0.34806067260361101</v>
      </c>
      <c r="AA751">
        <v>-0.16851015541062001</v>
      </c>
      <c r="AB751">
        <v>0.451568981710394</v>
      </c>
      <c r="AC751">
        <v>-0.16773132050376699</v>
      </c>
    </row>
    <row r="752" spans="1:29" x14ac:dyDescent="0.2">
      <c r="A752">
        <v>751</v>
      </c>
      <c r="B752" t="s">
        <v>906</v>
      </c>
      <c r="C752" t="s">
        <v>870</v>
      </c>
      <c r="D752" t="s">
        <v>140</v>
      </c>
      <c r="E752">
        <v>-0.34346467687160698</v>
      </c>
      <c r="F752">
        <v>-1</v>
      </c>
      <c r="G752">
        <v>-0.17139441940087399</v>
      </c>
      <c r="H752">
        <v>-1</v>
      </c>
      <c r="I752">
        <v>-0.82860558059912603</v>
      </c>
      <c r="J752">
        <v>-0.65653532312839302</v>
      </c>
      <c r="K752">
        <v>-0.17139441940087399</v>
      </c>
      <c r="L752">
        <v>-0.34346467687160698</v>
      </c>
      <c r="M752">
        <v>-0.82860558059912603</v>
      </c>
      <c r="N752">
        <v>-0.65653532312839302</v>
      </c>
      <c r="O752">
        <v>-0.82860558059912603</v>
      </c>
      <c r="P752">
        <v>-0.65653532312839302</v>
      </c>
      <c r="Q752" t="s">
        <v>1067</v>
      </c>
      <c r="R752" t="s">
        <v>1067</v>
      </c>
      <c r="S752" t="s">
        <v>1067</v>
      </c>
      <c r="T752" t="s">
        <v>1067</v>
      </c>
      <c r="U752" t="s">
        <v>1174</v>
      </c>
      <c r="V752">
        <v>1</v>
      </c>
      <c r="W752" t="s">
        <v>944</v>
      </c>
      <c r="X752" t="s">
        <v>1175</v>
      </c>
      <c r="Y752">
        <v>1</v>
      </c>
      <c r="Z752">
        <v>-0.49575544489218798</v>
      </c>
      <c r="AA752">
        <v>-0.25043995332802599</v>
      </c>
      <c r="AB752">
        <v>-0.43069936781879797</v>
      </c>
      <c r="AC752">
        <v>-0.27936090000900099</v>
      </c>
    </row>
    <row r="753" spans="1:29" x14ac:dyDescent="0.2">
      <c r="A753">
        <v>752</v>
      </c>
      <c r="B753" t="s">
        <v>907</v>
      </c>
      <c r="C753" t="s">
        <v>870</v>
      </c>
      <c r="D753" t="s">
        <v>191</v>
      </c>
      <c r="E753">
        <v>-0.3702617317627</v>
      </c>
      <c r="F753">
        <v>-1</v>
      </c>
      <c r="G753">
        <v>-0.19695437628507501</v>
      </c>
      <c r="H753">
        <v>-1</v>
      </c>
      <c r="I753">
        <v>-0.80304562371492505</v>
      </c>
      <c r="J753">
        <v>-0.62973826823729995</v>
      </c>
      <c r="K753">
        <v>-0.19695437628507501</v>
      </c>
      <c r="L753">
        <v>-0.3702617317627</v>
      </c>
      <c r="M753">
        <v>-0.80304562371492505</v>
      </c>
      <c r="N753">
        <v>-0.62973826823729995</v>
      </c>
      <c r="O753">
        <v>-0.80304562371492505</v>
      </c>
      <c r="P753">
        <v>-0.62973826823729995</v>
      </c>
      <c r="Q753" t="s">
        <v>1067</v>
      </c>
      <c r="R753" t="s">
        <v>1067</v>
      </c>
      <c r="S753" t="s">
        <v>1067</v>
      </c>
      <c r="T753" t="s">
        <v>1067</v>
      </c>
      <c r="U753" t="s">
        <v>1174</v>
      </c>
      <c r="V753">
        <v>1</v>
      </c>
      <c r="W753" t="s">
        <v>944</v>
      </c>
      <c r="X753" t="s">
        <v>1175</v>
      </c>
      <c r="Y753">
        <v>1</v>
      </c>
      <c r="Z753">
        <v>-0.49532801060826698</v>
      </c>
      <c r="AA753">
        <v>-0.245749950667597</v>
      </c>
      <c r="AB753">
        <v>-0.448233561993653</v>
      </c>
      <c r="AC753">
        <v>-0.28232426274982703</v>
      </c>
    </row>
    <row r="754" spans="1:29" x14ac:dyDescent="0.2">
      <c r="A754">
        <v>753</v>
      </c>
      <c r="B754" t="s">
        <v>908</v>
      </c>
      <c r="C754" t="s">
        <v>870</v>
      </c>
      <c r="D754" t="s">
        <v>193</v>
      </c>
      <c r="E754">
        <v>-0.36776023970250199</v>
      </c>
      <c r="F754">
        <v>-1</v>
      </c>
      <c r="G754">
        <v>-0.19260191808357099</v>
      </c>
      <c r="H754">
        <v>-1</v>
      </c>
      <c r="I754">
        <v>-0.80739808191642903</v>
      </c>
      <c r="J754">
        <v>-0.63223976029749795</v>
      </c>
      <c r="K754">
        <v>-0.19260191808357099</v>
      </c>
      <c r="L754">
        <v>-0.36776023970250199</v>
      </c>
      <c r="M754">
        <v>-0.80739808191642903</v>
      </c>
      <c r="N754">
        <v>-0.63223976029749795</v>
      </c>
      <c r="O754">
        <v>-0.80739808191642903</v>
      </c>
      <c r="P754">
        <v>-0.63223976029749795</v>
      </c>
      <c r="Q754" t="s">
        <v>1067</v>
      </c>
      <c r="R754" t="s">
        <v>1067</v>
      </c>
      <c r="S754" t="s">
        <v>1067</v>
      </c>
      <c r="T754" t="s">
        <v>1067</v>
      </c>
      <c r="U754" t="s">
        <v>1174</v>
      </c>
      <c r="V754">
        <v>1</v>
      </c>
      <c r="W754" t="s">
        <v>944</v>
      </c>
      <c r="X754" t="s">
        <v>1175</v>
      </c>
      <c r="Y754">
        <v>1</v>
      </c>
      <c r="Z754">
        <v>-0.49642671131136201</v>
      </c>
      <c r="AA754">
        <v>-0.24258168530705099</v>
      </c>
      <c r="AB754">
        <v>-0.45494349071504397</v>
      </c>
      <c r="AC754">
        <v>-0.280205376526447</v>
      </c>
    </row>
    <row r="755" spans="1:29" x14ac:dyDescent="0.2">
      <c r="A755">
        <v>754</v>
      </c>
      <c r="B755" t="s">
        <v>909</v>
      </c>
      <c r="C755" t="s">
        <v>870</v>
      </c>
      <c r="D755" t="s">
        <v>142</v>
      </c>
      <c r="E755">
        <v>-0.39406898725960399</v>
      </c>
      <c r="F755">
        <v>0.58638888452590199</v>
      </c>
      <c r="G755">
        <v>-1.2838473634889399E-2</v>
      </c>
      <c r="H755">
        <v>0.60173896582946396</v>
      </c>
      <c r="I755">
        <v>0.61457743946435295</v>
      </c>
      <c r="J755">
        <v>0.98045787178550603</v>
      </c>
      <c r="K755">
        <v>-1.2838473634889399E-2</v>
      </c>
      <c r="L755">
        <v>-0.39406898725960399</v>
      </c>
      <c r="M755">
        <v>0.59922735816079098</v>
      </c>
      <c r="N755">
        <v>0.98045787178550603</v>
      </c>
      <c r="O755">
        <v>0.61457743946435295</v>
      </c>
      <c r="P755">
        <v>0.995807953089068</v>
      </c>
      <c r="Q755" t="s">
        <v>1067</v>
      </c>
      <c r="R755" t="s">
        <v>1068</v>
      </c>
      <c r="S755" t="s">
        <v>1173</v>
      </c>
      <c r="T755" t="s">
        <v>1068</v>
      </c>
      <c r="U755" t="s">
        <v>944</v>
      </c>
      <c r="V755">
        <v>0</v>
      </c>
      <c r="W755" t="s">
        <v>944</v>
      </c>
      <c r="X755" t="s">
        <v>1175</v>
      </c>
      <c r="Y755">
        <v>1</v>
      </c>
      <c r="Z755">
        <v>0.47373591048812702</v>
      </c>
      <c r="AA755">
        <v>-0.19682708363023299</v>
      </c>
      <c r="AB755">
        <v>0.57349406045838303</v>
      </c>
      <c r="AC755">
        <v>-0.150217782797363</v>
      </c>
    </row>
    <row r="756" spans="1:29" x14ac:dyDescent="0.2">
      <c r="A756">
        <v>755</v>
      </c>
      <c r="B756" t="s">
        <v>910</v>
      </c>
      <c r="C756" t="s">
        <v>870</v>
      </c>
      <c r="D756" t="s">
        <v>196</v>
      </c>
      <c r="E756">
        <v>-0.49712696701124798</v>
      </c>
      <c r="F756">
        <v>-1</v>
      </c>
      <c r="G756">
        <v>-0.120178566889573</v>
      </c>
      <c r="H756">
        <v>-1</v>
      </c>
      <c r="I756">
        <v>-0.87982143311042704</v>
      </c>
      <c r="J756">
        <v>-0.50287303298875197</v>
      </c>
      <c r="K756">
        <v>-0.120178566889573</v>
      </c>
      <c r="L756">
        <v>-0.49712696701124798</v>
      </c>
      <c r="M756">
        <v>-0.87982143311042704</v>
      </c>
      <c r="N756">
        <v>-0.50287303298875197</v>
      </c>
      <c r="O756">
        <v>-0.87982143311042704</v>
      </c>
      <c r="P756">
        <v>-0.50287303298875197</v>
      </c>
      <c r="Q756" t="s">
        <v>1067</v>
      </c>
      <c r="R756" t="s">
        <v>1067</v>
      </c>
      <c r="S756" t="s">
        <v>1067</v>
      </c>
      <c r="T756" t="s">
        <v>1067</v>
      </c>
      <c r="U756" t="s">
        <v>1174</v>
      </c>
      <c r="V756">
        <v>1</v>
      </c>
      <c r="W756" t="s">
        <v>944</v>
      </c>
      <c r="X756" t="s">
        <v>1175</v>
      </c>
      <c r="Y756">
        <v>1</v>
      </c>
      <c r="Z756">
        <v>-0.28958059694232702</v>
      </c>
      <c r="AA756">
        <v>-0.23722805320149501</v>
      </c>
      <c r="AB756">
        <v>-0.14009135365572101</v>
      </c>
      <c r="AC756">
        <v>-0.22999497687114401</v>
      </c>
    </row>
    <row r="757" spans="1:29" x14ac:dyDescent="0.2">
      <c r="A757">
        <v>756</v>
      </c>
      <c r="B757" t="s">
        <v>911</v>
      </c>
      <c r="C757" t="s">
        <v>870</v>
      </c>
      <c r="D757" t="s">
        <v>144</v>
      </c>
      <c r="E757">
        <v>-3.7737260887158799E-2</v>
      </c>
      <c r="F757">
        <v>-0.16394393087564699</v>
      </c>
      <c r="G757">
        <v>-9.5373940096631204E-3</v>
      </c>
      <c r="H757">
        <v>-0.30695385352719601</v>
      </c>
      <c r="I757">
        <v>-0.29741645951753298</v>
      </c>
      <c r="J757">
        <v>-0.12620666998848801</v>
      </c>
      <c r="K757">
        <v>-9.5373940096631204E-3</v>
      </c>
      <c r="L757">
        <v>-3.7737260887158799E-2</v>
      </c>
      <c r="M757">
        <v>-0.15440653686598399</v>
      </c>
      <c r="N757">
        <v>-0.12620666998848801</v>
      </c>
      <c r="O757">
        <v>-0.29741645951753298</v>
      </c>
      <c r="P757">
        <v>-0.269216592640037</v>
      </c>
      <c r="Q757" t="s">
        <v>1173</v>
      </c>
      <c r="R757" t="s">
        <v>1067</v>
      </c>
      <c r="S757" t="s">
        <v>1173</v>
      </c>
      <c r="T757" t="s">
        <v>1067</v>
      </c>
      <c r="U757" t="s">
        <v>1174</v>
      </c>
      <c r="V757">
        <v>1</v>
      </c>
      <c r="W757" t="s">
        <v>1174</v>
      </c>
      <c r="X757" t="s">
        <v>1175</v>
      </c>
      <c r="Y757">
        <v>1</v>
      </c>
      <c r="Z757">
        <v>-0.35356978429313202</v>
      </c>
      <c r="AA757">
        <v>-0.29651192756603501</v>
      </c>
      <c r="AB757">
        <v>-0.27407192480676001</v>
      </c>
      <c r="AC757">
        <v>-0.33832449288546201</v>
      </c>
    </row>
    <row r="758" spans="1:29" x14ac:dyDescent="0.2">
      <c r="A758">
        <v>757</v>
      </c>
      <c r="B758" t="s">
        <v>912</v>
      </c>
      <c r="C758" t="s">
        <v>870</v>
      </c>
      <c r="D758" t="s">
        <v>146</v>
      </c>
      <c r="E758">
        <v>-3.8021176287402002E-2</v>
      </c>
      <c r="F758">
        <v>-0.12497842807833701</v>
      </c>
      <c r="G758">
        <v>-0.17093328583248901</v>
      </c>
      <c r="H758">
        <v>-0.26803137091302798</v>
      </c>
      <c r="I758">
        <v>-9.7098085080539007E-2</v>
      </c>
      <c r="J758">
        <v>-8.6957251790934997E-2</v>
      </c>
      <c r="K758">
        <v>-3.8021176287402002E-2</v>
      </c>
      <c r="L758">
        <v>-0.17093328583248901</v>
      </c>
      <c r="M758">
        <v>-8.6957251790934997E-2</v>
      </c>
      <c r="N758">
        <v>4.5954857754152E-2</v>
      </c>
      <c r="O758">
        <v>-0.230010194625626</v>
      </c>
      <c r="P758">
        <v>-9.7098085080539007E-2</v>
      </c>
      <c r="Q758" t="s">
        <v>1173</v>
      </c>
      <c r="R758" t="s">
        <v>1067</v>
      </c>
      <c r="S758" t="s">
        <v>1067</v>
      </c>
      <c r="T758" t="s">
        <v>1067</v>
      </c>
      <c r="U758" t="s">
        <v>1174</v>
      </c>
      <c r="V758">
        <v>1</v>
      </c>
      <c r="W758" t="s">
        <v>1174</v>
      </c>
      <c r="X758" t="s">
        <v>1175</v>
      </c>
      <c r="Y758">
        <v>0</v>
      </c>
      <c r="Z758">
        <v>-0.32656349258172002</v>
      </c>
      <c r="AA758">
        <v>-0.23080360513269399</v>
      </c>
      <c r="AB758">
        <v>-0.45566772011940798</v>
      </c>
      <c r="AC758">
        <v>-0.36181161762074598</v>
      </c>
    </row>
    <row r="759" spans="1:29" x14ac:dyDescent="0.2">
      <c r="A759">
        <v>758</v>
      </c>
      <c r="B759" t="s">
        <v>913</v>
      </c>
      <c r="C759" t="s">
        <v>870</v>
      </c>
      <c r="D759" t="s">
        <v>200</v>
      </c>
      <c r="E759">
        <v>-0.25075779173419299</v>
      </c>
      <c r="F759">
        <v>-0.681223213910785</v>
      </c>
      <c r="G759">
        <v>-7.7154741143789202E-2</v>
      </c>
      <c r="H759">
        <v>-0.90928467166388505</v>
      </c>
      <c r="I759">
        <v>-0.83212993052009598</v>
      </c>
      <c r="J759">
        <v>-0.43046542217659201</v>
      </c>
      <c r="K759">
        <v>-7.7154741143789202E-2</v>
      </c>
      <c r="L759">
        <v>-0.25075779173419299</v>
      </c>
      <c r="M759">
        <v>-0.60406847276699605</v>
      </c>
      <c r="N759">
        <v>-0.43046542217659201</v>
      </c>
      <c r="O759">
        <v>-0.83212993052009598</v>
      </c>
      <c r="P759">
        <v>-0.65852687992969205</v>
      </c>
      <c r="Q759" t="s">
        <v>1067</v>
      </c>
      <c r="R759" t="s">
        <v>1067</v>
      </c>
      <c r="S759" t="s">
        <v>1173</v>
      </c>
      <c r="T759" t="s">
        <v>1067</v>
      </c>
      <c r="U759" t="s">
        <v>1174</v>
      </c>
      <c r="V759">
        <v>1</v>
      </c>
      <c r="W759" t="s">
        <v>944</v>
      </c>
      <c r="X759" t="s">
        <v>1175</v>
      </c>
      <c r="Y759">
        <v>1</v>
      </c>
      <c r="Z759">
        <v>-0.32872956081666499</v>
      </c>
      <c r="AA759">
        <v>-0.25951223057487899</v>
      </c>
      <c r="AB759">
        <v>-0.15282485270754501</v>
      </c>
      <c r="AC759">
        <v>-0.246130260117258</v>
      </c>
    </row>
    <row r="760" spans="1:29" x14ac:dyDescent="0.2">
      <c r="A760">
        <v>759</v>
      </c>
      <c r="B760" t="s">
        <v>914</v>
      </c>
      <c r="C760" t="s">
        <v>870</v>
      </c>
      <c r="D760" t="s">
        <v>148</v>
      </c>
      <c r="E760">
        <v>-0.39902549211394001</v>
      </c>
      <c r="F760">
        <v>-1</v>
      </c>
      <c r="G760">
        <v>-1.27952276695805E-2</v>
      </c>
      <c r="H760">
        <v>-1</v>
      </c>
      <c r="I760">
        <v>-0.98720477233042003</v>
      </c>
      <c r="J760">
        <v>-0.60097450788605999</v>
      </c>
      <c r="K760">
        <v>-1.27952276695805E-2</v>
      </c>
      <c r="L760">
        <v>-0.39902549211394001</v>
      </c>
      <c r="M760">
        <v>-0.98720477233042003</v>
      </c>
      <c r="N760">
        <v>-0.60097450788605999</v>
      </c>
      <c r="O760">
        <v>-0.98720477233042003</v>
      </c>
      <c r="P760">
        <v>-0.60097450788605999</v>
      </c>
      <c r="Q760" t="s">
        <v>1067</v>
      </c>
      <c r="R760" t="s">
        <v>1067</v>
      </c>
      <c r="S760" t="s">
        <v>1173</v>
      </c>
      <c r="T760" t="s">
        <v>1067</v>
      </c>
      <c r="U760" t="s">
        <v>1174</v>
      </c>
      <c r="V760">
        <v>1</v>
      </c>
      <c r="W760" t="s">
        <v>944</v>
      </c>
      <c r="X760" t="s">
        <v>1175</v>
      </c>
      <c r="Y760">
        <v>1</v>
      </c>
      <c r="Z760">
        <v>-0.68588677277147503</v>
      </c>
      <c r="AA760">
        <v>-0.33657621593627601</v>
      </c>
      <c r="AB760">
        <v>-0.414964138976532</v>
      </c>
      <c r="AC760">
        <v>-0.278743051849141</v>
      </c>
    </row>
    <row r="761" spans="1:29" x14ac:dyDescent="0.2">
      <c r="A761">
        <v>760</v>
      </c>
      <c r="B761" t="s">
        <v>915</v>
      </c>
      <c r="C761" t="s">
        <v>870</v>
      </c>
      <c r="D761" t="s">
        <v>150</v>
      </c>
      <c r="E761">
        <v>-3.7737260867048698E-2</v>
      </c>
      <c r="F761">
        <v>-0.132866226135222</v>
      </c>
      <c r="G761">
        <v>-7.1826587453818605E-2</v>
      </c>
      <c r="H761">
        <v>-0.27460678489024698</v>
      </c>
      <c r="I761">
        <v>-0.202780197436428</v>
      </c>
      <c r="J761">
        <v>-9.5128965268173299E-2</v>
      </c>
      <c r="K761">
        <v>-3.7737260867048698E-2</v>
      </c>
      <c r="L761">
        <v>-7.1826587453818605E-2</v>
      </c>
      <c r="M761">
        <v>-9.5128965268173299E-2</v>
      </c>
      <c r="N761">
        <v>-6.1039638681403399E-2</v>
      </c>
      <c r="O761">
        <v>-0.236869524023198</v>
      </c>
      <c r="P761">
        <v>-0.202780197436428</v>
      </c>
      <c r="Q761" t="s">
        <v>1173</v>
      </c>
      <c r="R761" t="s">
        <v>1067</v>
      </c>
      <c r="S761" t="s">
        <v>1173</v>
      </c>
      <c r="T761" t="s">
        <v>1067</v>
      </c>
      <c r="U761" t="s">
        <v>1174</v>
      </c>
      <c r="V761">
        <v>1</v>
      </c>
      <c r="W761" t="s">
        <v>1174</v>
      </c>
      <c r="X761" t="s">
        <v>1175</v>
      </c>
      <c r="Y761">
        <v>0</v>
      </c>
      <c r="Z761">
        <v>-0.41553702445788698</v>
      </c>
      <c r="AA761">
        <v>-0.26771645780084002</v>
      </c>
      <c r="AB761">
        <v>-0.45871530399770399</v>
      </c>
      <c r="AC761">
        <v>-0.36246616829478501</v>
      </c>
    </row>
    <row r="762" spans="1:29" x14ac:dyDescent="0.2">
      <c r="A762">
        <v>761</v>
      </c>
      <c r="B762" t="s">
        <v>916</v>
      </c>
      <c r="C762" t="s">
        <v>870</v>
      </c>
      <c r="D762" t="s">
        <v>204</v>
      </c>
      <c r="E762">
        <v>-0.28399484337913899</v>
      </c>
      <c r="F762">
        <v>-1</v>
      </c>
      <c r="G762">
        <v>-9.56924843877245E-2</v>
      </c>
      <c r="H762">
        <v>-1</v>
      </c>
      <c r="I762">
        <v>-0.90430751561227596</v>
      </c>
      <c r="J762">
        <v>-0.71600515662086095</v>
      </c>
      <c r="K762">
        <v>-9.56924843877245E-2</v>
      </c>
      <c r="L762">
        <v>-0.28399484337913899</v>
      </c>
      <c r="M762">
        <v>-0.90430751561227596</v>
      </c>
      <c r="N762">
        <v>-0.71600515662086095</v>
      </c>
      <c r="O762">
        <v>-0.90430751561227596</v>
      </c>
      <c r="P762">
        <v>-0.71600515662086095</v>
      </c>
      <c r="Q762" t="s">
        <v>1067</v>
      </c>
      <c r="R762" t="s">
        <v>1067</v>
      </c>
      <c r="S762" t="s">
        <v>1173</v>
      </c>
      <c r="T762" t="s">
        <v>1067</v>
      </c>
      <c r="U762" t="s">
        <v>1174</v>
      </c>
      <c r="V762">
        <v>1</v>
      </c>
      <c r="W762" t="s">
        <v>944</v>
      </c>
      <c r="X762" t="s">
        <v>1175</v>
      </c>
      <c r="Y762">
        <v>1</v>
      </c>
      <c r="Z762">
        <v>-0.59532926561504795</v>
      </c>
      <c r="AA762">
        <v>-0.28507806625413801</v>
      </c>
      <c r="AB762">
        <v>-0.45171719546876399</v>
      </c>
      <c r="AC762">
        <v>-0.28036804753432698</v>
      </c>
    </row>
    <row r="763" spans="1:29" x14ac:dyDescent="0.2">
      <c r="A763">
        <v>762</v>
      </c>
      <c r="B763" t="s">
        <v>917</v>
      </c>
      <c r="C763" t="s">
        <v>870</v>
      </c>
      <c r="D763" t="s">
        <v>152</v>
      </c>
      <c r="E763">
        <v>-0.39399289052638797</v>
      </c>
      <c r="F763">
        <v>0.58677449361497402</v>
      </c>
      <c r="G763">
        <v>-1.2838473634889399E-2</v>
      </c>
      <c r="H763">
        <v>0.60225718281597496</v>
      </c>
      <c r="I763">
        <v>0.61509565645086395</v>
      </c>
      <c r="J763">
        <v>0.980767384141362</v>
      </c>
      <c r="K763">
        <v>-1.2838473634889399E-2</v>
      </c>
      <c r="L763">
        <v>-0.39399289052638797</v>
      </c>
      <c r="M763">
        <v>0.59961296724986302</v>
      </c>
      <c r="N763">
        <v>0.980767384141362</v>
      </c>
      <c r="O763">
        <v>0.61509565645086395</v>
      </c>
      <c r="P763">
        <v>0.99625007334236304</v>
      </c>
      <c r="Q763" t="s">
        <v>1067</v>
      </c>
      <c r="R763" t="s">
        <v>1068</v>
      </c>
      <c r="S763" t="s">
        <v>1173</v>
      </c>
      <c r="T763" t="s">
        <v>1068</v>
      </c>
      <c r="U763" t="s">
        <v>944</v>
      </c>
      <c r="V763">
        <v>0</v>
      </c>
      <c r="W763" t="s">
        <v>944</v>
      </c>
      <c r="X763" t="s">
        <v>1175</v>
      </c>
      <c r="Y763">
        <v>1</v>
      </c>
      <c r="Z763">
        <v>0.47386315566506199</v>
      </c>
      <c r="AA763">
        <v>-0.196811749692097</v>
      </c>
      <c r="AB763">
        <v>0.57380399195924403</v>
      </c>
      <c r="AC763">
        <v>-0.15021676200998099</v>
      </c>
    </row>
    <row r="764" spans="1:29" x14ac:dyDescent="0.2">
      <c r="A764">
        <v>763</v>
      </c>
      <c r="B764" t="s">
        <v>918</v>
      </c>
      <c r="C764" t="s">
        <v>870</v>
      </c>
      <c r="D764" t="s">
        <v>207</v>
      </c>
      <c r="E764">
        <v>-0.34177074135600999</v>
      </c>
      <c r="F764">
        <v>-1</v>
      </c>
      <c r="G764">
        <v>-0.118246314578955</v>
      </c>
      <c r="H764">
        <v>-1</v>
      </c>
      <c r="I764">
        <v>-0.88175368542104504</v>
      </c>
      <c r="J764">
        <v>-0.65822925864398996</v>
      </c>
      <c r="K764">
        <v>-0.118246314578955</v>
      </c>
      <c r="L764">
        <v>-0.34177074135600999</v>
      </c>
      <c r="M764">
        <v>-0.88175368542104504</v>
      </c>
      <c r="N764">
        <v>-0.65822925864398996</v>
      </c>
      <c r="O764">
        <v>-0.88175368542104504</v>
      </c>
      <c r="P764">
        <v>-0.65822925864398996</v>
      </c>
      <c r="Q764" t="s">
        <v>1067</v>
      </c>
      <c r="R764" t="s">
        <v>1067</v>
      </c>
      <c r="S764" t="s">
        <v>1067</v>
      </c>
      <c r="T764" t="s">
        <v>1067</v>
      </c>
      <c r="U764" t="s">
        <v>1174</v>
      </c>
      <c r="V764">
        <v>1</v>
      </c>
      <c r="W764" t="s">
        <v>944</v>
      </c>
      <c r="X764" t="s">
        <v>1175</v>
      </c>
      <c r="Y764">
        <v>1</v>
      </c>
      <c r="Z764">
        <v>-0.51825031405122701</v>
      </c>
      <c r="AA764">
        <v>-0.269732063635924</v>
      </c>
      <c r="AB764">
        <v>-0.38835560446859801</v>
      </c>
      <c r="AC764">
        <v>-0.27106989671941201</v>
      </c>
    </row>
    <row r="765" spans="1:29" x14ac:dyDescent="0.2">
      <c r="A765">
        <v>764</v>
      </c>
      <c r="B765" t="s">
        <v>919</v>
      </c>
      <c r="C765" t="s">
        <v>870</v>
      </c>
      <c r="D765" t="s">
        <v>209</v>
      </c>
      <c r="E765">
        <v>-0.32766735257252</v>
      </c>
      <c r="F765">
        <v>-1</v>
      </c>
      <c r="G765">
        <v>-0.1048065609421</v>
      </c>
      <c r="H765">
        <v>-1</v>
      </c>
      <c r="I765">
        <v>-0.89519343905790005</v>
      </c>
      <c r="J765">
        <v>-0.67233264742748</v>
      </c>
      <c r="K765">
        <v>-0.1048065609421</v>
      </c>
      <c r="L765">
        <v>-0.32766735257252</v>
      </c>
      <c r="M765">
        <v>-0.89519343905790005</v>
      </c>
      <c r="N765">
        <v>-0.67233264742748</v>
      </c>
      <c r="O765">
        <v>-0.89519343905790005</v>
      </c>
      <c r="P765">
        <v>-0.67233264742748</v>
      </c>
      <c r="Q765" t="s">
        <v>1067</v>
      </c>
      <c r="R765" t="s">
        <v>1067</v>
      </c>
      <c r="S765" t="s">
        <v>1067</v>
      </c>
      <c r="T765" t="s">
        <v>1067</v>
      </c>
      <c r="U765" t="s">
        <v>1174</v>
      </c>
      <c r="V765">
        <v>1</v>
      </c>
      <c r="W765" t="s">
        <v>944</v>
      </c>
      <c r="X765" t="s">
        <v>1175</v>
      </c>
      <c r="Y765">
        <v>1</v>
      </c>
      <c r="Z765">
        <v>-0.53905568508346502</v>
      </c>
      <c r="AA765">
        <v>-0.27777040027639799</v>
      </c>
      <c r="AB765">
        <v>-0.39860643225764403</v>
      </c>
      <c r="AC765">
        <v>-0.27525336475603102</v>
      </c>
    </row>
    <row r="766" spans="1:29" x14ac:dyDescent="0.2">
      <c r="A766">
        <v>765</v>
      </c>
      <c r="B766" t="s">
        <v>920</v>
      </c>
      <c r="C766" t="s">
        <v>870</v>
      </c>
      <c r="D766" t="s">
        <v>154</v>
      </c>
      <c r="E766">
        <v>-0.28413281166588999</v>
      </c>
      <c r="F766">
        <v>-1</v>
      </c>
      <c r="G766">
        <v>-9.5692484454968404E-2</v>
      </c>
      <c r="H766">
        <v>-1</v>
      </c>
      <c r="I766">
        <v>-0.90430751554503197</v>
      </c>
      <c r="J766">
        <v>-0.71586718833411001</v>
      </c>
      <c r="K766">
        <v>-9.5692484454968404E-2</v>
      </c>
      <c r="L766">
        <v>-0.28413281166588999</v>
      </c>
      <c r="M766">
        <v>-0.90430751554503197</v>
      </c>
      <c r="N766">
        <v>-0.71586718833411001</v>
      </c>
      <c r="O766">
        <v>-0.90430751554503197</v>
      </c>
      <c r="P766">
        <v>-0.71586718833411001</v>
      </c>
      <c r="Q766" t="s">
        <v>1067</v>
      </c>
      <c r="R766" t="s">
        <v>1067</v>
      </c>
      <c r="S766" t="s">
        <v>1173</v>
      </c>
      <c r="T766" t="s">
        <v>1067</v>
      </c>
      <c r="U766" t="s">
        <v>1174</v>
      </c>
      <c r="V766">
        <v>1</v>
      </c>
      <c r="W766" t="s">
        <v>944</v>
      </c>
      <c r="X766" t="s">
        <v>1175</v>
      </c>
      <c r="Y766">
        <v>1</v>
      </c>
      <c r="Z766">
        <v>-0.59817517243645701</v>
      </c>
      <c r="AA766">
        <v>-0.28542101802119302</v>
      </c>
      <c r="AB766">
        <v>-0.454422103353047</v>
      </c>
      <c r="AC766">
        <v>-0.28065586658583602</v>
      </c>
    </row>
    <row r="767" spans="1:29" x14ac:dyDescent="0.2">
      <c r="A767">
        <v>766</v>
      </c>
      <c r="B767" t="s">
        <v>921</v>
      </c>
      <c r="C767" t="s">
        <v>870</v>
      </c>
      <c r="D767" t="s">
        <v>156</v>
      </c>
      <c r="E767">
        <v>-0.36808734714920699</v>
      </c>
      <c r="F767">
        <v>-0.275292448574393</v>
      </c>
      <c r="G767">
        <v>-1.2838473634889399E-2</v>
      </c>
      <c r="H767">
        <v>-0.42138665455227098</v>
      </c>
      <c r="I767">
        <v>-0.40854818091738199</v>
      </c>
      <c r="J767">
        <v>9.2794898574814003E-2</v>
      </c>
      <c r="K767">
        <v>-1.2838473634889399E-2</v>
      </c>
      <c r="L767">
        <v>-0.36808734714920699</v>
      </c>
      <c r="M767">
        <v>-0.26245397493950401</v>
      </c>
      <c r="N767">
        <v>9.2794898574814003E-2</v>
      </c>
      <c r="O767">
        <v>-0.40854818091738199</v>
      </c>
      <c r="P767">
        <v>-5.3299307403064003E-2</v>
      </c>
      <c r="Q767" t="s">
        <v>1067</v>
      </c>
      <c r="R767" t="s">
        <v>1067</v>
      </c>
      <c r="S767" t="s">
        <v>1173</v>
      </c>
      <c r="T767" t="s">
        <v>1067</v>
      </c>
      <c r="U767" t="s">
        <v>944</v>
      </c>
      <c r="V767">
        <v>1</v>
      </c>
      <c r="W767" t="s">
        <v>944</v>
      </c>
      <c r="X767" t="s">
        <v>1175</v>
      </c>
      <c r="Y767">
        <v>0</v>
      </c>
      <c r="Z767">
        <v>-0.46715532600633303</v>
      </c>
      <c r="AA767">
        <v>-0.31021109048235901</v>
      </c>
      <c r="AB767">
        <v>-0.17774363427373899</v>
      </c>
      <c r="AC767">
        <v>-0.24589821620634</v>
      </c>
    </row>
    <row r="768" spans="1:29" x14ac:dyDescent="0.2">
      <c r="A768">
        <v>767</v>
      </c>
      <c r="B768" t="s">
        <v>922</v>
      </c>
      <c r="C768" t="s">
        <v>870</v>
      </c>
      <c r="D768" t="s">
        <v>158</v>
      </c>
      <c r="E768">
        <v>-0.28458866159003499</v>
      </c>
      <c r="F768">
        <v>-1</v>
      </c>
      <c r="G768">
        <v>-9.4995473883175599E-2</v>
      </c>
      <c r="H768">
        <v>-1</v>
      </c>
      <c r="I768">
        <v>-0.90500452611682403</v>
      </c>
      <c r="J768">
        <v>-0.71541133840996496</v>
      </c>
      <c r="K768">
        <v>-9.4995473883175599E-2</v>
      </c>
      <c r="L768">
        <v>-0.28458866159003499</v>
      </c>
      <c r="M768">
        <v>-0.90500452611682403</v>
      </c>
      <c r="N768">
        <v>-0.71541133840996496</v>
      </c>
      <c r="O768">
        <v>-0.90500452611682403</v>
      </c>
      <c r="P768">
        <v>-0.71541133840996496</v>
      </c>
      <c r="Q768" t="s">
        <v>1067</v>
      </c>
      <c r="R768" t="s">
        <v>1067</v>
      </c>
      <c r="S768" t="s">
        <v>1173</v>
      </c>
      <c r="T768" t="s">
        <v>1067</v>
      </c>
      <c r="U768" t="s">
        <v>1174</v>
      </c>
      <c r="V768">
        <v>1</v>
      </c>
      <c r="W768" t="s">
        <v>944</v>
      </c>
      <c r="X768" t="s">
        <v>1175</v>
      </c>
      <c r="Y768">
        <v>1</v>
      </c>
      <c r="Z768">
        <v>-0.60429575903233701</v>
      </c>
      <c r="AA768">
        <v>-0.28660223478567698</v>
      </c>
      <c r="AB768">
        <v>-0.46088923211131699</v>
      </c>
      <c r="AC768">
        <v>-0.28147108356073702</v>
      </c>
    </row>
    <row r="769" spans="1:29" x14ac:dyDescent="0.2">
      <c r="A769">
        <v>768</v>
      </c>
      <c r="B769" t="s">
        <v>923</v>
      </c>
      <c r="C769" t="s">
        <v>870</v>
      </c>
      <c r="D769" t="s">
        <v>214</v>
      </c>
      <c r="E769">
        <v>-0.286393666174313</v>
      </c>
      <c r="F769">
        <v>-1</v>
      </c>
      <c r="G769">
        <v>-0.10046822324104999</v>
      </c>
      <c r="H769">
        <v>-1</v>
      </c>
      <c r="I769">
        <v>-0.89953177675895002</v>
      </c>
      <c r="J769">
        <v>-0.71360633382568694</v>
      </c>
      <c r="K769">
        <v>-0.10046822324104999</v>
      </c>
      <c r="L769">
        <v>-0.286393666174313</v>
      </c>
      <c r="M769">
        <v>-0.89953177675895002</v>
      </c>
      <c r="N769">
        <v>-0.71360633382568694</v>
      </c>
      <c r="O769">
        <v>-0.89953177675895002</v>
      </c>
      <c r="P769">
        <v>-0.71360633382568694</v>
      </c>
      <c r="Q769" t="s">
        <v>1067</v>
      </c>
      <c r="R769" t="s">
        <v>1067</v>
      </c>
      <c r="S769" t="s">
        <v>1067</v>
      </c>
      <c r="T769" t="s">
        <v>1067</v>
      </c>
      <c r="U769" t="s">
        <v>1174</v>
      </c>
      <c r="V769">
        <v>1</v>
      </c>
      <c r="W769" t="s">
        <v>944</v>
      </c>
      <c r="X769" t="s">
        <v>1176</v>
      </c>
      <c r="Y769">
        <v>1</v>
      </c>
      <c r="Z769">
        <v>-0.60678284605673005</v>
      </c>
      <c r="AA769">
        <v>-0.28662879325373603</v>
      </c>
      <c r="AB769">
        <v>-0.46491182627639499</v>
      </c>
      <c r="AC769">
        <v>-0.28208324623012299</v>
      </c>
    </row>
    <row r="770" spans="1:29" x14ac:dyDescent="0.2">
      <c r="A770">
        <v>769</v>
      </c>
      <c r="B770" t="s">
        <v>924</v>
      </c>
      <c r="C770" t="s">
        <v>870</v>
      </c>
      <c r="D770" t="s">
        <v>160</v>
      </c>
      <c r="E770">
        <v>-0.37078983797187498</v>
      </c>
      <c r="F770">
        <v>-0.65348775220967203</v>
      </c>
      <c r="G770">
        <v>-1.33615193157701E-2</v>
      </c>
      <c r="H770">
        <v>-0.85391093759722503</v>
      </c>
      <c r="I770">
        <v>-0.84054941828145502</v>
      </c>
      <c r="J770">
        <v>-0.282697914237797</v>
      </c>
      <c r="K770">
        <v>-1.33615193157701E-2</v>
      </c>
      <c r="L770">
        <v>-0.37078983797187498</v>
      </c>
      <c r="M770">
        <v>-0.64012623289390203</v>
      </c>
      <c r="N770">
        <v>-0.282697914237797</v>
      </c>
      <c r="O770">
        <v>-0.84054941828145502</v>
      </c>
      <c r="P770">
        <v>-0.48312109962534999</v>
      </c>
      <c r="Q770" t="s">
        <v>1067</v>
      </c>
      <c r="R770" t="s">
        <v>1067</v>
      </c>
      <c r="S770" t="s">
        <v>1173</v>
      </c>
      <c r="T770" t="s">
        <v>1067</v>
      </c>
      <c r="U770" t="s">
        <v>1174</v>
      </c>
      <c r="V770">
        <v>1</v>
      </c>
      <c r="W770" t="s">
        <v>944</v>
      </c>
      <c r="X770" t="s">
        <v>1175</v>
      </c>
      <c r="Y770">
        <v>1</v>
      </c>
      <c r="Z770">
        <v>-0.50588073295759095</v>
      </c>
      <c r="AA770">
        <v>-0.31466287012928901</v>
      </c>
      <c r="AB770">
        <v>-0.22261657326517501</v>
      </c>
      <c r="AC770">
        <v>-0.25224532078914202</v>
      </c>
    </row>
    <row r="771" spans="1:29" x14ac:dyDescent="0.2">
      <c r="A771">
        <v>770</v>
      </c>
      <c r="B771" t="s">
        <v>925</v>
      </c>
      <c r="C771" t="s">
        <v>870</v>
      </c>
      <c r="D771" t="s">
        <v>162</v>
      </c>
      <c r="E771">
        <v>-3.7737260867048698E-2</v>
      </c>
      <c r="F771">
        <v>-0.128817846173054</v>
      </c>
      <c r="G771">
        <v>-8.4610587712306395E-2</v>
      </c>
      <c r="H771">
        <v>-0.27009077219198802</v>
      </c>
      <c r="I771">
        <v>-0.18548018447968201</v>
      </c>
      <c r="J771">
        <v>-9.1080585306005296E-2</v>
      </c>
      <c r="K771">
        <v>-3.7737260867048698E-2</v>
      </c>
      <c r="L771">
        <v>-8.4610587712306395E-2</v>
      </c>
      <c r="M771">
        <v>-9.1080585306005296E-2</v>
      </c>
      <c r="N771">
        <v>-4.4207258460747599E-2</v>
      </c>
      <c r="O771">
        <v>-0.232353511324939</v>
      </c>
      <c r="P771">
        <v>-0.18548018447968201</v>
      </c>
      <c r="Q771" t="s">
        <v>1173</v>
      </c>
      <c r="R771" t="s">
        <v>1067</v>
      </c>
      <c r="S771" t="s">
        <v>1173</v>
      </c>
      <c r="T771" t="s">
        <v>1067</v>
      </c>
      <c r="U771" t="s">
        <v>1174</v>
      </c>
      <c r="V771">
        <v>1</v>
      </c>
      <c r="W771" t="s">
        <v>1174</v>
      </c>
      <c r="X771" t="s">
        <v>1175</v>
      </c>
      <c r="Y771">
        <v>0</v>
      </c>
      <c r="Z771">
        <v>-0.39613881902792197</v>
      </c>
      <c r="AA771">
        <v>-0.26002586129121202</v>
      </c>
      <c r="AB771">
        <v>-0.45732273823789099</v>
      </c>
      <c r="AC771">
        <v>-0.36228409368855302</v>
      </c>
    </row>
    <row r="772" spans="1:29" x14ac:dyDescent="0.2">
      <c r="A772">
        <v>771</v>
      </c>
      <c r="B772" t="s">
        <v>926</v>
      </c>
      <c r="C772" t="s">
        <v>870</v>
      </c>
      <c r="D772" t="s">
        <v>218</v>
      </c>
      <c r="E772">
        <v>-0.33938920591724397</v>
      </c>
      <c r="F772">
        <v>0.20931102333429799</v>
      </c>
      <c r="G772">
        <v>-0.14574815958377099</v>
      </c>
      <c r="H772">
        <v>9.4971300382240303E-2</v>
      </c>
      <c r="I772">
        <v>0.24071945996601099</v>
      </c>
      <c r="J772">
        <v>0.54870022925154205</v>
      </c>
      <c r="K772">
        <v>-0.14574815958377099</v>
      </c>
      <c r="L772">
        <v>-0.33938920591724397</v>
      </c>
      <c r="M772">
        <v>0.35505918291806898</v>
      </c>
      <c r="N772">
        <v>0.54870022925154205</v>
      </c>
      <c r="O772">
        <v>0.24071945996601099</v>
      </c>
      <c r="P772">
        <v>0.43436050629948397</v>
      </c>
      <c r="Q772" t="s">
        <v>1067</v>
      </c>
      <c r="R772" t="s">
        <v>1068</v>
      </c>
      <c r="S772" t="s">
        <v>1067</v>
      </c>
      <c r="T772" t="s">
        <v>1173</v>
      </c>
      <c r="U772" t="s">
        <v>944</v>
      </c>
      <c r="V772">
        <v>0</v>
      </c>
      <c r="W772" t="s">
        <v>944</v>
      </c>
      <c r="X772" t="s">
        <v>1175</v>
      </c>
      <c r="Y772">
        <v>1</v>
      </c>
      <c r="Z772">
        <v>-0.171637655125224</v>
      </c>
      <c r="AA772">
        <v>-0.2213635827446</v>
      </c>
      <c r="AB772">
        <v>-4.7150194117042001E-2</v>
      </c>
      <c r="AC772">
        <v>-0.22874072188220901</v>
      </c>
    </row>
    <row r="773" spans="1:29" x14ac:dyDescent="0.2">
      <c r="A773">
        <v>772</v>
      </c>
      <c r="B773" t="s">
        <v>927</v>
      </c>
      <c r="C773" t="s">
        <v>870</v>
      </c>
      <c r="D773" t="s">
        <v>220</v>
      </c>
      <c r="E773">
        <v>-3.7737260867048698E-2</v>
      </c>
      <c r="F773">
        <v>-0.13018744764369999</v>
      </c>
      <c r="G773">
        <v>-0.113061193915795</v>
      </c>
      <c r="H773">
        <v>-0.27072789575690198</v>
      </c>
      <c r="I773">
        <v>-0.15766670184110701</v>
      </c>
      <c r="J773">
        <v>-9.2450186776651302E-2</v>
      </c>
      <c r="K773">
        <v>-3.7737260867048698E-2</v>
      </c>
      <c r="L773">
        <v>-0.113061193915795</v>
      </c>
      <c r="M773">
        <v>-9.2450186776651302E-2</v>
      </c>
      <c r="N773">
        <v>-1.7126253727905001E-2</v>
      </c>
      <c r="O773">
        <v>-0.232990634889853</v>
      </c>
      <c r="P773">
        <v>-0.15766670184110701</v>
      </c>
      <c r="Q773" t="s">
        <v>1173</v>
      </c>
      <c r="R773" t="s">
        <v>1067</v>
      </c>
      <c r="S773" t="s">
        <v>1067</v>
      </c>
      <c r="T773" t="s">
        <v>1067</v>
      </c>
      <c r="U773" t="s">
        <v>1174</v>
      </c>
      <c r="V773">
        <v>1</v>
      </c>
      <c r="W773" t="s">
        <v>1174</v>
      </c>
      <c r="X773" t="s">
        <v>1175</v>
      </c>
      <c r="Y773">
        <v>0</v>
      </c>
      <c r="Z773">
        <v>-0.38273968237468797</v>
      </c>
      <c r="AA773">
        <v>-0.25439149772264302</v>
      </c>
      <c r="AB773">
        <v>-0.45768378868065501</v>
      </c>
      <c r="AC773">
        <v>-0.362331300161018</v>
      </c>
    </row>
    <row r="774" spans="1:29" x14ac:dyDescent="0.2">
      <c r="A774">
        <v>773</v>
      </c>
      <c r="B774" t="s">
        <v>928</v>
      </c>
      <c r="C774" t="s">
        <v>870</v>
      </c>
      <c r="D774" t="s">
        <v>164</v>
      </c>
      <c r="E774">
        <v>-0.37155070518512101</v>
      </c>
      <c r="F774">
        <v>-0.41515243000902902</v>
      </c>
      <c r="G774">
        <v>-7.4280083461315998E-3</v>
      </c>
      <c r="H774">
        <v>-0.64219828921213595</v>
      </c>
      <c r="I774">
        <v>-0.63477028086600396</v>
      </c>
      <c r="J774">
        <v>-4.3601724823907999E-2</v>
      </c>
      <c r="K774">
        <v>-7.4280083461315998E-3</v>
      </c>
      <c r="L774">
        <v>-0.37155070518512101</v>
      </c>
      <c r="M774">
        <v>-0.40772442166289702</v>
      </c>
      <c r="N774">
        <v>-4.3601724823907999E-2</v>
      </c>
      <c r="O774">
        <v>-0.63477028086600396</v>
      </c>
      <c r="P774">
        <v>-0.270647584027015</v>
      </c>
      <c r="Q774" t="s">
        <v>1067</v>
      </c>
      <c r="R774" t="s">
        <v>1067</v>
      </c>
      <c r="S774" t="s">
        <v>1173</v>
      </c>
      <c r="T774" t="s">
        <v>1067</v>
      </c>
      <c r="U774" t="s">
        <v>1174</v>
      </c>
      <c r="V774">
        <v>1</v>
      </c>
      <c r="W774" t="s">
        <v>944</v>
      </c>
      <c r="X774" t="s">
        <v>1175</v>
      </c>
      <c r="Y774">
        <v>0</v>
      </c>
      <c r="Z774">
        <v>-0.27605461439203099</v>
      </c>
      <c r="AA774">
        <v>-0.27575133037069999</v>
      </c>
      <c r="AB774">
        <v>-2.2637382903011E-2</v>
      </c>
      <c r="AC774">
        <v>-0.229087594279791</v>
      </c>
    </row>
    <row r="775" spans="1:29" x14ac:dyDescent="0.2">
      <c r="A775">
        <v>774</v>
      </c>
      <c r="B775" t="s">
        <v>929</v>
      </c>
      <c r="C775" t="s">
        <v>870</v>
      </c>
      <c r="D775" t="s">
        <v>166</v>
      </c>
      <c r="E775">
        <v>-3.7737260867048698E-2</v>
      </c>
      <c r="F775">
        <v>-5.5219536903745398E-2</v>
      </c>
      <c r="G775">
        <v>-1.27952276695805E-2</v>
      </c>
      <c r="H775">
        <v>-0.18474027593459399</v>
      </c>
      <c r="I775">
        <v>-0.171945048265014</v>
      </c>
      <c r="J775">
        <v>-1.7482276036696699E-2</v>
      </c>
      <c r="K775">
        <v>-1.27952276695805E-2</v>
      </c>
      <c r="L775">
        <v>-3.7737260867048698E-2</v>
      </c>
      <c r="M775">
        <v>-4.2424309234164903E-2</v>
      </c>
      <c r="N775">
        <v>-1.7482276036696699E-2</v>
      </c>
      <c r="O775">
        <v>-0.171945048265014</v>
      </c>
      <c r="P775">
        <v>-0.14700301506754501</v>
      </c>
      <c r="Q775" t="s">
        <v>1173</v>
      </c>
      <c r="R775" t="s">
        <v>1173</v>
      </c>
      <c r="S775" t="s">
        <v>1173</v>
      </c>
      <c r="T775" t="s">
        <v>1067</v>
      </c>
      <c r="U775" t="s">
        <v>1174</v>
      </c>
      <c r="V775">
        <v>1</v>
      </c>
      <c r="W775" t="s">
        <v>1174</v>
      </c>
      <c r="X775" t="s">
        <v>1175</v>
      </c>
      <c r="Y775">
        <v>0</v>
      </c>
      <c r="Z775">
        <v>-0.30840477174436698</v>
      </c>
      <c r="AA775">
        <v>-0.291086981760309</v>
      </c>
      <c r="AB775">
        <v>-0.22708466870670499</v>
      </c>
      <c r="AC775">
        <v>-0.332181022753402</v>
      </c>
    </row>
    <row r="776" spans="1:29" x14ac:dyDescent="0.2">
      <c r="A776">
        <v>775</v>
      </c>
      <c r="B776" t="s">
        <v>930</v>
      </c>
      <c r="C776" t="s">
        <v>870</v>
      </c>
      <c r="D776" t="s">
        <v>224</v>
      </c>
      <c r="E776">
        <v>-0.36714349255124101</v>
      </c>
      <c r="F776">
        <v>-1</v>
      </c>
      <c r="G776">
        <v>-0.197741983275734</v>
      </c>
      <c r="H776">
        <v>-1</v>
      </c>
      <c r="I776">
        <v>-0.802258016724266</v>
      </c>
      <c r="J776">
        <v>-0.63285650744875899</v>
      </c>
      <c r="K776">
        <v>-0.197741983275734</v>
      </c>
      <c r="L776">
        <v>-0.36714349255124101</v>
      </c>
      <c r="M776">
        <v>-0.802258016724266</v>
      </c>
      <c r="N776">
        <v>-0.63285650744875899</v>
      </c>
      <c r="O776">
        <v>-0.802258016724266</v>
      </c>
      <c r="P776">
        <v>-0.63285650744875899</v>
      </c>
      <c r="Q776" t="s">
        <v>1067</v>
      </c>
      <c r="R776" t="s">
        <v>1067</v>
      </c>
      <c r="S776" t="s">
        <v>1067</v>
      </c>
      <c r="T776" t="s">
        <v>1067</v>
      </c>
      <c r="U776" t="s">
        <v>1174</v>
      </c>
      <c r="V776">
        <v>1</v>
      </c>
      <c r="W776" t="s">
        <v>944</v>
      </c>
      <c r="X776" t="s">
        <v>1175</v>
      </c>
      <c r="Y776">
        <v>1</v>
      </c>
      <c r="Z776">
        <v>-0.45351558673418702</v>
      </c>
      <c r="AA776">
        <v>-0.24326822717916999</v>
      </c>
      <c r="AB776">
        <v>-0.39556946194659998</v>
      </c>
      <c r="AC776">
        <v>-0.27602810761804503</v>
      </c>
    </row>
    <row r="777" spans="1:29" x14ac:dyDescent="0.2">
      <c r="A777">
        <v>776</v>
      </c>
      <c r="B777" t="s">
        <v>931</v>
      </c>
      <c r="C777" t="s">
        <v>870</v>
      </c>
      <c r="D777" t="s">
        <v>226</v>
      </c>
      <c r="E777">
        <v>0.90961459599942696</v>
      </c>
      <c r="F777">
        <v>0.388897997270236</v>
      </c>
      <c r="G777">
        <v>0.73848374935715599</v>
      </c>
      <c r="H777">
        <v>0.39025611188179099</v>
      </c>
      <c r="I777">
        <v>-0.348227637475365</v>
      </c>
      <c r="J777">
        <v>-0.52071659872919096</v>
      </c>
      <c r="K777">
        <v>0.90961459599942696</v>
      </c>
      <c r="L777">
        <v>0.73848374935715599</v>
      </c>
      <c r="M777">
        <v>-0.52071659872919096</v>
      </c>
      <c r="N777">
        <v>-0.34958575208692</v>
      </c>
      <c r="O777">
        <v>-0.51935848411763597</v>
      </c>
      <c r="P777">
        <v>-0.348227637475365</v>
      </c>
      <c r="Q777" t="s">
        <v>1068</v>
      </c>
      <c r="R777" t="s">
        <v>1068</v>
      </c>
      <c r="S777" t="s">
        <v>1068</v>
      </c>
      <c r="T777" t="s">
        <v>1068</v>
      </c>
      <c r="U777" t="s">
        <v>1174</v>
      </c>
      <c r="V777">
        <v>1</v>
      </c>
      <c r="W777" t="s">
        <v>944</v>
      </c>
      <c r="X777" t="s">
        <v>1175</v>
      </c>
      <c r="Y777">
        <v>1</v>
      </c>
      <c r="Z777">
        <v>-0.58549072066965202</v>
      </c>
      <c r="AA777">
        <v>-0.28618643590071602</v>
      </c>
      <c r="AB777">
        <v>-0.444665744510923</v>
      </c>
      <c r="AC777">
        <v>-0.28389353481277002</v>
      </c>
    </row>
    <row r="778" spans="1:29" x14ac:dyDescent="0.2">
      <c r="A778">
        <v>777</v>
      </c>
      <c r="B778" t="s">
        <v>932</v>
      </c>
      <c r="C778" t="s">
        <v>870</v>
      </c>
      <c r="D778" t="s">
        <v>168</v>
      </c>
      <c r="E778">
        <v>-0.27893362336218802</v>
      </c>
      <c r="F778">
        <v>-1</v>
      </c>
      <c r="G778">
        <v>-7.6909524742035607E-2</v>
      </c>
      <c r="H778">
        <v>-1</v>
      </c>
      <c r="I778">
        <v>-0.92309047525796395</v>
      </c>
      <c r="J778">
        <v>-0.72106637663781203</v>
      </c>
      <c r="K778">
        <v>-7.6909524742035607E-2</v>
      </c>
      <c r="L778">
        <v>-0.27893362336218802</v>
      </c>
      <c r="M778">
        <v>-0.92309047525796395</v>
      </c>
      <c r="N778">
        <v>-0.72106637663781203</v>
      </c>
      <c r="O778">
        <v>-0.92309047525796395</v>
      </c>
      <c r="P778">
        <v>-0.72106637663781203</v>
      </c>
      <c r="Q778" t="s">
        <v>1067</v>
      </c>
      <c r="R778" t="s">
        <v>1067</v>
      </c>
      <c r="S778" t="s">
        <v>1173</v>
      </c>
      <c r="T778" t="s">
        <v>1067</v>
      </c>
      <c r="U778" t="s">
        <v>1174</v>
      </c>
      <c r="V778">
        <v>1</v>
      </c>
      <c r="W778" t="s">
        <v>944</v>
      </c>
      <c r="X778" t="s">
        <v>1175</v>
      </c>
      <c r="Y778">
        <v>1</v>
      </c>
      <c r="Z778">
        <v>-0.60499531263192596</v>
      </c>
      <c r="AA778">
        <v>-0.292867014732686</v>
      </c>
      <c r="AB778">
        <v>-0.45557632777621299</v>
      </c>
      <c r="AC778">
        <v>-0.28683864514751101</v>
      </c>
    </row>
    <row r="779" spans="1:29" x14ac:dyDescent="0.2">
      <c r="A779">
        <v>778</v>
      </c>
      <c r="B779" t="s">
        <v>933</v>
      </c>
      <c r="C779" t="s">
        <v>168</v>
      </c>
      <c r="D779" t="s">
        <v>130</v>
      </c>
      <c r="E779">
        <v>2.5559886435681601E-3</v>
      </c>
      <c r="F779">
        <v>-0.69573627652990999</v>
      </c>
      <c r="G779">
        <v>-0.177816159081923</v>
      </c>
      <c r="H779">
        <v>-0.93337784539433299</v>
      </c>
      <c r="I779">
        <v>-0.75556168631241005</v>
      </c>
      <c r="J779">
        <v>-0.69829226517347798</v>
      </c>
      <c r="K779">
        <v>2.5559886435681601E-3</v>
      </c>
      <c r="L779">
        <v>-0.177816159081923</v>
      </c>
      <c r="M779">
        <v>-0.69829226517347798</v>
      </c>
      <c r="N779">
        <v>-0.51792011744798705</v>
      </c>
      <c r="O779">
        <v>-0.93593383403790098</v>
      </c>
      <c r="P779">
        <v>-0.75556168631241005</v>
      </c>
      <c r="Q779" t="s">
        <v>1173</v>
      </c>
      <c r="R779" t="s">
        <v>1067</v>
      </c>
      <c r="S779" t="s">
        <v>1067</v>
      </c>
      <c r="T779" t="s">
        <v>1067</v>
      </c>
      <c r="U779" t="s">
        <v>1174</v>
      </c>
      <c r="V779">
        <v>1</v>
      </c>
      <c r="W779" t="s">
        <v>1174</v>
      </c>
      <c r="X779" t="s">
        <v>1175</v>
      </c>
      <c r="Y779">
        <v>1</v>
      </c>
      <c r="Z779">
        <v>-0.320641111725952</v>
      </c>
      <c r="AA779">
        <v>-0.233758967712828</v>
      </c>
      <c r="AB779">
        <v>-0.45867031469347902</v>
      </c>
      <c r="AC779">
        <v>-0.370769535369814</v>
      </c>
    </row>
    <row r="780" spans="1:29" x14ac:dyDescent="0.2">
      <c r="A780">
        <v>779</v>
      </c>
      <c r="B780" t="s">
        <v>934</v>
      </c>
      <c r="C780" t="s">
        <v>168</v>
      </c>
      <c r="D780" t="s">
        <v>150</v>
      </c>
      <c r="E780">
        <v>2.63364071316919E-3</v>
      </c>
      <c r="F780">
        <v>-0.70475802479167104</v>
      </c>
      <c r="G780">
        <v>-3.7043749604729899E-2</v>
      </c>
      <c r="H780">
        <v>-0.92067935588188798</v>
      </c>
      <c r="I780">
        <v>-0.88363560627715798</v>
      </c>
      <c r="J780">
        <v>-0.70739166550484001</v>
      </c>
      <c r="K780">
        <v>2.63364071316919E-3</v>
      </c>
      <c r="L780">
        <v>-3.7043749604729899E-2</v>
      </c>
      <c r="M780">
        <v>-0.70739166550484001</v>
      </c>
      <c r="N780">
        <v>-0.66771427518694104</v>
      </c>
      <c r="O780">
        <v>-0.92331299659505695</v>
      </c>
      <c r="P780">
        <v>-0.88363560627715798</v>
      </c>
      <c r="Q780" t="s">
        <v>1173</v>
      </c>
      <c r="R780" t="s">
        <v>1067</v>
      </c>
      <c r="S780" t="s">
        <v>1173</v>
      </c>
      <c r="T780" t="s">
        <v>1067</v>
      </c>
      <c r="U780" t="s">
        <v>1174</v>
      </c>
      <c r="V780">
        <v>1</v>
      </c>
      <c r="W780" t="s">
        <v>1174</v>
      </c>
      <c r="X780" t="s">
        <v>1175</v>
      </c>
      <c r="Y780">
        <v>1</v>
      </c>
      <c r="Z780">
        <v>-0.44315287166371597</v>
      </c>
      <c r="AA780">
        <v>-0.28522878184300399</v>
      </c>
      <c r="AB780">
        <v>-0.45958231154384899</v>
      </c>
      <c r="AC780">
        <v>-0.370916287719388</v>
      </c>
    </row>
    <row r="781" spans="1:29" x14ac:dyDescent="0.2">
      <c r="A781">
        <v>780</v>
      </c>
      <c r="B781" t="s">
        <v>935</v>
      </c>
      <c r="C781" t="s">
        <v>168</v>
      </c>
      <c r="D781" t="s">
        <v>158</v>
      </c>
      <c r="E781">
        <v>-0.27683018450206598</v>
      </c>
      <c r="F781">
        <v>-1</v>
      </c>
      <c r="G781">
        <v>-4.3183711556411403E-2</v>
      </c>
      <c r="H781">
        <v>-1</v>
      </c>
      <c r="I781">
        <v>-0.95681628844358901</v>
      </c>
      <c r="J781">
        <v>-0.72316981549793402</v>
      </c>
      <c r="K781">
        <v>-4.3183711556411403E-2</v>
      </c>
      <c r="L781">
        <v>-0.27683018450206598</v>
      </c>
      <c r="M781">
        <v>-0.95681628844358901</v>
      </c>
      <c r="N781">
        <v>-0.72316981549793402</v>
      </c>
      <c r="O781">
        <v>-0.95681628844358901</v>
      </c>
      <c r="P781">
        <v>-0.72316981549793402</v>
      </c>
      <c r="Q781" t="s">
        <v>1067</v>
      </c>
      <c r="R781" t="s">
        <v>1067</v>
      </c>
      <c r="S781" t="s">
        <v>1173</v>
      </c>
      <c r="T781" t="s">
        <v>1067</v>
      </c>
      <c r="U781" t="s">
        <v>1174</v>
      </c>
      <c r="V781">
        <v>1</v>
      </c>
      <c r="W781" t="s">
        <v>944</v>
      </c>
      <c r="X781" t="s">
        <v>1175</v>
      </c>
      <c r="Y781">
        <v>1</v>
      </c>
      <c r="Z781">
        <v>-0.631911606238166</v>
      </c>
      <c r="AA781">
        <v>-0.304114558827841</v>
      </c>
      <c r="AB781">
        <v>-0.46175623965746099</v>
      </c>
      <c r="AC781">
        <v>-0.28992120298534002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133A-9A14-1F41-B678-C1D50F1B8035}">
  <dimension ref="A1:AA42"/>
  <sheetViews>
    <sheetView workbookViewId="0">
      <selection activeCell="E34" sqref="E34"/>
    </sheetView>
  </sheetViews>
  <sheetFormatPr baseColWidth="10" defaultRowHeight="16" x14ac:dyDescent="0.2"/>
  <sheetData>
    <row r="1" spans="1:27" x14ac:dyDescent="0.2">
      <c r="A1" t="s">
        <v>118</v>
      </c>
      <c r="B1" t="s">
        <v>125</v>
      </c>
      <c r="C1" t="s">
        <v>126</v>
      </c>
      <c r="D1" t="s">
        <v>127</v>
      </c>
      <c r="E1" t="s">
        <v>969</v>
      </c>
      <c r="F1" t="s">
        <v>970</v>
      </c>
      <c r="G1" t="s">
        <v>971</v>
      </c>
      <c r="H1" t="s">
        <v>936</v>
      </c>
      <c r="I1" t="s">
        <v>1189</v>
      </c>
      <c r="J1" t="s">
        <v>1190</v>
      </c>
      <c r="K1" t="s">
        <v>1191</v>
      </c>
      <c r="L1" t="s">
        <v>972</v>
      </c>
      <c r="M1" t="s">
        <v>973</v>
      </c>
      <c r="N1" t="s">
        <v>974</v>
      </c>
      <c r="O1" t="s">
        <v>937</v>
      </c>
      <c r="P1" t="s">
        <v>975</v>
      </c>
      <c r="Q1" t="s">
        <v>976</v>
      </c>
      <c r="R1" t="s">
        <v>977</v>
      </c>
      <c r="S1" t="s">
        <v>978</v>
      </c>
      <c r="T1" t="s">
        <v>979</v>
      </c>
      <c r="U1" t="s">
        <v>980</v>
      </c>
      <c r="V1" t="s">
        <v>981</v>
      </c>
      <c r="W1" t="s">
        <v>982</v>
      </c>
      <c r="X1" t="s">
        <v>983</v>
      </c>
      <c r="Y1" t="s">
        <v>984</v>
      </c>
      <c r="Z1" t="s">
        <v>1192</v>
      </c>
      <c r="AA1" t="s">
        <v>985</v>
      </c>
    </row>
    <row r="2" spans="1:27" x14ac:dyDescent="0.2">
      <c r="A2">
        <v>1</v>
      </c>
      <c r="B2" t="s">
        <v>129</v>
      </c>
      <c r="C2" t="s">
        <v>129</v>
      </c>
      <c r="D2" t="s">
        <v>129</v>
      </c>
      <c r="E2" s="11">
        <v>1.1199999999999999E-5</v>
      </c>
      <c r="F2" s="11">
        <v>3.5899999999999999E-6</v>
      </c>
      <c r="G2">
        <v>0.321939643</v>
      </c>
      <c r="H2" t="s">
        <v>25</v>
      </c>
      <c r="I2" t="s">
        <v>1193</v>
      </c>
      <c r="J2" t="s">
        <v>25</v>
      </c>
      <c r="K2" t="s">
        <v>1194</v>
      </c>
      <c r="L2" s="11">
        <v>1.4800000000000001E-5</v>
      </c>
      <c r="M2">
        <v>0.623636364</v>
      </c>
      <c r="N2">
        <v>1.2472727269999999</v>
      </c>
      <c r="O2">
        <v>6.236363635</v>
      </c>
      <c r="P2">
        <v>0.399760795</v>
      </c>
      <c r="Q2">
        <v>5.0801516171699999E-2</v>
      </c>
      <c r="R2">
        <v>1.5691358325466399E-2</v>
      </c>
      <c r="S2">
        <v>1.82031907</v>
      </c>
      <c r="T2">
        <v>2.112919867</v>
      </c>
      <c r="U2">
        <v>16.318157339999999</v>
      </c>
      <c r="V2">
        <v>4.3625562999999999E-2</v>
      </c>
      <c r="W2">
        <v>3.7617155999999999E-2</v>
      </c>
      <c r="X2">
        <v>0.33366248300000001</v>
      </c>
      <c r="Y2">
        <v>0.31215736399999999</v>
      </c>
      <c r="Z2">
        <v>-2.1505119E-2</v>
      </c>
      <c r="AA2">
        <v>0.935548285780754</v>
      </c>
    </row>
    <row r="3" spans="1:27" x14ac:dyDescent="0.2">
      <c r="A3">
        <v>2</v>
      </c>
      <c r="B3" t="s">
        <v>130</v>
      </c>
      <c r="C3" t="s">
        <v>130</v>
      </c>
      <c r="D3" t="s">
        <v>130</v>
      </c>
      <c r="E3" s="11">
        <v>2.4199999999999999E-5</v>
      </c>
      <c r="F3" s="11">
        <v>8.0399999999999993E-6</v>
      </c>
      <c r="G3">
        <v>0.33256279900000002</v>
      </c>
      <c r="H3" t="s">
        <v>25</v>
      </c>
      <c r="I3" t="s">
        <v>1193</v>
      </c>
      <c r="J3" t="s">
        <v>25</v>
      </c>
      <c r="K3" t="s">
        <v>1194</v>
      </c>
      <c r="L3" s="11">
        <v>3.2199999999999997E-5</v>
      </c>
      <c r="M3">
        <v>0.76602617500000003</v>
      </c>
      <c r="N3">
        <v>3.6055463000000003E-2</v>
      </c>
      <c r="O3">
        <v>4.6682679729999998</v>
      </c>
      <c r="P3">
        <v>1.5438828999999999E-2</v>
      </c>
      <c r="Q3">
        <v>4.2053883184112698E-2</v>
      </c>
      <c r="R3">
        <v>1.29572965960507E-2</v>
      </c>
      <c r="S3">
        <v>9.9550399999999997E-2</v>
      </c>
      <c r="T3">
        <v>2.114918324</v>
      </c>
      <c r="U3">
        <v>12.88861073</v>
      </c>
      <c r="V3">
        <v>7.0467741E-2</v>
      </c>
      <c r="W3">
        <v>6.1227164000000001E-2</v>
      </c>
      <c r="X3">
        <v>0.53896018700000003</v>
      </c>
      <c r="Y3">
        <v>0.50807960900000004</v>
      </c>
      <c r="Z3">
        <v>-3.0880577999999999E-2</v>
      </c>
      <c r="AA3">
        <v>0.94270341530811397</v>
      </c>
    </row>
    <row r="4" spans="1:27" x14ac:dyDescent="0.2">
      <c r="A4">
        <v>3</v>
      </c>
      <c r="B4" t="s">
        <v>132</v>
      </c>
      <c r="C4" t="s">
        <v>132</v>
      </c>
      <c r="D4" t="s">
        <v>132</v>
      </c>
      <c r="E4" s="11">
        <v>1.19E-5</v>
      </c>
      <c r="F4" s="11">
        <v>3.7799999999999998E-6</v>
      </c>
      <c r="G4">
        <v>0.31661491600000002</v>
      </c>
      <c r="H4" t="s">
        <v>25</v>
      </c>
      <c r="I4" t="s">
        <v>1193</v>
      </c>
      <c r="J4" t="s">
        <v>25</v>
      </c>
      <c r="K4" t="s">
        <v>1194</v>
      </c>
      <c r="L4" s="11">
        <v>1.5699999999999999E-5</v>
      </c>
      <c r="M4">
        <v>0.37658761800000001</v>
      </c>
      <c r="N4">
        <v>1.603458E-2</v>
      </c>
      <c r="O4">
        <v>2.2915948670000001</v>
      </c>
      <c r="P4">
        <v>1.3973444E-2</v>
      </c>
      <c r="Q4">
        <v>1.8670044625098099E-2</v>
      </c>
      <c r="R4">
        <v>5.7623669382712E-3</v>
      </c>
      <c r="S4">
        <v>4.8252700000000003E-2</v>
      </c>
      <c r="T4">
        <v>1.1334553650000001</v>
      </c>
      <c r="U4">
        <v>6.8972375880000003</v>
      </c>
      <c r="V4">
        <v>2.9940208999999999E-2</v>
      </c>
      <c r="W4">
        <v>2.592448E-2</v>
      </c>
      <c r="X4">
        <v>0.22899244699999999</v>
      </c>
      <c r="Y4">
        <v>0.21512836299999999</v>
      </c>
      <c r="Z4">
        <v>-1.3864084E-2</v>
      </c>
      <c r="AA4">
        <v>0.93945615158215201</v>
      </c>
    </row>
    <row r="5" spans="1:27" x14ac:dyDescent="0.2">
      <c r="A5">
        <v>4</v>
      </c>
      <c r="B5" t="s">
        <v>175</v>
      </c>
      <c r="C5" t="s">
        <v>175</v>
      </c>
      <c r="D5" t="s">
        <v>175</v>
      </c>
      <c r="E5" s="11">
        <v>8.0099999999999995E-6</v>
      </c>
      <c r="F5" s="11">
        <v>2.5399999999999998E-6</v>
      </c>
      <c r="G5">
        <v>0.31721527100000002</v>
      </c>
      <c r="H5" t="s">
        <v>25</v>
      </c>
      <c r="I5" t="s">
        <v>1193</v>
      </c>
      <c r="J5" t="s">
        <v>25</v>
      </c>
      <c r="K5" t="s">
        <v>1194</v>
      </c>
      <c r="L5" s="11">
        <v>1.06E-5</v>
      </c>
      <c r="M5">
        <v>0.20532007799999999</v>
      </c>
      <c r="N5">
        <v>5.9080219999999998E-3</v>
      </c>
      <c r="O5">
        <v>1.2437365119999999</v>
      </c>
      <c r="P5">
        <v>9.5144449999999998E-3</v>
      </c>
      <c r="Q5">
        <v>6.85938497792283E-3</v>
      </c>
      <c r="R5">
        <v>2.1231731334025801E-3</v>
      </c>
      <c r="S5">
        <v>1.8574110000000001E-2</v>
      </c>
      <c r="T5">
        <v>0.64532102599999996</v>
      </c>
      <c r="U5">
        <v>3.909074382</v>
      </c>
      <c r="V5">
        <v>1.2905372E-2</v>
      </c>
      <c r="W5">
        <v>1.0995174999999999E-2</v>
      </c>
      <c r="X5">
        <v>9.8704481999999996E-2</v>
      </c>
      <c r="Y5">
        <v>9.1240944000000004E-2</v>
      </c>
      <c r="Z5">
        <v>-7.4635379999999996E-3</v>
      </c>
      <c r="AA5">
        <v>0.92438501424889696</v>
      </c>
    </row>
    <row r="6" spans="1:27" x14ac:dyDescent="0.2">
      <c r="A6">
        <v>5</v>
      </c>
      <c r="B6" t="s">
        <v>134</v>
      </c>
      <c r="C6" t="s">
        <v>134</v>
      </c>
      <c r="D6" t="s">
        <v>134</v>
      </c>
      <c r="E6" s="11">
        <v>2.8500000000000002E-5</v>
      </c>
      <c r="F6" s="11">
        <v>1.2300000000000001E-5</v>
      </c>
      <c r="G6">
        <v>0.43257973199999999</v>
      </c>
      <c r="H6" t="s">
        <v>25</v>
      </c>
      <c r="I6" t="s">
        <v>1193</v>
      </c>
      <c r="J6" t="s">
        <v>25</v>
      </c>
      <c r="K6" t="s">
        <v>1194</v>
      </c>
      <c r="L6" s="11">
        <v>4.0800000000000002E-5</v>
      </c>
      <c r="M6">
        <v>0.73094860900000003</v>
      </c>
      <c r="N6">
        <v>4.8637535000000003E-2</v>
      </c>
      <c r="O6">
        <v>4.4829667249999998</v>
      </c>
      <c r="P6">
        <v>2.1709450000000002E-2</v>
      </c>
      <c r="Q6">
        <v>5.6749517187727201E-2</v>
      </c>
      <c r="R6">
        <v>1.7478931082754601E-2</v>
      </c>
      <c r="S6">
        <v>0.10190409</v>
      </c>
      <c r="T6">
        <v>1.531213331</v>
      </c>
      <c r="U6">
        <v>9.3910881740000001</v>
      </c>
      <c r="V6">
        <v>9.7089053999999994E-2</v>
      </c>
      <c r="W6">
        <v>8.6533625000000003E-2</v>
      </c>
      <c r="X6">
        <v>0.742568636</v>
      </c>
      <c r="Y6">
        <v>0.71807948899999996</v>
      </c>
      <c r="Z6">
        <v>-2.4489146999999999E-2</v>
      </c>
      <c r="AA6">
        <v>0.96702103238305903</v>
      </c>
    </row>
    <row r="7" spans="1:27" x14ac:dyDescent="0.2">
      <c r="A7">
        <v>6</v>
      </c>
      <c r="B7" t="s">
        <v>136</v>
      </c>
      <c r="C7" t="s">
        <v>136</v>
      </c>
      <c r="D7" t="s">
        <v>136</v>
      </c>
      <c r="E7" s="11">
        <v>1.9400000000000001E-5</v>
      </c>
      <c r="F7" s="11">
        <v>6.6599999999999998E-6</v>
      </c>
      <c r="G7">
        <v>0.34277918800000001</v>
      </c>
      <c r="H7" t="s">
        <v>25</v>
      </c>
      <c r="I7" t="s">
        <v>1193</v>
      </c>
      <c r="J7" t="s">
        <v>25</v>
      </c>
      <c r="K7" t="s">
        <v>1194</v>
      </c>
      <c r="L7" s="11">
        <v>2.6100000000000001E-5</v>
      </c>
      <c r="M7">
        <v>0.50230309399999995</v>
      </c>
      <c r="N7">
        <v>4.1602345999999998E-2</v>
      </c>
      <c r="O7">
        <v>3.0970232559999999</v>
      </c>
      <c r="P7">
        <v>2.6814623999999999E-2</v>
      </c>
      <c r="Q7">
        <v>4.8516162498954102E-2</v>
      </c>
      <c r="R7">
        <v>1.49506866759477E-2</v>
      </c>
      <c r="S7">
        <v>0.11213924</v>
      </c>
      <c r="T7">
        <v>1.354020123</v>
      </c>
      <c r="U7">
        <v>8.3483992160000007</v>
      </c>
      <c r="V7">
        <v>7.7765502E-2</v>
      </c>
      <c r="W7">
        <v>6.7568016999999994E-2</v>
      </c>
      <c r="X7">
        <v>0.59477583000000001</v>
      </c>
      <c r="Y7">
        <v>0.56069773099999998</v>
      </c>
      <c r="Z7">
        <v>-3.4078099000000001E-2</v>
      </c>
      <c r="AA7">
        <v>0.94270429751659501</v>
      </c>
    </row>
    <row r="8" spans="1:27" x14ac:dyDescent="0.2">
      <c r="A8">
        <v>7</v>
      </c>
      <c r="B8" t="s">
        <v>138</v>
      </c>
      <c r="C8" t="s">
        <v>138</v>
      </c>
      <c r="D8" t="s">
        <v>138</v>
      </c>
      <c r="E8" s="11">
        <v>1.95E-5</v>
      </c>
      <c r="F8" s="11">
        <v>7.8099999999999998E-6</v>
      </c>
      <c r="G8">
        <v>0.400356457</v>
      </c>
      <c r="H8" t="s">
        <v>25</v>
      </c>
      <c r="I8" t="s">
        <v>1193</v>
      </c>
      <c r="J8" t="s">
        <v>25</v>
      </c>
      <c r="K8" t="s">
        <v>1194</v>
      </c>
      <c r="L8" s="11">
        <v>2.73E-5</v>
      </c>
      <c r="M8">
        <v>4.7372085110000004</v>
      </c>
      <c r="N8">
        <v>0.134133052</v>
      </c>
      <c r="O8">
        <v>28.691517170000001</v>
      </c>
      <c r="P8">
        <v>9.3368749999999997E-3</v>
      </c>
      <c r="Q8">
        <v>0.14956264086627499</v>
      </c>
      <c r="R8">
        <v>4.8203561822919197E-2</v>
      </c>
      <c r="S8">
        <v>0.23830145</v>
      </c>
      <c r="T8">
        <v>6.7700683079999999</v>
      </c>
      <c r="U8">
        <v>41.097012739999997</v>
      </c>
      <c r="V8">
        <v>0.25251785199999999</v>
      </c>
      <c r="W8">
        <v>0.226258813</v>
      </c>
      <c r="X8">
        <v>1.931338593</v>
      </c>
      <c r="Y8">
        <v>1.87755699</v>
      </c>
      <c r="Z8">
        <v>-5.3781602999999997E-2</v>
      </c>
      <c r="AA8">
        <v>0.97215319820412205</v>
      </c>
    </row>
    <row r="9" spans="1:27" x14ac:dyDescent="0.2">
      <c r="A9">
        <v>8</v>
      </c>
      <c r="B9" t="s">
        <v>182</v>
      </c>
      <c r="C9" t="s">
        <v>182</v>
      </c>
      <c r="D9" t="s">
        <v>182</v>
      </c>
      <c r="E9" s="11">
        <v>1.3200000000000001E-5</v>
      </c>
      <c r="F9" s="11">
        <v>7.6499999999999996E-6</v>
      </c>
      <c r="G9">
        <v>0.58035591900000005</v>
      </c>
      <c r="H9" t="s">
        <v>25</v>
      </c>
      <c r="I9" t="s">
        <v>1193</v>
      </c>
      <c r="J9" t="s">
        <v>25</v>
      </c>
      <c r="K9" t="s">
        <v>1194</v>
      </c>
      <c r="L9" s="11">
        <v>2.0800000000000001E-5</v>
      </c>
      <c r="M9">
        <v>7.1235706900000002</v>
      </c>
      <c r="N9">
        <v>9.999996887</v>
      </c>
      <c r="O9">
        <v>62.741417910000003</v>
      </c>
      <c r="P9">
        <v>0.21558970299999999</v>
      </c>
      <c r="Q9">
        <v>0.18704718560681299</v>
      </c>
      <c r="R9">
        <v>5.8006514455837099E-2</v>
      </c>
      <c r="S9">
        <v>9.7003746599999996</v>
      </c>
      <c r="T9">
        <v>9.4693643479999992</v>
      </c>
      <c r="U9">
        <v>76.216935399999997</v>
      </c>
      <c r="V9">
        <v>0.24788423300000001</v>
      </c>
      <c r="W9">
        <v>0.23563340899999999</v>
      </c>
      <c r="X9">
        <v>1.8958991709999999</v>
      </c>
      <c r="Y9">
        <v>1.9553499249999999</v>
      </c>
      <c r="Z9">
        <v>5.9450754000000001E-2</v>
      </c>
      <c r="AA9">
        <v>1.0313575505013</v>
      </c>
    </row>
    <row r="10" spans="1:27" x14ac:dyDescent="0.2">
      <c r="A10">
        <v>9</v>
      </c>
      <c r="B10" t="s">
        <v>184</v>
      </c>
      <c r="C10" t="s">
        <v>184</v>
      </c>
      <c r="D10" t="s">
        <v>184</v>
      </c>
      <c r="E10" s="11">
        <v>1.5500000000000001E-5</v>
      </c>
      <c r="F10" s="11">
        <v>5.0599999999999998E-6</v>
      </c>
      <c r="G10">
        <v>0.32577569200000001</v>
      </c>
      <c r="H10" t="s">
        <v>25</v>
      </c>
      <c r="I10" t="s">
        <v>1193</v>
      </c>
      <c r="J10" t="s">
        <v>25</v>
      </c>
      <c r="K10" t="s">
        <v>1194</v>
      </c>
      <c r="L10" s="11">
        <v>2.0599999999999999E-5</v>
      </c>
      <c r="M10">
        <v>0.52461640399999998</v>
      </c>
      <c r="N10">
        <v>2.4251993999999999E-2</v>
      </c>
      <c r="O10">
        <v>3.1962024090000001</v>
      </c>
      <c r="P10">
        <v>1.4879318000000001E-2</v>
      </c>
      <c r="Q10">
        <v>2.8345379768563099E-2</v>
      </c>
      <c r="R10">
        <v>8.7154691507501901E-3</v>
      </c>
      <c r="S10">
        <v>7.0665459999999999E-2</v>
      </c>
      <c r="T10">
        <v>1.541031448</v>
      </c>
      <c r="U10">
        <v>9.3875196140000003</v>
      </c>
      <c r="V10">
        <v>4.5472054999999997E-2</v>
      </c>
      <c r="W10">
        <v>3.8854767999999998E-2</v>
      </c>
      <c r="X10">
        <v>0.34778505799999998</v>
      </c>
      <c r="Y10">
        <v>0.322427401</v>
      </c>
      <c r="Z10">
        <v>-2.5357656999999999E-2</v>
      </c>
      <c r="AA10">
        <v>0.92708813556906799</v>
      </c>
    </row>
    <row r="11" spans="1:27" x14ac:dyDescent="0.2">
      <c r="A11">
        <v>10</v>
      </c>
      <c r="B11" t="s">
        <v>186</v>
      </c>
      <c r="C11" t="s">
        <v>186</v>
      </c>
      <c r="D11" t="s">
        <v>186</v>
      </c>
      <c r="E11" s="11">
        <v>1.26E-5</v>
      </c>
      <c r="F11" s="11">
        <v>3.9600000000000002E-6</v>
      </c>
      <c r="G11">
        <v>0.31493746</v>
      </c>
      <c r="H11" t="s">
        <v>25</v>
      </c>
      <c r="I11" t="s">
        <v>1193</v>
      </c>
      <c r="J11" t="s">
        <v>25</v>
      </c>
      <c r="K11" t="s">
        <v>1194</v>
      </c>
      <c r="L11" s="11">
        <v>1.6500000000000001E-5</v>
      </c>
      <c r="M11">
        <v>0.38815626600000003</v>
      </c>
      <c r="N11">
        <v>0.102026345</v>
      </c>
      <c r="O11">
        <v>2.532990286</v>
      </c>
      <c r="P11">
        <v>3.6778116999999999E-2</v>
      </c>
      <c r="Q11">
        <v>2.1094279833642302E-2</v>
      </c>
      <c r="R11">
        <v>6.5123375052513104E-3</v>
      </c>
      <c r="S11">
        <v>0.30473715000000001</v>
      </c>
      <c r="T11">
        <v>1.212500683</v>
      </c>
      <c r="U11">
        <v>7.8844783899999999</v>
      </c>
      <c r="V11">
        <v>2.3273081000000001E-2</v>
      </c>
      <c r="W11">
        <v>1.9795925999999998E-2</v>
      </c>
      <c r="X11">
        <v>0.178000086</v>
      </c>
      <c r="Y11">
        <v>0.164271959</v>
      </c>
      <c r="Z11">
        <v>-1.3728127E-2</v>
      </c>
      <c r="AA11">
        <v>0.92287572827352404</v>
      </c>
    </row>
    <row r="12" spans="1:27" x14ac:dyDescent="0.2">
      <c r="A12">
        <v>11</v>
      </c>
      <c r="B12" t="s">
        <v>188</v>
      </c>
      <c r="C12" t="s">
        <v>188</v>
      </c>
      <c r="D12" t="s">
        <v>188</v>
      </c>
      <c r="E12" s="11">
        <v>1.6799999999999998E-5</v>
      </c>
      <c r="F12" s="11">
        <v>8.0399999999999993E-6</v>
      </c>
      <c r="G12">
        <v>0.47791990200000001</v>
      </c>
      <c r="H12" t="s">
        <v>25</v>
      </c>
      <c r="I12" t="s">
        <v>1193</v>
      </c>
      <c r="J12" t="s">
        <v>25</v>
      </c>
      <c r="K12" t="s">
        <v>1194</v>
      </c>
      <c r="L12" s="11">
        <v>2.48E-5</v>
      </c>
      <c r="M12">
        <v>9.6380333660000002</v>
      </c>
      <c r="N12">
        <v>9.9999973139999998</v>
      </c>
      <c r="O12">
        <v>77.828194819999993</v>
      </c>
      <c r="P12">
        <v>0.14738108</v>
      </c>
      <c r="Q12">
        <v>0.17654877519628701</v>
      </c>
      <c r="R12">
        <v>5.7980112007332898E-2</v>
      </c>
      <c r="S12">
        <v>9.9999973099999995</v>
      </c>
      <c r="T12">
        <v>8.9670787569999995</v>
      </c>
      <c r="U12">
        <v>73.80246717</v>
      </c>
      <c r="V12">
        <v>0.25699406200000002</v>
      </c>
      <c r="W12">
        <v>0.239290434</v>
      </c>
      <c r="X12">
        <v>1.965574105</v>
      </c>
      <c r="Y12">
        <v>1.985696913</v>
      </c>
      <c r="Z12">
        <v>2.0122807999999999E-2</v>
      </c>
      <c r="AA12">
        <v>1.0102376236789099</v>
      </c>
    </row>
    <row r="13" spans="1:27" x14ac:dyDescent="0.2">
      <c r="A13">
        <v>12</v>
      </c>
      <c r="B13" t="s">
        <v>140</v>
      </c>
      <c r="C13" t="s">
        <v>140</v>
      </c>
      <c r="D13" t="s">
        <v>140</v>
      </c>
      <c r="E13" s="11">
        <v>1.4E-5</v>
      </c>
      <c r="F13" s="11">
        <v>4.4499999999999997E-6</v>
      </c>
      <c r="G13">
        <v>0.31785928099999999</v>
      </c>
      <c r="H13" t="s">
        <v>25</v>
      </c>
      <c r="I13" t="s">
        <v>1193</v>
      </c>
      <c r="J13" t="s">
        <v>25</v>
      </c>
      <c r="K13" t="s">
        <v>1194</v>
      </c>
      <c r="L13" s="11">
        <v>1.84E-5</v>
      </c>
      <c r="M13">
        <v>0.32883395900000001</v>
      </c>
      <c r="N13">
        <v>1.3274815000000001E-2</v>
      </c>
      <c r="O13">
        <v>1.9995533809999999</v>
      </c>
      <c r="P13">
        <v>1.3267629E-2</v>
      </c>
      <c r="Q13">
        <v>1.5461806467967101E-2</v>
      </c>
      <c r="R13">
        <v>4.7705865564732896E-3</v>
      </c>
      <c r="S13">
        <v>4.047278E-2</v>
      </c>
      <c r="T13">
        <v>1.0026038559999999</v>
      </c>
      <c r="U13">
        <v>6.0965686979999996</v>
      </c>
      <c r="V13">
        <v>2.3762031999999999E-2</v>
      </c>
      <c r="W13">
        <v>2.0155972000000001E-2</v>
      </c>
      <c r="X13">
        <v>0.18173974600000001</v>
      </c>
      <c r="Y13">
        <v>0.167259718</v>
      </c>
      <c r="Z13">
        <v>-1.4480028000000001E-2</v>
      </c>
      <c r="AA13">
        <v>0.920325474648787</v>
      </c>
    </row>
    <row r="14" spans="1:27" x14ac:dyDescent="0.2">
      <c r="A14">
        <v>13</v>
      </c>
      <c r="B14" t="s">
        <v>191</v>
      </c>
      <c r="C14" t="s">
        <v>191</v>
      </c>
      <c r="D14" t="s">
        <v>191</v>
      </c>
      <c r="E14" s="11">
        <v>1.3699999999999999E-5</v>
      </c>
      <c r="F14" s="11">
        <v>4.33E-6</v>
      </c>
      <c r="G14">
        <v>0.31641286200000002</v>
      </c>
      <c r="H14" t="s">
        <v>25</v>
      </c>
      <c r="I14" t="s">
        <v>1193</v>
      </c>
      <c r="J14" t="s">
        <v>25</v>
      </c>
      <c r="K14" t="s">
        <v>1194</v>
      </c>
      <c r="L14" s="11">
        <v>1.8E-5</v>
      </c>
      <c r="M14">
        <v>0.29428079200000001</v>
      </c>
      <c r="N14">
        <v>1.1247442999999999E-2</v>
      </c>
      <c r="O14">
        <v>1.7881796350000001</v>
      </c>
      <c r="P14">
        <v>1.2560979999999999E-2</v>
      </c>
      <c r="Q14">
        <v>1.30982504119275E-2</v>
      </c>
      <c r="R14">
        <v>4.0420075463551202E-3</v>
      </c>
      <c r="S14">
        <v>3.460328E-2</v>
      </c>
      <c r="T14">
        <v>0.90540642999999998</v>
      </c>
      <c r="U14">
        <v>5.5016451320000002</v>
      </c>
      <c r="V14">
        <v>1.9631312000000001E-2</v>
      </c>
      <c r="W14">
        <v>1.6558023000000002E-2</v>
      </c>
      <c r="X14">
        <v>0.15014665599999999</v>
      </c>
      <c r="Y14">
        <v>0.13740296599999999</v>
      </c>
      <c r="Z14">
        <v>-1.274369E-2</v>
      </c>
      <c r="AA14">
        <v>0.91512504947163098</v>
      </c>
    </row>
    <row r="15" spans="1:27" x14ac:dyDescent="0.2">
      <c r="A15">
        <v>14</v>
      </c>
      <c r="B15" t="s">
        <v>193</v>
      </c>
      <c r="C15" t="s">
        <v>193</v>
      </c>
      <c r="D15" t="s">
        <v>193</v>
      </c>
      <c r="E15" s="11">
        <v>1.1399999999999999E-5</v>
      </c>
      <c r="F15" s="11">
        <v>3.5599999999999998E-6</v>
      </c>
      <c r="G15">
        <v>0.31170520499999999</v>
      </c>
      <c r="H15" t="s">
        <v>25</v>
      </c>
      <c r="I15" t="s">
        <v>1193</v>
      </c>
      <c r="J15" t="s">
        <v>25</v>
      </c>
      <c r="K15" t="s">
        <v>1194</v>
      </c>
      <c r="L15" s="11">
        <v>1.5E-5</v>
      </c>
      <c r="M15">
        <v>0.231127095</v>
      </c>
      <c r="N15">
        <v>7.481573E-3</v>
      </c>
      <c r="O15">
        <v>1.4017257169999999</v>
      </c>
      <c r="P15">
        <v>1.0683773000000001E-2</v>
      </c>
      <c r="Q15">
        <v>8.7052713308133807E-3</v>
      </c>
      <c r="R15">
        <v>2.6886621290502298E-3</v>
      </c>
      <c r="S15">
        <v>2.3397290000000001E-2</v>
      </c>
      <c r="T15">
        <v>0.72271233000000001</v>
      </c>
      <c r="U15">
        <v>4.38306855</v>
      </c>
      <c r="V15">
        <v>1.5847163000000001E-2</v>
      </c>
      <c r="W15">
        <v>1.3659681999999999E-2</v>
      </c>
      <c r="X15">
        <v>0.121204256</v>
      </c>
      <c r="Y15">
        <v>0.113351743</v>
      </c>
      <c r="Z15">
        <v>-7.8525130000000002E-3</v>
      </c>
      <c r="AA15">
        <v>0.93521256382284101</v>
      </c>
    </row>
    <row r="16" spans="1:27" x14ac:dyDescent="0.2">
      <c r="A16">
        <v>15</v>
      </c>
      <c r="B16" t="s">
        <v>142</v>
      </c>
      <c r="C16" t="s">
        <v>142</v>
      </c>
      <c r="D16" t="s">
        <v>142</v>
      </c>
      <c r="E16" s="11">
        <v>1.31E-5</v>
      </c>
      <c r="F16" s="11">
        <v>1.6699999999999999E-5</v>
      </c>
      <c r="G16">
        <v>1.2719281140000001</v>
      </c>
      <c r="H16" t="s">
        <v>25</v>
      </c>
      <c r="I16" t="s">
        <v>1193</v>
      </c>
      <c r="J16" t="s">
        <v>25</v>
      </c>
      <c r="K16" t="s">
        <v>1194</v>
      </c>
      <c r="L16" s="11">
        <v>2.9799999999999999E-5</v>
      </c>
      <c r="M16">
        <v>7.194368484</v>
      </c>
      <c r="N16">
        <v>7.8392510829999997</v>
      </c>
      <c r="O16">
        <v>58.844713069999997</v>
      </c>
      <c r="P16">
        <v>0.26645988999999998</v>
      </c>
      <c r="Q16">
        <v>0.19391300209003001</v>
      </c>
      <c r="R16">
        <v>5.7989717090788803E-2</v>
      </c>
      <c r="S16">
        <v>5.1798466100000002</v>
      </c>
      <c r="T16">
        <v>4.8453582879999999</v>
      </c>
      <c r="U16">
        <v>39.431842949999997</v>
      </c>
      <c r="V16">
        <v>0.28781196599999997</v>
      </c>
      <c r="W16">
        <v>0.30425718000000002</v>
      </c>
      <c r="X16">
        <v>2.2012794499999999</v>
      </c>
      <c r="Y16">
        <v>2.5248085869999999</v>
      </c>
      <c r="Z16">
        <v>0.32352913700000002</v>
      </c>
      <c r="AA16">
        <v>1.1469732236858901</v>
      </c>
    </row>
    <row r="17" spans="1:27" x14ac:dyDescent="0.2">
      <c r="A17">
        <v>16</v>
      </c>
      <c r="B17" t="s">
        <v>196</v>
      </c>
      <c r="C17" t="s">
        <v>196</v>
      </c>
      <c r="D17" t="s">
        <v>196</v>
      </c>
      <c r="E17" s="11">
        <v>1.49E-5</v>
      </c>
      <c r="F17" s="11">
        <v>4.8300000000000003E-6</v>
      </c>
      <c r="G17">
        <v>0.32498227800000001</v>
      </c>
      <c r="H17" t="s">
        <v>25</v>
      </c>
      <c r="I17" t="s">
        <v>1193</v>
      </c>
      <c r="J17" t="s">
        <v>25</v>
      </c>
      <c r="K17" t="s">
        <v>1194</v>
      </c>
      <c r="L17" s="11">
        <v>1.9700000000000001E-5</v>
      </c>
      <c r="M17">
        <v>0.91593137899999999</v>
      </c>
      <c r="N17">
        <v>6.4023346610000003</v>
      </c>
      <c r="O17">
        <v>18.300257590000001</v>
      </c>
      <c r="P17">
        <v>0.44904358700000002</v>
      </c>
      <c r="Q17">
        <v>5.2359771065310597E-2</v>
      </c>
      <c r="R17">
        <v>1.6143143227769299E-2</v>
      </c>
      <c r="S17">
        <v>1.0440433</v>
      </c>
      <c r="T17">
        <v>2.4333857050000001</v>
      </c>
      <c r="U17">
        <v>16.688400829999999</v>
      </c>
      <c r="V17">
        <v>9.2053164000000007E-2</v>
      </c>
      <c r="W17">
        <v>7.9129250999999998E-2</v>
      </c>
      <c r="X17">
        <v>0.70405251800000002</v>
      </c>
      <c r="Y17">
        <v>0.65663598199999995</v>
      </c>
      <c r="Z17">
        <v>-4.7416536000000002E-2</v>
      </c>
      <c r="AA17">
        <v>0.93265199003236898</v>
      </c>
    </row>
    <row r="18" spans="1:27" x14ac:dyDescent="0.2">
      <c r="A18">
        <v>17</v>
      </c>
      <c r="B18" t="s">
        <v>144</v>
      </c>
      <c r="C18" t="s">
        <v>144</v>
      </c>
      <c r="D18" t="s">
        <v>144</v>
      </c>
      <c r="E18" s="11">
        <v>3.18E-5</v>
      </c>
      <c r="F18" s="11">
        <v>1.06E-5</v>
      </c>
      <c r="G18">
        <v>0.33206466499999998</v>
      </c>
      <c r="H18" t="s">
        <v>25</v>
      </c>
      <c r="I18" t="s">
        <v>1193</v>
      </c>
      <c r="J18" t="s">
        <v>25</v>
      </c>
      <c r="K18" t="s">
        <v>1194</v>
      </c>
      <c r="L18" s="11">
        <v>4.2400000000000001E-5</v>
      </c>
      <c r="M18">
        <v>0.70126010999999999</v>
      </c>
      <c r="N18">
        <v>5.8393288000000002E-2</v>
      </c>
      <c r="O18">
        <v>4.3243472379999996</v>
      </c>
      <c r="P18">
        <v>2.7010882999999999E-2</v>
      </c>
      <c r="Q18">
        <v>6.8119415526020299E-2</v>
      </c>
      <c r="R18">
        <v>2.0984868399282899E-2</v>
      </c>
      <c r="S18">
        <v>0.14680667</v>
      </c>
      <c r="T18">
        <v>1.762757922</v>
      </c>
      <c r="U18">
        <v>10.87016088</v>
      </c>
      <c r="V18">
        <v>0.11853124499999999</v>
      </c>
      <c r="W18">
        <v>0.104855857</v>
      </c>
      <c r="X18">
        <v>0.90656548000000003</v>
      </c>
      <c r="Y18">
        <v>0.87012233500000002</v>
      </c>
      <c r="Z18">
        <v>-3.6443145000000003E-2</v>
      </c>
      <c r="AA18">
        <v>0.95980086843809698</v>
      </c>
    </row>
    <row r="19" spans="1:27" x14ac:dyDescent="0.2">
      <c r="A19">
        <v>18</v>
      </c>
      <c r="B19" t="s">
        <v>146</v>
      </c>
      <c r="C19" t="s">
        <v>146</v>
      </c>
      <c r="D19" t="s">
        <v>146</v>
      </c>
      <c r="E19" s="11">
        <v>2.4499999999999999E-5</v>
      </c>
      <c r="F19" s="11">
        <v>8.0199999999999994E-6</v>
      </c>
      <c r="G19">
        <v>0.32706505699999999</v>
      </c>
      <c r="H19" t="s">
        <v>25</v>
      </c>
      <c r="I19" t="s">
        <v>1193</v>
      </c>
      <c r="J19" t="s">
        <v>25</v>
      </c>
      <c r="K19" t="s">
        <v>1194</v>
      </c>
      <c r="L19" s="11">
        <v>3.2499999999999997E-5</v>
      </c>
      <c r="M19">
        <v>0.77059375100000005</v>
      </c>
      <c r="N19">
        <v>3.6279064999999999E-2</v>
      </c>
      <c r="O19">
        <v>4.696120638</v>
      </c>
      <c r="P19">
        <v>1.5435334E-2</v>
      </c>
      <c r="Q19">
        <v>4.2313690390811398E-2</v>
      </c>
      <c r="R19">
        <v>1.3037652459187201E-2</v>
      </c>
      <c r="S19">
        <v>0.10007778000000001</v>
      </c>
      <c r="T19">
        <v>2.125432832</v>
      </c>
      <c r="U19">
        <v>12.95275255</v>
      </c>
      <c r="V19">
        <v>7.0871356999999996E-2</v>
      </c>
      <c r="W19">
        <v>6.1533993000000002E-2</v>
      </c>
      <c r="X19">
        <v>0.54204716799999997</v>
      </c>
      <c r="Y19">
        <v>0.51062575899999996</v>
      </c>
      <c r="Z19">
        <v>-3.1421408999999997E-2</v>
      </c>
      <c r="AA19">
        <v>0.94203196538054801</v>
      </c>
    </row>
    <row r="20" spans="1:27" x14ac:dyDescent="0.2">
      <c r="A20">
        <v>19</v>
      </c>
      <c r="B20" t="s">
        <v>200</v>
      </c>
      <c r="C20" t="s">
        <v>200</v>
      </c>
      <c r="D20" t="s">
        <v>200</v>
      </c>
      <c r="E20" s="11">
        <v>1.0900000000000001E-5</v>
      </c>
      <c r="F20" s="11">
        <v>3.7299999999999999E-6</v>
      </c>
      <c r="G20">
        <v>0.34183895399999997</v>
      </c>
      <c r="H20" t="s">
        <v>25</v>
      </c>
      <c r="I20" t="s">
        <v>1193</v>
      </c>
      <c r="J20" t="s">
        <v>25</v>
      </c>
      <c r="K20" t="s">
        <v>1194</v>
      </c>
      <c r="L20" s="11">
        <v>1.4600000000000001E-5</v>
      </c>
      <c r="M20">
        <v>1.0657761240000001</v>
      </c>
      <c r="N20">
        <v>4.9592320000000002E-2</v>
      </c>
      <c r="O20">
        <v>6.4938413830000004</v>
      </c>
      <c r="P20">
        <v>1.5271587E-2</v>
      </c>
      <c r="Q20">
        <v>5.77753245785275E-2</v>
      </c>
      <c r="R20">
        <v>1.7822053785537698E-2</v>
      </c>
      <c r="S20">
        <v>0.12911661999999999</v>
      </c>
      <c r="T20">
        <v>2.7749095810000002</v>
      </c>
      <c r="U20">
        <v>16.907690720000002</v>
      </c>
      <c r="V20">
        <v>9.8525254000000007E-2</v>
      </c>
      <c r="W20">
        <v>8.3709739000000005E-2</v>
      </c>
      <c r="X20">
        <v>0.75355316400000005</v>
      </c>
      <c r="Y20">
        <v>0.69464611200000004</v>
      </c>
      <c r="Z20">
        <v>-5.8907052000000001E-2</v>
      </c>
      <c r="AA20">
        <v>0.92182760976370903</v>
      </c>
    </row>
    <row r="21" spans="1:27" x14ac:dyDescent="0.2">
      <c r="A21">
        <v>20</v>
      </c>
      <c r="B21" t="s">
        <v>148</v>
      </c>
      <c r="C21" t="s">
        <v>148</v>
      </c>
      <c r="D21" t="s">
        <v>148</v>
      </c>
      <c r="E21" s="11">
        <v>1.29E-5</v>
      </c>
      <c r="F21" s="11">
        <v>4.0600000000000001E-6</v>
      </c>
      <c r="G21">
        <v>0.313486563</v>
      </c>
      <c r="H21" t="s">
        <v>25</v>
      </c>
      <c r="I21" t="s">
        <v>1193</v>
      </c>
      <c r="J21" t="s">
        <v>25</v>
      </c>
      <c r="K21" t="s">
        <v>1194</v>
      </c>
      <c r="L21" s="11">
        <v>1.7E-5</v>
      </c>
      <c r="M21">
        <v>0.209383388</v>
      </c>
      <c r="N21">
        <v>0.118462052</v>
      </c>
      <c r="O21">
        <v>1.493224431</v>
      </c>
      <c r="P21">
        <v>0.15890838099999999</v>
      </c>
      <c r="Q21">
        <v>1.7175956202155101E-2</v>
      </c>
      <c r="R21">
        <v>5.3006297532541902E-3</v>
      </c>
      <c r="S21">
        <v>0.35868751999999998</v>
      </c>
      <c r="T21">
        <v>0.63370099000000002</v>
      </c>
      <c r="U21">
        <v>4.5195809840000001</v>
      </c>
      <c r="V21">
        <v>2.8851791000000002E-2</v>
      </c>
      <c r="W21">
        <v>2.4776958000000002E-2</v>
      </c>
      <c r="X21">
        <v>0.22066787500000001</v>
      </c>
      <c r="Y21">
        <v>0.205605919</v>
      </c>
      <c r="Z21">
        <v>-1.5061956E-2</v>
      </c>
      <c r="AA21">
        <v>0.93174377557222599</v>
      </c>
    </row>
    <row r="22" spans="1:27" x14ac:dyDescent="0.2">
      <c r="A22">
        <v>21</v>
      </c>
      <c r="B22" t="s">
        <v>150</v>
      </c>
      <c r="C22" t="s">
        <v>150</v>
      </c>
      <c r="D22" t="s">
        <v>150</v>
      </c>
      <c r="E22" s="11">
        <v>2.4499999999999999E-5</v>
      </c>
      <c r="F22" s="11">
        <v>7.9999999999999996E-6</v>
      </c>
      <c r="G22">
        <v>0.32665057800000002</v>
      </c>
      <c r="H22" t="s">
        <v>25</v>
      </c>
      <c r="I22" t="s">
        <v>1193</v>
      </c>
      <c r="J22" t="s">
        <v>25</v>
      </c>
      <c r="K22" t="s">
        <v>1194</v>
      </c>
      <c r="L22" s="11">
        <v>3.2499999999999997E-5</v>
      </c>
      <c r="M22">
        <v>0.76609126000000005</v>
      </c>
      <c r="N22">
        <v>3.6028134000000003E-2</v>
      </c>
      <c r="O22">
        <v>4.6686038300000003</v>
      </c>
      <c r="P22">
        <v>1.5427008000000001E-2</v>
      </c>
      <c r="Q22">
        <v>4.2021076789258399E-2</v>
      </c>
      <c r="R22">
        <v>1.29474752647096E-2</v>
      </c>
      <c r="S22">
        <v>9.9493079999999998E-2</v>
      </c>
      <c r="T22">
        <v>2.1152928750000002</v>
      </c>
      <c r="U22">
        <v>12.89074342</v>
      </c>
      <c r="V22">
        <v>7.0247894000000005E-2</v>
      </c>
      <c r="W22">
        <v>6.0987356E-2</v>
      </c>
      <c r="X22">
        <v>0.53727872099999996</v>
      </c>
      <c r="Y22">
        <v>0.50608961699999999</v>
      </c>
      <c r="Z22">
        <v>-3.1189103999999999E-2</v>
      </c>
      <c r="AA22">
        <v>0.94194986181110996</v>
      </c>
    </row>
    <row r="23" spans="1:27" x14ac:dyDescent="0.2">
      <c r="A23">
        <v>22</v>
      </c>
      <c r="B23" t="s">
        <v>204</v>
      </c>
      <c r="C23" t="s">
        <v>204</v>
      </c>
      <c r="D23" t="s">
        <v>204</v>
      </c>
      <c r="E23" s="11">
        <v>8.8300000000000002E-6</v>
      </c>
      <c r="F23" s="11">
        <v>2.7499999999999999E-6</v>
      </c>
      <c r="G23">
        <v>0.311293072</v>
      </c>
      <c r="H23" t="s">
        <v>25</v>
      </c>
      <c r="I23" t="s">
        <v>1193</v>
      </c>
      <c r="J23" t="s">
        <v>25</v>
      </c>
      <c r="K23" t="s">
        <v>1194</v>
      </c>
      <c r="L23" s="11">
        <v>1.1600000000000001E-5</v>
      </c>
      <c r="M23">
        <v>0.284408088</v>
      </c>
      <c r="N23">
        <v>1.0916624999999999E-2</v>
      </c>
      <c r="O23">
        <v>1.7282817770000001</v>
      </c>
      <c r="P23">
        <v>8.6212909999999997E-3</v>
      </c>
      <c r="Q23">
        <v>1.26883243228498E-2</v>
      </c>
      <c r="R23">
        <v>3.9231211518507697E-3</v>
      </c>
      <c r="S23">
        <v>3.3601010000000001E-2</v>
      </c>
      <c r="T23">
        <v>0.89147375299999998</v>
      </c>
      <c r="U23">
        <v>5.4160445319999999</v>
      </c>
      <c r="V23">
        <v>1.7086747999999999E-2</v>
      </c>
      <c r="W23">
        <v>1.4220323999999999E-2</v>
      </c>
      <c r="X23">
        <v>0.13068500399999999</v>
      </c>
      <c r="Y23">
        <v>0.118004103</v>
      </c>
      <c r="Z23">
        <v>-1.2680901E-2</v>
      </c>
      <c r="AA23">
        <v>0.90296590571325197</v>
      </c>
    </row>
    <row r="24" spans="1:27" x14ac:dyDescent="0.2">
      <c r="A24">
        <v>23</v>
      </c>
      <c r="B24" t="s">
        <v>152</v>
      </c>
      <c r="C24" t="s">
        <v>152</v>
      </c>
      <c r="D24" t="s">
        <v>152</v>
      </c>
      <c r="E24" s="11">
        <v>1.31E-5</v>
      </c>
      <c r="F24" s="11">
        <v>1.6699999999999999E-5</v>
      </c>
      <c r="G24">
        <v>1.2717536570000001</v>
      </c>
      <c r="H24" t="s">
        <v>25</v>
      </c>
      <c r="I24" t="s">
        <v>1193</v>
      </c>
      <c r="J24" t="s">
        <v>25</v>
      </c>
      <c r="K24" t="s">
        <v>1194</v>
      </c>
      <c r="L24" s="11">
        <v>2.9799999999999999E-5</v>
      </c>
      <c r="M24">
        <v>7.1881814930000001</v>
      </c>
      <c r="N24">
        <v>7.8525318759999996</v>
      </c>
      <c r="O24">
        <v>58.834152709999998</v>
      </c>
      <c r="P24">
        <v>0.26695668</v>
      </c>
      <c r="Q24">
        <v>0.193927991267699</v>
      </c>
      <c r="R24">
        <v>5.8027421134922499E-2</v>
      </c>
      <c r="S24">
        <v>5.1228092700000003</v>
      </c>
      <c r="T24">
        <v>4.8461713360000003</v>
      </c>
      <c r="U24">
        <v>39.322646560000003</v>
      </c>
      <c r="V24">
        <v>0.28791976899999999</v>
      </c>
      <c r="W24">
        <v>0.30428784800000003</v>
      </c>
      <c r="X24">
        <v>2.202103964</v>
      </c>
      <c r="Y24">
        <v>2.5250630780000001</v>
      </c>
      <c r="Z24">
        <v>0.32295911399999999</v>
      </c>
      <c r="AA24">
        <v>1.1466593400128899</v>
      </c>
    </row>
    <row r="25" spans="1:27" x14ac:dyDescent="0.2">
      <c r="A25">
        <v>24</v>
      </c>
      <c r="B25" t="s">
        <v>207</v>
      </c>
      <c r="C25" t="s">
        <v>207</v>
      </c>
      <c r="D25" t="s">
        <v>207</v>
      </c>
      <c r="E25" s="11">
        <v>1.22E-5</v>
      </c>
      <c r="F25" s="11">
        <v>3.8500000000000004E-6</v>
      </c>
      <c r="G25">
        <v>0.31513966399999999</v>
      </c>
      <c r="H25" t="s">
        <v>25</v>
      </c>
      <c r="I25" t="s">
        <v>1193</v>
      </c>
      <c r="J25" t="s">
        <v>25</v>
      </c>
      <c r="K25" t="s">
        <v>1194</v>
      </c>
      <c r="L25" s="11">
        <v>1.6099999999999998E-5</v>
      </c>
      <c r="M25">
        <v>0.41658626999999998</v>
      </c>
      <c r="N25">
        <v>1.8190909000000002E-2</v>
      </c>
      <c r="O25">
        <v>2.5358994410000002</v>
      </c>
      <c r="P25">
        <v>1.4311931E-2</v>
      </c>
      <c r="Q25">
        <v>2.1186901377277401E-2</v>
      </c>
      <c r="R25">
        <v>6.5372895321206999E-3</v>
      </c>
      <c r="S25">
        <v>5.4242150000000003E-2</v>
      </c>
      <c r="T25">
        <v>1.242246551</v>
      </c>
      <c r="U25">
        <v>7.5619636059999999</v>
      </c>
      <c r="V25">
        <v>3.2968795000000002E-2</v>
      </c>
      <c r="W25">
        <v>2.7964312000000002E-2</v>
      </c>
      <c r="X25">
        <v>0.25215606099999999</v>
      </c>
      <c r="Y25">
        <v>0.232055448</v>
      </c>
      <c r="Z25">
        <v>-2.0100613E-2</v>
      </c>
      <c r="AA25">
        <v>0.92028502935727596</v>
      </c>
    </row>
    <row r="26" spans="1:27" x14ac:dyDescent="0.2">
      <c r="A26">
        <v>25</v>
      </c>
      <c r="B26" t="s">
        <v>209</v>
      </c>
      <c r="C26" t="s">
        <v>209</v>
      </c>
      <c r="D26" t="s">
        <v>209</v>
      </c>
      <c r="E26" s="11">
        <v>1.1199999999999999E-5</v>
      </c>
      <c r="F26" s="11">
        <v>3.6500000000000002E-6</v>
      </c>
      <c r="G26">
        <v>0.32468881599999999</v>
      </c>
      <c r="H26" t="s">
        <v>25</v>
      </c>
      <c r="I26" t="s">
        <v>1193</v>
      </c>
      <c r="J26" t="s">
        <v>25</v>
      </c>
      <c r="K26" t="s">
        <v>1194</v>
      </c>
      <c r="L26" s="11">
        <v>1.49E-5</v>
      </c>
      <c r="M26">
        <v>0.474865447</v>
      </c>
      <c r="N26">
        <v>2.1880607E-2</v>
      </c>
      <c r="O26">
        <v>2.8929538930000001</v>
      </c>
      <c r="P26">
        <v>1.4104155E-2</v>
      </c>
      <c r="Q26">
        <v>2.5426287421856202E-2</v>
      </c>
      <c r="R26">
        <v>7.8632607980510805E-3</v>
      </c>
      <c r="S26">
        <v>6.5981719999999994E-2</v>
      </c>
      <c r="T26">
        <v>1.4242680249999999</v>
      </c>
      <c r="U26">
        <v>8.6775715820000006</v>
      </c>
      <c r="V26">
        <v>3.2214153000000002E-2</v>
      </c>
      <c r="W26">
        <v>2.7363120000000001E-2</v>
      </c>
      <c r="X26">
        <v>0.24638431299999999</v>
      </c>
      <c r="Y26">
        <v>0.22706658800000001</v>
      </c>
      <c r="Z26">
        <v>-1.9317725000000001E-2</v>
      </c>
      <c r="AA26">
        <v>0.92159515041852502</v>
      </c>
    </row>
    <row r="27" spans="1:27" x14ac:dyDescent="0.2">
      <c r="A27">
        <v>26</v>
      </c>
      <c r="B27" t="s">
        <v>154</v>
      </c>
      <c r="C27" t="s">
        <v>154</v>
      </c>
      <c r="D27" t="s">
        <v>154</v>
      </c>
      <c r="E27" s="11">
        <v>8.9900000000000003E-6</v>
      </c>
      <c r="F27" s="11">
        <v>2.8100000000000002E-6</v>
      </c>
      <c r="G27">
        <v>0.31282039</v>
      </c>
      <c r="H27" t="s">
        <v>25</v>
      </c>
      <c r="I27" t="s">
        <v>1193</v>
      </c>
      <c r="J27" t="s">
        <v>25</v>
      </c>
      <c r="K27" t="s">
        <v>1194</v>
      </c>
      <c r="L27" s="11">
        <v>1.1800000000000001E-5</v>
      </c>
      <c r="M27">
        <v>0.26494004100000002</v>
      </c>
      <c r="N27">
        <v>9.5168830000000003E-3</v>
      </c>
      <c r="O27">
        <v>1.608674014</v>
      </c>
      <c r="P27">
        <v>1.1814873E-2</v>
      </c>
      <c r="Q27">
        <v>1.1065353049012299E-2</v>
      </c>
      <c r="R27">
        <v>3.4200939792018701E-3</v>
      </c>
      <c r="S27">
        <v>2.946348E-2</v>
      </c>
      <c r="T27">
        <v>0.82021850100000004</v>
      </c>
      <c r="U27">
        <v>4.980237968</v>
      </c>
      <c r="V27">
        <v>1.6334828999999999E-2</v>
      </c>
      <c r="W27">
        <v>1.353442E-2</v>
      </c>
      <c r="X27">
        <v>0.124934082</v>
      </c>
      <c r="Y27">
        <v>0.112312289</v>
      </c>
      <c r="Z27">
        <v>-1.2621792999999999E-2</v>
      </c>
      <c r="AA27">
        <v>0.89897237969059596</v>
      </c>
    </row>
    <row r="28" spans="1:27" x14ac:dyDescent="0.2">
      <c r="A28">
        <v>27</v>
      </c>
      <c r="B28" t="s">
        <v>156</v>
      </c>
      <c r="C28" t="s">
        <v>156</v>
      </c>
      <c r="D28" t="s">
        <v>156</v>
      </c>
      <c r="E28" s="11">
        <v>1.88E-5</v>
      </c>
      <c r="F28" s="11">
        <v>6.4999999999999996E-6</v>
      </c>
      <c r="G28">
        <v>0.345754336</v>
      </c>
      <c r="H28" t="s">
        <v>25</v>
      </c>
      <c r="I28" t="s">
        <v>1193</v>
      </c>
      <c r="J28" t="s">
        <v>25</v>
      </c>
      <c r="K28" t="s">
        <v>1194</v>
      </c>
      <c r="L28" s="11">
        <v>2.5299999999999998E-5</v>
      </c>
      <c r="M28">
        <v>0.58591093299999997</v>
      </c>
      <c r="N28">
        <v>4.8928091E-2</v>
      </c>
      <c r="O28">
        <v>3.6133217809999998</v>
      </c>
      <c r="P28">
        <v>2.7099551999999999E-2</v>
      </c>
      <c r="Q28">
        <v>5.7053263432337201E-2</v>
      </c>
      <c r="R28">
        <v>1.7583348748808701E-2</v>
      </c>
      <c r="S28">
        <v>0.12786632000000001</v>
      </c>
      <c r="T28">
        <v>1.5305599539999999</v>
      </c>
      <c r="U28">
        <v>9.4390923660000006</v>
      </c>
      <c r="V28">
        <v>8.9645009999999997E-2</v>
      </c>
      <c r="W28">
        <v>7.7489165999999998E-2</v>
      </c>
      <c r="X28">
        <v>0.68563417299999996</v>
      </c>
      <c r="Y28">
        <v>0.64302611399999998</v>
      </c>
      <c r="Z28">
        <v>-4.2608058999999997E-2</v>
      </c>
      <c r="AA28">
        <v>0.93785598694188799</v>
      </c>
    </row>
    <row r="29" spans="1:27" x14ac:dyDescent="0.2">
      <c r="A29">
        <v>28</v>
      </c>
      <c r="B29" t="s">
        <v>158</v>
      </c>
      <c r="C29" t="s">
        <v>158</v>
      </c>
      <c r="D29" t="s">
        <v>158</v>
      </c>
      <c r="E29" s="11">
        <v>8.3699999999999995E-6</v>
      </c>
      <c r="F29" s="11">
        <v>2.6699999999999998E-6</v>
      </c>
      <c r="G29">
        <v>0.31882601999999999</v>
      </c>
      <c r="H29" t="s">
        <v>25</v>
      </c>
      <c r="I29" t="s">
        <v>1193</v>
      </c>
      <c r="J29" t="s">
        <v>25</v>
      </c>
      <c r="K29" t="s">
        <v>1194</v>
      </c>
      <c r="L29" s="11">
        <v>1.1E-5</v>
      </c>
      <c r="M29">
        <v>0.29191489399999998</v>
      </c>
      <c r="N29">
        <v>1.6400201E-2</v>
      </c>
      <c r="O29">
        <v>1.7842897630000001</v>
      </c>
      <c r="P29">
        <v>1.2616588E-2</v>
      </c>
      <c r="Q29">
        <v>1.9050192125855899E-2</v>
      </c>
      <c r="R29">
        <v>5.8937604484674304E-3</v>
      </c>
      <c r="S29">
        <v>8.4954429999999997E-2</v>
      </c>
      <c r="T29">
        <v>1.1425968049999999</v>
      </c>
      <c r="U29">
        <v>7.0254896880000004</v>
      </c>
      <c r="V29">
        <v>1.4623152E-2</v>
      </c>
      <c r="W29">
        <v>1.2413247000000001E-2</v>
      </c>
      <c r="X29">
        <v>0.11184261700000001</v>
      </c>
      <c r="Y29">
        <v>0.10300849099999999</v>
      </c>
      <c r="Z29">
        <v>-8.8341259999999994E-3</v>
      </c>
      <c r="AA29">
        <v>0.92101288187846997</v>
      </c>
    </row>
    <row r="30" spans="1:27" x14ac:dyDescent="0.2">
      <c r="A30">
        <v>29</v>
      </c>
      <c r="B30" t="s">
        <v>214</v>
      </c>
      <c r="C30" t="s">
        <v>214</v>
      </c>
      <c r="D30" t="s">
        <v>214</v>
      </c>
      <c r="E30" s="11">
        <v>8.6300000000000004E-6</v>
      </c>
      <c r="F30" s="11">
        <v>2.7199999999999998E-6</v>
      </c>
      <c r="G30">
        <v>0.314938102</v>
      </c>
      <c r="H30" t="s">
        <v>25</v>
      </c>
      <c r="I30" t="s">
        <v>1193</v>
      </c>
      <c r="J30" t="s">
        <v>25</v>
      </c>
      <c r="K30" t="s">
        <v>1194</v>
      </c>
      <c r="L30" s="11">
        <v>1.1399999999999999E-5</v>
      </c>
      <c r="M30">
        <v>0.29191489399999998</v>
      </c>
      <c r="N30">
        <v>1.7636031E-2</v>
      </c>
      <c r="O30">
        <v>1.7867614249999999</v>
      </c>
      <c r="P30">
        <v>1.2567363E-2</v>
      </c>
      <c r="Q30">
        <v>2.0493264575953199E-2</v>
      </c>
      <c r="R30">
        <v>6.33788259621913E-3</v>
      </c>
      <c r="S30">
        <v>8.8441980000000003E-2</v>
      </c>
      <c r="T30">
        <v>1.202036017</v>
      </c>
      <c r="U30">
        <v>7.3891000660000001</v>
      </c>
      <c r="V30">
        <v>1.3629664999999999E-2</v>
      </c>
      <c r="W30">
        <v>1.1595881000000001E-2</v>
      </c>
      <c r="X30">
        <v>0.104244104</v>
      </c>
      <c r="Y30">
        <v>9.6225762000000006E-2</v>
      </c>
      <c r="Z30">
        <v>-8.0183419999999995E-3</v>
      </c>
      <c r="AA30">
        <v>0.92308109818853601</v>
      </c>
    </row>
    <row r="31" spans="1:27" x14ac:dyDescent="0.2">
      <c r="A31">
        <v>30</v>
      </c>
      <c r="B31" t="s">
        <v>160</v>
      </c>
      <c r="C31" t="s">
        <v>160</v>
      </c>
      <c r="D31" t="s">
        <v>160</v>
      </c>
      <c r="E31" s="11">
        <v>1.91E-5</v>
      </c>
      <c r="F31" s="11">
        <v>6.4400000000000002E-6</v>
      </c>
      <c r="G31">
        <v>0.33739632200000003</v>
      </c>
      <c r="H31" t="s">
        <v>25</v>
      </c>
      <c r="I31" t="s">
        <v>1193</v>
      </c>
      <c r="J31" t="s">
        <v>25</v>
      </c>
      <c r="K31" t="s">
        <v>1194</v>
      </c>
      <c r="L31" s="11">
        <v>2.55E-5</v>
      </c>
      <c r="M31">
        <v>0.59062157599999998</v>
      </c>
      <c r="N31">
        <v>5.5450157E-2</v>
      </c>
      <c r="O31">
        <v>3.6546297679999999</v>
      </c>
      <c r="P31">
        <v>3.2877209999999997E-2</v>
      </c>
      <c r="Q31">
        <v>6.4589872165455905E-2</v>
      </c>
      <c r="R31">
        <v>1.9927191757622701E-2</v>
      </c>
      <c r="S31">
        <v>0.14310386</v>
      </c>
      <c r="T31">
        <v>1.7062503600000001</v>
      </c>
      <c r="U31">
        <v>10.52370988</v>
      </c>
      <c r="V31">
        <v>7.8236143999999994E-2</v>
      </c>
      <c r="W31">
        <v>6.7984330999999995E-2</v>
      </c>
      <c r="X31">
        <v>0.59837545299999995</v>
      </c>
      <c r="Y31">
        <v>0.56415241299999996</v>
      </c>
      <c r="Z31">
        <v>-3.4223040000000003E-2</v>
      </c>
      <c r="AA31">
        <v>0.94280674478135695</v>
      </c>
    </row>
    <row r="32" spans="1:27" x14ac:dyDescent="0.2">
      <c r="A32">
        <v>31</v>
      </c>
      <c r="B32" t="s">
        <v>162</v>
      </c>
      <c r="C32" t="s">
        <v>162</v>
      </c>
      <c r="D32" t="s">
        <v>162</v>
      </c>
      <c r="E32" s="11">
        <v>2.3799999999999999E-5</v>
      </c>
      <c r="F32" s="11">
        <v>8.1599999999999998E-6</v>
      </c>
      <c r="G32">
        <v>0.34323092700000002</v>
      </c>
      <c r="H32" t="s">
        <v>25</v>
      </c>
      <c r="I32" t="s">
        <v>1193</v>
      </c>
      <c r="J32" t="s">
        <v>25</v>
      </c>
      <c r="K32" t="s">
        <v>1194</v>
      </c>
      <c r="L32" s="11">
        <v>3.1900000000000003E-5</v>
      </c>
      <c r="M32">
        <v>0.76590224699999998</v>
      </c>
      <c r="N32">
        <v>3.6096782000000001E-2</v>
      </c>
      <c r="O32">
        <v>4.6676070469999997</v>
      </c>
      <c r="P32">
        <v>1.5456357E-2</v>
      </c>
      <c r="Q32">
        <v>4.2102711967112003E-2</v>
      </c>
      <c r="R32">
        <v>1.2972145463469399E-2</v>
      </c>
      <c r="S32">
        <v>9.9648280000000006E-2</v>
      </c>
      <c r="T32">
        <v>2.1142189149999999</v>
      </c>
      <c r="U32">
        <v>12.884610049999999</v>
      </c>
      <c r="V32">
        <v>7.0612042999999999E-2</v>
      </c>
      <c r="W32">
        <v>6.1391557999999999E-2</v>
      </c>
      <c r="X32">
        <v>0.54006385300000004</v>
      </c>
      <c r="Y32">
        <v>0.50944379500000003</v>
      </c>
      <c r="Z32">
        <v>-3.0620057999999999E-2</v>
      </c>
      <c r="AA32">
        <v>0.94330289311178905</v>
      </c>
    </row>
    <row r="33" spans="1:27" x14ac:dyDescent="0.2">
      <c r="A33">
        <v>32</v>
      </c>
      <c r="B33" t="s">
        <v>218</v>
      </c>
      <c r="C33" t="s">
        <v>218</v>
      </c>
      <c r="D33" t="s">
        <v>218</v>
      </c>
      <c r="E33" s="11">
        <v>1.66E-5</v>
      </c>
      <c r="F33" s="11">
        <v>5.8799999999999996E-6</v>
      </c>
      <c r="G33">
        <v>0.354048582</v>
      </c>
      <c r="H33" t="s">
        <v>25</v>
      </c>
      <c r="I33" t="s">
        <v>1193</v>
      </c>
      <c r="J33" t="s">
        <v>25</v>
      </c>
      <c r="K33" t="s">
        <v>1194</v>
      </c>
      <c r="L33" s="11">
        <v>2.2500000000000001E-5</v>
      </c>
      <c r="M33">
        <v>1.4098652300000001</v>
      </c>
      <c r="N33">
        <v>6.3738936999999996E-2</v>
      </c>
      <c r="O33">
        <v>8.5866692560000004</v>
      </c>
      <c r="P33">
        <v>1.4834178E-2</v>
      </c>
      <c r="Q33">
        <v>7.4315441289059397E-2</v>
      </c>
      <c r="R33">
        <v>2.29059411186784E-2</v>
      </c>
      <c r="S33">
        <v>0.15667511000000001</v>
      </c>
      <c r="T33">
        <v>3.4656700219999999</v>
      </c>
      <c r="U33">
        <v>21.107370339999999</v>
      </c>
      <c r="V33">
        <v>0.123738533</v>
      </c>
      <c r="W33">
        <v>0.106237444</v>
      </c>
      <c r="X33">
        <v>0.94639251300000005</v>
      </c>
      <c r="Y33">
        <v>0.88158711700000003</v>
      </c>
      <c r="Z33">
        <v>-6.4805396000000001E-2</v>
      </c>
      <c r="AA33">
        <v>0.93152376512936297</v>
      </c>
    </row>
    <row r="34" spans="1:27" x14ac:dyDescent="0.2">
      <c r="A34">
        <v>33</v>
      </c>
      <c r="B34" t="s">
        <v>220</v>
      </c>
      <c r="C34" t="s">
        <v>220</v>
      </c>
      <c r="D34" t="s">
        <v>220</v>
      </c>
      <c r="E34" s="11">
        <v>2.3799999999999999E-5</v>
      </c>
      <c r="F34" s="11">
        <v>8.1499999999999999E-6</v>
      </c>
      <c r="G34">
        <v>0.34281953300000001</v>
      </c>
      <c r="H34" t="s">
        <v>25</v>
      </c>
      <c r="I34" t="s">
        <v>1193</v>
      </c>
      <c r="J34" t="s">
        <v>25</v>
      </c>
      <c r="K34" t="s">
        <v>1194</v>
      </c>
      <c r="L34" s="11">
        <v>3.1900000000000003E-5</v>
      </c>
      <c r="M34">
        <v>0.76595928099999999</v>
      </c>
      <c r="N34">
        <v>3.6076265000000003E-2</v>
      </c>
      <c r="O34">
        <v>4.6679082149999997</v>
      </c>
      <c r="P34">
        <v>1.5447578999999999E-2</v>
      </c>
      <c r="Q34">
        <v>4.2078853469230001E-2</v>
      </c>
      <c r="R34">
        <v>1.29647721904928E-2</v>
      </c>
      <c r="S34">
        <v>9.9600620000000001E-2</v>
      </c>
      <c r="T34">
        <v>2.1145674269999999</v>
      </c>
      <c r="U34">
        <v>12.8866058</v>
      </c>
      <c r="V34">
        <v>7.0517629999999998E-2</v>
      </c>
      <c r="W34">
        <v>6.1413717E-2</v>
      </c>
      <c r="X34">
        <v>0.53934175200000001</v>
      </c>
      <c r="Y34">
        <v>0.50962767799999997</v>
      </c>
      <c r="Z34">
        <v>-2.9714074E-2</v>
      </c>
      <c r="AA34">
        <v>0.94490677962569403</v>
      </c>
    </row>
    <row r="35" spans="1:27" x14ac:dyDescent="0.2">
      <c r="A35">
        <v>34</v>
      </c>
      <c r="B35" t="s">
        <v>164</v>
      </c>
      <c r="C35" t="s">
        <v>164</v>
      </c>
      <c r="D35" t="s">
        <v>164</v>
      </c>
      <c r="E35" s="11">
        <v>1.47E-5</v>
      </c>
      <c r="F35" s="11">
        <v>5.3600000000000004E-6</v>
      </c>
      <c r="G35">
        <v>0.36357403100000002</v>
      </c>
      <c r="H35" t="s">
        <v>25</v>
      </c>
      <c r="I35" t="s">
        <v>1193</v>
      </c>
      <c r="J35" t="s">
        <v>25</v>
      </c>
      <c r="K35" t="s">
        <v>1194</v>
      </c>
      <c r="L35" s="11">
        <v>2.0100000000000001E-5</v>
      </c>
      <c r="M35">
        <v>0.94392464200000004</v>
      </c>
      <c r="N35">
        <v>7.4555169000000004E-2</v>
      </c>
      <c r="O35">
        <v>5.8126581890000004</v>
      </c>
      <c r="P35">
        <v>2.5643279000000001E-2</v>
      </c>
      <c r="Q35">
        <v>8.6905635358414696E-2</v>
      </c>
      <c r="R35">
        <v>2.67929837077014E-2</v>
      </c>
      <c r="S35">
        <v>0.17540974000000001</v>
      </c>
      <c r="T35">
        <v>2.220920709</v>
      </c>
      <c r="U35">
        <v>13.676343729999999</v>
      </c>
      <c r="V35">
        <v>0.13255444399999999</v>
      </c>
      <c r="W35">
        <v>0.114426721</v>
      </c>
      <c r="X35">
        <v>1.0138194679999999</v>
      </c>
      <c r="Y35">
        <v>0.94954395800000002</v>
      </c>
      <c r="Z35">
        <v>-6.4275509999999994E-2</v>
      </c>
      <c r="AA35">
        <v>0.93660063548907901</v>
      </c>
    </row>
    <row r="36" spans="1:27" x14ac:dyDescent="0.2">
      <c r="A36">
        <v>35</v>
      </c>
      <c r="B36" t="s">
        <v>166</v>
      </c>
      <c r="C36" t="s">
        <v>166</v>
      </c>
      <c r="D36" t="s">
        <v>166</v>
      </c>
      <c r="E36" s="11">
        <v>3.1699999999999998E-5</v>
      </c>
      <c r="F36" s="11">
        <v>1.1E-5</v>
      </c>
      <c r="G36">
        <v>0.34694903100000002</v>
      </c>
      <c r="H36" t="s">
        <v>25</v>
      </c>
      <c r="I36" t="s">
        <v>1193</v>
      </c>
      <c r="J36" t="s">
        <v>25</v>
      </c>
      <c r="K36" t="s">
        <v>1194</v>
      </c>
      <c r="L36" s="11">
        <v>4.2700000000000001E-5</v>
      </c>
      <c r="M36">
        <v>0.77198246999999998</v>
      </c>
      <c r="N36">
        <v>6.3999075000000002E-2</v>
      </c>
      <c r="O36">
        <v>4.7598929679999999</v>
      </c>
      <c r="P36">
        <v>2.6866523999999999E-2</v>
      </c>
      <c r="Q36">
        <v>7.4654014884952505E-2</v>
      </c>
      <c r="R36">
        <v>2.2999427196712701E-2</v>
      </c>
      <c r="S36">
        <v>0.15721357999999999</v>
      </c>
      <c r="T36">
        <v>1.8965171759999999</v>
      </c>
      <c r="U36">
        <v>11.69353021</v>
      </c>
      <c r="V36">
        <v>0.130818185</v>
      </c>
      <c r="W36">
        <v>0.11575542699999999</v>
      </c>
      <c r="X36">
        <v>1.000539992</v>
      </c>
      <c r="Y36">
        <v>0.96056992100000005</v>
      </c>
      <c r="Z36">
        <v>-3.9970071000000003E-2</v>
      </c>
      <c r="AA36">
        <v>0.96005150086994195</v>
      </c>
    </row>
    <row r="37" spans="1:27" x14ac:dyDescent="0.2">
      <c r="A37">
        <v>36</v>
      </c>
      <c r="B37" t="s">
        <v>224</v>
      </c>
      <c r="C37" t="s">
        <v>224</v>
      </c>
      <c r="D37" t="s">
        <v>224</v>
      </c>
      <c r="E37" s="11">
        <v>1.6200000000000001E-5</v>
      </c>
      <c r="F37" s="11">
        <v>5.1100000000000002E-6</v>
      </c>
      <c r="G37">
        <v>0.31474805300000003</v>
      </c>
      <c r="H37" t="s">
        <v>25</v>
      </c>
      <c r="I37" t="s">
        <v>1193</v>
      </c>
      <c r="J37" t="s">
        <v>25</v>
      </c>
      <c r="K37" t="s">
        <v>1194</v>
      </c>
      <c r="L37" s="11">
        <v>2.1299999999999999E-5</v>
      </c>
      <c r="M37">
        <v>0.44139608400000002</v>
      </c>
      <c r="N37">
        <v>1.9906896E-2</v>
      </c>
      <c r="O37">
        <v>2.6881902979999999</v>
      </c>
      <c r="P37">
        <v>1.3561177000000001E-2</v>
      </c>
      <c r="Q37">
        <v>2.31816532827081E-2</v>
      </c>
      <c r="R37">
        <v>7.1539659705768402E-3</v>
      </c>
      <c r="S37">
        <v>5.9020309999999999E-2</v>
      </c>
      <c r="T37">
        <v>1.324226039</v>
      </c>
      <c r="U37">
        <v>8.0633968500000002</v>
      </c>
      <c r="V37">
        <v>3.3802063E-2</v>
      </c>
      <c r="W37">
        <v>2.8675560999999999E-2</v>
      </c>
      <c r="X37">
        <v>0.25852916300000001</v>
      </c>
      <c r="Y37">
        <v>0.23795758</v>
      </c>
      <c r="Z37">
        <v>-2.0571583000000001E-2</v>
      </c>
      <c r="AA37">
        <v>0.92042838509479896</v>
      </c>
    </row>
    <row r="38" spans="1:27" x14ac:dyDescent="0.2">
      <c r="A38">
        <v>37</v>
      </c>
      <c r="B38" t="s">
        <v>832</v>
      </c>
      <c r="C38" t="s">
        <v>832</v>
      </c>
      <c r="D38" t="s">
        <v>832</v>
      </c>
      <c r="E38" s="11">
        <v>1.63E-5</v>
      </c>
      <c r="F38" s="11">
        <v>5.5899999999999998E-6</v>
      </c>
      <c r="G38">
        <v>0.342829948</v>
      </c>
      <c r="H38" t="s">
        <v>25</v>
      </c>
      <c r="I38" t="s">
        <v>1193</v>
      </c>
      <c r="J38" t="s">
        <v>25</v>
      </c>
      <c r="K38" t="s">
        <v>1194</v>
      </c>
      <c r="L38" s="11">
        <v>2.19E-5</v>
      </c>
      <c r="M38">
        <v>1.815419133</v>
      </c>
      <c r="N38">
        <v>8.8245308999999994E-2</v>
      </c>
      <c r="O38">
        <v>11.06900542</v>
      </c>
      <c r="P38">
        <v>2.1256471999999998E-2</v>
      </c>
      <c r="Q38">
        <v>0.102098644201829</v>
      </c>
      <c r="R38">
        <v>3.1712826387562398E-2</v>
      </c>
      <c r="S38">
        <v>0.22532099</v>
      </c>
      <c r="T38">
        <v>4.6310853139999999</v>
      </c>
      <c r="U38">
        <v>28.237153849999999</v>
      </c>
      <c r="V38">
        <v>0.105497565</v>
      </c>
      <c r="W38">
        <v>9.0693597000000001E-2</v>
      </c>
      <c r="X38">
        <v>0.80687966200000005</v>
      </c>
      <c r="Y38">
        <v>0.75260006300000004</v>
      </c>
      <c r="Z38">
        <v>-5.4279598999999998E-2</v>
      </c>
      <c r="AA38">
        <v>0.93272900339877496</v>
      </c>
    </row>
    <row r="39" spans="1:27" x14ac:dyDescent="0.2">
      <c r="A39">
        <v>38</v>
      </c>
      <c r="B39" t="s">
        <v>226</v>
      </c>
      <c r="C39" t="s">
        <v>226</v>
      </c>
      <c r="D39" t="s">
        <v>226</v>
      </c>
      <c r="E39" s="11">
        <v>1.06E-5</v>
      </c>
      <c r="F39" s="11">
        <v>3.3900000000000002E-6</v>
      </c>
      <c r="G39">
        <v>0.31955217000000002</v>
      </c>
      <c r="H39" t="s">
        <v>25</v>
      </c>
      <c r="I39" t="s">
        <v>1193</v>
      </c>
      <c r="J39" t="s">
        <v>25</v>
      </c>
      <c r="K39" t="s">
        <v>1194</v>
      </c>
      <c r="L39" s="11">
        <v>1.4E-5</v>
      </c>
      <c r="M39">
        <v>0.31894640800000001</v>
      </c>
      <c r="N39">
        <v>1.2652612000000001E-2</v>
      </c>
      <c r="O39">
        <v>1.9389836709999999</v>
      </c>
      <c r="P39">
        <v>1.3035022E-2</v>
      </c>
      <c r="Q39">
        <v>1.47255457385277E-2</v>
      </c>
      <c r="R39">
        <v>4.5469849841061E-3</v>
      </c>
      <c r="S39">
        <v>3.8653319999999998E-2</v>
      </c>
      <c r="T39">
        <v>0.97442748800000001</v>
      </c>
      <c r="U39">
        <v>5.9238715620000004</v>
      </c>
      <c r="V39">
        <v>2.1943240999999999E-2</v>
      </c>
      <c r="W39">
        <v>1.8421877E-2</v>
      </c>
      <c r="X39">
        <v>0.16782904200000001</v>
      </c>
      <c r="Y39">
        <v>0.15286973300000001</v>
      </c>
      <c r="Z39">
        <v>-1.4959309E-2</v>
      </c>
      <c r="AA39">
        <v>0.91086579043929705</v>
      </c>
    </row>
    <row r="40" spans="1:27" x14ac:dyDescent="0.2">
      <c r="A40">
        <v>39</v>
      </c>
      <c r="B40" t="s">
        <v>870</v>
      </c>
      <c r="C40" t="s">
        <v>870</v>
      </c>
      <c r="D40" t="s">
        <v>870</v>
      </c>
      <c r="E40" s="11">
        <v>9.2699999999999993E-6</v>
      </c>
      <c r="F40" s="11">
        <v>2.92E-6</v>
      </c>
      <c r="G40">
        <v>0.31477807299999999</v>
      </c>
      <c r="H40" t="s">
        <v>25</v>
      </c>
      <c r="I40" t="s">
        <v>1193</v>
      </c>
      <c r="J40" t="s">
        <v>25</v>
      </c>
      <c r="K40" t="s">
        <v>1194</v>
      </c>
      <c r="L40" s="11">
        <v>1.22E-5</v>
      </c>
      <c r="M40">
        <v>0.29191489399999998</v>
      </c>
      <c r="N40">
        <v>1.6522302999999999E-2</v>
      </c>
      <c r="O40">
        <v>1.784533967</v>
      </c>
      <c r="P40">
        <v>1.2617270999999999E-2</v>
      </c>
      <c r="Q40">
        <v>1.92013301944341E-2</v>
      </c>
      <c r="R40">
        <v>5.9376403729846598E-3</v>
      </c>
      <c r="S40">
        <v>8.5349750000000002E-2</v>
      </c>
      <c r="T40">
        <v>1.148692354</v>
      </c>
      <c r="U40">
        <v>7.0628536259999999</v>
      </c>
      <c r="V40">
        <v>1.4698454999999999E-2</v>
      </c>
      <c r="W40">
        <v>1.2514259E-2</v>
      </c>
      <c r="X40">
        <v>0.112418558</v>
      </c>
      <c r="Y40">
        <v>0.103846718</v>
      </c>
      <c r="Z40">
        <v>-8.5718400000000007E-3</v>
      </c>
      <c r="AA40">
        <v>0.92375066757216395</v>
      </c>
    </row>
    <row r="41" spans="1:27" x14ac:dyDescent="0.2">
      <c r="A41">
        <v>40</v>
      </c>
      <c r="B41" t="s">
        <v>168</v>
      </c>
      <c r="C41" t="s">
        <v>168</v>
      </c>
      <c r="D41" t="s">
        <v>168</v>
      </c>
      <c r="E41" s="11">
        <v>9.7599999999999997E-6</v>
      </c>
      <c r="F41" s="11">
        <v>3.0199999999999999E-6</v>
      </c>
      <c r="G41">
        <v>0.30986639599999999</v>
      </c>
      <c r="H41" t="s">
        <v>25</v>
      </c>
      <c r="I41" t="s">
        <v>1193</v>
      </c>
      <c r="J41" t="s">
        <v>25</v>
      </c>
      <c r="K41" t="s">
        <v>1194</v>
      </c>
      <c r="L41" s="11">
        <v>1.2799999999999999E-5</v>
      </c>
      <c r="M41">
        <v>0.46189381800000001</v>
      </c>
      <c r="N41">
        <v>2.2148495000000001E-2</v>
      </c>
      <c r="O41">
        <v>2.8156598960000001</v>
      </c>
      <c r="P41">
        <v>1.3776518999999999E-2</v>
      </c>
      <c r="Q41">
        <v>2.5753386223025101E-2</v>
      </c>
      <c r="R41">
        <v>7.9595319433617001E-3</v>
      </c>
      <c r="S41">
        <v>9.7913979999999998E-2</v>
      </c>
      <c r="T41">
        <v>1.440434072</v>
      </c>
      <c r="U41">
        <v>8.8384323840000008</v>
      </c>
      <c r="V41">
        <v>2.0118818E-2</v>
      </c>
      <c r="W41">
        <v>1.7175932000000001E-2</v>
      </c>
      <c r="X41">
        <v>0.15387525599999999</v>
      </c>
      <c r="Y41">
        <v>0.14253053800000001</v>
      </c>
      <c r="Z41">
        <v>-1.1344718E-2</v>
      </c>
      <c r="AA41">
        <v>0.92627327944136795</v>
      </c>
    </row>
    <row r="42" spans="1:27" x14ac:dyDescent="0.2">
      <c r="A42">
        <v>42</v>
      </c>
      <c r="B42" t="s">
        <v>1195</v>
      </c>
      <c r="C42" t="s">
        <v>1195</v>
      </c>
      <c r="D42" t="s">
        <v>1195</v>
      </c>
      <c r="E42" s="11">
        <v>3.1699999999999998E-5</v>
      </c>
      <c r="F42" s="11">
        <v>1.1E-5</v>
      </c>
      <c r="G42">
        <v>0.34694903100000002</v>
      </c>
      <c r="H42" t="s">
        <v>25</v>
      </c>
      <c r="I42" t="s">
        <v>1193</v>
      </c>
      <c r="J42" t="s">
        <v>25</v>
      </c>
      <c r="K42" t="s">
        <v>1194</v>
      </c>
      <c r="L42" s="11">
        <v>4.2700000000000001E-5</v>
      </c>
      <c r="M42">
        <v>0.77198250000000002</v>
      </c>
      <c r="N42">
        <v>6.4000000000000001E-2</v>
      </c>
      <c r="O42">
        <v>4.75989314</v>
      </c>
      <c r="P42">
        <v>2.6890755999999998E-2</v>
      </c>
      <c r="Q42">
        <v>7.4528003971916501E-2</v>
      </c>
      <c r="R42">
        <v>2.2908676527677699E-2</v>
      </c>
      <c r="S42">
        <v>0.157</v>
      </c>
      <c r="T42">
        <v>1.8958767000000001</v>
      </c>
      <c r="U42">
        <v>11.6892602</v>
      </c>
      <c r="V42">
        <v>0</v>
      </c>
      <c r="W42">
        <v>0</v>
      </c>
      <c r="X42">
        <v>1</v>
      </c>
      <c r="Y42">
        <v>1</v>
      </c>
      <c r="Z42">
        <v>0</v>
      </c>
      <c r="AA42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08F8-4178-3741-AF9A-0C4770C95869}">
  <dimension ref="A1:R107"/>
  <sheetViews>
    <sheetView topLeftCell="A26" workbookViewId="0">
      <selection activeCell="N45" sqref="N45"/>
    </sheetView>
  </sheetViews>
  <sheetFormatPr baseColWidth="10" defaultRowHeight="16" x14ac:dyDescent="0.2"/>
  <cols>
    <col min="1" max="1" width="3.1640625" bestFit="1" customWidth="1"/>
    <col min="2" max="2" width="24" bestFit="1" customWidth="1"/>
    <col min="3" max="4" width="9.1640625" bestFit="1" customWidth="1"/>
    <col min="5" max="5" width="18.6640625" bestFit="1" customWidth="1"/>
    <col min="6" max="6" width="8.6640625" bestFit="1" customWidth="1"/>
    <col min="7" max="7" width="8.83203125" bestFit="1" customWidth="1"/>
    <col min="9" max="9" width="5" bestFit="1" customWidth="1"/>
    <col min="10" max="10" width="12.1640625" bestFit="1" customWidth="1"/>
    <col min="11" max="11" width="14.5" bestFit="1" customWidth="1"/>
    <col min="12" max="13" width="12.83203125" bestFit="1" customWidth="1"/>
    <col min="15" max="15" width="17" bestFit="1" customWidth="1"/>
    <col min="17" max="17" width="19.6640625" bestFit="1" customWidth="1"/>
  </cols>
  <sheetData>
    <row r="1" spans="1:18" x14ac:dyDescent="0.2">
      <c r="A1" s="3" t="s">
        <v>118</v>
      </c>
      <c r="B1" s="3" t="s">
        <v>1200</v>
      </c>
      <c r="C1" s="3" t="s">
        <v>1201</v>
      </c>
      <c r="D1" s="3" t="s">
        <v>1202</v>
      </c>
      <c r="E1" s="3" t="s">
        <v>1203</v>
      </c>
      <c r="F1" s="3" t="s">
        <v>1204</v>
      </c>
      <c r="G1" s="3" t="s">
        <v>6</v>
      </c>
      <c r="H1" s="3" t="s">
        <v>35</v>
      </c>
      <c r="I1" s="3" t="s">
        <v>1205</v>
      </c>
      <c r="J1" s="7" t="s">
        <v>1206</v>
      </c>
      <c r="K1" s="7" t="s">
        <v>1207</v>
      </c>
      <c r="L1" s="7" t="s">
        <v>1208</v>
      </c>
      <c r="M1" t="s">
        <v>1209</v>
      </c>
      <c r="N1" t="s">
        <v>1210</v>
      </c>
      <c r="O1" s="7" t="s">
        <v>1211</v>
      </c>
      <c r="P1" s="1" t="s">
        <v>1212</v>
      </c>
      <c r="Q1" t="s">
        <v>1213</v>
      </c>
      <c r="R1" s="1" t="s">
        <v>1214</v>
      </c>
    </row>
    <row r="2" spans="1:18" x14ac:dyDescent="0.2">
      <c r="A2">
        <v>37</v>
      </c>
      <c r="B2" t="s">
        <v>40</v>
      </c>
      <c r="C2">
        <v>1887</v>
      </c>
      <c r="D2">
        <v>3369</v>
      </c>
      <c r="E2">
        <v>1.7853736089030208</v>
      </c>
      <c r="F2">
        <v>5256</v>
      </c>
      <c r="G2">
        <v>1</v>
      </c>
      <c r="H2" t="s">
        <v>38</v>
      </c>
      <c r="I2" t="s">
        <v>96</v>
      </c>
      <c r="J2">
        <v>2.8323660709741905</v>
      </c>
      <c r="K2">
        <v>1.1379949760456731</v>
      </c>
      <c r="L2">
        <v>-1.4889091169946553</v>
      </c>
      <c r="M2">
        <v>0.17553102752364291</v>
      </c>
      <c r="N2">
        <v>0.25029862604768593</v>
      </c>
      <c r="O2" s="2">
        <v>7.4767598524043022E-2</v>
      </c>
      <c r="P2" s="4" t="s">
        <v>1215</v>
      </c>
      <c r="Q2">
        <v>2.4889091169999999</v>
      </c>
      <c r="R2" s="4" t="s">
        <v>1215</v>
      </c>
    </row>
    <row r="3" spans="1:18" x14ac:dyDescent="0.2">
      <c r="A3">
        <v>39</v>
      </c>
      <c r="B3" t="s">
        <v>44</v>
      </c>
      <c r="C3">
        <v>2223</v>
      </c>
      <c r="D3">
        <v>1779</v>
      </c>
      <c r="E3">
        <v>0.80026990553306343</v>
      </c>
      <c r="F3">
        <v>4002</v>
      </c>
      <c r="G3">
        <v>1</v>
      </c>
      <c r="H3" t="s">
        <v>38</v>
      </c>
      <c r="I3" t="s">
        <v>97</v>
      </c>
      <c r="J3">
        <v>1.2695703110825423</v>
      </c>
      <c r="K3">
        <v>1.1483353132708711</v>
      </c>
      <c r="L3">
        <v>-0.10557456207311988</v>
      </c>
      <c r="M3">
        <v>1.2415911544452865E-2</v>
      </c>
      <c r="N3">
        <v>3.1805792072898575E-2</v>
      </c>
      <c r="O3" s="2">
        <v>1.9389880528445709E-2</v>
      </c>
      <c r="P3" s="4" t="s">
        <v>1195</v>
      </c>
      <c r="Q3">
        <v>1.1055745619999999</v>
      </c>
      <c r="R3" s="4" t="s">
        <v>1195</v>
      </c>
    </row>
    <row r="4" spans="1:18" x14ac:dyDescent="0.2">
      <c r="A4">
        <v>38</v>
      </c>
      <c r="B4" t="s">
        <v>46</v>
      </c>
      <c r="C4">
        <v>3014</v>
      </c>
      <c r="D4">
        <v>1238</v>
      </c>
      <c r="E4">
        <v>0.41074983410749832</v>
      </c>
      <c r="F4">
        <v>4252</v>
      </c>
      <c r="G4">
        <v>1</v>
      </c>
      <c r="H4" t="s">
        <v>38</v>
      </c>
      <c r="I4" t="s">
        <v>98</v>
      </c>
      <c r="J4">
        <v>0.65162489687476366</v>
      </c>
      <c r="K4">
        <v>0.62256859873317394</v>
      </c>
      <c r="L4">
        <v>-4.6671641005849862E-2</v>
      </c>
      <c r="M4">
        <v>1.4366093289563E-2</v>
      </c>
      <c r="N4">
        <v>-0.79843331750264546</v>
      </c>
      <c r="O4" s="2">
        <v>-0.81279941079220841</v>
      </c>
      <c r="P4" s="4" t="s">
        <v>1195</v>
      </c>
      <c r="Q4">
        <v>1.0466716410000001</v>
      </c>
      <c r="R4" s="4" t="s">
        <v>1195</v>
      </c>
    </row>
    <row r="5" spans="1:18" x14ac:dyDescent="0.2">
      <c r="A5">
        <v>40</v>
      </c>
      <c r="B5" t="s">
        <v>10</v>
      </c>
      <c r="C5">
        <v>2458</v>
      </c>
      <c r="D5">
        <v>1881</v>
      </c>
      <c r="E5">
        <v>0.76525630593978844</v>
      </c>
      <c r="F5">
        <v>4339</v>
      </c>
      <c r="G5">
        <v>1</v>
      </c>
      <c r="H5" t="s">
        <v>38</v>
      </c>
      <c r="I5" t="s">
        <v>99</v>
      </c>
      <c r="J5">
        <v>1.2140237683218922</v>
      </c>
      <c r="K5">
        <v>2.5590630376404411</v>
      </c>
      <c r="L5">
        <v>0.52559833405226675</v>
      </c>
      <c r="M5">
        <v>2.5443630067581918E-2</v>
      </c>
      <c r="N5">
        <v>-0.244758101581774</v>
      </c>
      <c r="O5" s="2">
        <v>-0.2702017316493559</v>
      </c>
      <c r="P5" s="4" t="s">
        <v>1215</v>
      </c>
      <c r="Q5">
        <v>0.474401666</v>
      </c>
      <c r="R5" s="4" t="s">
        <v>1215</v>
      </c>
    </row>
    <row r="6" spans="1:18" x14ac:dyDescent="0.2">
      <c r="A6">
        <v>42</v>
      </c>
      <c r="B6" t="s">
        <v>49</v>
      </c>
      <c r="C6">
        <v>1501</v>
      </c>
      <c r="D6">
        <v>5271</v>
      </c>
      <c r="E6">
        <v>3.5116588940706195</v>
      </c>
      <c r="F6">
        <v>6772</v>
      </c>
      <c r="G6">
        <v>1</v>
      </c>
      <c r="H6" t="s">
        <v>38</v>
      </c>
      <c r="I6" t="s">
        <v>100</v>
      </c>
      <c r="J6">
        <v>5.5709927909775896</v>
      </c>
      <c r="K6">
        <v>1.270635799621098</v>
      </c>
      <c r="L6">
        <v>-3.3844135295407645</v>
      </c>
      <c r="M6">
        <v>-0.11201079422597891</v>
      </c>
      <c r="N6">
        <v>9.8770556764349399E-2</v>
      </c>
      <c r="O6" s="2">
        <v>0.2107813509903283</v>
      </c>
      <c r="P6" s="4" t="s">
        <v>1195</v>
      </c>
      <c r="Q6">
        <v>4.3844135299999998</v>
      </c>
      <c r="R6" s="4" t="s">
        <v>1195</v>
      </c>
    </row>
    <row r="7" spans="1:18" x14ac:dyDescent="0.2">
      <c r="A7">
        <v>41</v>
      </c>
      <c r="B7" t="s">
        <v>11</v>
      </c>
      <c r="C7">
        <v>2203</v>
      </c>
      <c r="D7">
        <v>3374</v>
      </c>
      <c r="E7">
        <v>1.5315478892419427</v>
      </c>
      <c r="F7">
        <v>5577</v>
      </c>
      <c r="G7">
        <v>1</v>
      </c>
      <c r="H7" t="s">
        <v>38</v>
      </c>
      <c r="I7" t="s">
        <v>101</v>
      </c>
      <c r="J7">
        <v>2.4296899292839527</v>
      </c>
      <c r="K7">
        <v>0.68887365922510557</v>
      </c>
      <c r="L7">
        <v>-2.5270472266526229</v>
      </c>
      <c r="M7">
        <v>8.5721863672542489E-2</v>
      </c>
      <c r="N7">
        <v>-0.81279282944592657</v>
      </c>
      <c r="O7" s="2">
        <v>-0.8985146931184691</v>
      </c>
      <c r="P7" s="4" t="s">
        <v>1215</v>
      </c>
      <c r="Q7">
        <v>3.5270472270000002</v>
      </c>
      <c r="R7" s="4" t="s">
        <v>1215</v>
      </c>
    </row>
    <row r="8" spans="1:18" x14ac:dyDescent="0.2">
      <c r="A8">
        <v>43</v>
      </c>
      <c r="B8" t="s">
        <v>52</v>
      </c>
      <c r="C8">
        <v>2014</v>
      </c>
      <c r="D8">
        <v>3392</v>
      </c>
      <c r="E8">
        <v>1.6842105263157894</v>
      </c>
      <c r="F8">
        <v>5406</v>
      </c>
      <c r="G8">
        <v>1</v>
      </c>
      <c r="H8" t="s">
        <v>38</v>
      </c>
      <c r="I8" t="s">
        <v>102</v>
      </c>
      <c r="J8">
        <v>2.6718781589055864</v>
      </c>
      <c r="K8">
        <v>2.8316094363163216</v>
      </c>
      <c r="L8">
        <v>5.6410066784680524E-2</v>
      </c>
      <c r="M8">
        <v>6.0325671450651257E-2</v>
      </c>
      <c r="N8">
        <v>-2.5737977937420994E-2</v>
      </c>
      <c r="O8" s="2">
        <v>-8.6063649388072247E-2</v>
      </c>
      <c r="P8" s="4" t="s">
        <v>1195</v>
      </c>
      <c r="Q8">
        <v>0.94358993300000005</v>
      </c>
      <c r="R8" s="4" t="s">
        <v>1195</v>
      </c>
    </row>
    <row r="9" spans="1:18" x14ac:dyDescent="0.2">
      <c r="A9">
        <v>21</v>
      </c>
      <c r="B9" t="s">
        <v>54</v>
      </c>
      <c r="C9">
        <v>2384</v>
      </c>
      <c r="D9">
        <v>1006</v>
      </c>
      <c r="E9">
        <v>0.42197986577181207</v>
      </c>
      <c r="F9">
        <v>3390</v>
      </c>
      <c r="G9">
        <v>1</v>
      </c>
      <c r="H9" t="s">
        <v>53</v>
      </c>
      <c r="I9" t="s">
        <v>102</v>
      </c>
      <c r="J9">
        <v>0.66944052969433432</v>
      </c>
      <c r="K9">
        <v>0.62606283400980189</v>
      </c>
      <c r="L9">
        <v>-6.9286489036104237E-2</v>
      </c>
      <c r="M9">
        <v>-4.0044712810553725E-3</v>
      </c>
      <c r="N9">
        <v>-0.13032732223432442</v>
      </c>
      <c r="O9" s="2">
        <v>-0.12632285095326903</v>
      </c>
      <c r="P9" s="4" t="s">
        <v>1195</v>
      </c>
      <c r="Q9">
        <v>1.069286489</v>
      </c>
      <c r="R9" s="4" t="s">
        <v>1195</v>
      </c>
    </row>
    <row r="10" spans="1:18" x14ac:dyDescent="0.2">
      <c r="A10">
        <v>22</v>
      </c>
      <c r="B10" t="s">
        <v>58</v>
      </c>
      <c r="C10">
        <v>1560</v>
      </c>
      <c r="D10">
        <v>824</v>
      </c>
      <c r="E10">
        <v>0.52820512820512822</v>
      </c>
      <c r="F10">
        <v>2384</v>
      </c>
      <c r="G10">
        <v>1</v>
      </c>
      <c r="H10" t="s">
        <v>42</v>
      </c>
      <c r="I10" t="s">
        <v>103</v>
      </c>
      <c r="J10">
        <v>0.83795922387471677</v>
      </c>
      <c r="K10">
        <v>0.69274003900414061</v>
      </c>
      <c r="L10">
        <v>-0.20963013063217528</v>
      </c>
      <c r="M10">
        <v>-0.10749952172569069</v>
      </c>
      <c r="N10">
        <v>-0.19473582786433039</v>
      </c>
      <c r="O10" s="2">
        <v>-8.7236306138639697E-2</v>
      </c>
      <c r="P10" s="4" t="s">
        <v>1215</v>
      </c>
      <c r="Q10">
        <v>1.2096301309999999</v>
      </c>
      <c r="R10" s="4" t="s">
        <v>1215</v>
      </c>
    </row>
    <row r="11" spans="1:18" x14ac:dyDescent="0.2">
      <c r="A11">
        <v>24</v>
      </c>
      <c r="B11" t="s">
        <v>61</v>
      </c>
      <c r="C11">
        <v>2043</v>
      </c>
      <c r="D11">
        <v>1146</v>
      </c>
      <c r="E11">
        <v>0.56093979441997066</v>
      </c>
      <c r="F11">
        <v>3189</v>
      </c>
      <c r="G11">
        <v>1</v>
      </c>
      <c r="H11" t="s">
        <v>53</v>
      </c>
      <c r="I11" t="s">
        <v>105</v>
      </c>
      <c r="J11">
        <v>0.88989040369570249</v>
      </c>
      <c r="K11">
        <v>0.69903458842086152</v>
      </c>
      <c r="L11">
        <v>-0.27302771341542553</v>
      </c>
      <c r="M11">
        <v>-6.5251643721539354E-2</v>
      </c>
      <c r="N11">
        <v>0.24673306104732465</v>
      </c>
      <c r="O11" s="2">
        <v>0.31198470476886397</v>
      </c>
      <c r="P11" s="4" t="s">
        <v>1195</v>
      </c>
      <c r="Q11">
        <v>1.2730277130000001</v>
      </c>
      <c r="R11" s="4" t="s">
        <v>1195</v>
      </c>
    </row>
    <row r="12" spans="1:18" x14ac:dyDescent="0.2">
      <c r="A12">
        <v>23</v>
      </c>
      <c r="B12" t="s">
        <v>62</v>
      </c>
      <c r="C12">
        <v>2381</v>
      </c>
      <c r="D12">
        <v>602</v>
      </c>
      <c r="E12">
        <v>0.25283494330113399</v>
      </c>
      <c r="F12">
        <v>2983</v>
      </c>
      <c r="G12">
        <v>1</v>
      </c>
      <c r="H12" t="s">
        <v>53</v>
      </c>
      <c r="I12" t="s">
        <v>106</v>
      </c>
      <c r="J12">
        <v>0.40110434667106915</v>
      </c>
      <c r="K12">
        <v>0.37898075514163149</v>
      </c>
      <c r="L12">
        <v>-5.8376556670192148E-2</v>
      </c>
      <c r="M12">
        <v>1.0575243779120721E-3</v>
      </c>
      <c r="N12">
        <v>4.7291205824022083E-2</v>
      </c>
      <c r="O12" s="2">
        <v>4.6233681446110009E-2</v>
      </c>
      <c r="P12" s="4" t="s">
        <v>1195</v>
      </c>
      <c r="Q12">
        <v>1.0583765570000001</v>
      </c>
      <c r="R12" s="4" t="s">
        <v>1195</v>
      </c>
    </row>
    <row r="13" spans="1:18" x14ac:dyDescent="0.2">
      <c r="A13">
        <v>25</v>
      </c>
      <c r="B13" t="s">
        <v>65</v>
      </c>
      <c r="C13">
        <v>2175</v>
      </c>
      <c r="D13">
        <v>856</v>
      </c>
      <c r="E13">
        <v>0.3935632183908046</v>
      </c>
      <c r="F13">
        <v>3031</v>
      </c>
      <c r="G13">
        <v>1</v>
      </c>
      <c r="H13" t="s">
        <v>53</v>
      </c>
      <c r="I13" t="s">
        <v>107</v>
      </c>
      <c r="J13">
        <v>0.62435957437414458</v>
      </c>
      <c r="K13">
        <v>1.5577972362137602</v>
      </c>
      <c r="L13">
        <v>0.59920356779444806</v>
      </c>
      <c r="M13">
        <v>4.4367620044981366E-5</v>
      </c>
      <c r="N13">
        <v>-0.34597416321926228</v>
      </c>
      <c r="O13" s="2">
        <v>-0.34601853083930728</v>
      </c>
      <c r="P13" s="4" t="s">
        <v>1195</v>
      </c>
      <c r="Q13">
        <v>0.40079643199999998</v>
      </c>
      <c r="R13" s="4" t="s">
        <v>1195</v>
      </c>
    </row>
    <row r="14" spans="1:18" x14ac:dyDescent="0.2">
      <c r="A14">
        <v>19</v>
      </c>
      <c r="B14" t="s">
        <v>66</v>
      </c>
      <c r="C14">
        <v>2335</v>
      </c>
      <c r="D14">
        <v>705</v>
      </c>
      <c r="E14">
        <v>0.30192719486081371</v>
      </c>
      <c r="F14">
        <v>3040</v>
      </c>
      <c r="G14">
        <v>1</v>
      </c>
      <c r="H14" t="s">
        <v>53</v>
      </c>
      <c r="I14" t="s">
        <v>101</v>
      </c>
      <c r="J14">
        <v>0.47898565228239204</v>
      </c>
      <c r="K14">
        <v>0.50118808544423676</v>
      </c>
      <c r="L14">
        <v>4.4299602896914814E-2</v>
      </c>
      <c r="M14">
        <v>1.0476849252656777E-2</v>
      </c>
      <c r="N14">
        <v>0.14887944809654377</v>
      </c>
      <c r="O14" s="2">
        <v>0.138402598843887</v>
      </c>
      <c r="P14" s="4" t="s">
        <v>1195</v>
      </c>
      <c r="Q14">
        <v>0.95570039699999998</v>
      </c>
      <c r="R14" s="4" t="s">
        <v>1195</v>
      </c>
    </row>
    <row r="15" spans="1:18" x14ac:dyDescent="0.2">
      <c r="A15">
        <v>20</v>
      </c>
      <c r="B15" t="s">
        <v>67</v>
      </c>
      <c r="C15">
        <v>2114</v>
      </c>
      <c r="D15">
        <v>1145</v>
      </c>
      <c r="E15">
        <v>0.54162724692526021</v>
      </c>
      <c r="F15">
        <v>3259</v>
      </c>
      <c r="G15">
        <v>1</v>
      </c>
      <c r="H15" t="s">
        <v>53</v>
      </c>
      <c r="I15" t="s">
        <v>100</v>
      </c>
      <c r="J15">
        <v>0.85925244422586089</v>
      </c>
      <c r="K15">
        <v>0.74531751191568196</v>
      </c>
      <c r="L15">
        <v>-0.15286764431085631</v>
      </c>
      <c r="M15">
        <v>-9.163869558016341E-2</v>
      </c>
      <c r="N15">
        <v>-0.18329288687245276</v>
      </c>
      <c r="O15" s="2">
        <v>-9.1654191292289355E-2</v>
      </c>
      <c r="P15" s="4" t="s">
        <v>1195</v>
      </c>
      <c r="Q15">
        <v>1.1528676440000001</v>
      </c>
      <c r="R15" s="4" t="s">
        <v>1195</v>
      </c>
    </row>
    <row r="16" spans="1:18" x14ac:dyDescent="0.2">
      <c r="A16">
        <v>14</v>
      </c>
      <c r="B16" t="s">
        <v>69</v>
      </c>
      <c r="C16">
        <v>1801</v>
      </c>
      <c r="D16">
        <v>1966</v>
      </c>
      <c r="E16">
        <v>1.0916157690172126</v>
      </c>
      <c r="F16">
        <v>3767</v>
      </c>
      <c r="G16">
        <v>1</v>
      </c>
      <c r="H16" t="s">
        <v>53</v>
      </c>
      <c r="I16" t="s">
        <v>108</v>
      </c>
      <c r="J16">
        <v>1.7317694466226969</v>
      </c>
      <c r="K16">
        <v>0.95543451826387171</v>
      </c>
      <c r="L16">
        <v>-0.81254645244501966</v>
      </c>
      <c r="M16">
        <v>-1.5255991660243358E-2</v>
      </c>
      <c r="N16">
        <v>9.7986670943972204E-2</v>
      </c>
      <c r="O16" s="2">
        <v>0.11324266260421556</v>
      </c>
      <c r="P16" s="4" t="s">
        <v>1195</v>
      </c>
      <c r="Q16">
        <v>1.8125464520000001</v>
      </c>
      <c r="R16" s="4" t="s">
        <v>1195</v>
      </c>
    </row>
    <row r="17" spans="1:18" x14ac:dyDescent="0.2">
      <c r="A17">
        <v>15</v>
      </c>
      <c r="B17" t="s">
        <v>71</v>
      </c>
      <c r="C17">
        <v>2323</v>
      </c>
      <c r="D17">
        <v>1081</v>
      </c>
      <c r="E17">
        <v>0.46534653465346537</v>
      </c>
      <c r="F17">
        <v>3404</v>
      </c>
      <c r="G17">
        <v>1</v>
      </c>
      <c r="H17" t="s">
        <v>42</v>
      </c>
      <c r="I17" t="s">
        <v>109</v>
      </c>
      <c r="J17">
        <v>0.73823861259365375</v>
      </c>
      <c r="K17">
        <v>1.0571906037112793</v>
      </c>
      <c r="L17">
        <v>0.30169771656874456</v>
      </c>
      <c r="M17">
        <v>-0.16179355444009</v>
      </c>
      <c r="N17">
        <v>-0.79950665897932782</v>
      </c>
      <c r="O17" s="2">
        <v>-0.6377131045392378</v>
      </c>
      <c r="P17" s="4" t="s">
        <v>1195</v>
      </c>
      <c r="Q17">
        <v>0.69830228299999997</v>
      </c>
      <c r="R17" s="4" t="s">
        <v>1215</v>
      </c>
    </row>
    <row r="18" spans="1:18" x14ac:dyDescent="0.2">
      <c r="A18">
        <v>11</v>
      </c>
      <c r="B18" t="s">
        <v>73</v>
      </c>
      <c r="C18">
        <v>2103</v>
      </c>
      <c r="D18">
        <v>769</v>
      </c>
      <c r="E18">
        <v>0.36566809320019023</v>
      </c>
      <c r="F18">
        <v>2872</v>
      </c>
      <c r="G18">
        <v>1</v>
      </c>
      <c r="H18" t="s">
        <v>53</v>
      </c>
      <c r="I18" t="s">
        <v>110</v>
      </c>
      <c r="J18">
        <v>0.58010597628045535</v>
      </c>
      <c r="K18">
        <v>0.5816086708465863</v>
      </c>
      <c r="L18">
        <v>2.5836866633085487E-3</v>
      </c>
      <c r="M18">
        <v>2.1509348737327277E-2</v>
      </c>
      <c r="N18">
        <v>-0.11560549527025395</v>
      </c>
      <c r="O18" s="2">
        <v>-0.13711484400758123</v>
      </c>
      <c r="P18" s="4" t="s">
        <v>1195</v>
      </c>
      <c r="Q18">
        <v>0.997416313</v>
      </c>
      <c r="R18" s="4" t="s">
        <v>1195</v>
      </c>
    </row>
    <row r="19" spans="1:18" x14ac:dyDescent="0.2">
      <c r="A19">
        <v>17</v>
      </c>
      <c r="B19" t="s">
        <v>75</v>
      </c>
      <c r="C19">
        <v>1648</v>
      </c>
      <c r="D19">
        <v>1880</v>
      </c>
      <c r="E19">
        <v>1.1407766990291262</v>
      </c>
      <c r="F19">
        <v>3528</v>
      </c>
      <c r="G19">
        <v>1</v>
      </c>
      <c r="H19" t="s">
        <v>41</v>
      </c>
      <c r="I19" t="s">
        <v>111</v>
      </c>
      <c r="J19">
        <v>1.8097597056300734</v>
      </c>
      <c r="K19">
        <v>1.0667967158504303</v>
      </c>
      <c r="L19">
        <v>-0.69644289182814645</v>
      </c>
      <c r="M19">
        <v>0.2777119169975627</v>
      </c>
      <c r="N19">
        <v>0.29028923088059744</v>
      </c>
      <c r="O19" s="2">
        <v>1.2577313883034735E-2</v>
      </c>
      <c r="P19" s="4" t="s">
        <v>1195</v>
      </c>
      <c r="Q19">
        <v>1.6964428920000001</v>
      </c>
      <c r="R19" s="4" t="s">
        <v>1195</v>
      </c>
    </row>
    <row r="20" spans="1:18" x14ac:dyDescent="0.2">
      <c r="A20">
        <v>16</v>
      </c>
      <c r="B20" t="s">
        <v>76</v>
      </c>
      <c r="C20">
        <v>1926</v>
      </c>
      <c r="D20">
        <v>1195</v>
      </c>
      <c r="E20">
        <v>0.62045690550363453</v>
      </c>
      <c r="F20">
        <v>3121</v>
      </c>
      <c r="G20">
        <v>1</v>
      </c>
      <c r="H20" t="s">
        <v>53</v>
      </c>
      <c r="I20" t="s">
        <v>98</v>
      </c>
      <c r="J20">
        <v>0.98430999477465186</v>
      </c>
      <c r="K20">
        <v>0.57836254693622979</v>
      </c>
      <c r="L20">
        <v>-0.70189096785200689</v>
      </c>
      <c r="M20">
        <v>4.5563425551874842E-2</v>
      </c>
      <c r="N20">
        <v>9.933854227613767E-2</v>
      </c>
      <c r="O20" s="2">
        <v>5.3775116724262828E-2</v>
      </c>
      <c r="P20" s="4" t="s">
        <v>1195</v>
      </c>
      <c r="Q20">
        <v>1.7018909680000001</v>
      </c>
      <c r="R20" s="4" t="s">
        <v>1195</v>
      </c>
    </row>
    <row r="21" spans="1:18" x14ac:dyDescent="0.2">
      <c r="A21">
        <v>18</v>
      </c>
      <c r="B21" t="s">
        <v>3</v>
      </c>
      <c r="C21">
        <v>2372</v>
      </c>
      <c r="D21">
        <v>1473</v>
      </c>
      <c r="E21">
        <v>0.62099494097807761</v>
      </c>
      <c r="F21">
        <v>3845</v>
      </c>
      <c r="G21">
        <v>1</v>
      </c>
      <c r="H21" t="s">
        <v>53</v>
      </c>
      <c r="I21" t="s">
        <v>99</v>
      </c>
      <c r="J21">
        <v>0.98516354913167492</v>
      </c>
      <c r="K21">
        <v>2.3773544300688871</v>
      </c>
      <c r="L21">
        <v>0.58560510091752349</v>
      </c>
      <c r="M21">
        <v>6.0744321663679232E-3</v>
      </c>
      <c r="N21">
        <v>-0.51041335414684275</v>
      </c>
      <c r="O21" s="2">
        <v>-0.51648778631321068</v>
      </c>
      <c r="P21" s="4" t="s">
        <v>1215</v>
      </c>
      <c r="Q21">
        <v>0.41439489899999998</v>
      </c>
      <c r="R21" s="4" t="s">
        <v>1215</v>
      </c>
    </row>
    <row r="22" spans="1:18" x14ac:dyDescent="0.2">
      <c r="A22">
        <v>12</v>
      </c>
      <c r="B22" t="s">
        <v>78</v>
      </c>
      <c r="C22">
        <v>1872</v>
      </c>
      <c r="D22">
        <v>1993</v>
      </c>
      <c r="E22">
        <v>1.0646367521367521</v>
      </c>
      <c r="F22">
        <v>3865</v>
      </c>
      <c r="G22">
        <v>1</v>
      </c>
      <c r="H22" t="s">
        <v>53</v>
      </c>
      <c r="I22" t="s">
        <v>112</v>
      </c>
      <c r="J22">
        <v>1.6889691880889064</v>
      </c>
      <c r="K22">
        <v>0.76486315903638102</v>
      </c>
      <c r="L22">
        <v>-1.2081978562240701</v>
      </c>
      <c r="M22">
        <v>-2.9422439624435828E-2</v>
      </c>
      <c r="N22">
        <v>-6.7378993152808639E-2</v>
      </c>
      <c r="O22" s="2">
        <v>-3.7956553528372808E-2</v>
      </c>
      <c r="P22" s="4" t="s">
        <v>1195</v>
      </c>
      <c r="Q22">
        <v>2.208197856</v>
      </c>
      <c r="R22" s="4" t="s">
        <v>1195</v>
      </c>
    </row>
    <row r="23" spans="1:18" x14ac:dyDescent="0.2">
      <c r="A23">
        <v>13</v>
      </c>
      <c r="B23" t="s">
        <v>80</v>
      </c>
      <c r="C23">
        <v>1146</v>
      </c>
      <c r="D23">
        <v>3592</v>
      </c>
      <c r="E23">
        <v>3.1343804537521813</v>
      </c>
      <c r="F23">
        <v>4738</v>
      </c>
      <c r="G23">
        <v>1</v>
      </c>
      <c r="H23" t="s">
        <v>53</v>
      </c>
      <c r="I23" t="s">
        <v>113</v>
      </c>
      <c r="J23">
        <v>4.9724678389231149</v>
      </c>
      <c r="K23">
        <v>1.1374290874127153</v>
      </c>
      <c r="L23">
        <v>-3.3716728312565643</v>
      </c>
      <c r="M23">
        <v>0.13240926130013714</v>
      </c>
      <c r="N23">
        <v>0.51617391728099493</v>
      </c>
      <c r="O23" s="2">
        <v>0.38376465598085779</v>
      </c>
      <c r="P23" t="s">
        <v>1195</v>
      </c>
      <c r="Q23">
        <v>4.3716728309999997</v>
      </c>
      <c r="R23" t="s">
        <v>1195</v>
      </c>
    </row>
    <row r="24" spans="1:18" x14ac:dyDescent="0.2">
      <c r="A24">
        <v>46</v>
      </c>
      <c r="B24" t="s">
        <v>82</v>
      </c>
      <c r="C24">
        <v>2155</v>
      </c>
      <c r="D24">
        <v>2295</v>
      </c>
      <c r="E24">
        <v>1.0649651972157772</v>
      </c>
      <c r="F24">
        <v>4450</v>
      </c>
      <c r="G24">
        <v>1</v>
      </c>
      <c r="H24" t="s">
        <v>38</v>
      </c>
      <c r="I24" t="s">
        <v>105</v>
      </c>
      <c r="J24">
        <v>1.6894902424460281</v>
      </c>
      <c r="K24">
        <v>2.8573387207840839</v>
      </c>
      <c r="L24">
        <v>0.40871894880477655</v>
      </c>
      <c r="M24">
        <v>-5.9675972495170596E-3</v>
      </c>
      <c r="N24">
        <v>0.10308039819215735</v>
      </c>
      <c r="O24" s="2">
        <v>0.10904799544167441</v>
      </c>
      <c r="P24" s="4" t="s">
        <v>1195</v>
      </c>
      <c r="Q24">
        <v>0.59128105099999995</v>
      </c>
      <c r="R24" s="4" t="s">
        <v>1195</v>
      </c>
    </row>
    <row r="25" spans="1:18" x14ac:dyDescent="0.2">
      <c r="A25">
        <v>44</v>
      </c>
      <c r="B25" t="s">
        <v>83</v>
      </c>
      <c r="C25">
        <v>685</v>
      </c>
      <c r="D25">
        <v>417</v>
      </c>
      <c r="E25">
        <v>0.60875912408759125</v>
      </c>
      <c r="F25">
        <v>1102</v>
      </c>
      <c r="G25">
        <v>1</v>
      </c>
      <c r="H25" t="s">
        <v>41</v>
      </c>
      <c r="I25" t="s">
        <v>107</v>
      </c>
      <c r="J25">
        <v>0.96575231081245261</v>
      </c>
      <c r="K25">
        <v>0.69513307696585469</v>
      </c>
      <c r="L25">
        <v>-0.38930564925468358</v>
      </c>
      <c r="M25">
        <v>-0.19414445362227803</v>
      </c>
      <c r="N25">
        <v>0.42882584908779325</v>
      </c>
      <c r="O25" s="2">
        <v>0.62297030271007126</v>
      </c>
      <c r="P25" s="4" t="s">
        <v>1195</v>
      </c>
      <c r="Q25">
        <v>1.389305649</v>
      </c>
      <c r="R25" s="4" t="s">
        <v>1195</v>
      </c>
    </row>
    <row r="26" spans="1:18" x14ac:dyDescent="0.2">
      <c r="A26">
        <v>45</v>
      </c>
      <c r="B26" t="s">
        <v>84</v>
      </c>
      <c r="C26">
        <v>2764</v>
      </c>
      <c r="D26">
        <v>1227</v>
      </c>
      <c r="E26">
        <v>0.44392185238784371</v>
      </c>
      <c r="F26">
        <v>3991</v>
      </c>
      <c r="G26">
        <v>1</v>
      </c>
      <c r="H26" t="s">
        <v>38</v>
      </c>
      <c r="I26" t="s">
        <v>106</v>
      </c>
      <c r="J26">
        <v>0.70424990410824373</v>
      </c>
      <c r="K26">
        <v>1.5491027254379832</v>
      </c>
      <c r="L26">
        <v>0.54538205081969071</v>
      </c>
      <c r="M26">
        <v>0.12406009747001524</v>
      </c>
      <c r="N26">
        <v>-0.46549947182564155</v>
      </c>
      <c r="O26" s="2">
        <v>-0.58955956929565678</v>
      </c>
      <c r="P26" s="4" t="s">
        <v>1215</v>
      </c>
      <c r="Q26">
        <v>0.45461794900000002</v>
      </c>
      <c r="R26" s="4" t="s">
        <v>1215</v>
      </c>
    </row>
    <row r="27" spans="1:18" x14ac:dyDescent="0.2">
      <c r="A27">
        <v>27</v>
      </c>
      <c r="B27" t="s">
        <v>85</v>
      </c>
      <c r="C27">
        <v>3062</v>
      </c>
      <c r="D27">
        <v>1543</v>
      </c>
      <c r="E27">
        <v>0.5039190071848465</v>
      </c>
      <c r="F27">
        <v>4605</v>
      </c>
      <c r="G27">
        <v>1</v>
      </c>
      <c r="H27" t="s">
        <v>53</v>
      </c>
      <c r="I27" t="s">
        <v>109</v>
      </c>
      <c r="J27">
        <v>0.79943104981053115</v>
      </c>
      <c r="K27">
        <v>0.82332403380264541</v>
      </c>
      <c r="L27">
        <v>2.9020146395776769E-2</v>
      </c>
      <c r="M27">
        <v>-6.6849785210953347E-2</v>
      </c>
      <c r="N27">
        <v>-0.86186365015763888</v>
      </c>
      <c r="O27" s="2">
        <v>-0.79501386494668558</v>
      </c>
      <c r="P27" s="4" t="s">
        <v>1215</v>
      </c>
      <c r="Q27">
        <v>0.97097985399999998</v>
      </c>
      <c r="R27" s="4" t="s">
        <v>1215</v>
      </c>
    </row>
    <row r="28" spans="1:18" x14ac:dyDescent="0.2">
      <c r="A28">
        <v>28</v>
      </c>
      <c r="B28" t="s">
        <v>4</v>
      </c>
      <c r="C28">
        <v>2278</v>
      </c>
      <c r="D28">
        <v>2307</v>
      </c>
      <c r="E28">
        <v>1.0127304653204565</v>
      </c>
      <c r="F28">
        <v>4585</v>
      </c>
      <c r="G28">
        <v>1</v>
      </c>
      <c r="H28" t="s">
        <v>53</v>
      </c>
      <c r="I28" t="s">
        <v>111</v>
      </c>
      <c r="J28">
        <v>1.6066236191191365</v>
      </c>
      <c r="K28">
        <v>0.9110100333484441</v>
      </c>
      <c r="L28">
        <v>-0.76356303477135623</v>
      </c>
      <c r="M28">
        <v>-0.1146298557151878</v>
      </c>
      <c r="N28">
        <v>-0.48857686404396761</v>
      </c>
      <c r="O28" s="2">
        <v>-0.37394700832877981</v>
      </c>
      <c r="P28" s="4" t="s">
        <v>1215</v>
      </c>
      <c r="Q28">
        <v>1.763563035</v>
      </c>
      <c r="R28" s="4" t="s">
        <v>1215</v>
      </c>
    </row>
    <row r="29" spans="1:18" x14ac:dyDescent="0.2">
      <c r="A29">
        <v>30</v>
      </c>
      <c r="B29" t="s">
        <v>86</v>
      </c>
      <c r="C29">
        <v>2278</v>
      </c>
      <c r="D29">
        <v>1980</v>
      </c>
      <c r="E29">
        <v>0.86918349429323971</v>
      </c>
      <c r="F29">
        <v>4258</v>
      </c>
      <c r="G29">
        <v>1</v>
      </c>
      <c r="H29" t="s">
        <v>41</v>
      </c>
      <c r="I29" t="s">
        <v>115</v>
      </c>
      <c r="J29">
        <v>1.3788967342244864</v>
      </c>
      <c r="K29">
        <v>0.91928788268754669</v>
      </c>
      <c r="L29">
        <v>-0.49996182935999212</v>
      </c>
      <c r="M29">
        <v>-0.19685886640436259</v>
      </c>
      <c r="N29">
        <v>1.8183122377394563E-2</v>
      </c>
      <c r="O29" s="2">
        <v>0.21504198878175715</v>
      </c>
      <c r="P29" s="4" t="s">
        <v>1195</v>
      </c>
      <c r="Q29">
        <v>1.4999618290000001</v>
      </c>
      <c r="R29" s="4" t="s">
        <v>1215</v>
      </c>
    </row>
    <row r="30" spans="1:18" x14ac:dyDescent="0.2">
      <c r="A30">
        <v>29</v>
      </c>
      <c r="B30" t="s">
        <v>88</v>
      </c>
      <c r="C30">
        <v>3435</v>
      </c>
      <c r="D30">
        <v>946</v>
      </c>
      <c r="E30">
        <v>0.27540029112081515</v>
      </c>
      <c r="F30">
        <v>4381</v>
      </c>
      <c r="G30">
        <v>1</v>
      </c>
      <c r="H30" t="s">
        <v>53</v>
      </c>
      <c r="I30" t="s">
        <v>115</v>
      </c>
      <c r="J30">
        <v>0.43690263853865552</v>
      </c>
      <c r="K30">
        <v>0.498390811762986</v>
      </c>
      <c r="L30">
        <v>0.12337340852417578</v>
      </c>
      <c r="M30">
        <v>-5.6404329874348E-2</v>
      </c>
      <c r="N30">
        <v>-4.1968775019444862E-2</v>
      </c>
      <c r="O30" s="2">
        <v>1.4435554854903138E-2</v>
      </c>
      <c r="P30" s="4" t="s">
        <v>1195</v>
      </c>
      <c r="Q30">
        <v>0.87662659099999996</v>
      </c>
      <c r="R30" s="4" t="s">
        <v>1195</v>
      </c>
    </row>
    <row r="31" spans="1:18" x14ac:dyDescent="0.2">
      <c r="A31">
        <v>31</v>
      </c>
      <c r="B31" t="s">
        <v>90</v>
      </c>
      <c r="C31">
        <v>2499</v>
      </c>
      <c r="D31">
        <v>1698</v>
      </c>
      <c r="E31">
        <v>0.67947178871548619</v>
      </c>
      <c r="F31">
        <v>4197</v>
      </c>
      <c r="G31">
        <v>1</v>
      </c>
      <c r="H31" t="s">
        <v>38</v>
      </c>
      <c r="I31" t="s">
        <v>116</v>
      </c>
      <c r="J31">
        <v>1.0779328376677175</v>
      </c>
      <c r="K31">
        <v>2.0486312789908321</v>
      </c>
      <c r="L31">
        <v>0.47382779481981074</v>
      </c>
      <c r="M31">
        <v>1.8986937045741548E-2</v>
      </c>
      <c r="N31">
        <v>-0.63338324743761554</v>
      </c>
      <c r="O31" s="2">
        <v>-0.65237018448335704</v>
      </c>
      <c r="P31" s="4" t="s">
        <v>1215</v>
      </c>
      <c r="Q31">
        <v>0.52617220499999995</v>
      </c>
      <c r="R31" s="4" t="s">
        <v>1215</v>
      </c>
    </row>
    <row r="32" spans="1:18" x14ac:dyDescent="0.2">
      <c r="A32">
        <v>26</v>
      </c>
      <c r="B32" t="s">
        <v>2</v>
      </c>
      <c r="C32">
        <v>1430</v>
      </c>
      <c r="D32">
        <v>4963</v>
      </c>
      <c r="E32">
        <v>3.4706293706293705</v>
      </c>
      <c r="F32">
        <v>6393</v>
      </c>
      <c r="G32">
        <v>1</v>
      </c>
      <c r="H32" t="s">
        <v>53</v>
      </c>
      <c r="I32" t="s">
        <v>114</v>
      </c>
      <c r="J32">
        <v>5.5059024202430091</v>
      </c>
      <c r="K32">
        <v>0.98015372745247997</v>
      </c>
      <c r="L32">
        <v>-4.6173866058270407</v>
      </c>
      <c r="M32">
        <v>0.343241077235662</v>
      </c>
      <c r="N32">
        <v>0.18128162538507467</v>
      </c>
      <c r="O32" s="2">
        <v>-0.16195945185058733</v>
      </c>
      <c r="P32" s="4" t="s">
        <v>1215</v>
      </c>
      <c r="Q32">
        <v>5.6173866060000002</v>
      </c>
      <c r="R32" s="4" t="s">
        <v>1215</v>
      </c>
    </row>
    <row r="33" spans="1:18" x14ac:dyDescent="0.2">
      <c r="A33">
        <v>32</v>
      </c>
      <c r="B33" t="s">
        <v>21</v>
      </c>
      <c r="C33">
        <v>2628</v>
      </c>
      <c r="D33">
        <v>2258</v>
      </c>
      <c r="E33">
        <v>0.85920852359208522</v>
      </c>
      <c r="F33">
        <v>4886</v>
      </c>
      <c r="G33">
        <v>1</v>
      </c>
      <c r="H33" t="s">
        <v>38</v>
      </c>
      <c r="I33" t="s">
        <v>117</v>
      </c>
      <c r="J33">
        <v>1.3630721648279047</v>
      </c>
      <c r="K33">
        <v>1.2243663371012941</v>
      </c>
      <c r="L33">
        <v>-0.11328784819010851</v>
      </c>
      <c r="M33">
        <v>1.7625403885292878E-4</v>
      </c>
      <c r="N33">
        <v>-0.49860368458100607</v>
      </c>
      <c r="O33" s="2">
        <v>-0.49877993861985898</v>
      </c>
      <c r="P33" s="4" t="s">
        <v>1215</v>
      </c>
      <c r="Q33">
        <v>1.1132878479999999</v>
      </c>
      <c r="R33" s="4" t="s">
        <v>1215</v>
      </c>
    </row>
    <row r="34" spans="1:18" x14ac:dyDescent="0.2">
      <c r="A34">
        <v>33</v>
      </c>
      <c r="B34" t="s">
        <v>92</v>
      </c>
      <c r="C34">
        <v>1402</v>
      </c>
      <c r="D34">
        <v>6961</v>
      </c>
      <c r="E34">
        <v>4.9650499286733236</v>
      </c>
      <c r="F34">
        <v>8363</v>
      </c>
      <c r="G34">
        <v>1</v>
      </c>
      <c r="H34" t="s">
        <v>38</v>
      </c>
      <c r="I34" t="s">
        <v>110</v>
      </c>
      <c r="J34">
        <v>7.8766925244894335</v>
      </c>
      <c r="K34">
        <v>1.3547643112538255</v>
      </c>
      <c r="L34">
        <v>-4.8140685129206027</v>
      </c>
      <c r="M34">
        <v>7.3290310794373703E-2</v>
      </c>
      <c r="N34">
        <v>0.1346361743578377</v>
      </c>
      <c r="O34" s="2">
        <v>6.1345863563463998E-2</v>
      </c>
      <c r="P34" s="4" t="s">
        <v>1195</v>
      </c>
      <c r="Q34">
        <v>5.8140685129999996</v>
      </c>
      <c r="R34" s="4" t="s">
        <v>1195</v>
      </c>
    </row>
    <row r="35" spans="1:18" x14ac:dyDescent="0.2">
      <c r="A35">
        <v>35</v>
      </c>
      <c r="B35" t="s">
        <v>93</v>
      </c>
      <c r="C35">
        <v>2550</v>
      </c>
      <c r="D35">
        <v>2018</v>
      </c>
      <c r="E35">
        <v>0.79137254901960785</v>
      </c>
      <c r="F35">
        <v>4568</v>
      </c>
      <c r="G35">
        <v>1</v>
      </c>
      <c r="H35" t="s">
        <v>38</v>
      </c>
      <c r="I35" t="s">
        <v>113</v>
      </c>
      <c r="J35">
        <v>1.2554552986367402</v>
      </c>
      <c r="K35">
        <v>1.3670743127335381</v>
      </c>
      <c r="L35">
        <v>8.1648095540329257E-2</v>
      </c>
      <c r="M35">
        <v>-0.43593873460667487</v>
      </c>
      <c r="N35">
        <v>0.10750037994863131</v>
      </c>
      <c r="O35" s="2">
        <v>0.54343911455530614</v>
      </c>
      <c r="P35" s="4" t="s">
        <v>1195</v>
      </c>
      <c r="Q35">
        <v>0.918351904</v>
      </c>
      <c r="R35" s="4" t="s">
        <v>1215</v>
      </c>
    </row>
    <row r="36" spans="1:18" x14ac:dyDescent="0.2">
      <c r="A36">
        <v>34</v>
      </c>
      <c r="B36" t="s">
        <v>94</v>
      </c>
      <c r="C36">
        <v>2506</v>
      </c>
      <c r="D36">
        <v>1025</v>
      </c>
      <c r="E36">
        <v>0.40901835594573027</v>
      </c>
      <c r="F36">
        <v>3531</v>
      </c>
      <c r="G36">
        <v>1</v>
      </c>
      <c r="H36" t="s">
        <v>38</v>
      </c>
      <c r="I36" t="s">
        <v>112</v>
      </c>
      <c r="J36">
        <v>0.64887803203170269</v>
      </c>
      <c r="K36">
        <v>0.74115768226129375</v>
      </c>
      <c r="L36">
        <v>0.12450744617264597</v>
      </c>
      <c r="M36">
        <v>2.6944011729082878E-2</v>
      </c>
      <c r="N36">
        <v>5.8356294646301016E-2</v>
      </c>
      <c r="O36" s="2">
        <v>3.1412282917218134E-2</v>
      </c>
      <c r="P36" s="4" t="s">
        <v>1195</v>
      </c>
      <c r="Q36">
        <v>0.87549255400000003</v>
      </c>
      <c r="R36" s="4" t="s">
        <v>1195</v>
      </c>
    </row>
    <row r="37" spans="1:18" x14ac:dyDescent="0.2">
      <c r="A37">
        <v>36</v>
      </c>
      <c r="B37" t="s">
        <v>95</v>
      </c>
      <c r="C37">
        <v>1274</v>
      </c>
      <c r="D37">
        <v>4089</v>
      </c>
      <c r="E37">
        <v>3.2095761381475669</v>
      </c>
      <c r="F37">
        <v>5363</v>
      </c>
      <c r="G37">
        <v>1</v>
      </c>
      <c r="H37" t="s">
        <v>38</v>
      </c>
      <c r="I37" t="s">
        <v>108</v>
      </c>
      <c r="J37">
        <v>5.0917603523237327</v>
      </c>
      <c r="K37">
        <v>3.0465224773583977</v>
      </c>
      <c r="L37">
        <v>-0.67133523227399117</v>
      </c>
      <c r="M37">
        <v>0.1367810038137261</v>
      </c>
      <c r="N37">
        <v>0.32718938864213509</v>
      </c>
      <c r="O37" s="2">
        <v>0.19040838482840899</v>
      </c>
      <c r="P37" s="4" t="s">
        <v>1195</v>
      </c>
      <c r="Q37">
        <v>1.6713352319999999</v>
      </c>
      <c r="R37" s="4" t="s">
        <v>1195</v>
      </c>
    </row>
    <row r="38" spans="1:18" x14ac:dyDescent="0.2">
      <c r="A38">
        <v>37</v>
      </c>
      <c r="B38" t="s">
        <v>40</v>
      </c>
      <c r="C38">
        <v>1784</v>
      </c>
      <c r="D38">
        <v>3030</v>
      </c>
      <c r="E38">
        <v>1.6984304932735426</v>
      </c>
      <c r="F38">
        <v>4814</v>
      </c>
      <c r="G38">
        <v>2</v>
      </c>
      <c r="H38" t="s">
        <v>41</v>
      </c>
      <c r="I38" t="s">
        <v>96</v>
      </c>
      <c r="J38">
        <v>3.1348174247277383</v>
      </c>
      <c r="K38">
        <v>1.78932934022044</v>
      </c>
      <c r="L38">
        <v>-0.75195105465690193</v>
      </c>
      <c r="M38">
        <v>0.17080798626623167</v>
      </c>
      <c r="N38">
        <v>0.11964268814967087</v>
      </c>
      <c r="O38" s="2">
        <v>-5.1165298116560801E-2</v>
      </c>
      <c r="P38" s="4" t="s">
        <v>1215</v>
      </c>
      <c r="Q38">
        <v>1.7519510549999999</v>
      </c>
      <c r="R38" s="4" t="s">
        <v>1215</v>
      </c>
    </row>
    <row r="39" spans="1:18" x14ac:dyDescent="0.2">
      <c r="A39">
        <v>39</v>
      </c>
      <c r="B39" t="s">
        <v>44</v>
      </c>
      <c r="C39">
        <v>2097</v>
      </c>
      <c r="D39">
        <v>1600</v>
      </c>
      <c r="E39">
        <v>0.76299475441106346</v>
      </c>
      <c r="F39">
        <v>3697</v>
      </c>
      <c r="G39">
        <v>2</v>
      </c>
      <c r="H39" t="s">
        <v>41</v>
      </c>
      <c r="I39" t="s">
        <v>97</v>
      </c>
      <c r="J39">
        <v>1.4082703181415628</v>
      </c>
      <c r="K39">
        <v>1.1034484927195156</v>
      </c>
      <c r="L39">
        <v>-0.27624472499916641</v>
      </c>
      <c r="M39">
        <v>4.7106092374920937E-2</v>
      </c>
      <c r="N39">
        <v>-0.30415289571734733</v>
      </c>
      <c r="O39" s="2">
        <v>-0.35125898809226824</v>
      </c>
      <c r="P39" s="4" t="s">
        <v>1195</v>
      </c>
      <c r="Q39">
        <v>1.276244725</v>
      </c>
      <c r="R39" s="4" t="s">
        <v>1195</v>
      </c>
    </row>
    <row r="40" spans="1:18" x14ac:dyDescent="0.2">
      <c r="A40">
        <v>38</v>
      </c>
      <c r="B40" t="s">
        <v>46</v>
      </c>
      <c r="C40">
        <v>2650</v>
      </c>
      <c r="D40">
        <v>1630</v>
      </c>
      <c r="E40">
        <v>0.61509433962264148</v>
      </c>
      <c r="F40">
        <v>4280</v>
      </c>
      <c r="G40">
        <v>2</v>
      </c>
      <c r="H40" t="s">
        <v>41</v>
      </c>
      <c r="I40" t="s">
        <v>98</v>
      </c>
      <c r="J40">
        <v>1.1352884097035039</v>
      </c>
      <c r="K40">
        <v>0.99701673134259727</v>
      </c>
      <c r="L40">
        <v>-0.13868541421035929</v>
      </c>
      <c r="M40">
        <v>-0.21963655855220046</v>
      </c>
      <c r="N40">
        <v>-0.17297334859057495</v>
      </c>
      <c r="O40" s="2">
        <v>4.6663209961625512E-2</v>
      </c>
      <c r="P40" s="4" t="s">
        <v>1195</v>
      </c>
      <c r="Q40">
        <v>1.138685414</v>
      </c>
      <c r="R40" s="4" t="s">
        <v>1195</v>
      </c>
    </row>
    <row r="41" spans="1:18" x14ac:dyDescent="0.2">
      <c r="A41">
        <v>40</v>
      </c>
      <c r="B41" t="s">
        <v>10</v>
      </c>
      <c r="C41">
        <v>1509</v>
      </c>
      <c r="D41">
        <v>2433</v>
      </c>
      <c r="E41">
        <v>1.6123260437375746</v>
      </c>
      <c r="F41">
        <v>3942</v>
      </c>
      <c r="G41">
        <v>2</v>
      </c>
      <c r="H41" t="s">
        <v>41</v>
      </c>
      <c r="I41" t="s">
        <v>99</v>
      </c>
      <c r="J41">
        <v>2.9758932121556376</v>
      </c>
      <c r="K41">
        <v>3.9260829259720778</v>
      </c>
      <c r="L41">
        <v>0.24201977689535892</v>
      </c>
      <c r="M41">
        <v>0.15168959525247941</v>
      </c>
      <c r="N41">
        <v>-0.15971630693275349</v>
      </c>
      <c r="O41" s="2">
        <v>-0.3114059021852329</v>
      </c>
      <c r="P41" s="4" t="s">
        <v>1215</v>
      </c>
      <c r="Q41">
        <v>0.75798022300000001</v>
      </c>
      <c r="R41" s="4" t="s">
        <v>1215</v>
      </c>
    </row>
    <row r="42" spans="1:18" x14ac:dyDescent="0.2">
      <c r="A42">
        <v>42</v>
      </c>
      <c r="B42" t="s">
        <v>49</v>
      </c>
      <c r="C42">
        <v>1801</v>
      </c>
      <c r="D42">
        <v>3973</v>
      </c>
      <c r="E42">
        <v>2.2059966685174901</v>
      </c>
      <c r="F42">
        <v>5774</v>
      </c>
      <c r="G42">
        <v>2</v>
      </c>
      <c r="H42" t="s">
        <v>41</v>
      </c>
      <c r="I42" t="s">
        <v>100</v>
      </c>
      <c r="J42">
        <v>4.0716395653208526</v>
      </c>
      <c r="K42">
        <v>1.9722975981291537</v>
      </c>
      <c r="L42">
        <v>-1.0644144013474715</v>
      </c>
      <c r="M42">
        <v>-0.1496580475206952</v>
      </c>
      <c r="N42">
        <v>-0.14326631062625278</v>
      </c>
      <c r="O42" s="2">
        <v>6.391736894442418E-3</v>
      </c>
      <c r="P42" s="4" t="s">
        <v>1195</v>
      </c>
      <c r="Q42">
        <v>2.0644144010000001</v>
      </c>
      <c r="R42" s="4" t="s">
        <v>1195</v>
      </c>
    </row>
    <row r="43" spans="1:18" x14ac:dyDescent="0.2">
      <c r="A43">
        <v>41</v>
      </c>
      <c r="B43" t="s">
        <v>11</v>
      </c>
      <c r="C43">
        <v>2029</v>
      </c>
      <c r="D43">
        <v>2388</v>
      </c>
      <c r="E43">
        <v>1.1769344504682109</v>
      </c>
      <c r="F43">
        <v>4417</v>
      </c>
      <c r="G43">
        <v>2</v>
      </c>
      <c r="H43" t="s">
        <v>41</v>
      </c>
      <c r="I43" t="s">
        <v>101</v>
      </c>
      <c r="J43">
        <v>2.172284728578469</v>
      </c>
      <c r="K43">
        <v>1.7820620694992646</v>
      </c>
      <c r="L43">
        <v>-0.21897254072011729</v>
      </c>
      <c r="M43">
        <v>-0.1325628841369533</v>
      </c>
      <c r="N43">
        <v>-0.26114727996501691</v>
      </c>
      <c r="O43" s="2">
        <v>-0.12858439582806361</v>
      </c>
      <c r="P43" s="4" t="s">
        <v>1215</v>
      </c>
      <c r="Q43">
        <v>1.2189725410000001</v>
      </c>
      <c r="R43" s="4" t="s">
        <v>1215</v>
      </c>
    </row>
    <row r="44" spans="1:18" x14ac:dyDescent="0.2">
      <c r="A44">
        <v>43</v>
      </c>
      <c r="B44" t="s">
        <v>52</v>
      </c>
      <c r="C44">
        <v>1168</v>
      </c>
      <c r="D44">
        <v>4369</v>
      </c>
      <c r="E44">
        <v>3.7405821917808217</v>
      </c>
      <c r="F44">
        <v>5537</v>
      </c>
      <c r="G44">
        <v>2</v>
      </c>
      <c r="H44" t="s">
        <v>41</v>
      </c>
      <c r="I44" t="s">
        <v>102</v>
      </c>
      <c r="J44">
        <v>6.9040459882583161</v>
      </c>
      <c r="K44">
        <v>7.0174584278660079</v>
      </c>
      <c r="L44">
        <v>1.6161469394294747E-2</v>
      </c>
      <c r="M44">
        <v>0.13944471326871799</v>
      </c>
      <c r="N44">
        <v>0.30432549191713726</v>
      </c>
      <c r="O44" s="2">
        <v>0.16488077864841927</v>
      </c>
      <c r="P44" s="4" t="s">
        <v>1195</v>
      </c>
      <c r="Q44">
        <v>0.98383853099999996</v>
      </c>
      <c r="R44" s="4" t="s">
        <v>1195</v>
      </c>
    </row>
    <row r="45" spans="1:18" x14ac:dyDescent="0.2">
      <c r="A45">
        <v>21</v>
      </c>
      <c r="B45" t="s">
        <v>54</v>
      </c>
      <c r="C45">
        <v>2501</v>
      </c>
      <c r="D45">
        <v>871</v>
      </c>
      <c r="E45">
        <v>0.34826069572171131</v>
      </c>
      <c r="F45">
        <v>3372</v>
      </c>
      <c r="G45">
        <v>2</v>
      </c>
      <c r="H45" t="s">
        <v>55</v>
      </c>
      <c r="I45" t="s">
        <v>102</v>
      </c>
      <c r="J45">
        <v>0.64278974124635857</v>
      </c>
      <c r="K45">
        <v>0.66670472217045662</v>
      </c>
      <c r="L45">
        <v>3.587042378557459E-2</v>
      </c>
      <c r="M45">
        <v>-7.1503407886200188E-2</v>
      </c>
      <c r="N45">
        <v>-0.4604468910952404</v>
      </c>
      <c r="O45" s="2">
        <v>-0.38894348320904021</v>
      </c>
      <c r="P45" s="4" t="s">
        <v>1195</v>
      </c>
      <c r="Q45">
        <v>0.96412957600000004</v>
      </c>
      <c r="R45" s="4" t="s">
        <v>1195</v>
      </c>
    </row>
    <row r="46" spans="1:18" x14ac:dyDescent="0.2">
      <c r="A46">
        <v>22</v>
      </c>
      <c r="B46" t="s">
        <v>58</v>
      </c>
      <c r="C46">
        <v>1770</v>
      </c>
      <c r="D46">
        <v>1043</v>
      </c>
      <c r="E46">
        <v>0.58926553672316384</v>
      </c>
      <c r="F46">
        <v>2813</v>
      </c>
      <c r="G46">
        <v>2</v>
      </c>
      <c r="H46" t="s">
        <v>55</v>
      </c>
      <c r="I46" t="s">
        <v>104</v>
      </c>
      <c r="J46">
        <v>1.0876158192090395</v>
      </c>
      <c r="K46">
        <v>1.191664251547806</v>
      </c>
      <c r="L46">
        <v>8.7313546750791615E-2</v>
      </c>
      <c r="M46">
        <v>-2.8365215498412279E-2</v>
      </c>
      <c r="N46">
        <v>-0.18116856121502767</v>
      </c>
      <c r="O46" s="2">
        <v>-0.15280334571661539</v>
      </c>
      <c r="P46" s="4" t="s">
        <v>1215</v>
      </c>
      <c r="Q46">
        <v>0.91268645299999995</v>
      </c>
      <c r="R46" s="4" t="s">
        <v>1215</v>
      </c>
    </row>
    <row r="47" spans="1:18" x14ac:dyDescent="0.2">
      <c r="A47">
        <v>24</v>
      </c>
      <c r="B47" t="s">
        <v>61</v>
      </c>
      <c r="C47">
        <v>1995</v>
      </c>
      <c r="D47">
        <v>1112</v>
      </c>
      <c r="E47">
        <v>0.55739348370927322</v>
      </c>
      <c r="F47">
        <v>3107</v>
      </c>
      <c r="G47">
        <v>2</v>
      </c>
      <c r="H47" t="s">
        <v>55</v>
      </c>
      <c r="I47" t="s">
        <v>105</v>
      </c>
      <c r="J47">
        <v>1.0287891156462585</v>
      </c>
      <c r="K47">
        <v>0.73487875744336684</v>
      </c>
      <c r="L47">
        <v>-0.39994401147939262</v>
      </c>
      <c r="M47">
        <v>-0.2186297512075196</v>
      </c>
      <c r="N47">
        <v>0.37281331560648306</v>
      </c>
      <c r="O47" s="2">
        <v>0.59144306681400272</v>
      </c>
      <c r="P47" s="4" t="s">
        <v>1195</v>
      </c>
      <c r="Q47">
        <v>1.3999440110000001</v>
      </c>
      <c r="R47" s="4" t="s">
        <v>1195</v>
      </c>
    </row>
    <row r="48" spans="1:18" x14ac:dyDescent="0.2">
      <c r="A48">
        <v>23</v>
      </c>
      <c r="B48" t="s">
        <v>62</v>
      </c>
      <c r="C48">
        <v>2510</v>
      </c>
      <c r="D48">
        <v>683</v>
      </c>
      <c r="E48">
        <v>0.27211155378486057</v>
      </c>
      <c r="F48">
        <v>3193</v>
      </c>
      <c r="G48">
        <v>2</v>
      </c>
      <c r="H48" t="s">
        <v>55</v>
      </c>
      <c r="I48" t="s">
        <v>106</v>
      </c>
      <c r="J48">
        <v>0.50224018212862831</v>
      </c>
      <c r="K48">
        <v>0.66399693462224485</v>
      </c>
      <c r="L48">
        <v>0.24361069164519822</v>
      </c>
      <c r="M48">
        <v>-3.9641227228902863E-2</v>
      </c>
      <c r="N48">
        <v>0.16324836618368876</v>
      </c>
      <c r="O48" s="2">
        <v>0.20288959341259163</v>
      </c>
      <c r="P48" s="4" t="s">
        <v>1195</v>
      </c>
      <c r="Q48">
        <v>0.75638930800000004</v>
      </c>
      <c r="R48" s="4" t="s">
        <v>1195</v>
      </c>
    </row>
    <row r="49" spans="1:18" x14ac:dyDescent="0.2">
      <c r="A49">
        <v>25</v>
      </c>
      <c r="B49" t="s">
        <v>65</v>
      </c>
      <c r="C49">
        <v>2123</v>
      </c>
      <c r="D49">
        <v>767</v>
      </c>
      <c r="E49">
        <v>0.36128120584079132</v>
      </c>
      <c r="F49">
        <v>2890</v>
      </c>
      <c r="G49">
        <v>2</v>
      </c>
      <c r="H49" t="s">
        <v>55</v>
      </c>
      <c r="I49" t="s">
        <v>107</v>
      </c>
      <c r="J49">
        <v>0.66682188278043197</v>
      </c>
      <c r="K49">
        <v>2.6147074025605312</v>
      </c>
      <c r="L49">
        <v>0.74497265654756384</v>
      </c>
      <c r="M49">
        <v>2.4135059873702285E-2</v>
      </c>
      <c r="N49">
        <v>-0.44001643256010636</v>
      </c>
      <c r="O49" s="2">
        <v>-0.46415149243380865</v>
      </c>
      <c r="P49" s="4" t="s">
        <v>1195</v>
      </c>
      <c r="Q49">
        <v>0.25502734300000002</v>
      </c>
      <c r="R49" s="4" t="s">
        <v>1195</v>
      </c>
    </row>
    <row r="50" spans="1:18" x14ac:dyDescent="0.2">
      <c r="A50">
        <v>19</v>
      </c>
      <c r="B50" t="s">
        <v>66</v>
      </c>
      <c r="C50">
        <v>2464</v>
      </c>
      <c r="D50">
        <v>887</v>
      </c>
      <c r="E50">
        <v>0.35998376623376621</v>
      </c>
      <c r="F50">
        <v>3351</v>
      </c>
      <c r="G50">
        <v>2</v>
      </c>
      <c r="H50" t="s">
        <v>55</v>
      </c>
      <c r="I50" t="s">
        <v>101</v>
      </c>
      <c r="J50">
        <v>0.66442717996289413</v>
      </c>
      <c r="K50">
        <v>0.52003692632888732</v>
      </c>
      <c r="L50">
        <v>-0.27765384787827552</v>
      </c>
      <c r="M50">
        <v>-8.419178195138069E-2</v>
      </c>
      <c r="N50">
        <v>-0.121189790765768</v>
      </c>
      <c r="O50" s="2">
        <v>-3.6998008814387306E-2</v>
      </c>
      <c r="P50" s="4" t="s">
        <v>1195</v>
      </c>
      <c r="Q50">
        <v>1.2776538479999999</v>
      </c>
      <c r="R50" s="4" t="s">
        <v>1195</v>
      </c>
    </row>
    <row r="51" spans="1:18" x14ac:dyDescent="0.2">
      <c r="A51">
        <v>20</v>
      </c>
      <c r="B51" t="s">
        <v>67</v>
      </c>
      <c r="C51">
        <v>1844</v>
      </c>
      <c r="D51">
        <v>1453</v>
      </c>
      <c r="E51">
        <v>0.78796095444685466</v>
      </c>
      <c r="F51">
        <v>3297</v>
      </c>
      <c r="G51">
        <v>2</v>
      </c>
      <c r="H51" t="s">
        <v>55</v>
      </c>
      <c r="I51" t="s">
        <v>100</v>
      </c>
      <c r="J51">
        <v>1.4543507902076231</v>
      </c>
      <c r="K51">
        <v>0.59234678616580294</v>
      </c>
      <c r="L51">
        <v>-1.4552353860505929</v>
      </c>
      <c r="M51">
        <v>-0.17372389101902469</v>
      </c>
      <c r="N51">
        <v>-0.18288456193875782</v>
      </c>
      <c r="O51" s="2">
        <v>-9.1606709197331326E-3</v>
      </c>
      <c r="P51" s="4" t="s">
        <v>1195</v>
      </c>
      <c r="Q51">
        <v>2.455235386</v>
      </c>
      <c r="R51" s="4" t="s">
        <v>1195</v>
      </c>
    </row>
    <row r="52" spans="1:18" x14ac:dyDescent="0.2">
      <c r="A52">
        <v>14</v>
      </c>
      <c r="B52" t="s">
        <v>69</v>
      </c>
      <c r="C52">
        <v>2568</v>
      </c>
      <c r="D52">
        <v>1421</v>
      </c>
      <c r="E52">
        <v>0.55334890965732086</v>
      </c>
      <c r="F52">
        <v>3989</v>
      </c>
      <c r="G52">
        <v>2</v>
      </c>
      <c r="H52" t="s">
        <v>55</v>
      </c>
      <c r="I52" t="s">
        <v>108</v>
      </c>
      <c r="J52">
        <v>1.0213239875389408</v>
      </c>
      <c r="K52">
        <v>1.0645115516014287</v>
      </c>
      <c r="L52">
        <v>4.05703103902606E-2</v>
      </c>
      <c r="M52">
        <v>-0.13058291359221394</v>
      </c>
      <c r="N52">
        <v>-8.4458319296989812E-2</v>
      </c>
      <c r="O52" s="2">
        <v>4.6124594295224128E-2</v>
      </c>
      <c r="P52" s="4" t="s">
        <v>1195</v>
      </c>
      <c r="Q52">
        <v>0.95942969</v>
      </c>
      <c r="R52" s="4" t="s">
        <v>1195</v>
      </c>
    </row>
    <row r="53" spans="1:18" x14ac:dyDescent="0.2">
      <c r="A53">
        <v>15</v>
      </c>
      <c r="B53" t="s">
        <v>71</v>
      </c>
      <c r="C53">
        <v>2681</v>
      </c>
      <c r="D53">
        <v>1743</v>
      </c>
      <c r="E53">
        <v>0.65013054830287209</v>
      </c>
      <c r="F53">
        <v>4424</v>
      </c>
      <c r="G53">
        <v>2</v>
      </c>
      <c r="H53" t="s">
        <v>55</v>
      </c>
      <c r="I53" t="s">
        <v>96</v>
      </c>
      <c r="J53">
        <v>1.1999552405818723</v>
      </c>
      <c r="K53">
        <v>1.9027019296839209</v>
      </c>
      <c r="L53">
        <v>0.36934144972396687</v>
      </c>
      <c r="M53">
        <v>-0.22505265750895553</v>
      </c>
      <c r="N53">
        <v>0.16714442808983143</v>
      </c>
      <c r="O53" s="2">
        <v>0.39219708559878697</v>
      </c>
      <c r="P53" s="4" t="s">
        <v>1195</v>
      </c>
      <c r="Q53">
        <v>0.63065855000000004</v>
      </c>
      <c r="R53" s="4" t="s">
        <v>1215</v>
      </c>
    </row>
    <row r="54" spans="1:18" x14ac:dyDescent="0.2">
      <c r="A54">
        <v>11</v>
      </c>
      <c r="B54" t="s">
        <v>73</v>
      </c>
      <c r="C54">
        <v>2232</v>
      </c>
      <c r="D54">
        <v>751</v>
      </c>
      <c r="E54">
        <v>0.33646953405017921</v>
      </c>
      <c r="F54">
        <v>2983</v>
      </c>
      <c r="G54">
        <v>2</v>
      </c>
      <c r="H54" t="s">
        <v>55</v>
      </c>
      <c r="I54" t="s">
        <v>110</v>
      </c>
      <c r="J54">
        <v>0.62102662570404499</v>
      </c>
      <c r="K54">
        <v>0.70894738765465604</v>
      </c>
      <c r="L54">
        <v>0.12401591920871735</v>
      </c>
      <c r="M54">
        <v>-0.10351290636130146</v>
      </c>
      <c r="N54">
        <v>-7.5727933521878052E-2</v>
      </c>
      <c r="O54" s="2">
        <v>2.7784972839423411E-2</v>
      </c>
      <c r="P54" s="4" t="s">
        <v>1195</v>
      </c>
      <c r="Q54">
        <v>0.87598408100000003</v>
      </c>
      <c r="R54" s="4" t="s">
        <v>1195</v>
      </c>
    </row>
    <row r="55" spans="1:18" x14ac:dyDescent="0.2">
      <c r="A55">
        <v>17</v>
      </c>
      <c r="B55" t="s">
        <v>75</v>
      </c>
      <c r="C55">
        <v>2284</v>
      </c>
      <c r="D55">
        <v>1395</v>
      </c>
      <c r="E55">
        <v>0.61077057793345013</v>
      </c>
      <c r="F55">
        <v>3679</v>
      </c>
      <c r="G55">
        <v>2</v>
      </c>
      <c r="H55" t="s">
        <v>42</v>
      </c>
      <c r="I55" t="s">
        <v>111</v>
      </c>
      <c r="J55">
        <v>1.1273079809857394</v>
      </c>
      <c r="K55">
        <v>1.1733634100839034</v>
      </c>
      <c r="L55">
        <v>3.9250780024639442E-2</v>
      </c>
      <c r="M55">
        <v>0.35112147181952708</v>
      </c>
      <c r="N55">
        <v>-0.80373484218755598</v>
      </c>
      <c r="O55" s="2">
        <v>-1.1548563140070831</v>
      </c>
      <c r="P55" s="4" t="s">
        <v>1195</v>
      </c>
      <c r="Q55">
        <v>0.96074921999999996</v>
      </c>
      <c r="R55" s="4" t="s">
        <v>1195</v>
      </c>
    </row>
    <row r="56" spans="1:18" x14ac:dyDescent="0.2">
      <c r="A56">
        <v>16</v>
      </c>
      <c r="B56" t="s">
        <v>76</v>
      </c>
      <c r="C56">
        <v>2803</v>
      </c>
      <c r="D56">
        <v>1182</v>
      </c>
      <c r="E56">
        <v>0.42169104530859791</v>
      </c>
      <c r="F56">
        <v>3985</v>
      </c>
      <c r="G56">
        <v>2</v>
      </c>
      <c r="H56" t="s">
        <v>55</v>
      </c>
      <c r="I56" t="s">
        <v>98</v>
      </c>
      <c r="J56">
        <v>0.77832118648386928</v>
      </c>
      <c r="K56">
        <v>1.0601880917120643</v>
      </c>
      <c r="L56">
        <v>0.26586499832592636</v>
      </c>
      <c r="M56">
        <v>-8.3970007800214769E-2</v>
      </c>
      <c r="N56">
        <v>-2.698172011214495E-2</v>
      </c>
      <c r="O56" s="2">
        <v>5.6988287688069822E-2</v>
      </c>
      <c r="P56" s="4" t="s">
        <v>1195</v>
      </c>
      <c r="Q56">
        <v>0.73413500200000004</v>
      </c>
      <c r="R56" s="4" t="s">
        <v>1195</v>
      </c>
    </row>
    <row r="57" spans="1:18" x14ac:dyDescent="0.2">
      <c r="A57">
        <v>18</v>
      </c>
      <c r="B57" t="s">
        <v>3</v>
      </c>
      <c r="C57">
        <v>1867</v>
      </c>
      <c r="D57">
        <v>2075</v>
      </c>
      <c r="E57">
        <v>1.1114086770219604</v>
      </c>
      <c r="F57">
        <v>3942</v>
      </c>
      <c r="G57">
        <v>2</v>
      </c>
      <c r="H57" t="s">
        <v>55</v>
      </c>
      <c r="I57" t="s">
        <v>99</v>
      </c>
      <c r="J57">
        <v>2.0513428724462468</v>
      </c>
      <c r="K57">
        <v>4.1748410376067859</v>
      </c>
      <c r="L57">
        <v>0.50864168145137989</v>
      </c>
      <c r="M57">
        <v>-6.5394009426416539E-3</v>
      </c>
      <c r="N57">
        <v>-0.32634995380030513</v>
      </c>
      <c r="O57" s="2">
        <v>-0.31981055285766347</v>
      </c>
      <c r="P57" s="4" t="s">
        <v>1215</v>
      </c>
      <c r="Q57">
        <v>0.49135831899999999</v>
      </c>
      <c r="R57" s="4" t="s">
        <v>1215</v>
      </c>
    </row>
    <row r="58" spans="1:18" x14ac:dyDescent="0.2">
      <c r="A58">
        <v>12</v>
      </c>
      <c r="B58" t="s">
        <v>78</v>
      </c>
      <c r="C58">
        <v>2517</v>
      </c>
      <c r="D58">
        <v>1195</v>
      </c>
      <c r="E58">
        <v>0.47477155343663091</v>
      </c>
      <c r="F58">
        <v>3712</v>
      </c>
      <c r="G58">
        <v>2</v>
      </c>
      <c r="H58" t="s">
        <v>55</v>
      </c>
      <c r="I58" t="s">
        <v>112</v>
      </c>
      <c r="J58">
        <v>0.87629263862875295</v>
      </c>
      <c r="K58">
        <v>0.83033057503208496</v>
      </c>
      <c r="L58">
        <v>-5.5353933696699054E-2</v>
      </c>
      <c r="M58">
        <v>-8.8208727384878616E-2</v>
      </c>
      <c r="N58">
        <v>-0.18262989908430777</v>
      </c>
      <c r="O58" s="2">
        <v>-9.4421171699429152E-2</v>
      </c>
      <c r="P58" s="4" t="s">
        <v>1195</v>
      </c>
      <c r="Q58">
        <v>1.055353934</v>
      </c>
      <c r="R58" s="4" t="s">
        <v>1195</v>
      </c>
    </row>
    <row r="59" spans="1:18" x14ac:dyDescent="0.2">
      <c r="A59">
        <v>46</v>
      </c>
      <c r="B59" t="s">
        <v>82</v>
      </c>
      <c r="C59">
        <v>1652</v>
      </c>
      <c r="D59">
        <v>1868</v>
      </c>
      <c r="E59">
        <v>1.1307506053268765</v>
      </c>
      <c r="F59">
        <v>3520</v>
      </c>
      <c r="G59">
        <v>2</v>
      </c>
      <c r="H59" t="s">
        <v>41</v>
      </c>
      <c r="I59" t="s">
        <v>105</v>
      </c>
      <c r="J59">
        <v>2.087042545831892</v>
      </c>
      <c r="K59">
        <v>4.3275453830073811</v>
      </c>
      <c r="L59">
        <v>0.51773063916858941</v>
      </c>
      <c r="M59">
        <v>0.46826026872640208</v>
      </c>
      <c r="N59">
        <v>-0.131704903217428</v>
      </c>
      <c r="O59" s="2">
        <v>-0.59996517194383014</v>
      </c>
      <c r="P59" s="4" t="s">
        <v>1195</v>
      </c>
      <c r="Q59">
        <v>0.48226936100000001</v>
      </c>
      <c r="R59" s="4" t="s">
        <v>1195</v>
      </c>
    </row>
    <row r="60" spans="1:18" x14ac:dyDescent="0.2">
      <c r="A60">
        <v>44</v>
      </c>
      <c r="B60" t="s">
        <v>83</v>
      </c>
      <c r="C60">
        <v>2320</v>
      </c>
      <c r="D60">
        <v>1542</v>
      </c>
      <c r="E60">
        <v>0.66465517241379313</v>
      </c>
      <c r="F60">
        <v>3862</v>
      </c>
      <c r="G60">
        <v>2</v>
      </c>
      <c r="H60" t="s">
        <v>41</v>
      </c>
      <c r="I60" t="s">
        <v>104</v>
      </c>
      <c r="J60">
        <v>1.2267635467980296</v>
      </c>
      <c r="K60">
        <v>1.0989668924108338</v>
      </c>
      <c r="L60">
        <v>-0.11628799308671134</v>
      </c>
      <c r="M60">
        <v>-0.18980849164190419</v>
      </c>
      <c r="N60">
        <v>0.25883659022907984</v>
      </c>
      <c r="O60" s="2">
        <v>0.44864508187098406</v>
      </c>
      <c r="P60" s="4" t="s">
        <v>1195</v>
      </c>
      <c r="Q60">
        <v>1.116287993</v>
      </c>
      <c r="R60" s="4" t="s">
        <v>1195</v>
      </c>
    </row>
    <row r="61" spans="1:18" x14ac:dyDescent="0.2">
      <c r="A61">
        <v>45</v>
      </c>
      <c r="B61" t="s">
        <v>84</v>
      </c>
      <c r="C61">
        <v>1404</v>
      </c>
      <c r="D61">
        <v>2518</v>
      </c>
      <c r="E61">
        <v>1.7934472934472934</v>
      </c>
      <c r="F61">
        <v>3922</v>
      </c>
      <c r="G61">
        <v>2</v>
      </c>
      <c r="H61" t="s">
        <v>41</v>
      </c>
      <c r="I61" t="s">
        <v>106</v>
      </c>
      <c r="J61">
        <v>3.3101912901912898</v>
      </c>
      <c r="K61">
        <v>3.9101373385078335</v>
      </c>
      <c r="L61">
        <v>0.15343349769537562</v>
      </c>
      <c r="M61">
        <v>-4.4562694721706722E-2</v>
      </c>
      <c r="N61">
        <v>-0.28564958541721813</v>
      </c>
      <c r="O61" s="2">
        <v>-0.24108689069551142</v>
      </c>
      <c r="P61" s="4" t="s">
        <v>1215</v>
      </c>
      <c r="Q61">
        <v>0.84656650200000005</v>
      </c>
      <c r="R61" s="4" t="s">
        <v>1215</v>
      </c>
    </row>
    <row r="62" spans="1:18" x14ac:dyDescent="0.2">
      <c r="A62">
        <v>27</v>
      </c>
      <c r="B62" t="s">
        <v>85</v>
      </c>
      <c r="C62">
        <v>3036</v>
      </c>
      <c r="D62">
        <v>1477</v>
      </c>
      <c r="E62">
        <v>0.4864953886693017</v>
      </c>
      <c r="F62">
        <v>4513</v>
      </c>
      <c r="G62">
        <v>2</v>
      </c>
      <c r="H62" t="s">
        <v>55</v>
      </c>
      <c r="I62" t="s">
        <v>109</v>
      </c>
      <c r="J62">
        <v>0.89793148880105389</v>
      </c>
      <c r="K62">
        <v>0.78085528626852818</v>
      </c>
      <c r="L62">
        <v>-0.14993329057423366</v>
      </c>
      <c r="M62">
        <v>-8.9210612071195364E-2</v>
      </c>
      <c r="N62">
        <v>-1</v>
      </c>
      <c r="O62" s="2">
        <v>-0.91078938792880459</v>
      </c>
      <c r="P62" s="4" t="s">
        <v>1215</v>
      </c>
      <c r="Q62">
        <v>1.149933291</v>
      </c>
      <c r="R62" s="4" t="s">
        <v>1215</v>
      </c>
    </row>
    <row r="63" spans="1:18" x14ac:dyDescent="0.2">
      <c r="A63">
        <v>28</v>
      </c>
      <c r="B63" t="s">
        <v>4</v>
      </c>
      <c r="C63">
        <v>2170</v>
      </c>
      <c r="D63">
        <v>2570</v>
      </c>
      <c r="E63">
        <v>1.1843317972350231</v>
      </c>
      <c r="F63">
        <v>4740</v>
      </c>
      <c r="G63">
        <v>2</v>
      </c>
      <c r="H63" t="s">
        <v>55</v>
      </c>
      <c r="I63" t="s">
        <v>111</v>
      </c>
      <c r="J63">
        <v>2.1859381171823569</v>
      </c>
      <c r="K63">
        <v>1.3956963245273486</v>
      </c>
      <c r="L63">
        <v>-0.56619894941875915</v>
      </c>
      <c r="M63">
        <v>-4.9916372505877396E-2</v>
      </c>
      <c r="N63">
        <v>-1</v>
      </c>
      <c r="O63" s="2">
        <v>-0.95008362749412256</v>
      </c>
      <c r="P63" s="4" t="s">
        <v>1215</v>
      </c>
      <c r="Q63">
        <v>1.5661989489999999</v>
      </c>
      <c r="R63" s="4" t="s">
        <v>1215</v>
      </c>
    </row>
    <row r="64" spans="1:18" x14ac:dyDescent="0.2">
      <c r="A64">
        <v>30</v>
      </c>
      <c r="B64" t="s">
        <v>86</v>
      </c>
      <c r="C64">
        <v>2630</v>
      </c>
      <c r="D64">
        <v>1553</v>
      </c>
      <c r="E64">
        <v>0.59049429657794672</v>
      </c>
      <c r="F64">
        <v>4183</v>
      </c>
      <c r="G64">
        <v>2</v>
      </c>
      <c r="H64" t="s">
        <v>55</v>
      </c>
      <c r="I64" t="s">
        <v>103</v>
      </c>
      <c r="J64">
        <v>1.0898837588267245</v>
      </c>
      <c r="K64">
        <v>0.86070181211254149</v>
      </c>
      <c r="L64">
        <v>-0.26627334053319762</v>
      </c>
      <c r="M64">
        <v>-0.38043491403219398</v>
      </c>
      <c r="N64">
        <v>0.20987047226815617</v>
      </c>
      <c r="O64" s="2">
        <v>0.59030538630035012</v>
      </c>
      <c r="P64" s="4" t="s">
        <v>1195</v>
      </c>
      <c r="Q64">
        <v>1.266273341</v>
      </c>
      <c r="R64" s="4" t="s">
        <v>1215</v>
      </c>
    </row>
    <row r="65" spans="1:18" x14ac:dyDescent="0.2">
      <c r="A65">
        <v>29</v>
      </c>
      <c r="B65" t="s">
        <v>88</v>
      </c>
      <c r="C65">
        <v>3215</v>
      </c>
      <c r="D65">
        <v>922</v>
      </c>
      <c r="E65">
        <v>0.28678071539657851</v>
      </c>
      <c r="F65">
        <v>4137</v>
      </c>
      <c r="G65">
        <v>2</v>
      </c>
      <c r="H65" t="s">
        <v>55</v>
      </c>
      <c r="I65" t="s">
        <v>115</v>
      </c>
      <c r="J65">
        <v>0.5293152632748277</v>
      </c>
      <c r="K65">
        <v>0.77768388197094085</v>
      </c>
      <c r="L65">
        <v>0.31936963649890038</v>
      </c>
      <c r="M65">
        <v>-4.8560432908318116E-2</v>
      </c>
      <c r="N65">
        <v>-8.8711805971965152E-2</v>
      </c>
      <c r="O65" s="2">
        <v>-4.0151373063647036E-2</v>
      </c>
      <c r="P65" s="4" t="s">
        <v>1195</v>
      </c>
      <c r="Q65">
        <v>0.68063036399999999</v>
      </c>
      <c r="R65" s="4" t="s">
        <v>1195</v>
      </c>
    </row>
    <row r="66" spans="1:18" x14ac:dyDescent="0.2">
      <c r="A66">
        <v>31</v>
      </c>
      <c r="B66" t="s">
        <v>90</v>
      </c>
      <c r="C66">
        <v>1351</v>
      </c>
      <c r="D66">
        <v>2786</v>
      </c>
      <c r="E66">
        <v>2.062176165803109</v>
      </c>
      <c r="F66">
        <v>4137</v>
      </c>
      <c r="G66">
        <v>2</v>
      </c>
      <c r="H66" t="s">
        <v>41</v>
      </c>
      <c r="I66" t="s">
        <v>116</v>
      </c>
      <c r="J66">
        <v>3.8061880088823097</v>
      </c>
      <c r="K66">
        <v>3.0623873349630175</v>
      </c>
      <c r="L66">
        <v>-0.2428826247507565</v>
      </c>
      <c r="M66">
        <v>-0.17347490351079167</v>
      </c>
      <c r="N66">
        <v>-0.62674538965505644</v>
      </c>
      <c r="O66" s="2">
        <v>-0.45327048614426479</v>
      </c>
      <c r="P66" s="4" t="s">
        <v>1215</v>
      </c>
      <c r="Q66">
        <v>1.242882625</v>
      </c>
      <c r="R66" s="4" t="s">
        <v>1215</v>
      </c>
    </row>
    <row r="67" spans="1:18" x14ac:dyDescent="0.2">
      <c r="A67">
        <v>26</v>
      </c>
      <c r="B67" t="s">
        <v>2</v>
      </c>
      <c r="C67">
        <v>1749</v>
      </c>
      <c r="D67">
        <v>4199</v>
      </c>
      <c r="E67">
        <v>2.4008004574042312</v>
      </c>
      <c r="F67">
        <v>5948</v>
      </c>
      <c r="G67">
        <v>2</v>
      </c>
      <c r="H67" t="s">
        <v>55</v>
      </c>
      <c r="I67" t="s">
        <v>114</v>
      </c>
      <c r="J67">
        <v>4.4311917013803805</v>
      </c>
      <c r="K67">
        <v>0.69376607649628097</v>
      </c>
      <c r="L67">
        <v>-5.3871553416955438</v>
      </c>
      <c r="M67">
        <v>0.44941026733338763</v>
      </c>
      <c r="N67">
        <v>-0.48700884491339397</v>
      </c>
      <c r="O67" s="2">
        <v>-0.93641911224678154</v>
      </c>
      <c r="P67" s="4" t="s">
        <v>1215</v>
      </c>
      <c r="Q67">
        <v>6.3871553419999998</v>
      </c>
      <c r="R67" s="4" t="s">
        <v>1215</v>
      </c>
    </row>
    <row r="68" spans="1:18" x14ac:dyDescent="0.2">
      <c r="A68">
        <v>32</v>
      </c>
      <c r="B68" t="s">
        <v>21</v>
      </c>
      <c r="C68">
        <v>2232</v>
      </c>
      <c r="D68">
        <v>3208</v>
      </c>
      <c r="E68">
        <v>1.4372759856630823</v>
      </c>
      <c r="F68">
        <v>5440</v>
      </c>
      <c r="G68">
        <v>2</v>
      </c>
      <c r="H68" t="s">
        <v>41</v>
      </c>
      <c r="I68" t="s">
        <v>117</v>
      </c>
      <c r="J68">
        <v>2.6528008192524317</v>
      </c>
      <c r="K68">
        <v>0.88943129970970192</v>
      </c>
      <c r="L68">
        <v>-1.9825809144767779</v>
      </c>
      <c r="M68">
        <v>4.9568033047034006E-2</v>
      </c>
      <c r="N68">
        <v>-0.26753264245904396</v>
      </c>
      <c r="O68" s="2">
        <v>-0.31710067550607796</v>
      </c>
      <c r="P68" s="4" t="s">
        <v>1215</v>
      </c>
      <c r="Q68">
        <v>2.9825809140000001</v>
      </c>
      <c r="R68" s="4" t="s">
        <v>1215</v>
      </c>
    </row>
    <row r="69" spans="1:18" x14ac:dyDescent="0.2">
      <c r="A69">
        <v>33</v>
      </c>
      <c r="B69" t="s">
        <v>92</v>
      </c>
      <c r="C69">
        <v>1197</v>
      </c>
      <c r="D69">
        <v>6146</v>
      </c>
      <c r="E69">
        <v>5.1345029239766085</v>
      </c>
      <c r="F69">
        <v>7343</v>
      </c>
      <c r="G69">
        <v>2</v>
      </c>
      <c r="H69" t="s">
        <v>41</v>
      </c>
      <c r="I69" t="s">
        <v>110</v>
      </c>
      <c r="J69">
        <v>9.4768253968253973</v>
      </c>
      <c r="K69">
        <v>1.589764477175502</v>
      </c>
      <c r="L69">
        <v>-4.9611505558752045</v>
      </c>
      <c r="M69">
        <v>0.12298055990305364</v>
      </c>
      <c r="N69">
        <v>0.30809232775922274</v>
      </c>
      <c r="O69" s="2">
        <v>0.18511176785616912</v>
      </c>
      <c r="P69" s="4" t="s">
        <v>1195</v>
      </c>
      <c r="Q69">
        <v>5.9611505559999998</v>
      </c>
      <c r="R69" s="4" t="s">
        <v>1195</v>
      </c>
    </row>
    <row r="70" spans="1:18" x14ac:dyDescent="0.2">
      <c r="A70">
        <v>35</v>
      </c>
      <c r="B70" t="s">
        <v>93</v>
      </c>
      <c r="C70">
        <v>2303</v>
      </c>
      <c r="D70">
        <v>1845</v>
      </c>
      <c r="E70">
        <v>0.80112896222318719</v>
      </c>
      <c r="F70">
        <v>4148</v>
      </c>
      <c r="G70">
        <v>2</v>
      </c>
      <c r="H70" t="s">
        <v>41</v>
      </c>
      <c r="I70" t="s">
        <v>113</v>
      </c>
      <c r="J70">
        <v>1.4786551702747968</v>
      </c>
      <c r="K70">
        <v>0.98038028924413745</v>
      </c>
      <c r="L70">
        <v>-0.50824653096078043</v>
      </c>
      <c r="M70">
        <v>-0.30273686679066325</v>
      </c>
      <c r="N70">
        <v>-0.52657527681047178</v>
      </c>
      <c r="O70" s="2">
        <v>-0.22383841001980853</v>
      </c>
      <c r="P70" s="4" t="s">
        <v>1195</v>
      </c>
      <c r="Q70">
        <v>1.5082465309999999</v>
      </c>
      <c r="R70" s="4" t="s">
        <v>1215</v>
      </c>
    </row>
    <row r="71" spans="1:18" x14ac:dyDescent="0.2">
      <c r="A71">
        <v>34</v>
      </c>
      <c r="B71" t="s">
        <v>94</v>
      </c>
      <c r="C71">
        <v>2163</v>
      </c>
      <c r="D71">
        <v>1970</v>
      </c>
      <c r="E71">
        <v>0.91077207582061948</v>
      </c>
      <c r="F71">
        <v>4133</v>
      </c>
      <c r="G71">
        <v>2</v>
      </c>
      <c r="H71" t="s">
        <v>41</v>
      </c>
      <c r="I71" t="s">
        <v>112</v>
      </c>
      <c r="J71">
        <v>1.6810250313717718</v>
      </c>
      <c r="K71">
        <v>0.88581891941861424</v>
      </c>
      <c r="L71">
        <v>-0.89770730170797419</v>
      </c>
      <c r="M71">
        <v>-0.23093107931022799</v>
      </c>
      <c r="N71">
        <v>-0.45456261564995831</v>
      </c>
      <c r="O71" s="2">
        <v>-0.22363153633973032</v>
      </c>
      <c r="P71" s="4" t="s">
        <v>1195</v>
      </c>
      <c r="Q71">
        <v>1.8977073019999999</v>
      </c>
      <c r="R71" s="4" t="s">
        <v>1195</v>
      </c>
    </row>
    <row r="72" spans="1:18" x14ac:dyDescent="0.2">
      <c r="A72">
        <v>36</v>
      </c>
      <c r="B72" t="s">
        <v>95</v>
      </c>
      <c r="C72">
        <v>1026</v>
      </c>
      <c r="D72">
        <v>3774</v>
      </c>
      <c r="E72">
        <v>3.6783625730994154</v>
      </c>
      <c r="F72">
        <v>4800</v>
      </c>
      <c r="G72">
        <v>2</v>
      </c>
      <c r="H72" t="s">
        <v>41</v>
      </c>
      <c r="I72" t="s">
        <v>108</v>
      </c>
      <c r="J72">
        <v>6.7892063492063492</v>
      </c>
      <c r="K72">
        <v>3.4882047870442481</v>
      </c>
      <c r="L72">
        <v>-0.94633250158435378</v>
      </c>
      <c r="M72">
        <v>0.34208157698228808</v>
      </c>
      <c r="N72">
        <v>5.7420351794598416E-2</v>
      </c>
      <c r="O72" s="2">
        <v>-0.28466122518768966</v>
      </c>
      <c r="P72" s="4" t="s">
        <v>1195</v>
      </c>
      <c r="Q72">
        <v>1.946332502</v>
      </c>
      <c r="R72" s="4" t="s">
        <v>1195</v>
      </c>
    </row>
    <row r="73" spans="1:18" x14ac:dyDescent="0.2">
      <c r="A73">
        <v>37</v>
      </c>
      <c r="B73" t="s">
        <v>40</v>
      </c>
      <c r="C73">
        <v>2513</v>
      </c>
      <c r="D73">
        <v>1372</v>
      </c>
      <c r="E73">
        <v>0.54596100278551529</v>
      </c>
      <c r="F73">
        <v>3885</v>
      </c>
      <c r="G73">
        <v>3</v>
      </c>
      <c r="H73" t="s">
        <v>42</v>
      </c>
      <c r="I73" t="s">
        <v>96</v>
      </c>
      <c r="J73">
        <v>1.2651552013915823</v>
      </c>
      <c r="K73">
        <v>1.7238603912518566</v>
      </c>
      <c r="L73">
        <v>0.26609184374099193</v>
      </c>
      <c r="M73">
        <v>0.10917193029954129</v>
      </c>
      <c r="N73">
        <v>-8.793004227934581E-2</v>
      </c>
      <c r="O73" s="2">
        <v>-0.19710197257888712</v>
      </c>
      <c r="P73" s="4" t="s">
        <v>1215</v>
      </c>
      <c r="Q73">
        <v>0.73390815600000003</v>
      </c>
      <c r="R73" s="4" t="s">
        <v>1215</v>
      </c>
    </row>
    <row r="74" spans="1:18" x14ac:dyDescent="0.2">
      <c r="A74">
        <v>39</v>
      </c>
      <c r="B74" t="s">
        <v>44</v>
      </c>
      <c r="C74">
        <v>2106</v>
      </c>
      <c r="D74">
        <v>1576</v>
      </c>
      <c r="E74">
        <v>0.74833808167141502</v>
      </c>
      <c r="F74">
        <v>3682</v>
      </c>
      <c r="G74">
        <v>3</v>
      </c>
      <c r="H74" t="s">
        <v>42</v>
      </c>
      <c r="I74" t="s">
        <v>97</v>
      </c>
      <c r="J74">
        <v>1.7341235209027051</v>
      </c>
      <c r="K74">
        <v>1.4383015308853255</v>
      </c>
      <c r="L74">
        <v>-0.20567452906435446</v>
      </c>
      <c r="M74">
        <v>3.1649674284086125E-2</v>
      </c>
      <c r="N74">
        <v>-0.45814778576185483</v>
      </c>
      <c r="O74" s="2">
        <v>-0.48979746004594094</v>
      </c>
      <c r="P74" s="4" t="s">
        <v>1195</v>
      </c>
      <c r="Q74">
        <v>1.2056745289999999</v>
      </c>
      <c r="R74" s="4" t="s">
        <v>1195</v>
      </c>
    </row>
    <row r="75" spans="1:18" x14ac:dyDescent="0.2">
      <c r="A75">
        <v>38</v>
      </c>
      <c r="B75" t="s">
        <v>46</v>
      </c>
      <c r="C75">
        <v>2978</v>
      </c>
      <c r="D75">
        <v>854</v>
      </c>
      <c r="E75">
        <v>0.2867696440564137</v>
      </c>
      <c r="F75">
        <v>3832</v>
      </c>
      <c r="G75">
        <v>3</v>
      </c>
      <c r="H75" t="s">
        <v>42</v>
      </c>
      <c r="I75" t="s">
        <v>98</v>
      </c>
      <c r="J75">
        <v>0.6645311751720776</v>
      </c>
      <c r="K75">
        <v>0.83125874755859464</v>
      </c>
      <c r="L75">
        <v>0.20057241247228441</v>
      </c>
      <c r="M75">
        <v>1.2136722633022356E-2</v>
      </c>
      <c r="N75">
        <v>-0.37019506537985125</v>
      </c>
      <c r="O75" s="2">
        <v>-0.3823317880128736</v>
      </c>
      <c r="P75" s="4" t="s">
        <v>1195</v>
      </c>
      <c r="Q75">
        <v>0.79942758800000002</v>
      </c>
      <c r="R75" s="4" t="s">
        <v>1195</v>
      </c>
    </row>
    <row r="76" spans="1:18" x14ac:dyDescent="0.2">
      <c r="A76">
        <v>40</v>
      </c>
      <c r="B76" t="s">
        <v>10</v>
      </c>
      <c r="C76">
        <v>1963</v>
      </c>
      <c r="D76">
        <v>1646</v>
      </c>
      <c r="E76">
        <v>0.83851248089658681</v>
      </c>
      <c r="F76">
        <v>3609</v>
      </c>
      <c r="G76">
        <v>3</v>
      </c>
      <c r="H76" t="s">
        <v>42</v>
      </c>
      <c r="I76" t="s">
        <v>99</v>
      </c>
      <c r="J76">
        <v>1.9430846181789261</v>
      </c>
      <c r="K76">
        <v>4.2115987175877478</v>
      </c>
      <c r="L76">
        <v>0.53863491076095327</v>
      </c>
      <c r="M76">
        <v>1.8003126505107707E-2</v>
      </c>
      <c r="N76">
        <v>-0.37870420211864841</v>
      </c>
      <c r="O76" s="2">
        <v>-0.39670732862375613</v>
      </c>
      <c r="P76" s="4" t="s">
        <v>1215</v>
      </c>
      <c r="Q76">
        <v>0.46136508900000001</v>
      </c>
      <c r="R76" s="4" t="s">
        <v>1215</v>
      </c>
    </row>
    <row r="77" spans="1:18" x14ac:dyDescent="0.2">
      <c r="A77">
        <v>42</v>
      </c>
      <c r="B77" t="s">
        <v>49</v>
      </c>
      <c r="C77">
        <v>1896</v>
      </c>
      <c r="D77">
        <v>2819</v>
      </c>
      <c r="E77">
        <v>1.4868143459915613</v>
      </c>
      <c r="F77">
        <v>4715</v>
      </c>
      <c r="G77">
        <v>3</v>
      </c>
      <c r="H77" t="s">
        <v>42</v>
      </c>
      <c r="I77" t="s">
        <v>100</v>
      </c>
      <c r="J77">
        <v>3.4453942566184197</v>
      </c>
      <c r="K77">
        <v>2.2807291157420995</v>
      </c>
      <c r="L77">
        <v>-0.51065474318609017</v>
      </c>
      <c r="M77">
        <v>-0.2888904141606688</v>
      </c>
      <c r="N77">
        <v>0.14271580640773973</v>
      </c>
      <c r="O77" s="2">
        <v>0.43160622056840853</v>
      </c>
      <c r="P77" s="4" t="s">
        <v>1195</v>
      </c>
      <c r="Q77">
        <v>1.5106547429999999</v>
      </c>
      <c r="R77" s="4" t="s">
        <v>1195</v>
      </c>
    </row>
    <row r="78" spans="1:18" x14ac:dyDescent="0.2">
      <c r="A78">
        <v>41</v>
      </c>
      <c r="B78" t="s">
        <v>11</v>
      </c>
      <c r="C78">
        <v>2352</v>
      </c>
      <c r="D78">
        <v>1396</v>
      </c>
      <c r="E78">
        <v>0.59353741496598644</v>
      </c>
      <c r="F78">
        <v>3748</v>
      </c>
      <c r="G78">
        <v>3</v>
      </c>
      <c r="H78" t="s">
        <v>42</v>
      </c>
      <c r="I78" t="s">
        <v>101</v>
      </c>
      <c r="J78">
        <v>1.3754040012629525</v>
      </c>
      <c r="K78">
        <v>1.31813530581812</v>
      </c>
      <c r="L78">
        <v>-4.3446750263083089E-2</v>
      </c>
      <c r="M78">
        <v>3.3097344826477804E-2</v>
      </c>
      <c r="N78">
        <v>-0.63705074466268319</v>
      </c>
      <c r="O78" s="2">
        <v>-0.67014808948916094</v>
      </c>
      <c r="P78" s="4" t="s">
        <v>1215</v>
      </c>
      <c r="Q78">
        <v>1.04344675</v>
      </c>
      <c r="R78" s="4" t="s">
        <v>1215</v>
      </c>
    </row>
    <row r="79" spans="1:18" x14ac:dyDescent="0.2">
      <c r="A79">
        <v>43</v>
      </c>
      <c r="B79" t="s">
        <v>52</v>
      </c>
      <c r="C79">
        <v>1368</v>
      </c>
      <c r="D79">
        <v>2953</v>
      </c>
      <c r="E79">
        <v>2.1586257309941521</v>
      </c>
      <c r="F79">
        <v>4321</v>
      </c>
      <c r="G79">
        <v>3</v>
      </c>
      <c r="H79" t="s">
        <v>42</v>
      </c>
      <c r="I79" t="s">
        <v>102</v>
      </c>
      <c r="J79">
        <v>5.0021824956202039</v>
      </c>
      <c r="K79">
        <v>6.6783741884164796</v>
      </c>
      <c r="L79">
        <v>0.25098798682224188</v>
      </c>
      <c r="M79">
        <v>-4.9896575769925684E-2</v>
      </c>
      <c r="N79">
        <v>0.24543838768897588</v>
      </c>
      <c r="O79" s="2">
        <v>0.29533496345890159</v>
      </c>
      <c r="P79" s="4" t="s">
        <v>1195</v>
      </c>
      <c r="Q79">
        <v>0.74901201299999998</v>
      </c>
      <c r="R79" s="4" t="s">
        <v>1195</v>
      </c>
    </row>
    <row r="80" spans="1:18" x14ac:dyDescent="0.2">
      <c r="A80">
        <v>21</v>
      </c>
      <c r="B80" t="s">
        <v>54</v>
      </c>
      <c r="C80">
        <v>2657</v>
      </c>
      <c r="D80">
        <v>880</v>
      </c>
      <c r="E80">
        <v>0.33120060218291308</v>
      </c>
      <c r="F80">
        <v>3537</v>
      </c>
      <c r="G80">
        <v>3</v>
      </c>
      <c r="H80" t="s">
        <v>56</v>
      </c>
      <c r="I80" t="s">
        <v>102</v>
      </c>
      <c r="J80">
        <v>0.7674910156913749</v>
      </c>
      <c r="K80">
        <v>0.81177647804598141</v>
      </c>
      <c r="L80">
        <v>5.4553763939065525E-2</v>
      </c>
      <c r="M80">
        <v>-1.803297897929429E-2</v>
      </c>
      <c r="N80">
        <v>-0.92094102594730565</v>
      </c>
      <c r="O80" s="2">
        <v>-0.9029080469680113</v>
      </c>
      <c r="P80" s="4" t="s">
        <v>1195</v>
      </c>
      <c r="Q80">
        <v>0.945446236</v>
      </c>
      <c r="R80" s="4" t="s">
        <v>1195</v>
      </c>
    </row>
    <row r="81" spans="1:18" x14ac:dyDescent="0.2">
      <c r="A81">
        <v>22</v>
      </c>
      <c r="B81" t="s">
        <v>58</v>
      </c>
      <c r="C81">
        <v>1765</v>
      </c>
      <c r="D81">
        <v>1000</v>
      </c>
      <c r="E81">
        <v>0.56657223796033995</v>
      </c>
      <c r="F81">
        <v>2765</v>
      </c>
      <c r="G81">
        <v>3</v>
      </c>
      <c r="H81" t="s">
        <v>56</v>
      </c>
      <c r="I81" t="s">
        <v>104</v>
      </c>
      <c r="J81">
        <v>1.3129176079654796</v>
      </c>
      <c r="K81">
        <v>1.2872420762942656</v>
      </c>
      <c r="L81">
        <v>-1.9946156316711816E-2</v>
      </c>
      <c r="M81">
        <v>-7.144092737699316E-2</v>
      </c>
      <c r="N81">
        <v>-0.27636702077828873</v>
      </c>
      <c r="O81" s="2">
        <v>-0.20492609340129558</v>
      </c>
      <c r="P81" s="4" t="s">
        <v>1215</v>
      </c>
      <c r="Q81">
        <v>1.019946156</v>
      </c>
      <c r="R81" s="4" t="s">
        <v>1215</v>
      </c>
    </row>
    <row r="82" spans="1:18" x14ac:dyDescent="0.2">
      <c r="A82">
        <v>24</v>
      </c>
      <c r="B82" t="s">
        <v>61</v>
      </c>
      <c r="C82">
        <v>2843</v>
      </c>
      <c r="D82">
        <v>664</v>
      </c>
      <c r="E82">
        <v>0.23355610270840663</v>
      </c>
      <c r="F82">
        <v>3507</v>
      </c>
      <c r="G82">
        <v>3</v>
      </c>
      <c r="H82" t="s">
        <v>56</v>
      </c>
      <c r="I82" t="s">
        <v>105</v>
      </c>
      <c r="J82">
        <v>0.54121945825931184</v>
      </c>
      <c r="K82">
        <v>1.0740093909864368</v>
      </c>
      <c r="L82">
        <v>0.49607567419664522</v>
      </c>
      <c r="M82">
        <v>-0.15280557599496938</v>
      </c>
      <c r="N82">
        <v>-0.57826173082388221</v>
      </c>
      <c r="O82" s="2">
        <v>-0.42545615482891286</v>
      </c>
      <c r="P82" s="4" t="s">
        <v>1195</v>
      </c>
      <c r="Q82">
        <v>0.50392432600000003</v>
      </c>
      <c r="R82" s="4" t="s">
        <v>1195</v>
      </c>
    </row>
    <row r="83" spans="1:18" x14ac:dyDescent="0.2">
      <c r="A83">
        <v>23</v>
      </c>
      <c r="B83" t="s">
        <v>62</v>
      </c>
      <c r="C83">
        <v>2716</v>
      </c>
      <c r="D83">
        <v>576</v>
      </c>
      <c r="E83">
        <v>0.21207658321060383</v>
      </c>
      <c r="F83">
        <v>3292</v>
      </c>
      <c r="G83">
        <v>3</v>
      </c>
      <c r="H83" t="s">
        <v>56</v>
      </c>
      <c r="I83" t="s">
        <v>106</v>
      </c>
      <c r="J83">
        <v>0.49144497679014187</v>
      </c>
      <c r="K83">
        <v>0.62071803585442675</v>
      </c>
      <c r="L83">
        <v>0.20826373908458895</v>
      </c>
      <c r="M83">
        <v>-1.1348890700961933E-2</v>
      </c>
      <c r="N83">
        <v>-0.56745113209607323</v>
      </c>
      <c r="O83" s="2">
        <v>-0.55610224139511133</v>
      </c>
      <c r="P83" s="4" t="s">
        <v>1195</v>
      </c>
      <c r="Q83">
        <v>0.79173626100000005</v>
      </c>
      <c r="R83" s="4" t="s">
        <v>1195</v>
      </c>
    </row>
    <row r="84" spans="1:18" x14ac:dyDescent="0.2">
      <c r="A84">
        <v>25</v>
      </c>
      <c r="B84" t="s">
        <v>65</v>
      </c>
      <c r="C84">
        <v>2004</v>
      </c>
      <c r="D84">
        <v>738</v>
      </c>
      <c r="E84">
        <v>0.36826347305389223</v>
      </c>
      <c r="F84">
        <v>2742</v>
      </c>
      <c r="G84">
        <v>3</v>
      </c>
      <c r="H84" t="s">
        <v>56</v>
      </c>
      <c r="I84" t="s">
        <v>107</v>
      </c>
      <c r="J84">
        <v>0.85337679072235273</v>
      </c>
      <c r="K84">
        <v>3.144887547308266</v>
      </c>
      <c r="L84">
        <v>0.72864632585900746</v>
      </c>
      <c r="M84">
        <v>-1.8620897649570117E-2</v>
      </c>
      <c r="N84">
        <v>-9.5717108480885049E-2</v>
      </c>
      <c r="O84" s="2">
        <v>-7.7096210831314932E-2</v>
      </c>
      <c r="P84" s="4" t="s">
        <v>1195</v>
      </c>
      <c r="Q84">
        <v>0.27135367399999999</v>
      </c>
      <c r="R84" s="4" t="s">
        <v>1195</v>
      </c>
    </row>
    <row r="85" spans="1:18" x14ac:dyDescent="0.2">
      <c r="A85">
        <v>19</v>
      </c>
      <c r="B85" t="s">
        <v>66</v>
      </c>
      <c r="C85">
        <v>1998</v>
      </c>
      <c r="D85">
        <v>682</v>
      </c>
      <c r="E85">
        <v>0.34134134134134136</v>
      </c>
      <c r="F85">
        <v>2680</v>
      </c>
      <c r="G85">
        <v>3</v>
      </c>
      <c r="H85" t="s">
        <v>56</v>
      </c>
      <c r="I85" t="s">
        <v>101</v>
      </c>
      <c r="J85">
        <v>0.79099014626440789</v>
      </c>
      <c r="K85">
        <v>0.81718286568046028</v>
      </c>
      <c r="L85">
        <v>3.2052457921082245E-2</v>
      </c>
      <c r="M85">
        <v>-8.3744320464482311E-2</v>
      </c>
      <c r="N85">
        <v>0.20203338089133821</v>
      </c>
      <c r="O85" s="2">
        <v>0.28577770135582053</v>
      </c>
      <c r="P85" s="4" t="s">
        <v>1195</v>
      </c>
      <c r="Q85">
        <v>0.96794754199999999</v>
      </c>
      <c r="R85" s="4" t="s">
        <v>1195</v>
      </c>
    </row>
    <row r="86" spans="1:18" x14ac:dyDescent="0.2">
      <c r="A86">
        <v>20</v>
      </c>
      <c r="B86" t="s">
        <v>67</v>
      </c>
      <c r="C86">
        <v>2170</v>
      </c>
      <c r="D86">
        <v>769</v>
      </c>
      <c r="E86">
        <v>0.35437788018433181</v>
      </c>
      <c r="F86">
        <v>2939</v>
      </c>
      <c r="G86">
        <v>3</v>
      </c>
      <c r="H86" t="s">
        <v>56</v>
      </c>
      <c r="I86" t="s">
        <v>100</v>
      </c>
      <c r="J86">
        <v>0.8211997122246204</v>
      </c>
      <c r="K86">
        <v>1.5584169303250841</v>
      </c>
      <c r="L86">
        <v>0.47305519065856205</v>
      </c>
      <c r="M86">
        <v>-0.34750785709684689</v>
      </c>
      <c r="N86">
        <v>-0.58706350657703776</v>
      </c>
      <c r="O86" s="2">
        <v>-0.23955564948019087</v>
      </c>
      <c r="P86" s="4" t="s">
        <v>1195</v>
      </c>
      <c r="Q86">
        <v>0.52694480899999996</v>
      </c>
      <c r="R86" s="4" t="s">
        <v>1195</v>
      </c>
    </row>
    <row r="87" spans="1:18" x14ac:dyDescent="0.2">
      <c r="A87">
        <v>14</v>
      </c>
      <c r="B87" t="s">
        <v>69</v>
      </c>
      <c r="C87">
        <v>1971</v>
      </c>
      <c r="D87">
        <v>1593</v>
      </c>
      <c r="E87">
        <v>0.80821917808219179</v>
      </c>
      <c r="F87">
        <v>3564</v>
      </c>
      <c r="G87">
        <v>3</v>
      </c>
      <c r="H87" t="s">
        <v>56</v>
      </c>
      <c r="I87" t="s">
        <v>108</v>
      </c>
      <c r="J87">
        <v>1.8728859603491128</v>
      </c>
      <c r="K87">
        <v>1.3703792258104543</v>
      </c>
      <c r="L87">
        <v>-0.36669173399171417</v>
      </c>
      <c r="M87">
        <v>-3.2609059967398761E-2</v>
      </c>
      <c r="N87">
        <v>-0.59109463105868365</v>
      </c>
      <c r="O87" s="2">
        <v>-0.55848557109128494</v>
      </c>
      <c r="P87" s="4" t="s">
        <v>1195</v>
      </c>
      <c r="Q87">
        <v>1.366691734</v>
      </c>
      <c r="R87" s="4" t="s">
        <v>1195</v>
      </c>
    </row>
    <row r="88" spans="1:18" x14ac:dyDescent="0.2">
      <c r="A88">
        <v>15</v>
      </c>
      <c r="B88" t="s">
        <v>71</v>
      </c>
      <c r="C88">
        <v>2290</v>
      </c>
      <c r="D88">
        <v>1771</v>
      </c>
      <c r="E88">
        <v>0.77336244541484711</v>
      </c>
      <c r="F88">
        <v>4061</v>
      </c>
      <c r="G88">
        <v>3</v>
      </c>
      <c r="H88" t="s">
        <v>56</v>
      </c>
      <c r="I88" t="s">
        <v>96</v>
      </c>
      <c r="J88">
        <v>1.792112468446557</v>
      </c>
      <c r="K88">
        <v>2.1730240375884096</v>
      </c>
      <c r="L88">
        <v>0.17529100578407897</v>
      </c>
      <c r="M88">
        <v>-0.18884457140656319</v>
      </c>
      <c r="N88">
        <v>-0.43420832841440754</v>
      </c>
      <c r="O88" s="2">
        <v>-0.24536375700784435</v>
      </c>
      <c r="P88" s="4" t="s">
        <v>1195</v>
      </c>
      <c r="Q88">
        <v>0.82470899399999997</v>
      </c>
      <c r="R88" s="4" t="s">
        <v>1215</v>
      </c>
    </row>
    <row r="89" spans="1:18" x14ac:dyDescent="0.2">
      <c r="A89">
        <v>11</v>
      </c>
      <c r="B89" t="s">
        <v>73</v>
      </c>
      <c r="C89">
        <v>2039</v>
      </c>
      <c r="D89">
        <v>777</v>
      </c>
      <c r="E89">
        <v>0.38106915154487492</v>
      </c>
      <c r="F89">
        <v>2816</v>
      </c>
      <c r="G89">
        <v>3</v>
      </c>
      <c r="H89" t="s">
        <v>56</v>
      </c>
      <c r="I89" t="s">
        <v>110</v>
      </c>
      <c r="J89">
        <v>0.88305138408626704</v>
      </c>
      <c r="K89">
        <v>1.023290406169008</v>
      </c>
      <c r="L89">
        <v>0.13704713856134687</v>
      </c>
      <c r="M89">
        <v>-6.9339508316176884E-2</v>
      </c>
      <c r="N89">
        <v>-0.73718626259895015</v>
      </c>
      <c r="O89" s="2">
        <v>-0.66784675428277329</v>
      </c>
      <c r="P89" s="4" t="s">
        <v>1195</v>
      </c>
      <c r="Q89">
        <v>0.86295286100000002</v>
      </c>
      <c r="R89" s="4" t="s">
        <v>1195</v>
      </c>
    </row>
    <row r="90" spans="1:18" x14ac:dyDescent="0.2">
      <c r="A90">
        <v>17</v>
      </c>
      <c r="B90" t="s">
        <v>75</v>
      </c>
      <c r="C90">
        <v>2252</v>
      </c>
      <c r="D90">
        <v>1371</v>
      </c>
      <c r="E90">
        <v>0.60879218472468921</v>
      </c>
      <c r="F90">
        <v>3623</v>
      </c>
      <c r="G90">
        <v>3</v>
      </c>
      <c r="H90" t="s">
        <v>56</v>
      </c>
      <c r="I90" t="s">
        <v>97</v>
      </c>
      <c r="J90">
        <v>1.4107538727881828</v>
      </c>
      <c r="K90">
        <v>1.8130608579296423</v>
      </c>
      <c r="L90">
        <v>0.221893811993084</v>
      </c>
      <c r="M90">
        <v>-0.2826427576594564</v>
      </c>
      <c r="N90">
        <v>-0.24770909972634483</v>
      </c>
      <c r="O90" s="2">
        <v>3.4933657933111567E-2</v>
      </c>
      <c r="P90" s="4" t="s">
        <v>1195</v>
      </c>
      <c r="Q90">
        <v>0.77810618799999998</v>
      </c>
      <c r="R90" s="4" t="s">
        <v>1195</v>
      </c>
    </row>
    <row r="91" spans="1:18" x14ac:dyDescent="0.2">
      <c r="A91">
        <v>16</v>
      </c>
      <c r="B91" t="s">
        <v>76</v>
      </c>
      <c r="C91">
        <v>2157</v>
      </c>
      <c r="D91">
        <v>952</v>
      </c>
      <c r="E91">
        <v>0.44135373203523415</v>
      </c>
      <c r="F91">
        <v>3109</v>
      </c>
      <c r="G91">
        <v>3</v>
      </c>
      <c r="H91" t="s">
        <v>56</v>
      </c>
      <c r="I91" t="s">
        <v>98</v>
      </c>
      <c r="J91">
        <v>1.0227488170200447</v>
      </c>
      <c r="K91">
        <v>1.0478489146030585</v>
      </c>
      <c r="L91">
        <v>2.3953928121901114E-2</v>
      </c>
      <c r="M91">
        <v>-1.8882780440316257E-2</v>
      </c>
      <c r="N91">
        <v>-0.42922325472742517</v>
      </c>
      <c r="O91" s="2">
        <v>-0.4103404742871089</v>
      </c>
      <c r="P91" s="4" t="s">
        <v>1195</v>
      </c>
      <c r="Q91">
        <v>0.97604607200000004</v>
      </c>
      <c r="R91" s="4" t="s">
        <v>1195</v>
      </c>
    </row>
    <row r="92" spans="1:18" x14ac:dyDescent="0.2">
      <c r="A92">
        <v>18</v>
      </c>
      <c r="B92" t="s">
        <v>3</v>
      </c>
      <c r="C92">
        <v>2153</v>
      </c>
      <c r="D92">
        <v>1244</v>
      </c>
      <c r="E92">
        <v>0.57779842080817467</v>
      </c>
      <c r="F92">
        <v>3397</v>
      </c>
      <c r="G92">
        <v>3</v>
      </c>
      <c r="H92" t="s">
        <v>56</v>
      </c>
      <c r="I92" t="s">
        <v>99</v>
      </c>
      <c r="J92">
        <v>1.338932036741981</v>
      </c>
      <c r="K92">
        <v>5.3089596445502405</v>
      </c>
      <c r="L92">
        <v>0.74779766161597716</v>
      </c>
      <c r="M92">
        <v>-6.7216507840494558E-2</v>
      </c>
      <c r="N92">
        <v>-0.22492749646321783</v>
      </c>
      <c r="O92" s="2">
        <v>-0.15771098862272326</v>
      </c>
      <c r="P92" s="4" t="s">
        <v>1215</v>
      </c>
      <c r="Q92">
        <v>0.25220233800000003</v>
      </c>
      <c r="R92" s="4" t="s">
        <v>1215</v>
      </c>
    </row>
    <row r="93" spans="1:18" x14ac:dyDescent="0.2">
      <c r="A93">
        <v>12</v>
      </c>
      <c r="B93" t="s">
        <v>78</v>
      </c>
      <c r="C93">
        <v>2200</v>
      </c>
      <c r="D93">
        <v>1133</v>
      </c>
      <c r="E93">
        <v>0.51500000000000001</v>
      </c>
      <c r="F93">
        <v>3333</v>
      </c>
      <c r="G93">
        <v>3</v>
      </c>
      <c r="H93" t="s">
        <v>56</v>
      </c>
      <c r="I93" t="s">
        <v>112</v>
      </c>
      <c r="J93">
        <v>1.1934092827004219</v>
      </c>
      <c r="K93">
        <v>1.3795058776676281</v>
      </c>
      <c r="L93">
        <v>0.1349009076219706</v>
      </c>
      <c r="M93">
        <v>-2.0376873093339836E-2</v>
      </c>
      <c r="N93">
        <v>-0.41760361288895192</v>
      </c>
      <c r="O93" s="2">
        <v>-0.39722673979561207</v>
      </c>
      <c r="P93" s="4" t="s">
        <v>1195</v>
      </c>
      <c r="Q93">
        <v>0.86509909200000001</v>
      </c>
      <c r="R93" s="4" t="s">
        <v>1195</v>
      </c>
    </row>
    <row r="94" spans="1:18" x14ac:dyDescent="0.2">
      <c r="A94">
        <v>46</v>
      </c>
      <c r="B94" t="s">
        <v>82</v>
      </c>
      <c r="C94">
        <v>1261</v>
      </c>
      <c r="D94">
        <v>3089</v>
      </c>
      <c r="E94">
        <v>2.44964314036479</v>
      </c>
      <c r="F94">
        <v>4350</v>
      </c>
      <c r="G94">
        <v>3</v>
      </c>
      <c r="H94" t="s">
        <v>42</v>
      </c>
      <c r="I94" t="s">
        <v>105</v>
      </c>
      <c r="J94">
        <v>5.6765570155626275</v>
      </c>
      <c r="K94">
        <v>5.5720961324768297</v>
      </c>
      <c r="L94">
        <v>-1.8747143014448353E-2</v>
      </c>
      <c r="M94">
        <v>0.34104526892376713</v>
      </c>
      <c r="N94">
        <v>0.64240156158159734</v>
      </c>
      <c r="O94" s="2">
        <v>0.3013562926578302</v>
      </c>
      <c r="P94" s="4" t="s">
        <v>1195</v>
      </c>
      <c r="Q94">
        <v>1.0187471429999999</v>
      </c>
      <c r="R94" s="4" t="s">
        <v>1195</v>
      </c>
    </row>
    <row r="95" spans="1:18" x14ac:dyDescent="0.2">
      <c r="A95">
        <v>44</v>
      </c>
      <c r="B95" t="s">
        <v>83</v>
      </c>
      <c r="C95">
        <v>1418</v>
      </c>
      <c r="D95">
        <v>1671</v>
      </c>
      <c r="E95">
        <v>1.1784203102961919</v>
      </c>
      <c r="F95">
        <v>3089</v>
      </c>
      <c r="G95">
        <v>3</v>
      </c>
      <c r="H95" t="s">
        <v>42</v>
      </c>
      <c r="I95" t="s">
        <v>104</v>
      </c>
      <c r="J95">
        <v>2.7307528878256058</v>
      </c>
      <c r="K95">
        <v>1.0997851321912591</v>
      </c>
      <c r="L95">
        <v>-1.4829876381259459</v>
      </c>
      <c r="M95">
        <v>0.26076732029715077</v>
      </c>
      <c r="N95">
        <v>3.6737762918490111E-2</v>
      </c>
      <c r="O95" s="2">
        <v>-0.22402955737866065</v>
      </c>
      <c r="P95" s="4" t="s">
        <v>1195</v>
      </c>
      <c r="Q95">
        <v>2.482987638</v>
      </c>
      <c r="R95" s="4" t="s">
        <v>1195</v>
      </c>
    </row>
    <row r="96" spans="1:18" x14ac:dyDescent="0.2">
      <c r="A96">
        <v>45</v>
      </c>
      <c r="B96" t="s">
        <v>84</v>
      </c>
      <c r="C96">
        <v>2030</v>
      </c>
      <c r="D96">
        <v>1280</v>
      </c>
      <c r="E96">
        <v>0.63054187192118227</v>
      </c>
      <c r="F96">
        <v>3310</v>
      </c>
      <c r="G96">
        <v>3</v>
      </c>
      <c r="H96" t="s">
        <v>42</v>
      </c>
      <c r="I96" t="s">
        <v>106</v>
      </c>
      <c r="J96">
        <v>1.4611544137515329</v>
      </c>
      <c r="K96">
        <v>3.2203634306832094</v>
      </c>
      <c r="L96">
        <v>0.54627654760023625</v>
      </c>
      <c r="M96">
        <v>3.6416451073952152E-2</v>
      </c>
      <c r="N96">
        <v>-0.736636510004954</v>
      </c>
      <c r="O96" s="2">
        <v>-0.7730529610789062</v>
      </c>
      <c r="P96" s="4" t="s">
        <v>1215</v>
      </c>
      <c r="Q96">
        <v>0.45372345200000003</v>
      </c>
      <c r="R96" s="4" t="s">
        <v>1215</v>
      </c>
    </row>
    <row r="97" spans="1:18" x14ac:dyDescent="0.2">
      <c r="A97">
        <v>27</v>
      </c>
      <c r="B97" t="s">
        <v>85</v>
      </c>
      <c r="C97">
        <v>2894</v>
      </c>
      <c r="D97">
        <v>1308</v>
      </c>
      <c r="E97">
        <v>0.45196959225984795</v>
      </c>
      <c r="F97">
        <v>4202</v>
      </c>
      <c r="G97">
        <v>3</v>
      </c>
      <c r="H97" t="s">
        <v>56</v>
      </c>
      <c r="I97" t="s">
        <v>109</v>
      </c>
      <c r="J97">
        <v>1.0473489454392764</v>
      </c>
      <c r="K97">
        <v>1.0943622808008635</v>
      </c>
      <c r="L97">
        <v>4.2959572151173187E-2</v>
      </c>
      <c r="M97">
        <v>-5.2441272079021974E-2</v>
      </c>
      <c r="N97">
        <v>-0.56640148904646093</v>
      </c>
      <c r="O97" s="2">
        <v>-0.51396021696743899</v>
      </c>
      <c r="P97" s="4" t="s">
        <v>1215</v>
      </c>
      <c r="Q97">
        <v>0.957040428</v>
      </c>
      <c r="R97" s="4" t="s">
        <v>1215</v>
      </c>
    </row>
    <row r="98" spans="1:18" x14ac:dyDescent="0.2">
      <c r="A98">
        <v>28</v>
      </c>
      <c r="B98" t="s">
        <v>4</v>
      </c>
      <c r="C98">
        <v>2789</v>
      </c>
      <c r="D98">
        <v>1639</v>
      </c>
      <c r="E98">
        <v>0.58766583004661166</v>
      </c>
      <c r="F98">
        <v>4428</v>
      </c>
      <c r="G98">
        <v>3</v>
      </c>
      <c r="H98" t="s">
        <v>56</v>
      </c>
      <c r="I98" t="s">
        <v>111</v>
      </c>
      <c r="J98">
        <v>1.3617977800067473</v>
      </c>
      <c r="K98">
        <v>1.7353412086380238</v>
      </c>
      <c r="L98">
        <v>0.21525647335053522</v>
      </c>
      <c r="M98">
        <v>-7.3573200092473964E-2</v>
      </c>
      <c r="N98">
        <v>-0.47784837587995377</v>
      </c>
      <c r="O98" s="2">
        <v>-0.40427517578747979</v>
      </c>
      <c r="P98" s="4" t="s">
        <v>1215</v>
      </c>
      <c r="Q98">
        <v>0.78474352700000005</v>
      </c>
      <c r="R98" s="4" t="s">
        <v>1215</v>
      </c>
    </row>
    <row r="99" spans="1:18" x14ac:dyDescent="0.2">
      <c r="A99">
        <v>30</v>
      </c>
      <c r="B99" t="s">
        <v>86</v>
      </c>
      <c r="C99">
        <v>2419</v>
      </c>
      <c r="D99">
        <v>1026</v>
      </c>
      <c r="E99">
        <v>0.42414220752377013</v>
      </c>
      <c r="F99">
        <v>3445</v>
      </c>
      <c r="G99">
        <v>3</v>
      </c>
      <c r="H99" t="s">
        <v>56</v>
      </c>
      <c r="I99" t="s">
        <v>103</v>
      </c>
      <c r="J99">
        <v>0.98286455853187571</v>
      </c>
      <c r="K99">
        <v>1.4478805416370879</v>
      </c>
      <c r="L99">
        <v>0.32117013091385871</v>
      </c>
      <c r="M99">
        <v>-0.20434793411040048</v>
      </c>
      <c r="N99">
        <v>0.51043421221327867</v>
      </c>
      <c r="O99" s="2">
        <v>0.7147821463236792</v>
      </c>
      <c r="P99" s="4" t="s">
        <v>1195</v>
      </c>
      <c r="Q99">
        <v>0.67882986899999997</v>
      </c>
      <c r="R99" s="4" t="s">
        <v>1215</v>
      </c>
    </row>
    <row r="100" spans="1:18" x14ac:dyDescent="0.2">
      <c r="A100">
        <v>29</v>
      </c>
      <c r="B100" t="s">
        <v>88</v>
      </c>
      <c r="C100">
        <v>3365</v>
      </c>
      <c r="D100">
        <v>735</v>
      </c>
      <c r="E100">
        <v>0.21842496285289748</v>
      </c>
      <c r="F100">
        <v>4100</v>
      </c>
      <c r="G100">
        <v>3</v>
      </c>
      <c r="H100" t="s">
        <v>56</v>
      </c>
      <c r="I100" t="s">
        <v>115</v>
      </c>
      <c r="J100">
        <v>0.50615607425658771</v>
      </c>
      <c r="K100">
        <v>0.83679488605902386</v>
      </c>
      <c r="L100">
        <v>0.39512527778415985</v>
      </c>
      <c r="M100">
        <v>-3.6359334448457098E-2</v>
      </c>
      <c r="N100">
        <v>0.27755120033457448</v>
      </c>
      <c r="O100" s="2">
        <v>0.31391053478303155</v>
      </c>
      <c r="P100" s="4" t="s">
        <v>1195</v>
      </c>
      <c r="Q100">
        <v>0.60487472200000003</v>
      </c>
      <c r="R100" s="4" t="s">
        <v>1195</v>
      </c>
    </row>
    <row r="101" spans="1:18" x14ac:dyDescent="0.2">
      <c r="A101">
        <v>31</v>
      </c>
      <c r="B101" t="s">
        <v>90</v>
      </c>
      <c r="C101">
        <v>1888</v>
      </c>
      <c r="D101">
        <v>1753</v>
      </c>
      <c r="E101">
        <v>0.9284957627118644</v>
      </c>
      <c r="F101">
        <v>3641</v>
      </c>
      <c r="G101">
        <v>3</v>
      </c>
      <c r="H101" t="s">
        <v>42</v>
      </c>
      <c r="I101" t="s">
        <v>116</v>
      </c>
      <c r="J101">
        <v>2.1516028391618391</v>
      </c>
      <c r="K101">
        <v>4.2396477382774851</v>
      </c>
      <c r="L101">
        <v>0.49250433715608455</v>
      </c>
      <c r="M101">
        <v>-1.2175893126321667E-2</v>
      </c>
      <c r="N101">
        <v>-0.61669777906604517</v>
      </c>
      <c r="O101" s="2">
        <v>-0.60452188593972356</v>
      </c>
      <c r="P101" s="4" t="s">
        <v>1215</v>
      </c>
      <c r="Q101">
        <v>0.50749566300000004</v>
      </c>
      <c r="R101" s="4" t="s">
        <v>1215</v>
      </c>
    </row>
    <row r="102" spans="1:18" x14ac:dyDescent="0.2">
      <c r="A102">
        <v>26</v>
      </c>
      <c r="B102" t="s">
        <v>2</v>
      </c>
      <c r="C102">
        <v>2137</v>
      </c>
      <c r="D102">
        <v>3233</v>
      </c>
      <c r="E102">
        <v>1.5128685072531587</v>
      </c>
      <c r="F102">
        <v>5370</v>
      </c>
      <c r="G102">
        <v>3</v>
      </c>
      <c r="H102" t="s">
        <v>56</v>
      </c>
      <c r="I102" t="s">
        <v>114</v>
      </c>
      <c r="J102">
        <v>3.5057695535166022</v>
      </c>
      <c r="K102">
        <v>2.1009141708743084</v>
      </c>
      <c r="L102">
        <v>-0.66868766088509668</v>
      </c>
      <c r="M102">
        <v>0.38089553686942074</v>
      </c>
      <c r="N102">
        <v>-0.53502861805428426</v>
      </c>
      <c r="O102" s="2">
        <v>-0.91592415492370494</v>
      </c>
      <c r="P102" s="4" t="s">
        <v>1215</v>
      </c>
      <c r="Q102">
        <v>1.6686876610000001</v>
      </c>
      <c r="R102" s="4" t="s">
        <v>1215</v>
      </c>
    </row>
    <row r="103" spans="1:18" x14ac:dyDescent="0.2">
      <c r="A103">
        <v>32</v>
      </c>
      <c r="B103" t="s">
        <v>21</v>
      </c>
      <c r="C103">
        <v>2195</v>
      </c>
      <c r="D103">
        <v>1727</v>
      </c>
      <c r="E103">
        <v>0.78678815489749432</v>
      </c>
      <c r="F103">
        <v>3922</v>
      </c>
      <c r="G103">
        <v>3</v>
      </c>
      <c r="H103" t="s">
        <v>42</v>
      </c>
      <c r="I103" t="s">
        <v>117</v>
      </c>
      <c r="J103">
        <v>1.8232238593658392</v>
      </c>
      <c r="K103">
        <v>2.0870147649132473</v>
      </c>
      <c r="L103">
        <v>0.12639628141699966</v>
      </c>
      <c r="M103">
        <v>0.14309339699547236</v>
      </c>
      <c r="N103">
        <v>-0.56401132554987443</v>
      </c>
      <c r="O103" s="2">
        <v>-0.70710472254534684</v>
      </c>
      <c r="P103" s="4" t="s">
        <v>1215</v>
      </c>
      <c r="Q103">
        <v>0.873603719</v>
      </c>
      <c r="R103" s="4" t="s">
        <v>1215</v>
      </c>
    </row>
    <row r="104" spans="1:18" x14ac:dyDescent="0.2">
      <c r="A104">
        <v>33</v>
      </c>
      <c r="B104" t="s">
        <v>92</v>
      </c>
      <c r="C104">
        <v>1194</v>
      </c>
      <c r="D104">
        <v>4153</v>
      </c>
      <c r="E104">
        <v>3.4782244556113904</v>
      </c>
      <c r="F104">
        <v>5347</v>
      </c>
      <c r="G104">
        <v>3</v>
      </c>
      <c r="H104" t="s">
        <v>42</v>
      </c>
      <c r="I104" t="s">
        <v>110</v>
      </c>
      <c r="J104">
        <v>8.0600880633830183</v>
      </c>
      <c r="K104">
        <v>3.309400175908455</v>
      </c>
      <c r="L104">
        <v>-1.4355132758069864</v>
      </c>
      <c r="M104">
        <v>0.14732451753850437</v>
      </c>
      <c r="N104">
        <v>0.26882904870045948</v>
      </c>
      <c r="O104" s="2">
        <v>0.12150453116195511</v>
      </c>
      <c r="P104" s="4" t="s">
        <v>1195</v>
      </c>
      <c r="Q104">
        <v>2.435513276</v>
      </c>
      <c r="R104" s="4" t="s">
        <v>1195</v>
      </c>
    </row>
    <row r="105" spans="1:18" x14ac:dyDescent="0.2">
      <c r="A105">
        <v>35</v>
      </c>
      <c r="B105" t="s">
        <v>93</v>
      </c>
      <c r="C105">
        <v>1967</v>
      </c>
      <c r="D105">
        <v>2075</v>
      </c>
      <c r="E105">
        <v>1.0549059481443823</v>
      </c>
      <c r="F105">
        <v>4042</v>
      </c>
      <c r="G105">
        <v>3</v>
      </c>
      <c r="H105" t="s">
        <v>42</v>
      </c>
      <c r="I105" t="s">
        <v>113</v>
      </c>
      <c r="J105">
        <v>2.4445331085269819</v>
      </c>
      <c r="K105">
        <v>2.7611953749135538</v>
      </c>
      <c r="L105">
        <v>0.11468303520408651</v>
      </c>
      <c r="M105">
        <v>-0.25776649599582918</v>
      </c>
      <c r="N105">
        <v>-0.10863336071570856</v>
      </c>
      <c r="O105" s="2">
        <v>0.14913313528012062</v>
      </c>
      <c r="P105" s="4" t="s">
        <v>1195</v>
      </c>
      <c r="Q105">
        <v>0.88531696500000001</v>
      </c>
      <c r="R105" s="4" t="s">
        <v>1215</v>
      </c>
    </row>
    <row r="106" spans="1:18" x14ac:dyDescent="0.2">
      <c r="A106">
        <v>34</v>
      </c>
      <c r="B106" t="s">
        <v>94</v>
      </c>
      <c r="C106">
        <v>1981</v>
      </c>
      <c r="D106">
        <v>1235</v>
      </c>
      <c r="E106">
        <v>0.62342251388187786</v>
      </c>
      <c r="F106">
        <v>3216</v>
      </c>
      <c r="G106">
        <v>3</v>
      </c>
      <c r="H106" t="s">
        <v>42</v>
      </c>
      <c r="I106" t="s">
        <v>112</v>
      </c>
      <c r="J106">
        <v>1.4446567283710012</v>
      </c>
      <c r="K106">
        <v>1.5958182340961609</v>
      </c>
      <c r="L106">
        <v>9.4723510795560295E-2</v>
      </c>
      <c r="M106">
        <v>5.3613343557823677E-2</v>
      </c>
      <c r="N106">
        <v>-0.79089942973867922</v>
      </c>
      <c r="O106" s="2">
        <v>-0.84451277329650287</v>
      </c>
      <c r="P106" s="4" t="s">
        <v>1195</v>
      </c>
      <c r="Q106">
        <v>0.90527648900000002</v>
      </c>
      <c r="R106" s="4" t="s">
        <v>1195</v>
      </c>
    </row>
    <row r="107" spans="1:18" x14ac:dyDescent="0.2">
      <c r="A107">
        <v>36</v>
      </c>
      <c r="B107" t="s">
        <v>95</v>
      </c>
      <c r="C107">
        <v>1298</v>
      </c>
      <c r="D107">
        <v>3011</v>
      </c>
      <c r="E107">
        <v>2.319722650231125</v>
      </c>
      <c r="F107">
        <v>4309</v>
      </c>
      <c r="G107">
        <v>3</v>
      </c>
      <c r="H107" t="s">
        <v>42</v>
      </c>
      <c r="I107" t="s">
        <v>108</v>
      </c>
      <c r="J107">
        <v>5.3754923185946577</v>
      </c>
      <c r="K107">
        <v>8.0852635210900843</v>
      </c>
      <c r="L107">
        <v>0.33514939809037736</v>
      </c>
      <c r="M107">
        <v>0.13510410142053411</v>
      </c>
      <c r="N107">
        <v>0.22345488438916786</v>
      </c>
      <c r="O107" s="2">
        <v>8.8350782968633745E-2</v>
      </c>
      <c r="P107" s="4" t="s">
        <v>1195</v>
      </c>
      <c r="Q107">
        <v>0.66485060200000001</v>
      </c>
      <c r="R107" s="4" t="s">
        <v>1195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257E-08FF-964E-8CBD-A3180EC7923A}">
  <dimension ref="A1:I27"/>
  <sheetViews>
    <sheetView workbookViewId="0">
      <selection activeCell="M19" sqref="M19"/>
    </sheetView>
  </sheetViews>
  <sheetFormatPr baseColWidth="10" defaultRowHeight="16" x14ac:dyDescent="0.2"/>
  <sheetData>
    <row r="1" spans="1:9" x14ac:dyDescent="0.2">
      <c r="A1" s="22" t="s">
        <v>1216</v>
      </c>
      <c r="F1" s="22" t="s">
        <v>1217</v>
      </c>
    </row>
    <row r="2" spans="1:9" x14ac:dyDescent="0.2">
      <c r="A2" s="23" t="s">
        <v>1218</v>
      </c>
      <c r="B2" s="24" t="s">
        <v>1219</v>
      </c>
      <c r="C2" s="24" t="s">
        <v>1220</v>
      </c>
      <c r="D2" s="25" t="s">
        <v>1221</v>
      </c>
      <c r="F2" s="26" t="s">
        <v>1218</v>
      </c>
      <c r="G2" s="27" t="s">
        <v>1219</v>
      </c>
      <c r="H2" s="27" t="s">
        <v>1220</v>
      </c>
      <c r="I2" s="28" t="s">
        <v>1221</v>
      </c>
    </row>
    <row r="3" spans="1:9" x14ac:dyDescent="0.2">
      <c r="A3" s="29">
        <v>1</v>
      </c>
      <c r="B3">
        <v>6.25E-2</v>
      </c>
      <c r="C3">
        <v>0.5</v>
      </c>
      <c r="D3" s="30">
        <f>B3+C3</f>
        <v>0.5625</v>
      </c>
      <c r="F3" s="29">
        <v>1</v>
      </c>
      <c r="G3">
        <v>0.125</v>
      </c>
      <c r="H3">
        <v>0.5</v>
      </c>
      <c r="I3" s="30">
        <v>0.625</v>
      </c>
    </row>
    <row r="4" spans="1:9" x14ac:dyDescent="0.2">
      <c r="A4" s="29">
        <v>2</v>
      </c>
      <c r="B4">
        <v>6.25E-2</v>
      </c>
      <c r="C4">
        <v>0.25</v>
      </c>
      <c r="D4" s="30">
        <f>B4+C4</f>
        <v>0.3125</v>
      </c>
      <c r="F4" s="29">
        <v>2</v>
      </c>
      <c r="G4">
        <v>0.25</v>
      </c>
      <c r="H4">
        <v>0.5</v>
      </c>
      <c r="I4" s="30">
        <v>0.75</v>
      </c>
    </row>
    <row r="5" spans="1:9" x14ac:dyDescent="0.2">
      <c r="A5" s="29">
        <v>3</v>
      </c>
      <c r="B5">
        <v>0.125</v>
      </c>
      <c r="C5">
        <v>0.125</v>
      </c>
      <c r="D5" s="30">
        <f>B5+C5</f>
        <v>0.25</v>
      </c>
      <c r="F5" s="29">
        <v>3</v>
      </c>
      <c r="G5">
        <v>0.5</v>
      </c>
      <c r="H5">
        <v>0.25</v>
      </c>
      <c r="I5" s="30">
        <v>0.75</v>
      </c>
    </row>
    <row r="6" spans="1:9" x14ac:dyDescent="0.2">
      <c r="A6" s="29">
        <v>4</v>
      </c>
      <c r="B6">
        <v>0.25</v>
      </c>
      <c r="C6">
        <v>6.25E-2</v>
      </c>
      <c r="D6" s="30">
        <f>B6+C6</f>
        <v>0.3125</v>
      </c>
      <c r="F6" s="31">
        <v>4</v>
      </c>
      <c r="G6" s="21">
        <v>0.5</v>
      </c>
      <c r="H6" s="21">
        <v>0.125</v>
      </c>
      <c r="I6" s="32">
        <v>0.625</v>
      </c>
    </row>
    <row r="7" spans="1:9" x14ac:dyDescent="0.2">
      <c r="A7" s="31">
        <v>5</v>
      </c>
      <c r="B7" s="21">
        <v>0.5</v>
      </c>
      <c r="C7" s="21">
        <v>6.25E-2</v>
      </c>
      <c r="D7" s="32">
        <f>B7+C7</f>
        <v>0.5625</v>
      </c>
    </row>
    <row r="9" spans="1:9" x14ac:dyDescent="0.2">
      <c r="A9" s="22" t="s">
        <v>1222</v>
      </c>
      <c r="F9" s="22" t="s">
        <v>1223</v>
      </c>
    </row>
    <row r="10" spans="1:9" x14ac:dyDescent="0.2">
      <c r="A10" s="26" t="s">
        <v>1224</v>
      </c>
      <c r="B10" s="27" t="s">
        <v>1219</v>
      </c>
      <c r="C10" s="27" t="s">
        <v>1220</v>
      </c>
      <c r="D10" s="28" t="s">
        <v>1221</v>
      </c>
      <c r="F10" s="33" t="s">
        <v>1218</v>
      </c>
      <c r="G10" s="27" t="s">
        <v>1219</v>
      </c>
      <c r="H10" s="27" t="s">
        <v>1220</v>
      </c>
      <c r="I10" s="28" t="s">
        <v>1221</v>
      </c>
    </row>
    <row r="11" spans="1:9" x14ac:dyDescent="0.2">
      <c r="A11" s="29">
        <v>1</v>
      </c>
      <c r="B11">
        <v>6.25E-2</v>
      </c>
      <c r="C11">
        <v>0.5</v>
      </c>
      <c r="D11" s="30">
        <v>0.5625</v>
      </c>
      <c r="F11" s="29">
        <v>1</v>
      </c>
      <c r="G11">
        <v>0.125</v>
      </c>
      <c r="H11">
        <v>0.5</v>
      </c>
      <c r="I11" s="30">
        <f>G11+H11</f>
        <v>0.625</v>
      </c>
    </row>
    <row r="12" spans="1:9" x14ac:dyDescent="0.2">
      <c r="A12" s="29">
        <v>2</v>
      </c>
      <c r="B12">
        <v>6.25E-2</v>
      </c>
      <c r="C12">
        <v>0.25</v>
      </c>
      <c r="D12" s="30">
        <v>0.3125</v>
      </c>
      <c r="F12" s="29">
        <v>2</v>
      </c>
      <c r="G12">
        <v>0.25</v>
      </c>
      <c r="H12">
        <v>0.5</v>
      </c>
      <c r="I12" s="30">
        <f t="shared" ref="I12:I14" si="0">G12+H12</f>
        <v>0.75</v>
      </c>
    </row>
    <row r="13" spans="1:9" x14ac:dyDescent="0.2">
      <c r="A13" s="29">
        <v>3</v>
      </c>
      <c r="B13">
        <v>0.125</v>
      </c>
      <c r="C13">
        <v>0.125</v>
      </c>
      <c r="D13" s="30">
        <v>0.25</v>
      </c>
      <c r="F13" s="29">
        <v>3</v>
      </c>
      <c r="G13">
        <v>0.5</v>
      </c>
      <c r="H13">
        <v>0.25</v>
      </c>
      <c r="I13" s="30">
        <f t="shared" si="0"/>
        <v>0.75</v>
      </c>
    </row>
    <row r="14" spans="1:9" x14ac:dyDescent="0.2">
      <c r="A14" s="29">
        <v>4</v>
      </c>
      <c r="B14">
        <v>0.25</v>
      </c>
      <c r="C14">
        <v>6.25E-2</v>
      </c>
      <c r="D14" s="30">
        <v>0.3125</v>
      </c>
      <c r="F14" s="31">
        <v>4</v>
      </c>
      <c r="G14" s="21">
        <v>0.5</v>
      </c>
      <c r="H14" s="21">
        <v>0.125</v>
      </c>
      <c r="I14" s="32">
        <f t="shared" si="0"/>
        <v>0.625</v>
      </c>
    </row>
    <row r="15" spans="1:9" x14ac:dyDescent="0.2">
      <c r="A15" s="31">
        <v>5</v>
      </c>
      <c r="B15" s="21">
        <v>0.5</v>
      </c>
      <c r="C15" s="21">
        <v>6.25E-2</v>
      </c>
      <c r="D15" s="32">
        <v>0.5625</v>
      </c>
    </row>
    <row r="17" spans="1:9" x14ac:dyDescent="0.2">
      <c r="A17" s="22" t="s">
        <v>1225</v>
      </c>
      <c r="F17" s="22" t="s">
        <v>1226</v>
      </c>
    </row>
    <row r="18" spans="1:9" x14ac:dyDescent="0.2">
      <c r="A18" s="23" t="s">
        <v>1218</v>
      </c>
      <c r="B18" s="24" t="s">
        <v>1219</v>
      </c>
      <c r="C18" s="24" t="s">
        <v>1220</v>
      </c>
      <c r="D18" s="25" t="s">
        <v>1221</v>
      </c>
      <c r="F18" s="23" t="s">
        <v>1218</v>
      </c>
      <c r="G18" s="27" t="s">
        <v>1219</v>
      </c>
      <c r="H18" s="27" t="s">
        <v>1220</v>
      </c>
      <c r="I18" s="28" t="s">
        <v>1221</v>
      </c>
    </row>
    <row r="19" spans="1:9" x14ac:dyDescent="0.2">
      <c r="A19" s="34">
        <v>1</v>
      </c>
      <c r="B19" s="5">
        <v>0.25</v>
      </c>
      <c r="C19" s="5">
        <v>0.5</v>
      </c>
      <c r="D19" s="35">
        <v>0.75</v>
      </c>
      <c r="F19" s="29">
        <v>1</v>
      </c>
      <c r="G19">
        <v>0.25</v>
      </c>
      <c r="H19">
        <v>0.5</v>
      </c>
      <c r="I19" s="30">
        <v>0.75</v>
      </c>
    </row>
    <row r="20" spans="1:9" x14ac:dyDescent="0.2">
      <c r="A20" s="34">
        <v>2</v>
      </c>
      <c r="B20" s="5">
        <v>0.25</v>
      </c>
      <c r="C20" s="5">
        <v>0.25</v>
      </c>
      <c r="D20" s="35">
        <v>0.5</v>
      </c>
      <c r="F20" s="29">
        <v>2</v>
      </c>
      <c r="G20">
        <v>0.25</v>
      </c>
      <c r="H20">
        <v>0.25</v>
      </c>
      <c r="I20" s="30">
        <v>0.5</v>
      </c>
    </row>
    <row r="21" spans="1:9" x14ac:dyDescent="0.2">
      <c r="A21" s="36">
        <v>3</v>
      </c>
      <c r="B21" s="37">
        <v>0.5</v>
      </c>
      <c r="C21" s="37">
        <v>0.125</v>
      </c>
      <c r="D21" s="38">
        <v>0.625</v>
      </c>
      <c r="F21" s="31">
        <v>3</v>
      </c>
      <c r="G21" s="21">
        <v>0.5</v>
      </c>
      <c r="H21" s="21">
        <v>0.125</v>
      </c>
      <c r="I21" s="32">
        <v>0.625</v>
      </c>
    </row>
    <row r="23" spans="1:9" x14ac:dyDescent="0.2">
      <c r="A23" s="22" t="s">
        <v>1227</v>
      </c>
      <c r="F23" s="22" t="s">
        <v>1228</v>
      </c>
    </row>
    <row r="24" spans="1:9" x14ac:dyDescent="0.2">
      <c r="A24" s="23" t="s">
        <v>1218</v>
      </c>
      <c r="B24" s="24" t="s">
        <v>1219</v>
      </c>
      <c r="C24" s="24" t="s">
        <v>1220</v>
      </c>
      <c r="D24" s="25" t="s">
        <v>1221</v>
      </c>
      <c r="F24" s="23" t="s">
        <v>1218</v>
      </c>
      <c r="G24" s="27" t="s">
        <v>1219</v>
      </c>
      <c r="H24" s="27" t="s">
        <v>1220</v>
      </c>
      <c r="I24" s="28" t="s">
        <v>1221</v>
      </c>
    </row>
    <row r="25" spans="1:9" x14ac:dyDescent="0.2">
      <c r="A25" s="34">
        <v>1</v>
      </c>
      <c r="B25" s="5">
        <v>0.25</v>
      </c>
      <c r="C25" s="5">
        <v>0.5</v>
      </c>
      <c r="D25" s="35">
        <v>0.75</v>
      </c>
      <c r="F25" s="29">
        <v>1</v>
      </c>
      <c r="G25">
        <v>0.25</v>
      </c>
      <c r="H25">
        <v>0.5</v>
      </c>
      <c r="I25" s="30">
        <v>0.75</v>
      </c>
    </row>
    <row r="26" spans="1:9" x14ac:dyDescent="0.2">
      <c r="A26" s="34">
        <v>2</v>
      </c>
      <c r="B26" s="5">
        <v>0.25</v>
      </c>
      <c r="C26" s="5">
        <v>0.25</v>
      </c>
      <c r="D26" s="35">
        <v>0.5</v>
      </c>
      <c r="F26" s="29">
        <v>2</v>
      </c>
      <c r="G26">
        <v>0.25</v>
      </c>
      <c r="H26">
        <v>0.25</v>
      </c>
      <c r="I26" s="30">
        <v>0.5</v>
      </c>
    </row>
    <row r="27" spans="1:9" x14ac:dyDescent="0.2">
      <c r="A27" s="36">
        <v>3</v>
      </c>
      <c r="B27" s="37">
        <v>0.5</v>
      </c>
      <c r="C27" s="37">
        <v>0.125</v>
      </c>
      <c r="D27" s="38">
        <v>0.625</v>
      </c>
      <c r="F27" s="31">
        <v>3</v>
      </c>
      <c r="G27" s="21">
        <v>0.5</v>
      </c>
      <c r="H27" s="21">
        <v>0.125</v>
      </c>
      <c r="I27" s="32">
        <v>0.625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AA79-FA66-A24F-857D-6EE4B69867BF}">
  <dimension ref="A1:L25"/>
  <sheetViews>
    <sheetView workbookViewId="0">
      <selection activeCell="F9" sqref="F9"/>
    </sheetView>
  </sheetViews>
  <sheetFormatPr baseColWidth="10" defaultRowHeight="16" x14ac:dyDescent="0.2"/>
  <cols>
    <col min="1" max="1" width="20.5" bestFit="1" customWidth="1"/>
    <col min="2" max="2" width="20.6640625" bestFit="1" customWidth="1"/>
    <col min="3" max="3" width="23.6640625" bestFit="1" customWidth="1"/>
    <col min="4" max="4" width="27.6640625" bestFit="1" customWidth="1"/>
    <col min="5" max="5" width="28.83203125" bestFit="1" customWidth="1"/>
    <col min="6" max="6" width="36.6640625" bestFit="1" customWidth="1"/>
    <col min="7" max="7" width="23.6640625" bestFit="1" customWidth="1"/>
    <col min="8" max="8" width="27.6640625" bestFit="1" customWidth="1"/>
    <col min="9" max="9" width="28.83203125" bestFit="1" customWidth="1"/>
    <col min="10" max="10" width="36.6640625" bestFit="1" customWidth="1"/>
    <col min="11" max="11" width="39.33203125" bestFit="1" customWidth="1"/>
    <col min="12" max="12" width="41.1640625" bestFit="1" customWidth="1"/>
    <col min="13" max="13" width="39.33203125" bestFit="1" customWidth="1"/>
  </cols>
  <sheetData>
    <row r="1" spans="1:12" x14ac:dyDescent="0.2">
      <c r="A1" t="s">
        <v>1230</v>
      </c>
      <c r="B1" t="s">
        <v>1231</v>
      </c>
      <c r="C1" t="s">
        <v>1236</v>
      </c>
      <c r="D1" t="s">
        <v>1237</v>
      </c>
      <c r="E1" t="s">
        <v>1238</v>
      </c>
      <c r="F1" t="s">
        <v>1239</v>
      </c>
      <c r="G1" t="s">
        <v>1232</v>
      </c>
      <c r="H1" t="s">
        <v>1233</v>
      </c>
      <c r="I1" t="s">
        <v>1234</v>
      </c>
      <c r="J1" t="s">
        <v>1235</v>
      </c>
      <c r="K1" t="s">
        <v>1240</v>
      </c>
      <c r="L1" t="s">
        <v>1241</v>
      </c>
    </row>
    <row r="2" spans="1:12" x14ac:dyDescent="0.2">
      <c r="A2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0.77219194999999996</v>
      </c>
      <c r="H2">
        <v>6.4027001E-2</v>
      </c>
      <c r="I2">
        <v>0.15741597199999999</v>
      </c>
      <c r="J2">
        <v>1.898501107</v>
      </c>
      <c r="K2">
        <v>4.7612057019999998</v>
      </c>
      <c r="L2">
        <v>11.705838590000001</v>
      </c>
    </row>
    <row r="3" spans="1:12" x14ac:dyDescent="0.2">
      <c r="A3">
        <v>0</v>
      </c>
      <c r="B3">
        <v>1</v>
      </c>
      <c r="C3">
        <v>0.91639949600000004</v>
      </c>
      <c r="D3">
        <v>0.91741773900000001</v>
      </c>
      <c r="E3">
        <v>1</v>
      </c>
      <c r="F3">
        <v>0.95922802900000004</v>
      </c>
      <c r="G3">
        <v>0.72836622799999995</v>
      </c>
      <c r="H3">
        <v>5.8184478999999997E-2</v>
      </c>
      <c r="I3">
        <v>0.14650843699999999</v>
      </c>
      <c r="J3">
        <v>1.834025367</v>
      </c>
      <c r="K3">
        <v>4.4865663260000002</v>
      </c>
      <c r="L3">
        <v>11.29716908</v>
      </c>
    </row>
    <row r="4" spans="1:12" x14ac:dyDescent="0.2">
      <c r="A4">
        <v>0</v>
      </c>
      <c r="B4">
        <v>2</v>
      </c>
      <c r="C4">
        <v>0.84752892599999996</v>
      </c>
      <c r="D4">
        <v>0.84719932499999995</v>
      </c>
      <c r="E4">
        <v>0.97784470199999995</v>
      </c>
      <c r="F4">
        <v>0.92289569299999996</v>
      </c>
      <c r="G4">
        <v>0.69964363699999998</v>
      </c>
      <c r="H4">
        <v>5.3595242000000001E-2</v>
      </c>
      <c r="I4">
        <v>0.137535567</v>
      </c>
      <c r="J4">
        <v>1.7954185620000001</v>
      </c>
      <c r="K4">
        <v>4.3050523060000003</v>
      </c>
      <c r="L4">
        <v>11.04758251</v>
      </c>
    </row>
    <row r="5" spans="1:12" x14ac:dyDescent="0.2">
      <c r="A5">
        <v>0</v>
      </c>
      <c r="B5">
        <v>3</v>
      </c>
      <c r="C5">
        <v>0.70619984599999996</v>
      </c>
      <c r="D5">
        <v>0.70393293599999995</v>
      </c>
      <c r="E5">
        <v>0.94251770199999996</v>
      </c>
      <c r="F5">
        <v>0.76646979100000001</v>
      </c>
      <c r="G5">
        <v>0.70941569500000001</v>
      </c>
      <c r="H5">
        <v>4.4528759000000001E-2</v>
      </c>
      <c r="I5">
        <v>0.11869351</v>
      </c>
      <c r="J5">
        <v>1.8909812560000001</v>
      </c>
      <c r="K5">
        <v>4.3455516879999996</v>
      </c>
      <c r="L5">
        <v>11.58327456</v>
      </c>
    </row>
    <row r="6" spans="1:12" x14ac:dyDescent="0.2">
      <c r="A6">
        <v>0</v>
      </c>
      <c r="B6">
        <v>4</v>
      </c>
      <c r="C6">
        <v>0.111866435</v>
      </c>
      <c r="D6">
        <v>0.100821153</v>
      </c>
      <c r="E6">
        <v>0.51825397900000003</v>
      </c>
      <c r="F6">
        <v>0.46125697399999999</v>
      </c>
      <c r="G6">
        <v>0.29485832699999998</v>
      </c>
      <c r="H6">
        <v>8.7541849999999994E-3</v>
      </c>
      <c r="I6">
        <v>2.7288452000000001E-2</v>
      </c>
      <c r="J6">
        <v>0.91913892100000005</v>
      </c>
      <c r="K6">
        <v>1.786658332</v>
      </c>
      <c r="L6">
        <v>5.5694104299999996</v>
      </c>
    </row>
    <row r="7" spans="1:12" x14ac:dyDescent="0.2">
      <c r="A7">
        <v>1</v>
      </c>
      <c r="B7">
        <v>0</v>
      </c>
      <c r="C7">
        <v>0.881851524</v>
      </c>
      <c r="D7">
        <v>0.88156156900000004</v>
      </c>
      <c r="E7">
        <v>0.95939053900000004</v>
      </c>
      <c r="F7">
        <v>0.95326961300000002</v>
      </c>
      <c r="G7">
        <v>0.69886464400000003</v>
      </c>
      <c r="H7">
        <v>5.5935211999999998E-2</v>
      </c>
      <c r="I7">
        <v>0.142156373</v>
      </c>
      <c r="J7">
        <v>1.776127542</v>
      </c>
      <c r="K7">
        <v>4.3050582879999997</v>
      </c>
      <c r="L7">
        <v>10.941077999999999</v>
      </c>
    </row>
    <row r="8" spans="1:12" x14ac:dyDescent="0.2">
      <c r="A8">
        <v>2</v>
      </c>
      <c r="B8">
        <v>0</v>
      </c>
      <c r="C8">
        <v>0.83027571200000005</v>
      </c>
      <c r="D8">
        <v>0.82839079699999996</v>
      </c>
      <c r="E8">
        <v>0.91691472799999996</v>
      </c>
      <c r="F8">
        <v>0.91039610000000004</v>
      </c>
      <c r="G8">
        <v>0.69153618299999997</v>
      </c>
      <c r="H8">
        <v>5.2993868E-2</v>
      </c>
      <c r="I8">
        <v>0.13633220600000001</v>
      </c>
      <c r="J8">
        <v>1.7790485410000001</v>
      </c>
      <c r="K8">
        <v>4.2552048339999997</v>
      </c>
      <c r="L8">
        <v>10.94695566</v>
      </c>
    </row>
    <row r="9" spans="1:12" x14ac:dyDescent="0.2">
      <c r="A9">
        <v>3</v>
      </c>
      <c r="B9">
        <v>0</v>
      </c>
      <c r="C9">
        <v>0.72748964699999996</v>
      </c>
      <c r="D9">
        <v>0.72425959200000001</v>
      </c>
      <c r="E9">
        <v>0.88775955600000001</v>
      </c>
      <c r="F9">
        <v>0.78677519399999996</v>
      </c>
      <c r="G9">
        <v>0.70222056799999999</v>
      </c>
      <c r="H9">
        <v>4.7148227000000001E-2</v>
      </c>
      <c r="I9">
        <v>0.12429493899999999</v>
      </c>
      <c r="J9">
        <v>1.851235459</v>
      </c>
      <c r="K9">
        <v>4.3076198620000001</v>
      </c>
      <c r="L9">
        <v>11.356002630000001</v>
      </c>
    </row>
    <row r="10" spans="1:12" x14ac:dyDescent="0.2">
      <c r="A10">
        <v>4</v>
      </c>
      <c r="B10">
        <v>0</v>
      </c>
      <c r="C10">
        <v>6.3257234999999995E-2</v>
      </c>
      <c r="D10">
        <v>5.0573578000000001E-2</v>
      </c>
      <c r="E10">
        <v>0.61967928699999997</v>
      </c>
      <c r="F10">
        <v>0.27764348799999999</v>
      </c>
      <c r="G10">
        <v>0.267575968</v>
      </c>
      <c r="H10">
        <v>4.9224250000000002E-3</v>
      </c>
      <c r="I10">
        <v>1.5322558999999999E-2</v>
      </c>
      <c r="J10">
        <v>0.83304320200000004</v>
      </c>
      <c r="K10">
        <v>1.615300658</v>
      </c>
      <c r="L10">
        <v>5.0289043299999996</v>
      </c>
    </row>
    <row r="11" spans="1:12" x14ac:dyDescent="0.2">
      <c r="A11">
        <v>1</v>
      </c>
      <c r="B11">
        <v>1</v>
      </c>
      <c r="C11">
        <v>0.81609668400000002</v>
      </c>
      <c r="D11">
        <v>0.81463950600000001</v>
      </c>
      <c r="E11">
        <v>0.95939053900000004</v>
      </c>
      <c r="F11">
        <v>0.86513391299999998</v>
      </c>
      <c r="G11">
        <v>0.71135010200000004</v>
      </c>
      <c r="H11">
        <v>5.1769819000000002E-2</v>
      </c>
      <c r="I11">
        <v>0.13386350899999999</v>
      </c>
      <c r="J11">
        <v>1.839368653</v>
      </c>
      <c r="K11">
        <v>4.3716402499999996</v>
      </c>
      <c r="L11">
        <v>11.30393894</v>
      </c>
    </row>
    <row r="12" spans="1:12" x14ac:dyDescent="0.2">
      <c r="A12">
        <v>1</v>
      </c>
      <c r="B12">
        <v>2</v>
      </c>
      <c r="C12">
        <v>0.50480399499999995</v>
      </c>
      <c r="D12">
        <v>0.57649013500000001</v>
      </c>
      <c r="E12">
        <v>0.124855432</v>
      </c>
      <c r="F12">
        <v>0.785489891</v>
      </c>
      <c r="G12">
        <v>5.5367152959999997</v>
      </c>
      <c r="H12">
        <v>6.5453048840000001</v>
      </c>
      <c r="I12">
        <v>1.1818669610000001</v>
      </c>
      <c r="J12">
        <v>0.99974882700000001</v>
      </c>
      <c r="K12">
        <v>46.310901540000003</v>
      </c>
      <c r="L12">
        <v>8.362226884</v>
      </c>
    </row>
    <row r="13" spans="1:12" x14ac:dyDescent="0.2">
      <c r="A13">
        <v>1</v>
      </c>
      <c r="B13">
        <v>3</v>
      </c>
      <c r="C13">
        <v>0.25193294700000002</v>
      </c>
      <c r="D13">
        <v>0.27815247100000001</v>
      </c>
      <c r="E13">
        <v>6.1798586000000003E-2</v>
      </c>
      <c r="F13">
        <v>0.53094273299999994</v>
      </c>
      <c r="G13">
        <v>4.2266836559999996</v>
      </c>
      <c r="H13">
        <v>5.5669058140000001</v>
      </c>
      <c r="I13">
        <v>1.0625382219999999</v>
      </c>
      <c r="J13">
        <v>0.80673413299999996</v>
      </c>
      <c r="K13">
        <v>36.493913560000003</v>
      </c>
      <c r="L13">
        <v>6.9654812420000001</v>
      </c>
    </row>
    <row r="14" spans="1:12" x14ac:dyDescent="0.2">
      <c r="A14">
        <v>1</v>
      </c>
      <c r="B14">
        <v>4</v>
      </c>
      <c r="C14">
        <v>2.8711291999999999E-2</v>
      </c>
      <c r="D14">
        <v>4.6479309000000003E-2</v>
      </c>
      <c r="E14">
        <v>7.0496129999999997E-3</v>
      </c>
      <c r="F14">
        <v>0.23478505199999999</v>
      </c>
      <c r="G14">
        <v>3.5919519389999999</v>
      </c>
      <c r="H14">
        <v>5.2107830860000002</v>
      </c>
      <c r="I14">
        <v>0.56059269300000003</v>
      </c>
      <c r="J14">
        <v>0.38643366600000001</v>
      </c>
      <c r="K14">
        <v>31.973277809999999</v>
      </c>
      <c r="L14">
        <v>3.439787382</v>
      </c>
    </row>
    <row r="15" spans="1:12" x14ac:dyDescent="0.2">
      <c r="A15">
        <v>2</v>
      </c>
      <c r="B15">
        <v>1</v>
      </c>
      <c r="C15">
        <v>0.73862876300000002</v>
      </c>
      <c r="D15">
        <v>0.73619786700000001</v>
      </c>
      <c r="E15">
        <v>0.91691472799999996</v>
      </c>
      <c r="F15">
        <v>0.777500674</v>
      </c>
      <c r="G15">
        <v>0.71107891899999998</v>
      </c>
      <c r="H15">
        <v>4.7075562000000001E-2</v>
      </c>
      <c r="I15">
        <v>0.124141188</v>
      </c>
      <c r="J15">
        <v>1.8751595590000001</v>
      </c>
      <c r="K15">
        <v>4.360624638</v>
      </c>
      <c r="L15">
        <v>11.499239729999999</v>
      </c>
    </row>
    <row r="16" spans="1:12" x14ac:dyDescent="0.2">
      <c r="A16">
        <v>2</v>
      </c>
      <c r="B16">
        <v>2</v>
      </c>
      <c r="C16">
        <v>0.241126857</v>
      </c>
      <c r="D16">
        <v>0.26633360900000003</v>
      </c>
      <c r="E16">
        <v>5.9145060999999999E-2</v>
      </c>
      <c r="F16">
        <v>0.67345151199999997</v>
      </c>
      <c r="G16">
        <v>4.1951523660000003</v>
      </c>
      <c r="H16">
        <v>5.5558409270000002</v>
      </c>
      <c r="I16">
        <v>0.864052661</v>
      </c>
      <c r="J16">
        <v>0.65243634800000005</v>
      </c>
      <c r="K16">
        <v>36.282596050000002</v>
      </c>
      <c r="L16">
        <v>5.6427234100000003</v>
      </c>
    </row>
    <row r="17" spans="1:12" x14ac:dyDescent="0.2">
      <c r="A17">
        <v>2</v>
      </c>
      <c r="B17">
        <v>3</v>
      </c>
      <c r="C17">
        <v>0.115681335</v>
      </c>
      <c r="D17">
        <v>0.12970531399999999</v>
      </c>
      <c r="E17">
        <v>2.8404787000000001E-2</v>
      </c>
      <c r="F17">
        <v>0.395879653</v>
      </c>
      <c r="G17">
        <v>3.8365671130000001</v>
      </c>
      <c r="H17">
        <v>5.3547796700000001</v>
      </c>
      <c r="I17">
        <v>0.80586290199999999</v>
      </c>
      <c r="J17">
        <v>0.57738082599999996</v>
      </c>
      <c r="K17">
        <v>33.728962019999997</v>
      </c>
      <c r="L17">
        <v>5.07601076</v>
      </c>
    </row>
    <row r="18" spans="1:12" x14ac:dyDescent="0.2">
      <c r="A18">
        <v>2</v>
      </c>
      <c r="B18">
        <v>4</v>
      </c>
      <c r="C18">
        <v>1.2833990999999999E-2</v>
      </c>
      <c r="D18">
        <v>3.6427374999999998E-2</v>
      </c>
      <c r="E18">
        <v>3.1512469999999998E-3</v>
      </c>
      <c r="F18">
        <v>0.149785218</v>
      </c>
      <c r="G18">
        <v>3.547233383</v>
      </c>
      <c r="H18">
        <v>5.1925510099999999</v>
      </c>
      <c r="I18">
        <v>0.51355882500000005</v>
      </c>
      <c r="J18">
        <v>0.35083199100000001</v>
      </c>
      <c r="K18">
        <v>31.668502320000002</v>
      </c>
      <c r="L18">
        <v>3.1321095959999998</v>
      </c>
    </row>
    <row r="19" spans="1:12" x14ac:dyDescent="0.2">
      <c r="A19">
        <v>3</v>
      </c>
      <c r="B19">
        <v>1</v>
      </c>
      <c r="C19">
        <v>0.39520188499999998</v>
      </c>
      <c r="D19">
        <v>0.39353395800000002</v>
      </c>
      <c r="E19">
        <v>0.88775955600000001</v>
      </c>
      <c r="F19">
        <v>0.58555299100000002</v>
      </c>
      <c r="G19">
        <v>0.50745848900000001</v>
      </c>
      <c r="H19">
        <v>2.5230418000000001E-2</v>
      </c>
      <c r="I19">
        <v>7.3098364999999998E-2</v>
      </c>
      <c r="J19">
        <v>1.4702249590000001</v>
      </c>
      <c r="K19">
        <v>3.0952117700000001</v>
      </c>
      <c r="L19">
        <v>8.9675464839999997</v>
      </c>
    </row>
    <row r="20" spans="1:12" x14ac:dyDescent="0.2">
      <c r="A20">
        <v>3</v>
      </c>
      <c r="B20">
        <v>2</v>
      </c>
      <c r="C20">
        <v>0.18327532399999999</v>
      </c>
      <c r="D20">
        <v>0.20219257900000001</v>
      </c>
      <c r="E20">
        <v>4.4941227E-2</v>
      </c>
      <c r="F20">
        <v>0.45807049399999999</v>
      </c>
      <c r="G20">
        <v>4.0289406029999997</v>
      </c>
      <c r="H20">
        <v>5.4639855839999996</v>
      </c>
      <c r="I20">
        <v>0.94838026099999995</v>
      </c>
      <c r="J20">
        <v>0.69930048</v>
      </c>
      <c r="K20">
        <v>35.101614789999999</v>
      </c>
      <c r="L20">
        <v>6.0925634019999997</v>
      </c>
    </row>
    <row r="21" spans="1:12" x14ac:dyDescent="0.2">
      <c r="A21">
        <v>3</v>
      </c>
      <c r="B21">
        <v>3</v>
      </c>
      <c r="C21">
        <v>8.7328344000000002E-2</v>
      </c>
      <c r="D21">
        <v>0.10160366999999999</v>
      </c>
      <c r="E21">
        <v>2.1443877E-2</v>
      </c>
      <c r="F21">
        <v>0.21584342200000001</v>
      </c>
      <c r="G21">
        <v>3.7563604310000001</v>
      </c>
      <c r="H21">
        <v>5.3111672299999997</v>
      </c>
      <c r="I21">
        <v>0.99488565399999995</v>
      </c>
      <c r="J21">
        <v>0.70363988600000005</v>
      </c>
      <c r="K21">
        <v>33.160497049999996</v>
      </c>
      <c r="L21">
        <v>6.2116106240000004</v>
      </c>
    </row>
    <row r="22" spans="1:12" x14ac:dyDescent="0.2">
      <c r="A22">
        <v>3</v>
      </c>
      <c r="B22">
        <v>4</v>
      </c>
      <c r="C22">
        <v>9.6364989999999998E-3</v>
      </c>
      <c r="D22">
        <v>3.5002076E-2</v>
      </c>
      <c r="E22">
        <v>2.3661680000000001E-3</v>
      </c>
      <c r="F22">
        <v>6.8078113999999995E-2</v>
      </c>
      <c r="G22">
        <v>3.5384271840000001</v>
      </c>
      <c r="H22">
        <v>5.188978702</v>
      </c>
      <c r="I22">
        <v>0.68008162299999997</v>
      </c>
      <c r="J22">
        <v>0.46375586400000002</v>
      </c>
      <c r="K22">
        <v>31.608520510000002</v>
      </c>
      <c r="L22">
        <v>4.1426984300000003</v>
      </c>
    </row>
    <row r="23" spans="1:12" x14ac:dyDescent="0.2">
      <c r="A23">
        <v>4</v>
      </c>
      <c r="B23">
        <v>1</v>
      </c>
      <c r="C23">
        <v>1.6634527999999999E-2</v>
      </c>
      <c r="D23">
        <v>8.0608650000000004E-3</v>
      </c>
      <c r="E23">
        <v>0.61967928699999997</v>
      </c>
      <c r="F23">
        <v>0.13374329900000001</v>
      </c>
      <c r="G23">
        <v>0.28321919299999998</v>
      </c>
      <c r="H23">
        <v>1.758662E-3</v>
      </c>
      <c r="I23">
        <v>3.7198000000000001E-3</v>
      </c>
      <c r="J23">
        <v>0.60024365899999998</v>
      </c>
      <c r="K23">
        <v>1.702832482</v>
      </c>
      <c r="L23">
        <v>3.608901554</v>
      </c>
    </row>
    <row r="24" spans="1:12" x14ac:dyDescent="0.2">
      <c r="A24">
        <v>4</v>
      </c>
      <c r="B24">
        <v>2</v>
      </c>
      <c r="C24">
        <v>5.1217118999999998E-2</v>
      </c>
      <c r="D24">
        <v>7.0107373000000001E-2</v>
      </c>
      <c r="E24">
        <v>1.2641731999999999E-2</v>
      </c>
      <c r="F24">
        <v>8.3954227000000006E-2</v>
      </c>
      <c r="G24">
        <v>3.6553230609999998</v>
      </c>
      <c r="H24">
        <v>5.2575094160000004</v>
      </c>
      <c r="I24">
        <v>1.322256777</v>
      </c>
      <c r="J24">
        <v>0.91930899399999999</v>
      </c>
      <c r="K24">
        <v>32.4469572</v>
      </c>
      <c r="L24">
        <v>8.1603675179999993</v>
      </c>
    </row>
    <row r="25" spans="1:12" x14ac:dyDescent="0.2">
      <c r="A25">
        <v>4</v>
      </c>
      <c r="B25">
        <v>4</v>
      </c>
      <c r="C25">
        <v>2.6330939999999999E-3</v>
      </c>
      <c r="D25">
        <v>1.5893279E-2</v>
      </c>
      <c r="E25">
        <v>6.4694999999999998E-4</v>
      </c>
      <c r="F25">
        <v>8.1730859999999995E-3</v>
      </c>
      <c r="G25">
        <v>3.5185835939999999</v>
      </c>
      <c r="H25">
        <v>5.1808706610000002</v>
      </c>
      <c r="I25">
        <v>2.1703512530000002</v>
      </c>
      <c r="J25">
        <v>1.4739919990000001</v>
      </c>
      <c r="K25">
        <v>31.473242890000002</v>
      </c>
      <c r="L25">
        <v>13.184654500000001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A1C3-3D27-1D45-A738-E9C083016716}">
  <dimension ref="A1:E31"/>
  <sheetViews>
    <sheetView zoomScale="115" workbookViewId="0">
      <selection activeCell="F26" sqref="F26"/>
    </sheetView>
  </sheetViews>
  <sheetFormatPr baseColWidth="10" defaultRowHeight="16" x14ac:dyDescent="0.2"/>
  <cols>
    <col min="2" max="2" width="13" bestFit="1" customWidth="1"/>
  </cols>
  <sheetData>
    <row r="1" spans="1:5" x14ac:dyDescent="0.2">
      <c r="A1" s="7" t="s">
        <v>37</v>
      </c>
      <c r="B1" s="7" t="s">
        <v>0</v>
      </c>
      <c r="C1" s="7" t="s">
        <v>1049</v>
      </c>
      <c r="D1" s="7" t="s">
        <v>24</v>
      </c>
      <c r="E1" s="7" t="s">
        <v>1048</v>
      </c>
    </row>
    <row r="2" spans="1:5" x14ac:dyDescent="0.2">
      <c r="A2" t="s">
        <v>1229</v>
      </c>
      <c r="B2" t="s">
        <v>1041</v>
      </c>
      <c r="C2" t="s">
        <v>25</v>
      </c>
      <c r="D2" s="4">
        <v>0</v>
      </c>
      <c r="E2" s="4">
        <v>0.05</v>
      </c>
    </row>
    <row r="3" spans="1:5" x14ac:dyDescent="0.2">
      <c r="A3" t="s">
        <v>1229</v>
      </c>
      <c r="B3" t="s">
        <v>1041</v>
      </c>
      <c r="C3" t="s">
        <v>25</v>
      </c>
      <c r="D3" s="4">
        <v>2</v>
      </c>
      <c r="E3" s="4">
        <v>0.107</v>
      </c>
    </row>
    <row r="4" spans="1:5" x14ac:dyDescent="0.2">
      <c r="A4" t="s">
        <v>1229</v>
      </c>
      <c r="B4" t="s">
        <v>1041</v>
      </c>
      <c r="C4" t="s">
        <v>25</v>
      </c>
      <c r="D4" s="4">
        <v>3.5</v>
      </c>
      <c r="E4" s="4">
        <v>0.16200000000000001</v>
      </c>
    </row>
    <row r="5" spans="1:5" x14ac:dyDescent="0.2">
      <c r="A5" t="s">
        <v>1229</v>
      </c>
      <c r="B5" t="s">
        <v>1041</v>
      </c>
      <c r="C5" t="s">
        <v>25</v>
      </c>
      <c r="D5" s="4">
        <v>5.8</v>
      </c>
      <c r="E5" s="4">
        <v>0.32500000000000001</v>
      </c>
    </row>
    <row r="6" spans="1:5" x14ac:dyDescent="0.2">
      <c r="A6" t="s">
        <v>1229</v>
      </c>
      <c r="B6" t="s">
        <v>1041</v>
      </c>
      <c r="C6" t="s">
        <v>26</v>
      </c>
      <c r="D6" s="4">
        <v>0</v>
      </c>
      <c r="E6" s="4">
        <v>0.05</v>
      </c>
    </row>
    <row r="7" spans="1:5" x14ac:dyDescent="0.2">
      <c r="A7" t="s">
        <v>1229</v>
      </c>
      <c r="B7" t="s">
        <v>1041</v>
      </c>
      <c r="C7" t="s">
        <v>26</v>
      </c>
      <c r="D7" s="4">
        <v>2</v>
      </c>
      <c r="E7" s="4">
        <v>9.8000000000000004E-2</v>
      </c>
    </row>
    <row r="8" spans="1:5" x14ac:dyDescent="0.2">
      <c r="A8" t="s">
        <v>1229</v>
      </c>
      <c r="B8" t="s">
        <v>1041</v>
      </c>
      <c r="C8" t="s">
        <v>26</v>
      </c>
      <c r="D8" s="4">
        <v>3.5</v>
      </c>
      <c r="E8" s="4">
        <v>0.13700000000000001</v>
      </c>
    </row>
    <row r="9" spans="1:5" x14ac:dyDescent="0.2">
      <c r="A9" t="s">
        <v>1229</v>
      </c>
      <c r="B9" t="s">
        <v>1041</v>
      </c>
      <c r="C9" t="s">
        <v>26</v>
      </c>
      <c r="D9" s="4">
        <v>5.8</v>
      </c>
      <c r="E9" s="4">
        <v>0.24099999999999999</v>
      </c>
    </row>
    <row r="10" spans="1:5" x14ac:dyDescent="0.2">
      <c r="A10" t="s">
        <v>1229</v>
      </c>
      <c r="B10" t="s">
        <v>1041</v>
      </c>
      <c r="C10" t="s">
        <v>947</v>
      </c>
      <c r="D10" s="4">
        <v>0</v>
      </c>
      <c r="E10" s="4">
        <v>0.05</v>
      </c>
    </row>
    <row r="11" spans="1:5" x14ac:dyDescent="0.2">
      <c r="A11" t="s">
        <v>1229</v>
      </c>
      <c r="B11" t="s">
        <v>1041</v>
      </c>
      <c r="C11" t="s">
        <v>947</v>
      </c>
      <c r="D11" s="4">
        <v>2</v>
      </c>
      <c r="E11" s="4">
        <v>9.2999999999999999E-2</v>
      </c>
    </row>
    <row r="12" spans="1:5" x14ac:dyDescent="0.2">
      <c r="A12" t="s">
        <v>1229</v>
      </c>
      <c r="B12" t="s">
        <v>1041</v>
      </c>
      <c r="C12" t="s">
        <v>947</v>
      </c>
      <c r="D12" s="4">
        <v>3.5</v>
      </c>
      <c r="E12" s="4">
        <v>0.13200000000000001</v>
      </c>
    </row>
    <row r="13" spans="1:5" x14ac:dyDescent="0.2">
      <c r="A13" t="s">
        <v>1229</v>
      </c>
      <c r="B13" t="s">
        <v>1041</v>
      </c>
      <c r="C13" t="s">
        <v>947</v>
      </c>
      <c r="D13" s="4">
        <v>5.8</v>
      </c>
      <c r="E13" s="4">
        <v>0.224</v>
      </c>
    </row>
    <row r="14" spans="1:5" x14ac:dyDescent="0.2">
      <c r="A14" t="s">
        <v>1229</v>
      </c>
      <c r="B14" t="s">
        <v>1041</v>
      </c>
      <c r="C14" t="s">
        <v>2</v>
      </c>
      <c r="D14" s="4">
        <v>0</v>
      </c>
      <c r="E14" s="4">
        <v>0.05</v>
      </c>
    </row>
    <row r="15" spans="1:5" x14ac:dyDescent="0.2">
      <c r="A15" t="s">
        <v>1229</v>
      </c>
      <c r="B15" t="s">
        <v>1041</v>
      </c>
      <c r="C15" t="s">
        <v>2</v>
      </c>
      <c r="D15" s="4">
        <v>2</v>
      </c>
      <c r="E15" s="4">
        <v>9.4E-2</v>
      </c>
    </row>
    <row r="16" spans="1:5" x14ac:dyDescent="0.2">
      <c r="A16" t="s">
        <v>1229</v>
      </c>
      <c r="B16" t="s">
        <v>1041</v>
      </c>
      <c r="C16" t="s">
        <v>2</v>
      </c>
      <c r="D16" s="4">
        <v>3.5</v>
      </c>
      <c r="E16" s="4">
        <v>0.125</v>
      </c>
    </row>
    <row r="17" spans="1:5" x14ac:dyDescent="0.2">
      <c r="A17" t="s">
        <v>1229</v>
      </c>
      <c r="B17" t="s">
        <v>1041</v>
      </c>
      <c r="C17" t="s">
        <v>2</v>
      </c>
      <c r="D17" s="4">
        <v>5.8</v>
      </c>
      <c r="E17" s="4">
        <v>0.17399999999999999</v>
      </c>
    </row>
    <row r="18" spans="1:5" x14ac:dyDescent="0.2">
      <c r="A18" t="s">
        <v>17</v>
      </c>
      <c r="B18" t="s">
        <v>20</v>
      </c>
      <c r="C18" t="s">
        <v>25</v>
      </c>
      <c r="D18" s="4">
        <v>0</v>
      </c>
      <c r="E18" s="4">
        <v>5.5E-2</v>
      </c>
    </row>
    <row r="19" spans="1:5" x14ac:dyDescent="0.2">
      <c r="A19" t="s">
        <v>17</v>
      </c>
      <c r="B19" t="s">
        <v>20</v>
      </c>
      <c r="C19" t="s">
        <v>25</v>
      </c>
      <c r="D19" s="4">
        <v>1.5</v>
      </c>
      <c r="E19" s="4">
        <v>9.7000000000000003E-2</v>
      </c>
    </row>
    <row r="20" spans="1:5" x14ac:dyDescent="0.2">
      <c r="A20" t="s">
        <v>17</v>
      </c>
      <c r="B20" t="s">
        <v>20</v>
      </c>
      <c r="C20" t="s">
        <v>25</v>
      </c>
      <c r="D20" s="4">
        <v>3</v>
      </c>
      <c r="E20" s="4">
        <v>0.16</v>
      </c>
    </row>
    <row r="21" spans="1:5" x14ac:dyDescent="0.2">
      <c r="A21" t="s">
        <v>17</v>
      </c>
      <c r="B21" t="s">
        <v>20</v>
      </c>
      <c r="C21" t="s">
        <v>25</v>
      </c>
      <c r="D21" s="4">
        <v>4</v>
      </c>
      <c r="E21" s="4">
        <v>0.24299999999999999</v>
      </c>
    </row>
    <row r="22" spans="1:5" x14ac:dyDescent="0.2">
      <c r="A22" t="s">
        <v>17</v>
      </c>
      <c r="B22" t="s">
        <v>20</v>
      </c>
      <c r="C22" t="s">
        <v>26</v>
      </c>
      <c r="D22" s="4">
        <v>0</v>
      </c>
      <c r="E22" s="4">
        <v>5.8999999999999997E-2</v>
      </c>
    </row>
    <row r="23" spans="1:5" x14ac:dyDescent="0.2">
      <c r="A23" t="s">
        <v>17</v>
      </c>
      <c r="B23" t="s">
        <v>20</v>
      </c>
      <c r="C23" t="s">
        <v>26</v>
      </c>
      <c r="D23" s="4">
        <v>1.5</v>
      </c>
      <c r="E23" s="4">
        <v>0.112</v>
      </c>
    </row>
    <row r="24" spans="1:5" x14ac:dyDescent="0.2">
      <c r="A24" t="s">
        <v>17</v>
      </c>
      <c r="B24" t="s">
        <v>20</v>
      </c>
      <c r="C24" t="s">
        <v>26</v>
      </c>
      <c r="D24" s="4">
        <v>3</v>
      </c>
      <c r="E24" s="4">
        <v>0.153</v>
      </c>
    </row>
    <row r="25" spans="1:5" x14ac:dyDescent="0.2">
      <c r="A25" t="s">
        <v>17</v>
      </c>
      <c r="B25" t="s">
        <v>20</v>
      </c>
      <c r="C25" t="s">
        <v>26</v>
      </c>
      <c r="D25" s="4">
        <v>4</v>
      </c>
      <c r="E25" s="4">
        <v>0.254</v>
      </c>
    </row>
    <row r="26" spans="1:5" x14ac:dyDescent="0.2">
      <c r="A26" t="s">
        <v>17</v>
      </c>
      <c r="B26" t="s">
        <v>20</v>
      </c>
      <c r="C26" t="s">
        <v>947</v>
      </c>
      <c r="D26" s="4">
        <v>0</v>
      </c>
      <c r="E26" s="4">
        <v>5.1999999999999998E-2</v>
      </c>
    </row>
    <row r="27" spans="1:5" x14ac:dyDescent="0.2">
      <c r="A27" t="s">
        <v>17</v>
      </c>
      <c r="B27" t="s">
        <v>20</v>
      </c>
      <c r="C27" t="s">
        <v>947</v>
      </c>
      <c r="D27" s="4">
        <v>2.5</v>
      </c>
      <c r="E27" s="4">
        <v>0.106</v>
      </c>
    </row>
    <row r="28" spans="1:5" x14ac:dyDescent="0.2">
      <c r="A28" t="s">
        <v>17</v>
      </c>
      <c r="B28" t="s">
        <v>20</v>
      </c>
      <c r="C28" t="s">
        <v>947</v>
      </c>
      <c r="D28" s="4">
        <v>7.5</v>
      </c>
      <c r="E28" s="4">
        <v>0.311</v>
      </c>
    </row>
    <row r="29" spans="1:5" x14ac:dyDescent="0.2">
      <c r="A29" t="s">
        <v>17</v>
      </c>
      <c r="B29" t="s">
        <v>20</v>
      </c>
      <c r="C29" t="s">
        <v>2</v>
      </c>
      <c r="D29" s="4">
        <v>0</v>
      </c>
      <c r="E29" s="4">
        <v>4.7E-2</v>
      </c>
    </row>
    <row r="30" spans="1:5" x14ac:dyDescent="0.2">
      <c r="A30" t="s">
        <v>17</v>
      </c>
      <c r="B30" t="s">
        <v>20</v>
      </c>
      <c r="C30" t="s">
        <v>2</v>
      </c>
      <c r="D30" s="4">
        <v>2.5</v>
      </c>
      <c r="E30" s="4">
        <v>6.4000000000000001E-2</v>
      </c>
    </row>
    <row r="31" spans="1:5" x14ac:dyDescent="0.2">
      <c r="A31" t="s">
        <v>17</v>
      </c>
      <c r="B31" t="s">
        <v>20</v>
      </c>
      <c r="C31" t="s">
        <v>2</v>
      </c>
      <c r="D31" s="4">
        <v>7.5</v>
      </c>
      <c r="E31" s="4">
        <v>0.112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2C35-F916-F045-B60C-1AA9407DA68F}">
  <dimension ref="A1:AE450"/>
  <sheetViews>
    <sheetView topLeftCell="J1" workbookViewId="0">
      <selection activeCell="Z1" sqref="Z1:AE1"/>
    </sheetView>
  </sheetViews>
  <sheetFormatPr baseColWidth="10" defaultRowHeight="16" x14ac:dyDescent="0.2"/>
  <cols>
    <col min="4" max="4" width="11.1640625" bestFit="1" customWidth="1"/>
    <col min="6" max="6" width="11.5" bestFit="1" customWidth="1"/>
    <col min="7" max="7" width="13" bestFit="1" customWidth="1"/>
    <col min="15" max="15" width="11.5" bestFit="1" customWidth="1"/>
  </cols>
  <sheetData>
    <row r="1" spans="1:31" x14ac:dyDescent="0.2">
      <c r="B1" t="s">
        <v>30</v>
      </c>
      <c r="C1" t="s">
        <v>30</v>
      </c>
      <c r="D1" t="s">
        <v>30</v>
      </c>
      <c r="E1" t="s">
        <v>30</v>
      </c>
      <c r="F1" t="s">
        <v>30</v>
      </c>
      <c r="G1" t="s">
        <v>30</v>
      </c>
      <c r="J1" t="s">
        <v>26</v>
      </c>
      <c r="K1" t="s">
        <v>26</v>
      </c>
      <c r="L1" t="s">
        <v>26</v>
      </c>
      <c r="M1" t="s">
        <v>26</v>
      </c>
      <c r="N1" t="s">
        <v>26</v>
      </c>
      <c r="O1" t="s">
        <v>26</v>
      </c>
      <c r="R1" t="s">
        <v>947</v>
      </c>
      <c r="S1" t="s">
        <v>947</v>
      </c>
      <c r="T1" t="s">
        <v>947</v>
      </c>
      <c r="U1" t="s">
        <v>947</v>
      </c>
      <c r="V1" t="s">
        <v>947</v>
      </c>
      <c r="W1" t="s">
        <v>947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</row>
    <row r="2" spans="1:31" x14ac:dyDescent="0.2">
      <c r="B2" t="s">
        <v>1244</v>
      </c>
      <c r="C2" t="s">
        <v>1244</v>
      </c>
      <c r="D2" t="s">
        <v>1245</v>
      </c>
      <c r="E2" t="s">
        <v>1245</v>
      </c>
      <c r="F2" t="s">
        <v>20</v>
      </c>
      <c r="G2" t="s">
        <v>20</v>
      </c>
      <c r="J2" t="s">
        <v>1244</v>
      </c>
      <c r="K2" t="s">
        <v>1244</v>
      </c>
      <c r="L2" t="s">
        <v>1245</v>
      </c>
      <c r="M2" t="s">
        <v>1245</v>
      </c>
      <c r="N2" t="s">
        <v>20</v>
      </c>
      <c r="O2" t="s">
        <v>20</v>
      </c>
      <c r="R2" t="s">
        <v>1244</v>
      </c>
      <c r="S2" t="s">
        <v>1244</v>
      </c>
      <c r="T2" t="s">
        <v>1245</v>
      </c>
      <c r="U2" t="s">
        <v>1245</v>
      </c>
      <c r="V2" t="s">
        <v>20</v>
      </c>
      <c r="W2" t="s">
        <v>20</v>
      </c>
      <c r="Z2" t="s">
        <v>1244</v>
      </c>
      <c r="AA2" t="s">
        <v>1244</v>
      </c>
      <c r="AB2" t="s">
        <v>1245</v>
      </c>
      <c r="AC2" t="s">
        <v>1245</v>
      </c>
      <c r="AD2" t="s">
        <v>20</v>
      </c>
      <c r="AE2" t="s">
        <v>20</v>
      </c>
    </row>
    <row r="3" spans="1:31" x14ac:dyDescent="0.2">
      <c r="A3" t="s">
        <v>24</v>
      </c>
      <c r="B3" t="s">
        <v>1242</v>
      </c>
      <c r="C3" t="s">
        <v>1243</v>
      </c>
      <c r="D3" t="s">
        <v>1242</v>
      </c>
      <c r="E3" t="s">
        <v>1243</v>
      </c>
      <c r="F3" t="s">
        <v>1242</v>
      </c>
      <c r="G3" t="s">
        <v>1243</v>
      </c>
      <c r="I3" t="s">
        <v>24</v>
      </c>
      <c r="J3" t="s">
        <v>1242</v>
      </c>
      <c r="K3" t="s">
        <v>1243</v>
      </c>
      <c r="L3" t="s">
        <v>1242</v>
      </c>
      <c r="M3" t="s">
        <v>1243</v>
      </c>
      <c r="N3" t="s">
        <v>1242</v>
      </c>
      <c r="O3" t="s">
        <v>1243</v>
      </c>
      <c r="Q3" t="s">
        <v>24</v>
      </c>
      <c r="R3" t="s">
        <v>1242</v>
      </c>
      <c r="S3" t="s">
        <v>1243</v>
      </c>
      <c r="T3" t="s">
        <v>1242</v>
      </c>
      <c r="U3" t="s">
        <v>1243</v>
      </c>
      <c r="V3" t="s">
        <v>1242</v>
      </c>
      <c r="W3" t="s">
        <v>1243</v>
      </c>
      <c r="Y3" t="s">
        <v>24</v>
      </c>
      <c r="Z3" t="s">
        <v>1242</v>
      </c>
      <c r="AA3" t="s">
        <v>1243</v>
      </c>
      <c r="AB3" t="s">
        <v>1242</v>
      </c>
      <c r="AC3" t="s">
        <v>1243</v>
      </c>
      <c r="AD3" t="s">
        <v>1242</v>
      </c>
      <c r="AE3" t="s">
        <v>1243</v>
      </c>
    </row>
    <row r="4" spans="1:31" x14ac:dyDescent="0.2">
      <c r="A4">
        <v>0</v>
      </c>
      <c r="B4">
        <v>5.4553211199999998</v>
      </c>
      <c r="C4">
        <v>5.2040066899999999</v>
      </c>
      <c r="D4">
        <v>5.4680601400000004</v>
      </c>
      <c r="E4">
        <v>5.20948615</v>
      </c>
      <c r="F4">
        <v>5.43807931</v>
      </c>
      <c r="G4">
        <v>5.48893773</v>
      </c>
      <c r="I4">
        <v>0</v>
      </c>
      <c r="J4">
        <v>5.4595855100000001</v>
      </c>
      <c r="K4">
        <v>5.5294290899999998</v>
      </c>
      <c r="L4">
        <v>5.4722706700000003</v>
      </c>
      <c r="M4">
        <v>5.5134287500000001</v>
      </c>
      <c r="N4">
        <v>5.4553211199999998</v>
      </c>
      <c r="O4">
        <v>5.5333894900000002</v>
      </c>
      <c r="Q4">
        <v>0</v>
      </c>
      <c r="R4">
        <v>5.4553211199999998</v>
      </c>
      <c r="S4">
        <v>5.1929568499999998</v>
      </c>
      <c r="T4">
        <v>5.4722706700000003</v>
      </c>
      <c r="U4">
        <v>5.2203558299999999</v>
      </c>
      <c r="V4">
        <v>5.4510384500000004</v>
      </c>
      <c r="W4">
        <v>5.54126355</v>
      </c>
      <c r="Y4">
        <v>0</v>
      </c>
      <c r="Z4">
        <v>5.44241771</v>
      </c>
      <c r="AA4">
        <v>5.5294290899999998</v>
      </c>
      <c r="AB4">
        <v>5.4680601400000004</v>
      </c>
      <c r="AC4">
        <v>5.4847969299999999</v>
      </c>
      <c r="AD4">
        <v>5.4595855100000001</v>
      </c>
      <c r="AE4">
        <v>5.5093883400000001</v>
      </c>
    </row>
    <row r="5" spans="1:31" x14ac:dyDescent="0.2">
      <c r="A5">
        <v>0.36502778000000002</v>
      </c>
      <c r="B5">
        <v>5.4293456300000003</v>
      </c>
      <c r="C5">
        <v>5.2882670300000001</v>
      </c>
      <c r="D5">
        <v>5.4638318100000003</v>
      </c>
      <c r="E5">
        <v>5.2678581600000003</v>
      </c>
      <c r="F5">
        <v>5.4249500199999998</v>
      </c>
      <c r="G5">
        <v>5.3033049099999996</v>
      </c>
      <c r="I5">
        <v>0.36502778000000002</v>
      </c>
      <c r="J5">
        <v>5.4293456300000003</v>
      </c>
      <c r="K5">
        <v>5.2933048200000004</v>
      </c>
      <c r="L5">
        <v>5.4595855100000001</v>
      </c>
      <c r="M5">
        <v>5.3181199899999996</v>
      </c>
      <c r="N5">
        <v>5.43807931</v>
      </c>
      <c r="O5">
        <v>5.2983173700000004</v>
      </c>
      <c r="Q5">
        <v>0.36502778000000002</v>
      </c>
      <c r="R5">
        <v>5.4553211199999998</v>
      </c>
      <c r="S5">
        <v>5.2678581600000003</v>
      </c>
      <c r="T5">
        <v>5.4510384500000004</v>
      </c>
      <c r="U5">
        <v>5.2933048200000004</v>
      </c>
      <c r="V5">
        <v>5.4553211199999998</v>
      </c>
      <c r="W5">
        <v>5.3082677</v>
      </c>
      <c r="Y5">
        <v>0.36502778000000002</v>
      </c>
      <c r="Z5">
        <v>5.44241771</v>
      </c>
      <c r="AA5">
        <v>5.3033049099999996</v>
      </c>
      <c r="AB5">
        <v>5.4510384500000004</v>
      </c>
      <c r="AC5">
        <v>5.3033049099999996</v>
      </c>
      <c r="AD5">
        <v>5.4337220000000004</v>
      </c>
      <c r="AE5">
        <v>5.27811466</v>
      </c>
    </row>
    <row r="6" spans="1:31" x14ac:dyDescent="0.2">
      <c r="A6">
        <v>0.73005556000000005</v>
      </c>
      <c r="B6">
        <v>5.5053315400000002</v>
      </c>
      <c r="C6">
        <v>5.2678581600000003</v>
      </c>
      <c r="D6">
        <v>5.44241771</v>
      </c>
      <c r="E6">
        <v>5.2470240700000002</v>
      </c>
      <c r="F6">
        <v>5.4293456300000003</v>
      </c>
      <c r="G6">
        <v>5.2626901899999998</v>
      </c>
      <c r="I6">
        <v>0.73005556000000005</v>
      </c>
      <c r="J6">
        <v>5.4337220000000004</v>
      </c>
      <c r="K6">
        <v>5.2678581600000003</v>
      </c>
      <c r="L6">
        <v>5.44241771</v>
      </c>
      <c r="M6">
        <v>5.2832037300000003</v>
      </c>
      <c r="N6">
        <v>5.4337220000000004</v>
      </c>
      <c r="O6">
        <v>5.2729995599999997</v>
      </c>
      <c r="Q6">
        <v>0.73005556000000005</v>
      </c>
      <c r="R6">
        <v>5.4553211199999998</v>
      </c>
      <c r="S6">
        <v>5.24174702</v>
      </c>
      <c r="T6">
        <v>5.4595855100000001</v>
      </c>
      <c r="U6">
        <v>5.2678581600000003</v>
      </c>
      <c r="V6">
        <v>5.44241771</v>
      </c>
      <c r="W6">
        <v>5.27811466</v>
      </c>
      <c r="Y6">
        <v>0.73005556000000005</v>
      </c>
      <c r="Z6">
        <v>5.43807931</v>
      </c>
      <c r="AA6">
        <v>5.2933048200000004</v>
      </c>
      <c r="AB6">
        <v>5.4510384500000004</v>
      </c>
      <c r="AC6">
        <v>5.2729995599999997</v>
      </c>
      <c r="AD6">
        <v>5.44241771</v>
      </c>
      <c r="AE6">
        <v>5.2626901899999998</v>
      </c>
    </row>
    <row r="7" spans="1:31" x14ac:dyDescent="0.2">
      <c r="A7">
        <v>1.09508333</v>
      </c>
      <c r="B7">
        <v>5.4847969299999999</v>
      </c>
      <c r="C7">
        <v>5.4249500199999998</v>
      </c>
      <c r="D7">
        <v>5.44241771</v>
      </c>
      <c r="E7">
        <v>5.3844950599999999</v>
      </c>
      <c r="F7">
        <v>5.4161004000000004</v>
      </c>
      <c r="G7">
        <v>5.3981627000000003</v>
      </c>
      <c r="I7">
        <v>1.09508333</v>
      </c>
      <c r="J7">
        <v>5.4161004000000004</v>
      </c>
      <c r="K7">
        <v>5.4116460499999999</v>
      </c>
      <c r="L7">
        <v>5.43807931</v>
      </c>
      <c r="M7">
        <v>5.4161004000000004</v>
      </c>
      <c r="N7">
        <v>5.4161004000000004</v>
      </c>
      <c r="O7">
        <v>5.4205350000000001</v>
      </c>
      <c r="Q7">
        <v>1.09508333</v>
      </c>
      <c r="R7">
        <v>5.4337220000000004</v>
      </c>
      <c r="S7">
        <v>5.3798973500000002</v>
      </c>
      <c r="T7">
        <v>5.4510384500000004</v>
      </c>
      <c r="U7">
        <v>5.4071717699999997</v>
      </c>
      <c r="V7">
        <v>5.4337220000000004</v>
      </c>
      <c r="W7">
        <v>5.4161004000000004</v>
      </c>
      <c r="Y7">
        <v>1.09508333</v>
      </c>
      <c r="Z7">
        <v>5.4249500199999998</v>
      </c>
      <c r="AA7">
        <v>5.4553211199999998</v>
      </c>
      <c r="AB7">
        <v>5.43807931</v>
      </c>
      <c r="AC7">
        <v>5.4161004000000004</v>
      </c>
      <c r="AD7">
        <v>5.43807931</v>
      </c>
      <c r="AE7">
        <v>5.3981627000000003</v>
      </c>
    </row>
    <row r="8" spans="1:31" x14ac:dyDescent="0.2">
      <c r="A8">
        <v>1.46008333</v>
      </c>
      <c r="B8">
        <v>5.5012582099999996</v>
      </c>
      <c r="C8">
        <v>5.4116460499999999</v>
      </c>
      <c r="D8">
        <v>5.4337220000000004</v>
      </c>
      <c r="E8">
        <v>5.3844950599999999</v>
      </c>
      <c r="F8">
        <v>5.4026773800000001</v>
      </c>
      <c r="G8">
        <v>5.3798973500000002</v>
      </c>
      <c r="I8">
        <v>1.46008333</v>
      </c>
      <c r="J8">
        <v>5.4161004000000004</v>
      </c>
      <c r="K8">
        <v>5.4071717699999997</v>
      </c>
      <c r="L8">
        <v>5.43807931</v>
      </c>
      <c r="M8">
        <v>5.4161004000000004</v>
      </c>
      <c r="N8">
        <v>5.4161004000000004</v>
      </c>
      <c r="O8">
        <v>5.3981627000000003</v>
      </c>
      <c r="Q8">
        <v>1.46008333</v>
      </c>
      <c r="R8">
        <v>5.4161004000000004</v>
      </c>
      <c r="S8">
        <v>5.3706380300000003</v>
      </c>
      <c r="T8">
        <v>5.43807931</v>
      </c>
      <c r="U8">
        <v>5.3936275499999997</v>
      </c>
      <c r="V8">
        <v>5.4337220000000004</v>
      </c>
      <c r="W8">
        <v>5.3981627000000003</v>
      </c>
      <c r="Y8">
        <v>1.46008333</v>
      </c>
      <c r="Z8">
        <v>5.4205350000000001</v>
      </c>
      <c r="AA8">
        <v>5.4467373700000001</v>
      </c>
      <c r="AB8">
        <v>5.4337220000000004</v>
      </c>
      <c r="AC8">
        <v>5.4071717699999997</v>
      </c>
      <c r="AD8">
        <v>5.4337220000000004</v>
      </c>
      <c r="AE8">
        <v>5.3844950599999999</v>
      </c>
    </row>
    <row r="9" spans="1:31" x14ac:dyDescent="0.2">
      <c r="A9">
        <v>1.8251111099999999</v>
      </c>
      <c r="B9">
        <v>5.4722706700000003</v>
      </c>
      <c r="C9">
        <v>5.3844950599999999</v>
      </c>
      <c r="D9">
        <v>5.4293456300000003</v>
      </c>
      <c r="E9">
        <v>5.37527841</v>
      </c>
      <c r="F9">
        <v>5.3981627000000003</v>
      </c>
      <c r="G9">
        <v>5.3844950599999999</v>
      </c>
      <c r="I9">
        <v>1.8251111099999999</v>
      </c>
      <c r="J9">
        <v>5.43807931</v>
      </c>
      <c r="K9">
        <v>5.4161004000000004</v>
      </c>
      <c r="L9">
        <v>5.43807931</v>
      </c>
      <c r="M9">
        <v>5.4249500199999998</v>
      </c>
      <c r="N9">
        <v>5.4293456300000003</v>
      </c>
      <c r="O9">
        <v>5.4026773800000001</v>
      </c>
      <c r="Q9">
        <v>1.8251111099999999</v>
      </c>
      <c r="R9">
        <v>5.43807931</v>
      </c>
      <c r="S9">
        <v>5.37527841</v>
      </c>
      <c r="T9">
        <v>5.4293456300000003</v>
      </c>
      <c r="U9">
        <v>5.3890717300000004</v>
      </c>
      <c r="V9">
        <v>5.4249500199999998</v>
      </c>
      <c r="W9">
        <v>5.4205350000000001</v>
      </c>
      <c r="Y9">
        <v>1.8251111099999999</v>
      </c>
      <c r="Z9">
        <v>5.4293456300000003</v>
      </c>
      <c r="AA9">
        <v>5.4337220000000004</v>
      </c>
      <c r="AB9">
        <v>5.4337220000000004</v>
      </c>
      <c r="AC9">
        <v>5.43807931</v>
      </c>
      <c r="AD9">
        <v>5.4467373700000001</v>
      </c>
      <c r="AE9">
        <v>5.4071717699999997</v>
      </c>
    </row>
    <row r="10" spans="1:31" x14ac:dyDescent="0.2">
      <c r="A10">
        <v>2.1901388900000001</v>
      </c>
      <c r="B10">
        <v>5.49306144</v>
      </c>
      <c r="C10">
        <v>5.2882670300000001</v>
      </c>
      <c r="D10">
        <v>5.4249500199999998</v>
      </c>
      <c r="E10">
        <v>5.27811466</v>
      </c>
      <c r="F10">
        <v>5.4116460499999999</v>
      </c>
      <c r="G10">
        <v>5.2626901899999998</v>
      </c>
      <c r="I10">
        <v>2.1901388900000001</v>
      </c>
      <c r="J10">
        <v>5.4116460499999999</v>
      </c>
      <c r="K10">
        <v>5.3033049099999996</v>
      </c>
      <c r="L10">
        <v>5.43807931</v>
      </c>
      <c r="M10">
        <v>5.2983173700000004</v>
      </c>
      <c r="N10">
        <v>5.4249500199999998</v>
      </c>
      <c r="O10">
        <v>5.2983173700000004</v>
      </c>
      <c r="Q10">
        <v>2.1901388900000001</v>
      </c>
      <c r="R10">
        <v>5.4205350000000001</v>
      </c>
      <c r="S10">
        <v>5.2626901899999998</v>
      </c>
      <c r="T10">
        <v>5.4293456300000003</v>
      </c>
      <c r="U10">
        <v>5.2832037300000003</v>
      </c>
      <c r="V10">
        <v>5.4161004000000004</v>
      </c>
      <c r="W10">
        <v>5.2983173700000004</v>
      </c>
      <c r="Y10">
        <v>2.1901388900000001</v>
      </c>
      <c r="Z10">
        <v>5.4249500199999998</v>
      </c>
      <c r="AA10">
        <v>5.3082677</v>
      </c>
      <c r="AB10">
        <v>5.4161004000000004</v>
      </c>
      <c r="AC10">
        <v>5.2882670300000001</v>
      </c>
      <c r="AD10">
        <v>5.4249500199999998</v>
      </c>
      <c r="AE10">
        <v>5.2678581600000003</v>
      </c>
    </row>
    <row r="11" spans="1:31" x14ac:dyDescent="0.2">
      <c r="A11">
        <v>2.5551666700000002</v>
      </c>
      <c r="B11">
        <v>5.4722706700000003</v>
      </c>
      <c r="C11">
        <v>5.2522734299999998</v>
      </c>
      <c r="D11">
        <v>5.4205350000000001</v>
      </c>
      <c r="E11">
        <v>5.2257466700000004</v>
      </c>
      <c r="F11">
        <v>5.4161004000000004</v>
      </c>
      <c r="G11">
        <v>5.2203558299999999</v>
      </c>
      <c r="I11">
        <v>2.5551666700000002</v>
      </c>
      <c r="J11">
        <v>5.4071717699999997</v>
      </c>
      <c r="K11">
        <v>5.25749537</v>
      </c>
      <c r="L11">
        <v>5.43807931</v>
      </c>
      <c r="M11">
        <v>5.2470240700000002</v>
      </c>
      <c r="N11">
        <v>5.4249500199999998</v>
      </c>
      <c r="O11">
        <v>5.2364419599999996</v>
      </c>
      <c r="Q11">
        <v>2.5551666700000002</v>
      </c>
      <c r="R11">
        <v>5.4249500199999998</v>
      </c>
      <c r="S11">
        <v>5.1929568499999998</v>
      </c>
      <c r="T11">
        <v>5.43807931</v>
      </c>
      <c r="U11">
        <v>5.24174702</v>
      </c>
      <c r="V11">
        <v>5.4293456300000003</v>
      </c>
      <c r="W11">
        <v>5.2364419599999996</v>
      </c>
      <c r="Y11">
        <v>2.5551666700000002</v>
      </c>
      <c r="Z11">
        <v>5.4293456300000003</v>
      </c>
      <c r="AA11">
        <v>5.2522734299999998</v>
      </c>
      <c r="AB11">
        <v>5.4205350000000001</v>
      </c>
      <c r="AC11">
        <v>5.2364419599999996</v>
      </c>
      <c r="AD11">
        <v>5.4249500199999998</v>
      </c>
      <c r="AE11">
        <v>5.2311086199999997</v>
      </c>
    </row>
    <row r="12" spans="1:31" x14ac:dyDescent="0.2">
      <c r="A12">
        <v>2.92016667</v>
      </c>
      <c r="B12">
        <v>5.4847969299999999</v>
      </c>
      <c r="C12">
        <v>5.2364419599999996</v>
      </c>
      <c r="D12">
        <v>5.43807931</v>
      </c>
      <c r="E12">
        <v>5.20948615</v>
      </c>
      <c r="F12">
        <v>5.4205350000000001</v>
      </c>
      <c r="G12">
        <v>5.2149357600000004</v>
      </c>
      <c r="I12">
        <v>2.92016667</v>
      </c>
      <c r="J12">
        <v>5.4337220000000004</v>
      </c>
      <c r="K12">
        <v>5.2257466700000004</v>
      </c>
      <c r="L12">
        <v>5.43807931</v>
      </c>
      <c r="M12">
        <v>5.2364419599999996</v>
      </c>
      <c r="N12">
        <v>5.4293456300000003</v>
      </c>
      <c r="O12">
        <v>5.2257466700000004</v>
      </c>
      <c r="Q12">
        <v>2.92016667</v>
      </c>
      <c r="R12">
        <v>5.4249500199999998</v>
      </c>
      <c r="S12">
        <v>5.1984970300000004</v>
      </c>
      <c r="T12">
        <v>5.43807931</v>
      </c>
      <c r="U12">
        <v>5.2149357600000004</v>
      </c>
      <c r="V12">
        <v>5.43807931</v>
      </c>
      <c r="W12">
        <v>5.2311086199999997</v>
      </c>
      <c r="Y12">
        <v>2.92016667</v>
      </c>
      <c r="Z12">
        <v>5.4249500199999998</v>
      </c>
      <c r="AA12">
        <v>5.25749537</v>
      </c>
      <c r="AB12">
        <v>5.43807931</v>
      </c>
      <c r="AC12">
        <v>5.24174702</v>
      </c>
      <c r="AD12">
        <v>5.4337220000000004</v>
      </c>
      <c r="AE12">
        <v>5.2203558299999999</v>
      </c>
    </row>
    <row r="13" spans="1:31" x14ac:dyDescent="0.2">
      <c r="A13">
        <v>3.2851944400000002</v>
      </c>
      <c r="B13">
        <v>5.4806389199999996</v>
      </c>
      <c r="C13">
        <v>5.2311086199999997</v>
      </c>
      <c r="D13">
        <v>5.4161004000000004</v>
      </c>
      <c r="E13">
        <v>5.1817835499999996</v>
      </c>
      <c r="F13">
        <v>5.4249500199999998</v>
      </c>
      <c r="G13">
        <v>5.2203558299999999</v>
      </c>
      <c r="I13">
        <v>3.2851944400000002</v>
      </c>
      <c r="J13">
        <v>5.4161004000000004</v>
      </c>
      <c r="K13">
        <v>5.2257466700000004</v>
      </c>
      <c r="L13">
        <v>5.4595855100000001</v>
      </c>
      <c r="M13">
        <v>5.2364419599999996</v>
      </c>
      <c r="N13">
        <v>5.4205350000000001</v>
      </c>
      <c r="O13">
        <v>5.2311086199999997</v>
      </c>
      <c r="Q13">
        <v>3.2851944400000002</v>
      </c>
      <c r="R13">
        <v>5.4249500199999998</v>
      </c>
      <c r="S13">
        <v>5.1929568499999998</v>
      </c>
      <c r="T13">
        <v>5.4293456300000003</v>
      </c>
      <c r="U13">
        <v>5.2257466700000004</v>
      </c>
      <c r="V13">
        <v>5.43807931</v>
      </c>
      <c r="W13">
        <v>5.2203558299999999</v>
      </c>
      <c r="Y13">
        <v>3.2851944400000002</v>
      </c>
      <c r="Z13">
        <v>5.43807931</v>
      </c>
      <c r="AA13">
        <v>5.2522734299999998</v>
      </c>
      <c r="AB13">
        <v>5.4249500199999998</v>
      </c>
      <c r="AC13">
        <v>5.2203558299999999</v>
      </c>
      <c r="AD13">
        <v>5.4161004000000004</v>
      </c>
      <c r="AE13">
        <v>5.2203558299999999</v>
      </c>
    </row>
    <row r="14" spans="1:31" x14ac:dyDescent="0.2">
      <c r="A14">
        <v>3.6501944399999999</v>
      </c>
      <c r="B14">
        <v>5.4847969299999999</v>
      </c>
      <c r="C14">
        <v>5.2626901899999998</v>
      </c>
      <c r="D14">
        <v>5.4510384500000004</v>
      </c>
      <c r="E14">
        <v>5.2364419599999996</v>
      </c>
      <c r="F14">
        <v>5.4116460499999999</v>
      </c>
      <c r="G14">
        <v>5.2257466700000004</v>
      </c>
      <c r="I14">
        <v>3.6501944399999999</v>
      </c>
      <c r="J14">
        <v>5.3981627000000003</v>
      </c>
      <c r="K14">
        <v>5.2257466700000004</v>
      </c>
      <c r="L14">
        <v>5.4467373700000001</v>
      </c>
      <c r="M14">
        <v>5.24174702</v>
      </c>
      <c r="N14">
        <v>5.4249500199999998</v>
      </c>
      <c r="O14">
        <v>5.2364419599999996</v>
      </c>
      <c r="Q14">
        <v>3.6501944399999999</v>
      </c>
      <c r="R14">
        <v>5.4337220000000004</v>
      </c>
      <c r="S14">
        <v>5.20948615</v>
      </c>
      <c r="T14">
        <v>5.44241771</v>
      </c>
      <c r="U14">
        <v>5.2470240700000002</v>
      </c>
      <c r="V14">
        <v>5.43807931</v>
      </c>
      <c r="W14">
        <v>5.2364419599999996</v>
      </c>
      <c r="Y14">
        <v>3.6501944399999999</v>
      </c>
      <c r="Z14">
        <v>5.4116460499999999</v>
      </c>
      <c r="AA14">
        <v>5.2522734299999998</v>
      </c>
      <c r="AB14">
        <v>5.4205350000000001</v>
      </c>
      <c r="AC14">
        <v>5.2470240700000002</v>
      </c>
      <c r="AD14">
        <v>5.4249500199999998</v>
      </c>
      <c r="AE14">
        <v>5.20948615</v>
      </c>
    </row>
    <row r="15" spans="1:31" x14ac:dyDescent="0.2">
      <c r="A15">
        <v>4.0152222200000001</v>
      </c>
      <c r="B15">
        <v>5.4806389199999996</v>
      </c>
      <c r="C15">
        <v>5.2470240700000002</v>
      </c>
      <c r="D15">
        <v>5.4249500199999998</v>
      </c>
      <c r="E15">
        <v>5.2203558299999999</v>
      </c>
      <c r="F15">
        <v>5.4071717699999997</v>
      </c>
      <c r="G15">
        <v>5.2149357600000004</v>
      </c>
      <c r="I15">
        <v>4.0152222200000001</v>
      </c>
      <c r="J15">
        <v>5.4161004000000004</v>
      </c>
      <c r="K15">
        <v>5.2364419599999996</v>
      </c>
      <c r="L15">
        <v>5.4553211199999998</v>
      </c>
      <c r="M15">
        <v>5.2257466700000004</v>
      </c>
      <c r="N15">
        <v>5.4249500199999998</v>
      </c>
      <c r="O15">
        <v>5.2522734299999998</v>
      </c>
      <c r="Q15">
        <v>4.0152222200000001</v>
      </c>
      <c r="R15">
        <v>5.4249500199999998</v>
      </c>
      <c r="S15">
        <v>5.2149357600000004</v>
      </c>
      <c r="T15">
        <v>5.4337220000000004</v>
      </c>
      <c r="U15">
        <v>5.2311086199999997</v>
      </c>
      <c r="V15">
        <v>5.44241771</v>
      </c>
      <c r="W15">
        <v>5.2470240700000002</v>
      </c>
      <c r="Y15">
        <v>4.0152222200000001</v>
      </c>
      <c r="Z15">
        <v>5.4116460499999999</v>
      </c>
      <c r="AA15">
        <v>5.2522734299999998</v>
      </c>
      <c r="AB15">
        <v>5.4337220000000004</v>
      </c>
      <c r="AC15">
        <v>5.24174702</v>
      </c>
      <c r="AD15">
        <v>5.43807931</v>
      </c>
      <c r="AE15">
        <v>5.2257466700000004</v>
      </c>
    </row>
    <row r="16" spans="1:31" x14ac:dyDescent="0.2">
      <c r="A16">
        <v>4.3802222200000003</v>
      </c>
      <c r="B16">
        <v>5.4806389199999996</v>
      </c>
      <c r="C16">
        <v>5.2933048200000004</v>
      </c>
      <c r="D16">
        <v>5.4293456300000003</v>
      </c>
      <c r="E16">
        <v>5.2678581600000003</v>
      </c>
      <c r="F16">
        <v>5.4249500199999998</v>
      </c>
      <c r="G16">
        <v>5.2678581600000003</v>
      </c>
      <c r="I16">
        <v>4.3802222200000003</v>
      </c>
      <c r="J16">
        <v>5.4205350000000001</v>
      </c>
      <c r="K16">
        <v>5.27811466</v>
      </c>
      <c r="L16">
        <v>5.43807931</v>
      </c>
      <c r="M16">
        <v>5.2832037300000003</v>
      </c>
      <c r="N16">
        <v>5.4293456300000003</v>
      </c>
      <c r="O16">
        <v>5.2882670300000001</v>
      </c>
      <c r="Q16">
        <v>4.3802222200000003</v>
      </c>
      <c r="R16">
        <v>5.4293456300000003</v>
      </c>
      <c r="S16">
        <v>5.2678581600000003</v>
      </c>
      <c r="T16">
        <v>5.4467373700000001</v>
      </c>
      <c r="U16">
        <v>5.2729995599999997</v>
      </c>
      <c r="V16">
        <v>5.4205350000000001</v>
      </c>
      <c r="W16">
        <v>5.2882670300000001</v>
      </c>
      <c r="Y16">
        <v>4.3802222200000003</v>
      </c>
      <c r="Z16">
        <v>5.4071717699999997</v>
      </c>
      <c r="AA16">
        <v>5.3033049099999996</v>
      </c>
      <c r="AB16">
        <v>5.4205350000000001</v>
      </c>
      <c r="AC16">
        <v>5.2983173700000004</v>
      </c>
      <c r="AD16">
        <v>5.4337220000000004</v>
      </c>
      <c r="AE16">
        <v>5.2470240700000002</v>
      </c>
    </row>
    <row r="17" spans="1:31" x14ac:dyDescent="0.2">
      <c r="A17">
        <v>4.7452500000000004</v>
      </c>
      <c r="B17">
        <v>5.4806389199999996</v>
      </c>
      <c r="C17">
        <v>5.2882670300000001</v>
      </c>
      <c r="D17">
        <v>5.4293456300000003</v>
      </c>
      <c r="E17">
        <v>5.2678581600000003</v>
      </c>
      <c r="F17">
        <v>5.4071717699999997</v>
      </c>
      <c r="G17">
        <v>5.2729995599999997</v>
      </c>
      <c r="I17">
        <v>4.7452500000000004</v>
      </c>
      <c r="J17">
        <v>5.4161004000000004</v>
      </c>
      <c r="K17">
        <v>5.2882670300000001</v>
      </c>
      <c r="L17">
        <v>5.4510384500000004</v>
      </c>
      <c r="M17">
        <v>5.2832037300000003</v>
      </c>
      <c r="N17">
        <v>5.4205350000000001</v>
      </c>
      <c r="O17">
        <v>5.2882670300000001</v>
      </c>
      <c r="Q17">
        <v>4.7452500000000004</v>
      </c>
      <c r="R17">
        <v>5.4293456300000003</v>
      </c>
      <c r="S17">
        <v>5.2678581600000003</v>
      </c>
      <c r="T17">
        <v>5.4595855100000001</v>
      </c>
      <c r="U17">
        <v>5.2882670300000001</v>
      </c>
      <c r="V17">
        <v>5.4510384500000004</v>
      </c>
      <c r="W17">
        <v>5.27811466</v>
      </c>
      <c r="Y17">
        <v>4.7452500000000004</v>
      </c>
      <c r="Z17">
        <v>5.4116460499999999</v>
      </c>
      <c r="AA17">
        <v>5.3033049099999996</v>
      </c>
      <c r="AB17">
        <v>5.43807931</v>
      </c>
      <c r="AC17">
        <v>5.2933048200000004</v>
      </c>
      <c r="AD17">
        <v>5.4071717699999997</v>
      </c>
      <c r="AE17">
        <v>5.2678581600000003</v>
      </c>
    </row>
    <row r="18" spans="1:31" x14ac:dyDescent="0.2">
      <c r="A18">
        <v>5.1102499999999997</v>
      </c>
      <c r="B18">
        <v>5.4722706700000003</v>
      </c>
      <c r="C18">
        <v>5.24174702</v>
      </c>
      <c r="D18">
        <v>5.4638318100000003</v>
      </c>
      <c r="E18">
        <v>5.2203558299999999</v>
      </c>
      <c r="F18">
        <v>5.4161004000000004</v>
      </c>
      <c r="G18">
        <v>5.2203558299999999</v>
      </c>
      <c r="I18">
        <v>5.1102499999999997</v>
      </c>
      <c r="J18">
        <v>5.4205350000000001</v>
      </c>
      <c r="K18">
        <v>5.2364419599999996</v>
      </c>
      <c r="L18">
        <v>5.44241771</v>
      </c>
      <c r="M18">
        <v>5.2522734299999998</v>
      </c>
      <c r="N18">
        <v>5.4161004000000004</v>
      </c>
      <c r="O18">
        <v>5.2311086199999997</v>
      </c>
      <c r="Q18">
        <v>5.1102499999999997</v>
      </c>
      <c r="R18">
        <v>5.4293456300000003</v>
      </c>
      <c r="S18">
        <v>5.1929568499999998</v>
      </c>
      <c r="T18">
        <v>5.4510384500000004</v>
      </c>
      <c r="U18">
        <v>5.24174702</v>
      </c>
      <c r="V18">
        <v>5.4337220000000004</v>
      </c>
      <c r="W18">
        <v>5.2311086199999997</v>
      </c>
      <c r="Y18">
        <v>5.1102499999999997</v>
      </c>
      <c r="Z18">
        <v>5.4249500199999998</v>
      </c>
      <c r="AA18">
        <v>5.2364419599999996</v>
      </c>
      <c r="AB18">
        <v>5.4161004000000004</v>
      </c>
      <c r="AC18">
        <v>5.2522734299999998</v>
      </c>
      <c r="AD18">
        <v>5.43807931</v>
      </c>
      <c r="AE18">
        <v>5.2203558299999999</v>
      </c>
    </row>
    <row r="19" spans="1:31" x14ac:dyDescent="0.2">
      <c r="A19">
        <v>5.47525</v>
      </c>
      <c r="B19">
        <v>5.4764635500000001</v>
      </c>
      <c r="C19">
        <v>5.3082677</v>
      </c>
      <c r="D19">
        <v>5.4205350000000001</v>
      </c>
      <c r="E19">
        <v>5.2678581600000003</v>
      </c>
      <c r="F19">
        <v>5.4116460499999999</v>
      </c>
      <c r="G19">
        <v>5.2933048200000004</v>
      </c>
      <c r="I19">
        <v>5.47525</v>
      </c>
      <c r="J19">
        <v>5.43807931</v>
      </c>
      <c r="K19">
        <v>5.3033049099999996</v>
      </c>
      <c r="L19">
        <v>5.4249500199999998</v>
      </c>
      <c r="M19">
        <v>5.2832037300000003</v>
      </c>
      <c r="N19">
        <v>5.4116460499999999</v>
      </c>
      <c r="O19">
        <v>5.2882670300000001</v>
      </c>
      <c r="Q19">
        <v>5.47525</v>
      </c>
      <c r="R19">
        <v>5.4071717699999997</v>
      </c>
      <c r="S19">
        <v>5.2678581600000003</v>
      </c>
      <c r="T19">
        <v>5.43807931</v>
      </c>
      <c r="U19">
        <v>5.2832037300000003</v>
      </c>
      <c r="V19">
        <v>5.44241771</v>
      </c>
      <c r="W19">
        <v>5.2832037300000003</v>
      </c>
      <c r="Y19">
        <v>5.47525</v>
      </c>
      <c r="Z19">
        <v>5.4026773800000001</v>
      </c>
      <c r="AA19">
        <v>5.3181199899999996</v>
      </c>
      <c r="AB19">
        <v>5.4249500199999998</v>
      </c>
      <c r="AC19">
        <v>5.3033049099999996</v>
      </c>
      <c r="AD19">
        <v>5.4337220000000004</v>
      </c>
      <c r="AE19">
        <v>5.2729995599999997</v>
      </c>
    </row>
    <row r="20" spans="1:31" x14ac:dyDescent="0.2">
      <c r="A20">
        <v>5.8402777800000001</v>
      </c>
      <c r="B20">
        <v>5.4847969299999999</v>
      </c>
      <c r="C20">
        <v>5.25749537</v>
      </c>
      <c r="D20">
        <v>5.4337220000000004</v>
      </c>
      <c r="E20">
        <v>5.2311086199999997</v>
      </c>
      <c r="F20">
        <v>5.4249500199999998</v>
      </c>
      <c r="G20">
        <v>5.2149357600000004</v>
      </c>
      <c r="I20">
        <v>5.8402777800000001</v>
      </c>
      <c r="J20">
        <v>5.4293456300000003</v>
      </c>
      <c r="K20">
        <v>5.2311086199999997</v>
      </c>
      <c r="L20">
        <v>5.4467373700000001</v>
      </c>
      <c r="M20">
        <v>5.24174702</v>
      </c>
      <c r="N20">
        <v>5.4337220000000004</v>
      </c>
      <c r="O20">
        <v>5.24174702</v>
      </c>
      <c r="Q20">
        <v>5.8402777800000001</v>
      </c>
      <c r="R20">
        <v>5.4337220000000004</v>
      </c>
      <c r="S20">
        <v>5.2040066899999999</v>
      </c>
      <c r="T20">
        <v>5.4337220000000004</v>
      </c>
      <c r="U20">
        <v>5.2203558299999999</v>
      </c>
      <c r="V20">
        <v>5.43807931</v>
      </c>
      <c r="W20">
        <v>5.2311086199999997</v>
      </c>
      <c r="Y20">
        <v>5.8402777800000001</v>
      </c>
      <c r="Z20">
        <v>5.4205350000000001</v>
      </c>
      <c r="AA20">
        <v>5.25749537</v>
      </c>
      <c r="AB20">
        <v>5.43807931</v>
      </c>
      <c r="AC20">
        <v>5.2364419599999996</v>
      </c>
      <c r="AD20">
        <v>5.4249500199999998</v>
      </c>
      <c r="AE20">
        <v>5.2257466700000004</v>
      </c>
    </row>
    <row r="21" spans="1:31" x14ac:dyDescent="0.2">
      <c r="A21">
        <v>6.2052777800000003</v>
      </c>
      <c r="B21">
        <v>5.4971682299999998</v>
      </c>
      <c r="C21">
        <v>5.3132059800000002</v>
      </c>
      <c r="D21">
        <v>5.4337220000000004</v>
      </c>
      <c r="E21">
        <v>5.2678581600000003</v>
      </c>
      <c r="F21">
        <v>5.4161004000000004</v>
      </c>
      <c r="G21">
        <v>5.2832037300000003</v>
      </c>
      <c r="I21">
        <v>6.2052777800000003</v>
      </c>
      <c r="J21">
        <v>5.4293456300000003</v>
      </c>
      <c r="K21">
        <v>5.3033049099999996</v>
      </c>
      <c r="L21">
        <v>5.43807931</v>
      </c>
      <c r="M21">
        <v>5.3327187900000004</v>
      </c>
      <c r="N21">
        <v>5.4205350000000001</v>
      </c>
      <c r="O21">
        <v>5.2882670300000001</v>
      </c>
      <c r="Q21">
        <v>6.2052777800000003</v>
      </c>
      <c r="R21">
        <v>5.44241771</v>
      </c>
      <c r="S21">
        <v>5.2832037300000003</v>
      </c>
      <c r="T21">
        <v>5.4249500199999998</v>
      </c>
      <c r="U21">
        <v>5.2832037300000003</v>
      </c>
      <c r="V21">
        <v>5.4337220000000004</v>
      </c>
      <c r="W21">
        <v>5.3082677</v>
      </c>
      <c r="Y21">
        <v>6.2052777800000003</v>
      </c>
      <c r="Z21">
        <v>5.4337220000000004</v>
      </c>
      <c r="AA21">
        <v>5.3082677</v>
      </c>
      <c r="AB21">
        <v>5.4337220000000004</v>
      </c>
      <c r="AC21">
        <v>5.3132059800000002</v>
      </c>
      <c r="AD21">
        <v>5.43807931</v>
      </c>
      <c r="AE21">
        <v>5.2882670300000001</v>
      </c>
    </row>
    <row r="22" spans="1:31" x14ac:dyDescent="0.2">
      <c r="A22">
        <v>6.5703055600000004</v>
      </c>
      <c r="B22">
        <v>5.4806389199999996</v>
      </c>
      <c r="C22">
        <v>5.43807931</v>
      </c>
      <c r="D22">
        <v>5.43807931</v>
      </c>
      <c r="E22">
        <v>5.4337220000000004</v>
      </c>
      <c r="F22">
        <v>5.4249500199999998</v>
      </c>
      <c r="G22">
        <v>5.43807931</v>
      </c>
      <c r="I22">
        <v>6.5703055600000004</v>
      </c>
      <c r="J22">
        <v>5.4249500199999998</v>
      </c>
      <c r="K22">
        <v>5.4638318100000003</v>
      </c>
      <c r="L22">
        <v>5.44241771</v>
      </c>
      <c r="M22">
        <v>5.44241771</v>
      </c>
      <c r="N22">
        <v>5.4293456300000003</v>
      </c>
      <c r="O22">
        <v>5.44241771</v>
      </c>
      <c r="Q22">
        <v>6.5703055600000004</v>
      </c>
      <c r="R22">
        <v>5.4293456300000003</v>
      </c>
      <c r="S22">
        <v>5.4161004000000004</v>
      </c>
      <c r="T22">
        <v>5.4467373700000001</v>
      </c>
      <c r="U22">
        <v>5.44241771</v>
      </c>
      <c r="V22">
        <v>5.4249500199999998</v>
      </c>
      <c r="W22">
        <v>5.43807931</v>
      </c>
      <c r="Y22">
        <v>6.5703055600000004</v>
      </c>
      <c r="Z22">
        <v>5.4116460499999999</v>
      </c>
      <c r="AA22">
        <v>5.4638318100000003</v>
      </c>
      <c r="AB22">
        <v>5.43807931</v>
      </c>
      <c r="AC22">
        <v>5.4638318100000003</v>
      </c>
      <c r="AD22">
        <v>5.44241771</v>
      </c>
      <c r="AE22">
        <v>5.4337220000000004</v>
      </c>
    </row>
    <row r="23" spans="1:31" x14ac:dyDescent="0.2">
      <c r="A23">
        <v>6.9353055599999998</v>
      </c>
      <c r="B23">
        <v>5.48893773</v>
      </c>
      <c r="C23">
        <v>5.4806389199999996</v>
      </c>
      <c r="D23">
        <v>5.43807931</v>
      </c>
      <c r="E23">
        <v>5.4595855100000001</v>
      </c>
      <c r="F23">
        <v>5.4337220000000004</v>
      </c>
      <c r="G23">
        <v>5.48893773</v>
      </c>
      <c r="I23">
        <v>6.9353055599999998</v>
      </c>
      <c r="J23">
        <v>5.4337220000000004</v>
      </c>
      <c r="K23">
        <v>5.4806389199999996</v>
      </c>
      <c r="L23">
        <v>5.4337220000000004</v>
      </c>
      <c r="M23">
        <v>5.4806389199999996</v>
      </c>
      <c r="N23">
        <v>5.4337220000000004</v>
      </c>
      <c r="O23">
        <v>5.4847969299999999</v>
      </c>
      <c r="Q23">
        <v>6.9353055599999998</v>
      </c>
      <c r="R23">
        <v>5.43807931</v>
      </c>
      <c r="S23">
        <v>5.43807931</v>
      </c>
      <c r="T23">
        <v>5.43807931</v>
      </c>
      <c r="U23">
        <v>5.4553211199999998</v>
      </c>
      <c r="V23">
        <v>5.43807931</v>
      </c>
      <c r="W23">
        <v>5.48893773</v>
      </c>
      <c r="Y23">
        <v>6.9353055599999998</v>
      </c>
      <c r="Z23">
        <v>5.4205350000000001</v>
      </c>
      <c r="AA23">
        <v>5.49306144</v>
      </c>
      <c r="AB23">
        <v>5.43807931</v>
      </c>
      <c r="AC23">
        <v>5.48893773</v>
      </c>
      <c r="AD23">
        <v>5.4337220000000004</v>
      </c>
      <c r="AE23">
        <v>5.4722706700000003</v>
      </c>
    </row>
    <row r="24" spans="1:31" x14ac:dyDescent="0.2">
      <c r="A24">
        <v>7.30033333</v>
      </c>
      <c r="B24">
        <v>5.48893773</v>
      </c>
      <c r="C24">
        <v>5.2678581600000003</v>
      </c>
      <c r="D24">
        <v>5.43807931</v>
      </c>
      <c r="E24">
        <v>5.2257466700000004</v>
      </c>
      <c r="F24">
        <v>5.4293456300000003</v>
      </c>
      <c r="G24">
        <v>5.2470240700000002</v>
      </c>
      <c r="I24">
        <v>7.30033333</v>
      </c>
      <c r="J24">
        <v>5.4249500199999998</v>
      </c>
      <c r="K24">
        <v>5.2470240700000002</v>
      </c>
      <c r="L24">
        <v>5.4510384500000004</v>
      </c>
      <c r="M24">
        <v>5.2522734299999998</v>
      </c>
      <c r="N24">
        <v>5.44241771</v>
      </c>
      <c r="O24">
        <v>5.2522734299999998</v>
      </c>
      <c r="Q24">
        <v>7.30033333</v>
      </c>
      <c r="R24">
        <v>5.4205350000000001</v>
      </c>
      <c r="S24">
        <v>5.24174702</v>
      </c>
      <c r="T24">
        <v>5.43807931</v>
      </c>
      <c r="U24">
        <v>5.2470240700000002</v>
      </c>
      <c r="V24">
        <v>5.4553211199999998</v>
      </c>
      <c r="W24">
        <v>5.2678581600000003</v>
      </c>
      <c r="Y24">
        <v>7.30033333</v>
      </c>
      <c r="Z24">
        <v>5.4249500199999998</v>
      </c>
      <c r="AA24">
        <v>5.2678581600000003</v>
      </c>
      <c r="AB24">
        <v>5.4553211199999998</v>
      </c>
      <c r="AC24">
        <v>5.2522734299999998</v>
      </c>
      <c r="AD24">
        <v>5.4293456300000003</v>
      </c>
      <c r="AE24">
        <v>5.2311086199999997</v>
      </c>
    </row>
    <row r="25" spans="1:31" x14ac:dyDescent="0.2">
      <c r="A25">
        <v>7.6653333300000002</v>
      </c>
      <c r="B25">
        <v>5.48893773</v>
      </c>
      <c r="C25">
        <v>5.2626901899999998</v>
      </c>
      <c r="D25">
        <v>5.43807931</v>
      </c>
      <c r="E25">
        <v>5.2311086199999997</v>
      </c>
      <c r="F25">
        <v>5.43807931</v>
      </c>
      <c r="G25">
        <v>5.2040066899999999</v>
      </c>
      <c r="I25">
        <v>7.6653333300000002</v>
      </c>
      <c r="J25">
        <v>5.4116460499999999</v>
      </c>
      <c r="K25">
        <v>5.24174702</v>
      </c>
      <c r="L25">
        <v>5.4680601400000004</v>
      </c>
      <c r="M25">
        <v>5.2522734299999998</v>
      </c>
      <c r="N25">
        <v>5.4249500199999998</v>
      </c>
      <c r="O25">
        <v>5.2470240700000002</v>
      </c>
      <c r="Q25">
        <v>7.6653333300000002</v>
      </c>
      <c r="R25">
        <v>5.4553211199999998</v>
      </c>
      <c r="S25">
        <v>5.1984970300000004</v>
      </c>
      <c r="T25">
        <v>5.4722706700000003</v>
      </c>
      <c r="U25">
        <v>5.2257466700000004</v>
      </c>
      <c r="V25">
        <v>5.4510384500000004</v>
      </c>
      <c r="W25">
        <v>5.2470240700000002</v>
      </c>
      <c r="Y25">
        <v>7.6653333300000002</v>
      </c>
      <c r="Z25">
        <v>5.4337220000000004</v>
      </c>
      <c r="AA25">
        <v>5.2729995599999997</v>
      </c>
      <c r="AB25">
        <v>5.4337220000000004</v>
      </c>
      <c r="AC25">
        <v>5.25749537</v>
      </c>
      <c r="AD25">
        <v>5.4293456300000003</v>
      </c>
      <c r="AE25">
        <v>5.2257466700000004</v>
      </c>
    </row>
    <row r="26" spans="1:31" x14ac:dyDescent="0.2">
      <c r="A26">
        <v>8.0303611099999994</v>
      </c>
      <c r="B26">
        <v>5.4764635500000001</v>
      </c>
      <c r="C26">
        <v>5.5053315400000002</v>
      </c>
      <c r="D26">
        <v>5.43807931</v>
      </c>
      <c r="E26">
        <v>5.5012582099999996</v>
      </c>
      <c r="F26">
        <v>5.4116460499999999</v>
      </c>
      <c r="G26">
        <v>5.5012582099999996</v>
      </c>
      <c r="I26">
        <v>8.0303611099999994</v>
      </c>
      <c r="J26">
        <v>5.4249500199999998</v>
      </c>
      <c r="K26">
        <v>5.4971682299999998</v>
      </c>
      <c r="L26">
        <v>5.4510384500000004</v>
      </c>
      <c r="M26">
        <v>5.52146092</v>
      </c>
      <c r="N26">
        <v>5.4467373700000001</v>
      </c>
      <c r="O26">
        <v>5.5134287500000001</v>
      </c>
      <c r="Q26">
        <v>8.0303611099999994</v>
      </c>
      <c r="R26">
        <v>5.4293456300000003</v>
      </c>
      <c r="S26">
        <v>5.4806389199999996</v>
      </c>
      <c r="T26">
        <v>5.4553211199999998</v>
      </c>
      <c r="U26">
        <v>5.49306144</v>
      </c>
      <c r="V26">
        <v>5.44241771</v>
      </c>
      <c r="W26">
        <v>5.5134287500000001</v>
      </c>
      <c r="Y26">
        <v>8.0303611099999994</v>
      </c>
      <c r="Z26">
        <v>5.4205350000000001</v>
      </c>
      <c r="AA26">
        <v>5.5373342699999997</v>
      </c>
      <c r="AB26">
        <v>5.43807931</v>
      </c>
      <c r="AC26">
        <v>5.52146092</v>
      </c>
      <c r="AD26">
        <v>5.44241771</v>
      </c>
      <c r="AE26">
        <v>5.4971682299999998</v>
      </c>
    </row>
    <row r="27" spans="1:31" x14ac:dyDescent="0.2">
      <c r="A27">
        <v>8.3953611099999996</v>
      </c>
      <c r="B27">
        <v>5.49306144</v>
      </c>
      <c r="C27">
        <v>5.48893773</v>
      </c>
      <c r="D27">
        <v>5.4595855100000001</v>
      </c>
      <c r="E27">
        <v>5.4510384500000004</v>
      </c>
      <c r="F27">
        <v>5.4249500199999998</v>
      </c>
      <c r="G27">
        <v>5.4764635500000001</v>
      </c>
      <c r="I27">
        <v>8.3953611099999996</v>
      </c>
      <c r="J27">
        <v>5.4161004000000004</v>
      </c>
      <c r="K27">
        <v>5.4847969299999999</v>
      </c>
      <c r="L27">
        <v>5.4553211199999998</v>
      </c>
      <c r="M27">
        <v>5.4971682299999998</v>
      </c>
      <c r="N27">
        <v>5.4467373700000001</v>
      </c>
      <c r="O27">
        <v>5.5012582099999996</v>
      </c>
      <c r="Q27">
        <v>8.3953611099999996</v>
      </c>
      <c r="R27">
        <v>5.4293456300000003</v>
      </c>
      <c r="S27">
        <v>5.4722706700000003</v>
      </c>
      <c r="T27">
        <v>5.4510384500000004</v>
      </c>
      <c r="U27">
        <v>5.4595855100000001</v>
      </c>
      <c r="V27">
        <v>5.4510384500000004</v>
      </c>
      <c r="W27">
        <v>5.4971682299999998</v>
      </c>
      <c r="Y27">
        <v>8.3953611099999996</v>
      </c>
      <c r="Z27">
        <v>5.4161004000000004</v>
      </c>
      <c r="AA27">
        <v>5.5093883400000001</v>
      </c>
      <c r="AB27">
        <v>5.4510384500000004</v>
      </c>
      <c r="AC27">
        <v>5.49306144</v>
      </c>
      <c r="AD27">
        <v>5.44241771</v>
      </c>
      <c r="AE27">
        <v>5.4847969299999999</v>
      </c>
    </row>
    <row r="28" spans="1:31" x14ac:dyDescent="0.2">
      <c r="A28">
        <v>8.7603611099999998</v>
      </c>
      <c r="B28">
        <v>5.5012582099999996</v>
      </c>
      <c r="C28">
        <v>5.4116460499999999</v>
      </c>
      <c r="D28">
        <v>5.4638318100000003</v>
      </c>
      <c r="E28">
        <v>5.3981627000000003</v>
      </c>
      <c r="F28">
        <v>5.4205350000000001</v>
      </c>
      <c r="G28">
        <v>5.4337220000000004</v>
      </c>
      <c r="I28">
        <v>8.7603611099999998</v>
      </c>
      <c r="J28">
        <v>5.4293456300000003</v>
      </c>
      <c r="K28">
        <v>5.4071717699999997</v>
      </c>
      <c r="L28">
        <v>5.4553211199999998</v>
      </c>
      <c r="M28">
        <v>5.4337220000000004</v>
      </c>
      <c r="N28">
        <v>5.44241771</v>
      </c>
      <c r="O28">
        <v>5.4249500199999998</v>
      </c>
      <c r="Q28">
        <v>8.7603611099999998</v>
      </c>
      <c r="R28">
        <v>5.44241771</v>
      </c>
      <c r="S28">
        <v>5.4116460499999999</v>
      </c>
      <c r="T28">
        <v>5.4595855100000001</v>
      </c>
      <c r="U28">
        <v>5.4205350000000001</v>
      </c>
      <c r="V28">
        <v>5.4510384500000004</v>
      </c>
      <c r="W28">
        <v>5.4293456300000003</v>
      </c>
      <c r="Y28">
        <v>8.7603611099999998</v>
      </c>
      <c r="Z28">
        <v>5.4293456300000003</v>
      </c>
      <c r="AA28">
        <v>5.4510384500000004</v>
      </c>
      <c r="AB28">
        <v>5.44241771</v>
      </c>
      <c r="AC28">
        <v>5.4337220000000004</v>
      </c>
      <c r="AD28">
        <v>5.44241771</v>
      </c>
      <c r="AE28">
        <v>5.4026773800000001</v>
      </c>
    </row>
    <row r="29" spans="1:31" x14ac:dyDescent="0.2">
      <c r="A29">
        <v>9.12538889</v>
      </c>
      <c r="B29">
        <v>5.5012582099999996</v>
      </c>
      <c r="C29">
        <v>5.2729995599999997</v>
      </c>
      <c r="D29">
        <v>5.4467373700000001</v>
      </c>
      <c r="E29">
        <v>5.2470240700000002</v>
      </c>
      <c r="F29">
        <v>5.4467373700000001</v>
      </c>
      <c r="G29">
        <v>5.25749537</v>
      </c>
      <c r="I29">
        <v>9.12538889</v>
      </c>
      <c r="J29">
        <v>5.44241771</v>
      </c>
      <c r="K29">
        <v>5.2678581600000003</v>
      </c>
      <c r="L29">
        <v>5.4680601400000004</v>
      </c>
      <c r="M29">
        <v>5.2626901899999998</v>
      </c>
      <c r="N29">
        <v>5.44241771</v>
      </c>
      <c r="O29">
        <v>5.2678581600000003</v>
      </c>
      <c r="Q29">
        <v>9.12538889</v>
      </c>
      <c r="R29">
        <v>5.4293456300000003</v>
      </c>
      <c r="S29">
        <v>5.2364419599999996</v>
      </c>
      <c r="T29">
        <v>5.4510384500000004</v>
      </c>
      <c r="U29">
        <v>5.24174702</v>
      </c>
      <c r="V29">
        <v>5.4595855100000001</v>
      </c>
      <c r="W29">
        <v>5.2626901899999998</v>
      </c>
      <c r="Y29">
        <v>9.12538889</v>
      </c>
      <c r="Z29">
        <v>5.43807931</v>
      </c>
      <c r="AA29">
        <v>5.2678581600000003</v>
      </c>
      <c r="AB29">
        <v>5.4638318100000003</v>
      </c>
      <c r="AC29">
        <v>5.2832037300000003</v>
      </c>
      <c r="AD29">
        <v>5.4467373700000001</v>
      </c>
      <c r="AE29">
        <v>5.2364419599999996</v>
      </c>
    </row>
    <row r="30" spans="1:31" x14ac:dyDescent="0.2">
      <c r="A30">
        <v>9.4904166700000001</v>
      </c>
      <c r="B30">
        <v>5.4971682299999998</v>
      </c>
      <c r="C30">
        <v>5.3278761699999997</v>
      </c>
      <c r="D30">
        <v>5.4467373700000001</v>
      </c>
      <c r="E30">
        <v>5.2933048200000004</v>
      </c>
      <c r="F30">
        <v>5.43807931</v>
      </c>
      <c r="G30">
        <v>5.3033049099999996</v>
      </c>
      <c r="I30">
        <v>9.4904166700000001</v>
      </c>
      <c r="J30">
        <v>5.44241771</v>
      </c>
      <c r="K30">
        <v>5.3082677</v>
      </c>
      <c r="L30">
        <v>5.4680601400000004</v>
      </c>
      <c r="M30">
        <v>5.3082677</v>
      </c>
      <c r="N30">
        <v>5.4553211199999998</v>
      </c>
      <c r="O30">
        <v>5.3082677</v>
      </c>
      <c r="Q30">
        <v>9.4904166700000001</v>
      </c>
      <c r="R30">
        <v>5.44241771</v>
      </c>
      <c r="S30">
        <v>5.2626901899999998</v>
      </c>
      <c r="T30">
        <v>5.4595855100000001</v>
      </c>
      <c r="U30">
        <v>5.2983173700000004</v>
      </c>
      <c r="V30">
        <v>5.4553211199999998</v>
      </c>
      <c r="W30">
        <v>5.3082677</v>
      </c>
      <c r="Y30">
        <v>9.4904166700000001</v>
      </c>
      <c r="Z30">
        <v>5.4467373700000001</v>
      </c>
      <c r="AA30">
        <v>5.3132059800000002</v>
      </c>
      <c r="AB30">
        <v>5.4467373700000001</v>
      </c>
      <c r="AC30">
        <v>5.3033049099999996</v>
      </c>
      <c r="AD30">
        <v>5.44241771</v>
      </c>
      <c r="AE30">
        <v>5.2729995599999997</v>
      </c>
    </row>
    <row r="31" spans="1:31" x14ac:dyDescent="0.2">
      <c r="A31">
        <v>9.8554166700000003</v>
      </c>
      <c r="B31">
        <v>5.4722706700000003</v>
      </c>
      <c r="C31">
        <v>5.3082677</v>
      </c>
      <c r="D31">
        <v>5.4510384500000004</v>
      </c>
      <c r="E31">
        <v>5.27811466</v>
      </c>
      <c r="F31">
        <v>5.4510384500000004</v>
      </c>
      <c r="G31">
        <v>5.2729995599999997</v>
      </c>
      <c r="I31">
        <v>9.8554166700000003</v>
      </c>
      <c r="J31">
        <v>5.4205350000000001</v>
      </c>
      <c r="K31">
        <v>5.2882670300000001</v>
      </c>
      <c r="L31">
        <v>5.4680601400000004</v>
      </c>
      <c r="M31">
        <v>5.3082677</v>
      </c>
      <c r="N31">
        <v>5.4595855100000001</v>
      </c>
      <c r="O31">
        <v>5.2933048200000004</v>
      </c>
      <c r="Q31">
        <v>9.8554166700000003</v>
      </c>
      <c r="R31">
        <v>5.4205350000000001</v>
      </c>
      <c r="S31">
        <v>5.2729995599999997</v>
      </c>
      <c r="T31">
        <v>5.4638318100000003</v>
      </c>
      <c r="U31">
        <v>5.27811466</v>
      </c>
      <c r="V31">
        <v>5.4722706700000003</v>
      </c>
      <c r="W31">
        <v>5.3132059800000002</v>
      </c>
      <c r="Y31">
        <v>9.8554166700000003</v>
      </c>
      <c r="Z31">
        <v>5.4205350000000001</v>
      </c>
      <c r="AA31">
        <v>5.3181199899999996</v>
      </c>
      <c r="AB31">
        <v>5.44241771</v>
      </c>
      <c r="AC31">
        <v>5.2983173700000004</v>
      </c>
      <c r="AD31">
        <v>5.44241771</v>
      </c>
      <c r="AE31">
        <v>5.2729995599999997</v>
      </c>
    </row>
    <row r="32" spans="1:31" x14ac:dyDescent="0.2">
      <c r="A32">
        <v>10.2204444</v>
      </c>
      <c r="B32">
        <v>5.49306144</v>
      </c>
      <c r="C32">
        <v>5.2626901899999998</v>
      </c>
      <c r="D32">
        <v>5.4722706700000003</v>
      </c>
      <c r="E32">
        <v>5.24174702</v>
      </c>
      <c r="F32">
        <v>5.44241771</v>
      </c>
      <c r="G32">
        <v>5.25749537</v>
      </c>
      <c r="I32">
        <v>10.2204444</v>
      </c>
      <c r="J32">
        <v>5.4205350000000001</v>
      </c>
      <c r="K32">
        <v>5.2626901899999998</v>
      </c>
      <c r="L32">
        <v>5.4806389199999996</v>
      </c>
      <c r="M32">
        <v>5.24174702</v>
      </c>
      <c r="N32">
        <v>5.4722706700000003</v>
      </c>
      <c r="O32">
        <v>5.2522734299999998</v>
      </c>
      <c r="Q32">
        <v>10.2204444</v>
      </c>
      <c r="R32">
        <v>5.44241771</v>
      </c>
      <c r="S32">
        <v>5.2257466700000004</v>
      </c>
      <c r="T32">
        <v>5.4595855100000001</v>
      </c>
      <c r="U32">
        <v>5.2364419599999996</v>
      </c>
      <c r="V32">
        <v>5.4553211199999998</v>
      </c>
      <c r="W32">
        <v>5.2364419599999996</v>
      </c>
      <c r="Y32">
        <v>10.2204444</v>
      </c>
      <c r="Z32">
        <v>5.4293456300000003</v>
      </c>
      <c r="AA32">
        <v>5.2626901899999998</v>
      </c>
      <c r="AB32">
        <v>5.4553211199999998</v>
      </c>
      <c r="AC32">
        <v>5.24174702</v>
      </c>
      <c r="AD32">
        <v>5.43807931</v>
      </c>
      <c r="AE32">
        <v>5.2257466700000004</v>
      </c>
    </row>
    <row r="33" spans="1:31" x14ac:dyDescent="0.2">
      <c r="A33">
        <v>10.5854444</v>
      </c>
      <c r="B33">
        <v>5.4806389199999996</v>
      </c>
      <c r="C33">
        <v>5.2626901899999998</v>
      </c>
      <c r="D33">
        <v>5.4680601400000004</v>
      </c>
      <c r="E33">
        <v>5.2832037300000003</v>
      </c>
      <c r="F33">
        <v>5.4553211199999998</v>
      </c>
      <c r="G33">
        <v>5.2470240700000002</v>
      </c>
      <c r="I33">
        <v>10.5854444</v>
      </c>
      <c r="J33">
        <v>5.4026773800000001</v>
      </c>
      <c r="K33">
        <v>5.2626901899999998</v>
      </c>
      <c r="L33">
        <v>5.4847969299999999</v>
      </c>
      <c r="M33">
        <v>5.2678581600000003</v>
      </c>
      <c r="N33">
        <v>5.4722706700000003</v>
      </c>
      <c r="O33">
        <v>5.25749537</v>
      </c>
      <c r="Q33">
        <v>10.5854444</v>
      </c>
      <c r="R33">
        <v>5.43807931</v>
      </c>
      <c r="S33">
        <v>5.24174702</v>
      </c>
      <c r="T33">
        <v>5.4722706700000003</v>
      </c>
      <c r="U33">
        <v>5.25749537</v>
      </c>
      <c r="V33">
        <v>5.4595855100000001</v>
      </c>
      <c r="W33">
        <v>5.2522734299999998</v>
      </c>
      <c r="Y33">
        <v>10.5854444</v>
      </c>
      <c r="Z33">
        <v>5.43807931</v>
      </c>
      <c r="AA33">
        <v>5.27811466</v>
      </c>
      <c r="AB33">
        <v>5.4595855100000001</v>
      </c>
      <c r="AC33">
        <v>5.2678581600000003</v>
      </c>
      <c r="AD33">
        <v>5.4467373700000001</v>
      </c>
      <c r="AE33">
        <v>5.2257466700000004</v>
      </c>
    </row>
    <row r="34" spans="1:31" x14ac:dyDescent="0.2">
      <c r="A34">
        <v>10.9504722</v>
      </c>
      <c r="B34">
        <v>5.4971682299999998</v>
      </c>
      <c r="C34">
        <v>5.2983173700000004</v>
      </c>
      <c r="D34">
        <v>5.4722706700000003</v>
      </c>
      <c r="E34">
        <v>5.2882670300000001</v>
      </c>
      <c r="F34">
        <v>5.4510384500000004</v>
      </c>
      <c r="G34">
        <v>5.2678581600000003</v>
      </c>
      <c r="I34">
        <v>10.9504722</v>
      </c>
      <c r="J34">
        <v>5.4337220000000004</v>
      </c>
      <c r="K34">
        <v>5.3082677</v>
      </c>
      <c r="L34">
        <v>5.4971682299999998</v>
      </c>
      <c r="M34">
        <v>5.3082677</v>
      </c>
      <c r="N34">
        <v>5.4806389199999996</v>
      </c>
      <c r="O34">
        <v>5.3033049099999996</v>
      </c>
      <c r="Q34">
        <v>10.9504722</v>
      </c>
      <c r="R34">
        <v>5.43807931</v>
      </c>
      <c r="S34">
        <v>5.2678581600000003</v>
      </c>
      <c r="T34">
        <v>5.4595855100000001</v>
      </c>
      <c r="U34">
        <v>5.2882670300000001</v>
      </c>
      <c r="V34">
        <v>5.4722706700000003</v>
      </c>
      <c r="W34">
        <v>5.2933048200000004</v>
      </c>
      <c r="Y34">
        <v>10.9504722</v>
      </c>
      <c r="Z34">
        <v>5.4467373700000001</v>
      </c>
      <c r="AA34">
        <v>5.3132059800000002</v>
      </c>
      <c r="AB34">
        <v>5.4680601400000004</v>
      </c>
      <c r="AC34">
        <v>5.3132059800000002</v>
      </c>
      <c r="AD34">
        <v>5.4467373700000001</v>
      </c>
      <c r="AE34">
        <v>5.27811466</v>
      </c>
    </row>
    <row r="35" spans="1:31" x14ac:dyDescent="0.2">
      <c r="A35">
        <v>11.3154722</v>
      </c>
      <c r="B35">
        <v>5.5053315400000002</v>
      </c>
      <c r="C35">
        <v>5.2983173700000004</v>
      </c>
      <c r="D35">
        <v>5.4722706700000003</v>
      </c>
      <c r="E35">
        <v>5.2882670300000001</v>
      </c>
      <c r="F35">
        <v>5.4680601400000004</v>
      </c>
      <c r="G35">
        <v>5.2832037300000003</v>
      </c>
      <c r="I35">
        <v>11.3154722</v>
      </c>
      <c r="J35">
        <v>5.4249500199999998</v>
      </c>
      <c r="K35">
        <v>5.3082677</v>
      </c>
      <c r="L35">
        <v>5.5093883400000001</v>
      </c>
      <c r="M35">
        <v>5.3082677</v>
      </c>
      <c r="N35">
        <v>5.49306144</v>
      </c>
      <c r="O35">
        <v>5.3082677</v>
      </c>
      <c r="Q35">
        <v>11.3154722</v>
      </c>
      <c r="R35">
        <v>5.43807931</v>
      </c>
      <c r="S35">
        <v>5.2882670300000001</v>
      </c>
      <c r="T35">
        <v>5.4764635500000001</v>
      </c>
      <c r="U35">
        <v>5.3181199899999996</v>
      </c>
      <c r="V35">
        <v>5.4680601400000004</v>
      </c>
      <c r="W35">
        <v>5.3132059800000002</v>
      </c>
      <c r="Y35">
        <v>11.3154722</v>
      </c>
      <c r="Z35">
        <v>5.43807931</v>
      </c>
      <c r="AA35">
        <v>5.3181199899999996</v>
      </c>
      <c r="AB35">
        <v>5.4638318100000003</v>
      </c>
      <c r="AC35">
        <v>5.2983173700000004</v>
      </c>
      <c r="AD35">
        <v>5.4467373700000001</v>
      </c>
      <c r="AE35">
        <v>5.2882670300000001</v>
      </c>
    </row>
    <row r="36" spans="1:31" x14ac:dyDescent="0.2">
      <c r="A36">
        <v>11.680472200000001</v>
      </c>
      <c r="B36">
        <v>5.48893773</v>
      </c>
      <c r="C36">
        <v>5.3132059800000002</v>
      </c>
      <c r="D36">
        <v>5.4680601400000004</v>
      </c>
      <c r="E36">
        <v>5.3082677</v>
      </c>
      <c r="F36">
        <v>5.4595855100000001</v>
      </c>
      <c r="G36">
        <v>5.2832037300000003</v>
      </c>
      <c r="I36">
        <v>11.680472200000001</v>
      </c>
      <c r="J36">
        <v>5.4249500199999998</v>
      </c>
      <c r="K36">
        <v>5.3132059800000002</v>
      </c>
      <c r="L36">
        <v>5.4971682299999998</v>
      </c>
      <c r="M36">
        <v>5.3132059800000002</v>
      </c>
      <c r="N36">
        <v>5.5134287500000001</v>
      </c>
      <c r="O36">
        <v>5.3082677</v>
      </c>
      <c r="Q36">
        <v>11.680472200000001</v>
      </c>
      <c r="R36">
        <v>5.4293456300000003</v>
      </c>
      <c r="S36">
        <v>5.2729995599999997</v>
      </c>
      <c r="T36">
        <v>5.4680601400000004</v>
      </c>
      <c r="U36">
        <v>5.27811466</v>
      </c>
      <c r="V36">
        <v>5.4764635500000001</v>
      </c>
      <c r="W36">
        <v>5.2933048200000004</v>
      </c>
      <c r="Y36">
        <v>11.680472200000001</v>
      </c>
      <c r="Z36">
        <v>5.4337220000000004</v>
      </c>
      <c r="AA36">
        <v>5.3278761699999997</v>
      </c>
      <c r="AB36">
        <v>5.4595855100000001</v>
      </c>
      <c r="AC36">
        <v>5.3132059800000002</v>
      </c>
      <c r="AD36">
        <v>5.4553211199999998</v>
      </c>
      <c r="AE36">
        <v>5.2882670300000001</v>
      </c>
    </row>
    <row r="37" spans="1:31" x14ac:dyDescent="0.2">
      <c r="A37">
        <v>12.045500000000001</v>
      </c>
      <c r="B37">
        <v>5.4806389199999996</v>
      </c>
      <c r="C37">
        <v>5.3033049099999996</v>
      </c>
      <c r="D37">
        <v>5.4847969299999999</v>
      </c>
      <c r="E37">
        <v>5.27811466</v>
      </c>
      <c r="F37">
        <v>5.4764635500000001</v>
      </c>
      <c r="G37">
        <v>5.2626901899999998</v>
      </c>
      <c r="I37">
        <v>12.045500000000001</v>
      </c>
      <c r="J37">
        <v>5.4337220000000004</v>
      </c>
      <c r="K37">
        <v>5.3132059800000002</v>
      </c>
      <c r="L37">
        <v>5.5174529000000003</v>
      </c>
      <c r="M37">
        <v>5.2933048200000004</v>
      </c>
      <c r="N37">
        <v>5.5093883400000001</v>
      </c>
      <c r="O37">
        <v>5.3033049099999996</v>
      </c>
      <c r="Q37">
        <v>12.045500000000001</v>
      </c>
      <c r="R37">
        <v>5.4337220000000004</v>
      </c>
      <c r="S37">
        <v>5.2470240700000002</v>
      </c>
      <c r="T37">
        <v>5.49306144</v>
      </c>
      <c r="U37">
        <v>5.2832037300000003</v>
      </c>
      <c r="V37">
        <v>5.48893773</v>
      </c>
      <c r="W37">
        <v>5.3033049099999996</v>
      </c>
      <c r="Y37">
        <v>12.045500000000001</v>
      </c>
      <c r="Z37">
        <v>5.43807931</v>
      </c>
      <c r="AA37">
        <v>5.2983173700000004</v>
      </c>
      <c r="AB37">
        <v>5.4680601400000004</v>
      </c>
      <c r="AC37">
        <v>5.2678581600000003</v>
      </c>
      <c r="AD37">
        <v>5.4553211199999998</v>
      </c>
      <c r="AE37">
        <v>5.2729995599999997</v>
      </c>
    </row>
    <row r="38" spans="1:31" x14ac:dyDescent="0.2">
      <c r="A38">
        <v>12.410500000000001</v>
      </c>
      <c r="B38">
        <v>5.49306144</v>
      </c>
      <c r="C38">
        <v>5.25749537</v>
      </c>
      <c r="D38">
        <v>5.5012582099999996</v>
      </c>
      <c r="E38">
        <v>5.2203558299999999</v>
      </c>
      <c r="F38">
        <v>5.4847969299999999</v>
      </c>
      <c r="G38">
        <v>5.2522734299999998</v>
      </c>
      <c r="I38">
        <v>12.410500000000001</v>
      </c>
      <c r="J38">
        <v>5.4467373700000001</v>
      </c>
      <c r="K38">
        <v>5.2522734299999998</v>
      </c>
      <c r="L38">
        <v>5.5333894900000002</v>
      </c>
      <c r="M38">
        <v>5.2626901899999998</v>
      </c>
      <c r="N38">
        <v>5.5254529400000001</v>
      </c>
      <c r="O38">
        <v>5.2626901899999998</v>
      </c>
      <c r="Q38">
        <v>12.410500000000001</v>
      </c>
      <c r="R38">
        <v>5.44241771</v>
      </c>
      <c r="S38">
        <v>5.2257466700000004</v>
      </c>
      <c r="T38">
        <v>5.48893773</v>
      </c>
      <c r="U38">
        <v>5.25749537</v>
      </c>
      <c r="V38">
        <v>5.4806389199999996</v>
      </c>
      <c r="W38">
        <v>5.2626901899999998</v>
      </c>
      <c r="Y38">
        <v>12.410500000000001</v>
      </c>
      <c r="Z38">
        <v>5.4293456300000003</v>
      </c>
      <c r="AA38">
        <v>5.25749537</v>
      </c>
      <c r="AB38">
        <v>5.4595855100000001</v>
      </c>
      <c r="AC38">
        <v>5.2678581600000003</v>
      </c>
      <c r="AD38">
        <v>5.4595855100000001</v>
      </c>
      <c r="AE38">
        <v>5.24174702</v>
      </c>
    </row>
    <row r="39" spans="1:31" x14ac:dyDescent="0.2">
      <c r="A39">
        <v>12.775527800000001</v>
      </c>
      <c r="B39">
        <v>5.5093883400000001</v>
      </c>
      <c r="C39">
        <v>5.2933048200000004</v>
      </c>
      <c r="D39">
        <v>5.5294290899999998</v>
      </c>
      <c r="E39">
        <v>5.2678581600000003</v>
      </c>
      <c r="F39">
        <v>5.4971682299999998</v>
      </c>
      <c r="G39">
        <v>5.2626901899999998</v>
      </c>
      <c r="I39">
        <v>12.775527800000001</v>
      </c>
      <c r="J39">
        <v>5.4467373700000001</v>
      </c>
      <c r="K39">
        <v>5.2933048200000004</v>
      </c>
      <c r="L39">
        <v>5.55682806</v>
      </c>
      <c r="M39">
        <v>5.2933048200000004</v>
      </c>
      <c r="N39">
        <v>5.55682806</v>
      </c>
      <c r="O39">
        <v>5.3033049099999996</v>
      </c>
      <c r="Q39">
        <v>12.775527800000001</v>
      </c>
      <c r="R39">
        <v>5.4467373700000001</v>
      </c>
      <c r="S39">
        <v>5.25749537</v>
      </c>
      <c r="T39">
        <v>5.4971682299999998</v>
      </c>
      <c r="U39">
        <v>5.2832037300000003</v>
      </c>
      <c r="V39">
        <v>5.48893773</v>
      </c>
      <c r="W39">
        <v>5.2983173700000004</v>
      </c>
      <c r="Y39">
        <v>12.775527800000001</v>
      </c>
      <c r="Z39">
        <v>5.4467373700000001</v>
      </c>
      <c r="AA39">
        <v>5.3132059800000002</v>
      </c>
      <c r="AB39">
        <v>5.44241771</v>
      </c>
      <c r="AC39">
        <v>5.2933048200000004</v>
      </c>
      <c r="AD39">
        <v>5.4510384500000004</v>
      </c>
      <c r="AE39">
        <v>5.27811466</v>
      </c>
    </row>
    <row r="40" spans="1:31" x14ac:dyDescent="0.2">
      <c r="A40">
        <v>13.140527799999999</v>
      </c>
      <c r="B40">
        <v>5.4971682299999998</v>
      </c>
      <c r="C40">
        <v>5.25749537</v>
      </c>
      <c r="D40">
        <v>5.5294290899999998</v>
      </c>
      <c r="E40">
        <v>5.2311086199999997</v>
      </c>
      <c r="F40">
        <v>5.5134287500000001</v>
      </c>
      <c r="G40">
        <v>5.2311086199999997</v>
      </c>
      <c r="I40">
        <v>13.140527799999999</v>
      </c>
      <c r="J40">
        <v>5.4116460499999999</v>
      </c>
      <c r="K40">
        <v>5.25749537</v>
      </c>
      <c r="L40">
        <v>5.5529595799999996</v>
      </c>
      <c r="M40">
        <v>5.2626901899999998</v>
      </c>
      <c r="N40">
        <v>5.5451774399999998</v>
      </c>
      <c r="O40">
        <v>5.2626901899999998</v>
      </c>
      <c r="Q40">
        <v>13.140527799999999</v>
      </c>
      <c r="R40">
        <v>5.4467373700000001</v>
      </c>
      <c r="S40">
        <v>5.24174702</v>
      </c>
      <c r="T40">
        <v>5.4847969299999999</v>
      </c>
      <c r="U40">
        <v>5.2522734299999998</v>
      </c>
      <c r="V40">
        <v>5.48893773</v>
      </c>
      <c r="W40">
        <v>5.2470240700000002</v>
      </c>
      <c r="Y40">
        <v>13.140527799999999</v>
      </c>
      <c r="Z40">
        <v>5.43807931</v>
      </c>
      <c r="AA40">
        <v>5.2729995599999997</v>
      </c>
      <c r="AB40">
        <v>5.4722706700000003</v>
      </c>
      <c r="AC40">
        <v>5.2470240700000002</v>
      </c>
      <c r="AD40">
        <v>5.4510384500000004</v>
      </c>
      <c r="AE40">
        <v>5.2311086199999997</v>
      </c>
    </row>
    <row r="41" spans="1:31" x14ac:dyDescent="0.2">
      <c r="A41">
        <v>13.505555599999999</v>
      </c>
      <c r="B41">
        <v>5.48893773</v>
      </c>
      <c r="C41">
        <v>5.25749537</v>
      </c>
      <c r="D41">
        <v>5.54126355</v>
      </c>
      <c r="E41">
        <v>5.24174702</v>
      </c>
      <c r="F41">
        <v>5.52146092</v>
      </c>
      <c r="G41">
        <v>5.2203558299999999</v>
      </c>
      <c r="I41">
        <v>13.505555599999999</v>
      </c>
      <c r="J41">
        <v>5.4249500199999998</v>
      </c>
      <c r="K41">
        <v>5.2470240700000002</v>
      </c>
      <c r="L41">
        <v>5.5909869800000003</v>
      </c>
      <c r="M41">
        <v>5.2470240700000002</v>
      </c>
      <c r="N41">
        <v>5.5683445000000003</v>
      </c>
      <c r="O41">
        <v>5.2470240700000002</v>
      </c>
      <c r="Q41">
        <v>13.505555599999999</v>
      </c>
      <c r="R41">
        <v>5.44241771</v>
      </c>
      <c r="S41">
        <v>5.2311086199999997</v>
      </c>
      <c r="T41">
        <v>5.5012582099999996</v>
      </c>
      <c r="U41">
        <v>5.24174702</v>
      </c>
      <c r="V41">
        <v>5.49306144</v>
      </c>
      <c r="W41">
        <v>5.2470240700000002</v>
      </c>
      <c r="Y41">
        <v>13.505555599999999</v>
      </c>
      <c r="Z41">
        <v>5.4249500199999998</v>
      </c>
      <c r="AA41">
        <v>5.2470240700000002</v>
      </c>
      <c r="AB41">
        <v>5.4595855100000001</v>
      </c>
      <c r="AC41">
        <v>5.25749537</v>
      </c>
      <c r="AD41">
        <v>5.4595855100000001</v>
      </c>
      <c r="AE41">
        <v>5.20948615</v>
      </c>
    </row>
    <row r="42" spans="1:31" x14ac:dyDescent="0.2">
      <c r="A42">
        <v>13.870555599999999</v>
      </c>
      <c r="B42">
        <v>5.5093883400000001</v>
      </c>
      <c r="C42">
        <v>5.3132059800000002</v>
      </c>
      <c r="D42">
        <v>5.5606816300000004</v>
      </c>
      <c r="E42">
        <v>5.27811466</v>
      </c>
      <c r="F42">
        <v>5.5333894900000002</v>
      </c>
      <c r="G42">
        <v>5.2983173700000004</v>
      </c>
      <c r="I42">
        <v>13.870555599999999</v>
      </c>
      <c r="J42">
        <v>5.4205350000000001</v>
      </c>
      <c r="K42">
        <v>5.3033049099999996</v>
      </c>
      <c r="L42">
        <v>5.6058020700000002</v>
      </c>
      <c r="M42">
        <v>5.3181199899999996</v>
      </c>
      <c r="N42">
        <v>5.6204008700000001</v>
      </c>
      <c r="O42">
        <v>5.3033049099999996</v>
      </c>
      <c r="Q42">
        <v>13.870555599999999</v>
      </c>
      <c r="R42">
        <v>5.4553211199999998</v>
      </c>
      <c r="S42">
        <v>5.2832037300000003</v>
      </c>
      <c r="T42">
        <v>5.5012582099999996</v>
      </c>
      <c r="U42">
        <v>5.2983173700000004</v>
      </c>
      <c r="V42">
        <v>5.5174529000000003</v>
      </c>
      <c r="W42">
        <v>5.3033049099999996</v>
      </c>
      <c r="Y42">
        <v>13.870555599999999</v>
      </c>
      <c r="Z42">
        <v>5.4249500199999998</v>
      </c>
      <c r="AA42">
        <v>5.3230099800000001</v>
      </c>
      <c r="AB42">
        <v>5.4680601400000004</v>
      </c>
      <c r="AC42">
        <v>5.3082677</v>
      </c>
      <c r="AD42">
        <v>5.4638318100000003</v>
      </c>
      <c r="AE42">
        <v>5.2729995599999997</v>
      </c>
    </row>
    <row r="43" spans="1:31" x14ac:dyDescent="0.2">
      <c r="A43">
        <v>14.2355833</v>
      </c>
      <c r="B43">
        <v>5.4971682299999998</v>
      </c>
      <c r="C43">
        <v>5.1761497299999997</v>
      </c>
      <c r="D43">
        <v>5.5683445000000003</v>
      </c>
      <c r="E43">
        <v>5.1590553000000003</v>
      </c>
      <c r="F43">
        <v>5.5529595799999996</v>
      </c>
      <c r="G43">
        <v>5.1590553000000003</v>
      </c>
      <c r="I43">
        <v>14.2355833</v>
      </c>
      <c r="J43">
        <v>5.43807931</v>
      </c>
      <c r="K43">
        <v>5.1761497299999997</v>
      </c>
      <c r="L43">
        <v>5.6312117800000001</v>
      </c>
      <c r="M43">
        <v>5.1704840000000001</v>
      </c>
      <c r="N43">
        <v>5.6240175099999998</v>
      </c>
      <c r="O43">
        <v>5.1817835499999996</v>
      </c>
      <c r="Q43">
        <v>14.2355833</v>
      </c>
      <c r="R43">
        <v>5.44241771</v>
      </c>
      <c r="S43">
        <v>5.1416635599999996</v>
      </c>
      <c r="T43">
        <v>5.4971682299999998</v>
      </c>
      <c r="U43">
        <v>5.1474944799999998</v>
      </c>
      <c r="V43">
        <v>5.5012582099999996</v>
      </c>
      <c r="W43">
        <v>5.1532915900000003</v>
      </c>
      <c r="Y43">
        <v>14.2355833</v>
      </c>
      <c r="Z43">
        <v>5.4337220000000004</v>
      </c>
      <c r="AA43">
        <v>5.1590553000000003</v>
      </c>
      <c r="AB43">
        <v>5.4638318100000003</v>
      </c>
      <c r="AC43">
        <v>5.1873858100000003</v>
      </c>
      <c r="AD43">
        <v>5.4806389199999996</v>
      </c>
      <c r="AE43">
        <v>5.1474944799999998</v>
      </c>
    </row>
    <row r="44" spans="1:31" x14ac:dyDescent="0.2">
      <c r="A44">
        <v>14.6005833</v>
      </c>
      <c r="B44">
        <v>5.48893773</v>
      </c>
      <c r="C44">
        <v>5.3181199899999996</v>
      </c>
      <c r="D44">
        <v>5.5797298299999998</v>
      </c>
      <c r="E44">
        <v>5.2882670300000001</v>
      </c>
      <c r="F44">
        <v>5.5797298299999998</v>
      </c>
      <c r="G44">
        <v>5.2832037300000003</v>
      </c>
      <c r="I44">
        <v>14.6005833</v>
      </c>
      <c r="J44">
        <v>5.44241771</v>
      </c>
      <c r="K44">
        <v>5.2933048200000004</v>
      </c>
      <c r="L44">
        <v>5.6801726099999996</v>
      </c>
      <c r="M44">
        <v>5.3132059800000002</v>
      </c>
      <c r="N44">
        <v>5.6664266899999998</v>
      </c>
      <c r="O44">
        <v>5.2882670300000001</v>
      </c>
      <c r="Q44">
        <v>14.6005833</v>
      </c>
      <c r="R44">
        <v>5.4249500199999998</v>
      </c>
      <c r="S44">
        <v>5.2470240700000002</v>
      </c>
      <c r="T44">
        <v>5.52146092</v>
      </c>
      <c r="U44">
        <v>5.2983173700000004</v>
      </c>
      <c r="V44">
        <v>5.5294290899999998</v>
      </c>
      <c r="W44">
        <v>5.3033049099999996</v>
      </c>
      <c r="Y44">
        <v>14.6005833</v>
      </c>
      <c r="Z44">
        <v>5.43807931</v>
      </c>
      <c r="AA44">
        <v>5.2983173700000004</v>
      </c>
      <c r="AB44">
        <v>5.4595855100000001</v>
      </c>
      <c r="AC44">
        <v>5.2983173700000004</v>
      </c>
      <c r="AD44">
        <v>5.4510384500000004</v>
      </c>
      <c r="AE44">
        <v>5.2626901899999998</v>
      </c>
    </row>
    <row r="45" spans="1:31" x14ac:dyDescent="0.2">
      <c r="A45">
        <v>14.9656111</v>
      </c>
      <c r="B45">
        <v>5.49306144</v>
      </c>
      <c r="C45">
        <v>5.25749537</v>
      </c>
      <c r="D45">
        <v>5.5984219599999996</v>
      </c>
      <c r="E45">
        <v>5.2311086199999997</v>
      </c>
      <c r="F45">
        <v>5.6021188200000003</v>
      </c>
      <c r="G45">
        <v>5.2364419599999996</v>
      </c>
      <c r="I45">
        <v>14.9656111</v>
      </c>
      <c r="J45">
        <v>5.44241771</v>
      </c>
      <c r="K45">
        <v>5.2626901899999998</v>
      </c>
      <c r="L45">
        <v>5.6970934900000003</v>
      </c>
      <c r="M45">
        <v>5.2678581600000003</v>
      </c>
      <c r="N45">
        <v>5.6937321399999998</v>
      </c>
      <c r="O45">
        <v>5.25749537</v>
      </c>
      <c r="Q45">
        <v>14.9656111</v>
      </c>
      <c r="R45">
        <v>5.4467373700000001</v>
      </c>
      <c r="S45">
        <v>5.2364419599999996</v>
      </c>
      <c r="T45">
        <v>5.5294290899999998</v>
      </c>
      <c r="U45">
        <v>5.27811466</v>
      </c>
      <c r="V45">
        <v>5.52146092</v>
      </c>
      <c r="W45">
        <v>5.24174702</v>
      </c>
      <c r="Y45">
        <v>14.9656111</v>
      </c>
      <c r="Z45">
        <v>5.43807931</v>
      </c>
      <c r="AA45">
        <v>5.25749537</v>
      </c>
      <c r="AB45">
        <v>5.4680601400000004</v>
      </c>
      <c r="AC45">
        <v>5.2678581600000003</v>
      </c>
      <c r="AD45">
        <v>5.4595855100000001</v>
      </c>
      <c r="AE45">
        <v>5.2364419599999996</v>
      </c>
    </row>
    <row r="46" spans="1:31" x14ac:dyDescent="0.2">
      <c r="A46">
        <v>15.3306111</v>
      </c>
      <c r="B46">
        <v>5.5093883400000001</v>
      </c>
      <c r="C46">
        <v>5.25749537</v>
      </c>
      <c r="D46">
        <v>5.6454468999999996</v>
      </c>
      <c r="E46">
        <v>5.25749537</v>
      </c>
      <c r="F46">
        <v>5.6489742400000003</v>
      </c>
      <c r="G46">
        <v>5.25749537</v>
      </c>
      <c r="I46">
        <v>15.3306111</v>
      </c>
      <c r="J46">
        <v>5.4249500199999998</v>
      </c>
      <c r="K46">
        <v>5.25749537</v>
      </c>
      <c r="L46">
        <v>5.7430031899999996</v>
      </c>
      <c r="M46">
        <v>5.2729995599999997</v>
      </c>
      <c r="N46">
        <v>5.7397929100000002</v>
      </c>
      <c r="O46">
        <v>5.2626901899999998</v>
      </c>
      <c r="Q46">
        <v>15.3306111</v>
      </c>
      <c r="R46">
        <v>5.4510384500000004</v>
      </c>
      <c r="S46">
        <v>5.2149357600000004</v>
      </c>
      <c r="T46">
        <v>5.52146092</v>
      </c>
      <c r="U46">
        <v>5.24174702</v>
      </c>
      <c r="V46">
        <v>5.55682806</v>
      </c>
      <c r="W46">
        <v>5.2470240700000002</v>
      </c>
      <c r="Y46">
        <v>15.3306111</v>
      </c>
      <c r="Z46">
        <v>5.4467373700000001</v>
      </c>
      <c r="AA46">
        <v>5.2522734299999998</v>
      </c>
      <c r="AB46">
        <v>5.4722706700000003</v>
      </c>
      <c r="AC46">
        <v>5.2522734299999998</v>
      </c>
      <c r="AD46">
        <v>5.4722706700000003</v>
      </c>
      <c r="AE46">
        <v>5.2364419599999996</v>
      </c>
    </row>
    <row r="47" spans="1:31" x14ac:dyDescent="0.2">
      <c r="A47">
        <v>15.695611100000001</v>
      </c>
      <c r="B47">
        <v>5.5012582099999996</v>
      </c>
      <c r="C47">
        <v>5.3132059800000002</v>
      </c>
      <c r="D47">
        <v>5.6801726099999996</v>
      </c>
      <c r="E47">
        <v>5.3082677</v>
      </c>
      <c r="F47">
        <v>5.6594822200000001</v>
      </c>
      <c r="G47">
        <v>5.2832037300000003</v>
      </c>
      <c r="I47">
        <v>15.695611100000001</v>
      </c>
      <c r="J47">
        <v>5.43807931</v>
      </c>
      <c r="K47">
        <v>5.2983173700000004</v>
      </c>
      <c r="L47">
        <v>5.7807435199999997</v>
      </c>
      <c r="M47">
        <v>5.3278761699999997</v>
      </c>
      <c r="N47">
        <v>5.77455155</v>
      </c>
      <c r="O47">
        <v>5.2882670300000001</v>
      </c>
      <c r="Q47">
        <v>15.695611100000001</v>
      </c>
      <c r="R47">
        <v>5.4293456300000003</v>
      </c>
      <c r="S47">
        <v>5.2729995599999997</v>
      </c>
      <c r="T47">
        <v>5.5254529400000001</v>
      </c>
      <c r="U47">
        <v>5.3181199899999996</v>
      </c>
      <c r="V47">
        <v>5.5294290899999998</v>
      </c>
      <c r="W47">
        <v>5.27811466</v>
      </c>
      <c r="Y47">
        <v>15.695611100000001</v>
      </c>
      <c r="Z47">
        <v>5.4249500199999998</v>
      </c>
      <c r="AA47">
        <v>5.3230099800000001</v>
      </c>
      <c r="AB47">
        <v>5.4595855100000001</v>
      </c>
      <c r="AC47">
        <v>5.3181199899999996</v>
      </c>
      <c r="AD47">
        <v>5.4510384500000004</v>
      </c>
      <c r="AE47">
        <v>5.25749537</v>
      </c>
    </row>
    <row r="48" spans="1:31" x14ac:dyDescent="0.2">
      <c r="A48">
        <v>16.060638900000001</v>
      </c>
      <c r="B48">
        <v>5.49306144</v>
      </c>
      <c r="C48">
        <v>5.2522734299999998</v>
      </c>
      <c r="D48">
        <v>5.7037824700000002</v>
      </c>
      <c r="E48">
        <v>5.2311086199999997</v>
      </c>
      <c r="F48">
        <v>5.7037824700000002</v>
      </c>
      <c r="G48">
        <v>5.2203558299999999</v>
      </c>
      <c r="I48">
        <v>16.060638900000001</v>
      </c>
      <c r="J48">
        <v>5.4293456300000003</v>
      </c>
      <c r="K48">
        <v>5.2470240700000002</v>
      </c>
      <c r="L48">
        <v>5.8289456199999998</v>
      </c>
      <c r="M48">
        <v>5.2678581600000003</v>
      </c>
      <c r="N48">
        <v>5.83188248</v>
      </c>
      <c r="O48">
        <v>5.24174702</v>
      </c>
      <c r="Q48">
        <v>16.060638900000001</v>
      </c>
      <c r="R48">
        <v>5.44241771</v>
      </c>
      <c r="S48">
        <v>5.20948615</v>
      </c>
      <c r="T48">
        <v>5.5333894900000002</v>
      </c>
      <c r="U48">
        <v>5.24174702</v>
      </c>
      <c r="V48">
        <v>5.55682806</v>
      </c>
      <c r="W48">
        <v>5.24174702</v>
      </c>
      <c r="Y48">
        <v>16.060638900000001</v>
      </c>
      <c r="Z48">
        <v>5.4293456300000003</v>
      </c>
      <c r="AA48">
        <v>5.27811466</v>
      </c>
      <c r="AB48">
        <v>5.4638318100000003</v>
      </c>
      <c r="AC48">
        <v>5.2522734299999998</v>
      </c>
      <c r="AD48">
        <v>5.4553211199999998</v>
      </c>
      <c r="AE48">
        <v>5.2311086199999997</v>
      </c>
    </row>
    <row r="49" spans="1:31" x14ac:dyDescent="0.2">
      <c r="A49">
        <v>16.425638899999999</v>
      </c>
      <c r="B49">
        <v>5.49306144</v>
      </c>
      <c r="C49">
        <v>5.2933048200000004</v>
      </c>
      <c r="D49">
        <v>5.7557422100000002</v>
      </c>
      <c r="E49">
        <v>5.2983173700000004</v>
      </c>
      <c r="F49">
        <v>5.7365722999999997</v>
      </c>
      <c r="G49">
        <v>5.27811466</v>
      </c>
      <c r="I49">
        <v>16.425638899999999</v>
      </c>
      <c r="J49">
        <v>5.43807931</v>
      </c>
      <c r="K49">
        <v>5.2933048200000004</v>
      </c>
      <c r="L49">
        <v>5.88332239</v>
      </c>
      <c r="M49">
        <v>5.3230099800000001</v>
      </c>
      <c r="N49">
        <v>5.8777357800000001</v>
      </c>
      <c r="O49">
        <v>5.3033049099999996</v>
      </c>
      <c r="Q49">
        <v>16.425638899999999</v>
      </c>
      <c r="R49">
        <v>5.4293456300000003</v>
      </c>
      <c r="S49">
        <v>5.2626901899999998</v>
      </c>
      <c r="T49">
        <v>5.5451774399999998</v>
      </c>
      <c r="U49">
        <v>5.2983173700000004</v>
      </c>
      <c r="V49">
        <v>5.5645204100000001</v>
      </c>
      <c r="W49">
        <v>5.2983173700000004</v>
      </c>
      <c r="Y49">
        <v>16.425638899999999</v>
      </c>
      <c r="Z49">
        <v>5.4337220000000004</v>
      </c>
      <c r="AA49">
        <v>5.3132059800000002</v>
      </c>
      <c r="AB49">
        <v>5.4680601400000004</v>
      </c>
      <c r="AC49">
        <v>5.3230099800000001</v>
      </c>
      <c r="AD49">
        <v>5.4510384500000004</v>
      </c>
      <c r="AE49">
        <v>5.2729995599999997</v>
      </c>
    </row>
    <row r="50" spans="1:31" x14ac:dyDescent="0.2">
      <c r="A50">
        <v>16.790666699999999</v>
      </c>
      <c r="B50">
        <v>5.5053315400000002</v>
      </c>
      <c r="C50">
        <v>5.2678581600000003</v>
      </c>
      <c r="D50">
        <v>5.7990926500000004</v>
      </c>
      <c r="E50">
        <v>5.25749537</v>
      </c>
      <c r="F50">
        <v>5.7776523199999996</v>
      </c>
      <c r="G50">
        <v>5.24174702</v>
      </c>
      <c r="I50">
        <v>16.790666699999999</v>
      </c>
      <c r="J50">
        <v>5.4249500199999998</v>
      </c>
      <c r="K50">
        <v>5.2522734299999998</v>
      </c>
      <c r="L50">
        <v>5.94803499</v>
      </c>
      <c r="M50">
        <v>5.2678581600000003</v>
      </c>
      <c r="N50">
        <v>5.9427993800000003</v>
      </c>
      <c r="O50">
        <v>5.2626901899999998</v>
      </c>
      <c r="Q50">
        <v>16.790666699999999</v>
      </c>
      <c r="R50">
        <v>5.4467373700000001</v>
      </c>
      <c r="S50">
        <v>5.1984970300000004</v>
      </c>
      <c r="T50">
        <v>5.54126355</v>
      </c>
      <c r="U50">
        <v>5.2626901899999998</v>
      </c>
      <c r="V50">
        <v>5.5645204100000001</v>
      </c>
      <c r="W50">
        <v>5.24174702</v>
      </c>
      <c r="Y50">
        <v>16.790666699999999</v>
      </c>
      <c r="Z50">
        <v>5.4205350000000001</v>
      </c>
      <c r="AA50">
        <v>5.2678581600000003</v>
      </c>
      <c r="AB50">
        <v>5.4638318100000003</v>
      </c>
      <c r="AC50">
        <v>5.2678581600000003</v>
      </c>
      <c r="AD50">
        <v>5.4467373700000001</v>
      </c>
      <c r="AE50">
        <v>5.2203558299999999</v>
      </c>
    </row>
    <row r="51" spans="1:31" x14ac:dyDescent="0.2">
      <c r="A51">
        <v>17.155666700000001</v>
      </c>
      <c r="B51">
        <v>5.4971682299999998</v>
      </c>
      <c r="C51">
        <v>5.24174702</v>
      </c>
      <c r="D51">
        <v>5.8550719200000003</v>
      </c>
      <c r="E51">
        <v>5.25749537</v>
      </c>
      <c r="F51">
        <v>5.8435444199999997</v>
      </c>
      <c r="G51">
        <v>5.24174702</v>
      </c>
      <c r="I51">
        <v>17.155666700000001</v>
      </c>
      <c r="J51">
        <v>5.4293456300000003</v>
      </c>
      <c r="K51">
        <v>5.2470240700000002</v>
      </c>
      <c r="L51">
        <v>6.0210233500000001</v>
      </c>
      <c r="M51">
        <v>5.2832037300000003</v>
      </c>
      <c r="N51">
        <v>6.01126717</v>
      </c>
      <c r="O51">
        <v>5.25749537</v>
      </c>
      <c r="Q51">
        <v>17.155666700000001</v>
      </c>
      <c r="R51">
        <v>5.4293456300000003</v>
      </c>
      <c r="S51">
        <v>5.2203558299999999</v>
      </c>
      <c r="T51">
        <v>5.5606816300000004</v>
      </c>
      <c r="U51">
        <v>5.2678581600000003</v>
      </c>
      <c r="V51">
        <v>5.5834963100000001</v>
      </c>
      <c r="W51">
        <v>5.24174702</v>
      </c>
      <c r="Y51">
        <v>17.155666700000001</v>
      </c>
      <c r="Z51">
        <v>5.4249500199999998</v>
      </c>
      <c r="AA51">
        <v>5.2626901899999998</v>
      </c>
      <c r="AB51">
        <v>5.4638318100000003</v>
      </c>
      <c r="AC51">
        <v>5.2729995599999997</v>
      </c>
      <c r="AD51">
        <v>5.4680601400000004</v>
      </c>
      <c r="AE51">
        <v>5.20948615</v>
      </c>
    </row>
    <row r="52" spans="1:31" x14ac:dyDescent="0.2">
      <c r="A52">
        <v>17.5206944</v>
      </c>
      <c r="B52">
        <v>5.48893773</v>
      </c>
      <c r="C52">
        <v>5.2626901899999998</v>
      </c>
      <c r="D52">
        <v>5.91079664</v>
      </c>
      <c r="E52">
        <v>5.2729995599999997</v>
      </c>
      <c r="F52">
        <v>5.8944028299999998</v>
      </c>
      <c r="G52">
        <v>5.2522734299999998</v>
      </c>
      <c r="I52">
        <v>17.5206944</v>
      </c>
      <c r="J52">
        <v>5.4293456300000003</v>
      </c>
      <c r="K52">
        <v>5.2522734299999998</v>
      </c>
      <c r="L52">
        <v>6.0980742799999996</v>
      </c>
      <c r="M52">
        <v>5.2933048200000004</v>
      </c>
      <c r="N52">
        <v>6.0799332000000001</v>
      </c>
      <c r="O52">
        <v>5.2678581600000003</v>
      </c>
      <c r="Q52">
        <v>17.5206944</v>
      </c>
      <c r="R52">
        <v>5.4337220000000004</v>
      </c>
      <c r="S52">
        <v>5.2149357600000004</v>
      </c>
      <c r="T52">
        <v>5.5683445000000003</v>
      </c>
      <c r="U52">
        <v>5.27811466</v>
      </c>
      <c r="V52">
        <v>5.6058020700000002</v>
      </c>
      <c r="W52">
        <v>5.2257466700000004</v>
      </c>
      <c r="Y52">
        <v>17.5206944</v>
      </c>
      <c r="Z52">
        <v>5.4293456300000003</v>
      </c>
      <c r="AA52">
        <v>5.2729995599999997</v>
      </c>
      <c r="AB52">
        <v>5.4806389199999996</v>
      </c>
      <c r="AC52">
        <v>5.27811466</v>
      </c>
      <c r="AD52">
        <v>5.4680601400000004</v>
      </c>
      <c r="AE52">
        <v>5.2364419599999996</v>
      </c>
    </row>
    <row r="53" spans="1:31" x14ac:dyDescent="0.2">
      <c r="A53">
        <v>17.885694399999998</v>
      </c>
      <c r="B53">
        <v>5.48893773</v>
      </c>
      <c r="C53">
        <v>5.2522734299999998</v>
      </c>
      <c r="D53">
        <v>5.9610053399999998</v>
      </c>
      <c r="E53">
        <v>5.2832037300000003</v>
      </c>
      <c r="F53">
        <v>5.9584246900000002</v>
      </c>
      <c r="G53">
        <v>5.2626901899999998</v>
      </c>
      <c r="I53">
        <v>17.885694399999998</v>
      </c>
      <c r="J53">
        <v>5.4249500199999998</v>
      </c>
      <c r="K53">
        <v>5.2470240700000002</v>
      </c>
      <c r="L53">
        <v>6.1548580900000003</v>
      </c>
      <c r="M53">
        <v>5.2678581600000003</v>
      </c>
      <c r="N53">
        <v>6.1355648900000004</v>
      </c>
      <c r="O53">
        <v>5.2311086199999997</v>
      </c>
      <c r="Q53">
        <v>17.885694399999998</v>
      </c>
      <c r="R53">
        <v>5.4249500199999998</v>
      </c>
      <c r="S53">
        <v>5.2149357600000004</v>
      </c>
      <c r="T53">
        <v>5.5872486600000002</v>
      </c>
      <c r="U53">
        <v>5.2882670300000001</v>
      </c>
      <c r="V53">
        <v>5.6167711000000002</v>
      </c>
      <c r="W53">
        <v>5.24174702</v>
      </c>
      <c r="Y53">
        <v>17.885694399999998</v>
      </c>
      <c r="Z53">
        <v>5.4293456300000003</v>
      </c>
      <c r="AA53">
        <v>5.2678581600000003</v>
      </c>
      <c r="AB53">
        <v>5.4722706700000003</v>
      </c>
      <c r="AC53">
        <v>5.2729995599999997</v>
      </c>
      <c r="AD53">
        <v>5.4467373700000001</v>
      </c>
      <c r="AE53">
        <v>5.20948615</v>
      </c>
    </row>
    <row r="54" spans="1:31" x14ac:dyDescent="0.2">
      <c r="A54">
        <v>18.2506944</v>
      </c>
      <c r="B54">
        <v>5.48893773</v>
      </c>
      <c r="C54">
        <v>5.3082677</v>
      </c>
      <c r="D54">
        <v>6.0282785199999998</v>
      </c>
      <c r="E54">
        <v>5.3471075299999997</v>
      </c>
      <c r="F54">
        <v>5.9914645499999999</v>
      </c>
      <c r="G54">
        <v>5.3082677</v>
      </c>
      <c r="I54">
        <v>18.2506944</v>
      </c>
      <c r="J54">
        <v>5.44241771</v>
      </c>
      <c r="K54">
        <v>5.2832037300000003</v>
      </c>
      <c r="L54">
        <v>6.2285110000000001</v>
      </c>
      <c r="M54">
        <v>5.3423342500000004</v>
      </c>
      <c r="N54">
        <v>6.2106000799999999</v>
      </c>
      <c r="O54">
        <v>5.3082677</v>
      </c>
      <c r="Q54">
        <v>18.2506944</v>
      </c>
      <c r="R54">
        <v>5.44241771</v>
      </c>
      <c r="S54">
        <v>5.25749537</v>
      </c>
      <c r="T54">
        <v>5.6021188200000003</v>
      </c>
      <c r="U54">
        <v>5.3518581300000001</v>
      </c>
      <c r="V54">
        <v>5.6489742400000003</v>
      </c>
      <c r="W54">
        <v>5.3082677</v>
      </c>
      <c r="Y54">
        <v>18.2506944</v>
      </c>
      <c r="Z54">
        <v>5.4205350000000001</v>
      </c>
      <c r="AA54">
        <v>5.3132059800000002</v>
      </c>
      <c r="AB54">
        <v>5.4806389199999996</v>
      </c>
      <c r="AC54">
        <v>5.3181199899999996</v>
      </c>
      <c r="AD54">
        <v>5.4595855100000001</v>
      </c>
      <c r="AE54">
        <v>5.27811466</v>
      </c>
    </row>
    <row r="55" spans="1:31" x14ac:dyDescent="0.2">
      <c r="A55">
        <v>18.6157222</v>
      </c>
      <c r="B55">
        <v>5.5053315400000002</v>
      </c>
      <c r="C55">
        <v>5.2678581600000003</v>
      </c>
      <c r="D55">
        <v>6.1246833900000004</v>
      </c>
      <c r="E55">
        <v>5.2832037300000003</v>
      </c>
      <c r="F55">
        <v>6.0822189099999999</v>
      </c>
      <c r="G55">
        <v>5.27811466</v>
      </c>
      <c r="I55">
        <v>18.6157222</v>
      </c>
      <c r="J55">
        <v>5.4293456300000003</v>
      </c>
      <c r="K55">
        <v>5.25749537</v>
      </c>
      <c r="L55">
        <v>6.3135480499999996</v>
      </c>
      <c r="M55">
        <v>5.2933048200000004</v>
      </c>
      <c r="N55">
        <v>6.2822667499999998</v>
      </c>
      <c r="O55">
        <v>5.25749537</v>
      </c>
      <c r="Q55">
        <v>18.6157222</v>
      </c>
      <c r="R55">
        <v>5.4467373700000001</v>
      </c>
      <c r="S55">
        <v>5.2311086199999997</v>
      </c>
      <c r="T55">
        <v>5.6058020700000002</v>
      </c>
      <c r="U55">
        <v>5.3082677</v>
      </c>
      <c r="V55">
        <v>5.6629604799999997</v>
      </c>
      <c r="W55">
        <v>5.2626901899999998</v>
      </c>
      <c r="Y55">
        <v>18.6157222</v>
      </c>
      <c r="Z55">
        <v>5.4293456300000003</v>
      </c>
      <c r="AA55">
        <v>5.2729995599999997</v>
      </c>
      <c r="AB55">
        <v>5.4971682299999998</v>
      </c>
      <c r="AC55">
        <v>5.2933048200000004</v>
      </c>
      <c r="AD55">
        <v>5.4847969299999999</v>
      </c>
      <c r="AE55">
        <v>5.2257466700000004</v>
      </c>
    </row>
    <row r="56" spans="1:31" x14ac:dyDescent="0.2">
      <c r="A56">
        <v>18.980722199999999</v>
      </c>
      <c r="B56">
        <v>5.49306144</v>
      </c>
      <c r="C56">
        <v>5.2882670300000001</v>
      </c>
      <c r="D56">
        <v>6.2186001199999996</v>
      </c>
      <c r="E56">
        <v>5.3230099800000001</v>
      </c>
      <c r="F56">
        <v>6.1675164899999997</v>
      </c>
      <c r="G56">
        <v>5.27811466</v>
      </c>
      <c r="I56">
        <v>18.980722199999999</v>
      </c>
      <c r="J56">
        <v>5.4293456300000003</v>
      </c>
      <c r="K56">
        <v>5.25749537</v>
      </c>
      <c r="L56">
        <v>6.4216222700000003</v>
      </c>
      <c r="M56">
        <v>5.3082677</v>
      </c>
      <c r="N56">
        <v>6.37331979</v>
      </c>
      <c r="O56">
        <v>5.2678581600000003</v>
      </c>
      <c r="Q56">
        <v>18.980722199999999</v>
      </c>
      <c r="R56">
        <v>5.44241771</v>
      </c>
      <c r="S56">
        <v>5.24174702</v>
      </c>
      <c r="T56">
        <v>5.6131281099999999</v>
      </c>
      <c r="U56">
        <v>5.3375380799999999</v>
      </c>
      <c r="V56">
        <v>5.6767538000000002</v>
      </c>
      <c r="W56">
        <v>5.2522734299999998</v>
      </c>
      <c r="Y56">
        <v>18.980722199999999</v>
      </c>
      <c r="Z56">
        <v>5.43807931</v>
      </c>
      <c r="AA56">
        <v>5.27811466</v>
      </c>
      <c r="AB56">
        <v>5.4806389199999996</v>
      </c>
      <c r="AC56">
        <v>5.2983173700000004</v>
      </c>
      <c r="AD56">
        <v>5.4680601400000004</v>
      </c>
      <c r="AE56">
        <v>5.2203558299999999</v>
      </c>
    </row>
    <row r="57" spans="1:31" x14ac:dyDescent="0.2">
      <c r="A57">
        <v>19.345722200000001</v>
      </c>
      <c r="B57">
        <v>5.4847969299999999</v>
      </c>
      <c r="C57">
        <v>5.2678581600000003</v>
      </c>
      <c r="D57">
        <v>6.3207682900000002</v>
      </c>
      <c r="E57">
        <v>5.3230099800000001</v>
      </c>
      <c r="F57">
        <v>6.2747620199999998</v>
      </c>
      <c r="G57">
        <v>5.2933048200000004</v>
      </c>
      <c r="I57">
        <v>19.345722200000001</v>
      </c>
      <c r="J57">
        <v>5.44241771</v>
      </c>
      <c r="K57">
        <v>5.2626901899999998</v>
      </c>
      <c r="L57">
        <v>6.5147126899999996</v>
      </c>
      <c r="M57">
        <v>5.3132059800000002</v>
      </c>
      <c r="N57">
        <v>6.4692503200000004</v>
      </c>
      <c r="O57">
        <v>5.2626901899999998</v>
      </c>
      <c r="Q57">
        <v>19.345722200000001</v>
      </c>
      <c r="R57">
        <v>5.4337220000000004</v>
      </c>
      <c r="S57">
        <v>5.2257466700000004</v>
      </c>
      <c r="T57">
        <v>5.6240175099999998</v>
      </c>
      <c r="U57">
        <v>5.3471075299999997</v>
      </c>
      <c r="V57">
        <v>5.6937321399999998</v>
      </c>
      <c r="W57">
        <v>5.2470240700000002</v>
      </c>
      <c r="Y57">
        <v>19.345722200000001</v>
      </c>
      <c r="Z57">
        <v>5.4510384500000004</v>
      </c>
      <c r="AA57">
        <v>5.2729995599999997</v>
      </c>
      <c r="AB57">
        <v>5.4764635500000001</v>
      </c>
      <c r="AC57">
        <v>5.2832037300000003</v>
      </c>
      <c r="AD57">
        <v>5.4595855100000001</v>
      </c>
      <c r="AE57">
        <v>5.2364419599999996</v>
      </c>
    </row>
    <row r="58" spans="1:31" x14ac:dyDescent="0.2">
      <c r="A58">
        <v>19.710750000000001</v>
      </c>
      <c r="B58">
        <v>5.5012582099999996</v>
      </c>
      <c r="C58">
        <v>4.9199809300000004</v>
      </c>
      <c r="D58">
        <v>6.4150969599999996</v>
      </c>
      <c r="E58">
        <v>5.0434251200000002</v>
      </c>
      <c r="F58">
        <v>6.3561076600000002</v>
      </c>
      <c r="G58">
        <v>5.1532915900000003</v>
      </c>
      <c r="I58">
        <v>19.710750000000001</v>
      </c>
      <c r="J58">
        <v>5.4205350000000001</v>
      </c>
      <c r="K58">
        <v>5.1179938099999998</v>
      </c>
      <c r="L58">
        <v>6.62804138</v>
      </c>
      <c r="M58">
        <v>5.2040066899999999</v>
      </c>
      <c r="N58">
        <v>6.5750758400000002</v>
      </c>
      <c r="O58">
        <v>5.1179938099999998</v>
      </c>
      <c r="Q58">
        <v>19.710750000000001</v>
      </c>
      <c r="R58">
        <v>5.4293456300000003</v>
      </c>
      <c r="S58">
        <v>4.8828019200000004</v>
      </c>
      <c r="T58">
        <v>5.6594822200000001</v>
      </c>
      <c r="U58">
        <v>5.0106352899999997</v>
      </c>
      <c r="V58">
        <v>5.7235851000000002</v>
      </c>
      <c r="W58">
        <v>5.10594547</v>
      </c>
      <c r="Y58">
        <v>19.710750000000001</v>
      </c>
      <c r="Z58">
        <v>5.4249500199999998</v>
      </c>
      <c r="AA58">
        <v>5.1239639800000001</v>
      </c>
      <c r="AB58">
        <v>5.4847969299999999</v>
      </c>
      <c r="AC58">
        <v>5.1474944799999998</v>
      </c>
      <c r="AD58">
        <v>5.4553211199999998</v>
      </c>
      <c r="AE58">
        <v>5.10594547</v>
      </c>
    </row>
    <row r="59" spans="1:31" x14ac:dyDescent="0.2">
      <c r="A59">
        <v>20.075749999999999</v>
      </c>
      <c r="B59">
        <v>5.48893773</v>
      </c>
      <c r="C59">
        <v>5.3132059800000002</v>
      </c>
      <c r="D59">
        <v>6.5337888399999997</v>
      </c>
      <c r="E59">
        <v>5.3798973500000002</v>
      </c>
      <c r="F59">
        <v>6.4645883</v>
      </c>
      <c r="G59">
        <v>5.3375380799999999</v>
      </c>
      <c r="I59">
        <v>20.075749999999999</v>
      </c>
      <c r="J59">
        <v>5.4337220000000004</v>
      </c>
      <c r="K59">
        <v>5.3132059800000002</v>
      </c>
      <c r="L59">
        <v>6.7417006900000001</v>
      </c>
      <c r="M59">
        <v>5.3471075299999997</v>
      </c>
      <c r="N59">
        <v>6.6858609500000004</v>
      </c>
      <c r="O59">
        <v>5.2882670300000001</v>
      </c>
      <c r="Q59">
        <v>20.075749999999999</v>
      </c>
      <c r="R59">
        <v>5.44241771</v>
      </c>
      <c r="S59">
        <v>5.2832037300000003</v>
      </c>
      <c r="T59">
        <v>5.6664266899999998</v>
      </c>
      <c r="U59">
        <v>5.3936275499999997</v>
      </c>
      <c r="V59">
        <v>5.7462031900000001</v>
      </c>
      <c r="W59">
        <v>5.3033049099999996</v>
      </c>
      <c r="Y59">
        <v>20.075749999999999</v>
      </c>
      <c r="Z59">
        <v>5.44241771</v>
      </c>
      <c r="AA59">
        <v>5.2933048200000004</v>
      </c>
      <c r="AB59">
        <v>5.4764635500000001</v>
      </c>
      <c r="AC59">
        <v>5.3181199899999996</v>
      </c>
      <c r="AD59">
        <v>5.4680601400000004</v>
      </c>
      <c r="AE59">
        <v>5.2626901899999998</v>
      </c>
    </row>
    <row r="60" spans="1:31" x14ac:dyDescent="0.2">
      <c r="A60">
        <v>20.440777799999999</v>
      </c>
      <c r="B60">
        <v>5.49306144</v>
      </c>
      <c r="C60">
        <v>5.2522734299999998</v>
      </c>
      <c r="D60">
        <v>6.6554403500000001</v>
      </c>
      <c r="E60">
        <v>5.3798973500000002</v>
      </c>
      <c r="F60">
        <v>6.5861716499999998</v>
      </c>
      <c r="G60">
        <v>5.3230099800000001</v>
      </c>
      <c r="I60">
        <v>20.440777799999999</v>
      </c>
      <c r="J60">
        <v>5.44241771</v>
      </c>
      <c r="K60">
        <v>5.25749537</v>
      </c>
      <c r="L60">
        <v>6.8690144499999999</v>
      </c>
      <c r="M60">
        <v>5.3278761699999997</v>
      </c>
      <c r="N60">
        <v>6.7968237199999999</v>
      </c>
      <c r="O60">
        <v>5.2729995599999997</v>
      </c>
      <c r="Q60">
        <v>20.440777799999999</v>
      </c>
      <c r="R60">
        <v>5.4510384500000004</v>
      </c>
      <c r="S60">
        <v>5.20948615</v>
      </c>
      <c r="T60">
        <v>5.6835797699999997</v>
      </c>
      <c r="U60">
        <v>5.3471075299999997</v>
      </c>
      <c r="V60">
        <v>5.77455155</v>
      </c>
      <c r="W60">
        <v>5.2522734299999998</v>
      </c>
      <c r="Y60">
        <v>20.440777799999999</v>
      </c>
      <c r="Z60">
        <v>5.4337220000000004</v>
      </c>
      <c r="AA60">
        <v>5.25749537</v>
      </c>
      <c r="AB60">
        <v>5.4764635500000001</v>
      </c>
      <c r="AC60">
        <v>5.2832037300000003</v>
      </c>
      <c r="AD60">
        <v>5.4722706700000003</v>
      </c>
      <c r="AE60">
        <v>5.2203558299999999</v>
      </c>
    </row>
    <row r="61" spans="1:31" x14ac:dyDescent="0.2">
      <c r="A61">
        <v>20.805777800000001</v>
      </c>
      <c r="B61">
        <v>5.5012582099999996</v>
      </c>
      <c r="C61">
        <v>5.4026773800000001</v>
      </c>
      <c r="D61">
        <v>6.7844570600000003</v>
      </c>
      <c r="E61">
        <v>5.5012582099999996</v>
      </c>
      <c r="F61">
        <v>6.7105231099999996</v>
      </c>
      <c r="G61">
        <v>5.2626901899999998</v>
      </c>
      <c r="I61">
        <v>20.805777800000001</v>
      </c>
      <c r="J61">
        <v>5.4337220000000004</v>
      </c>
      <c r="K61">
        <v>5.1761497299999997</v>
      </c>
      <c r="L61">
        <v>7.0039741400000004</v>
      </c>
      <c r="M61">
        <v>5.2729995599999997</v>
      </c>
      <c r="N61">
        <v>6.9334230300000002</v>
      </c>
      <c r="O61">
        <v>5.1984970300000004</v>
      </c>
      <c r="Q61">
        <v>20.805777800000001</v>
      </c>
      <c r="R61">
        <v>5.4467373700000001</v>
      </c>
      <c r="S61">
        <v>5.3659760199999997</v>
      </c>
      <c r="T61">
        <v>5.7071102600000003</v>
      </c>
      <c r="U61">
        <v>5.48893773</v>
      </c>
      <c r="V61">
        <v>5.8141305299999999</v>
      </c>
      <c r="W61">
        <v>5.1984970300000004</v>
      </c>
      <c r="Y61">
        <v>20.805777800000001</v>
      </c>
      <c r="Z61">
        <v>5.4337220000000004</v>
      </c>
      <c r="AA61">
        <v>5.1984970300000004</v>
      </c>
      <c r="AB61">
        <v>5.4764635500000001</v>
      </c>
      <c r="AC61">
        <v>5.2203558299999999</v>
      </c>
      <c r="AD61">
        <v>5.4722706700000003</v>
      </c>
      <c r="AE61">
        <v>5.1474944799999998</v>
      </c>
    </row>
    <row r="62" spans="1:31" x14ac:dyDescent="0.2">
      <c r="A62">
        <v>21.170805600000001</v>
      </c>
      <c r="B62">
        <v>5.4971682299999998</v>
      </c>
      <c r="C62">
        <v>5.2933048200000004</v>
      </c>
      <c r="D62">
        <v>6.9255952000000001</v>
      </c>
      <c r="E62">
        <v>5.4293456300000003</v>
      </c>
      <c r="F62">
        <v>6.8426832800000001</v>
      </c>
      <c r="G62">
        <v>5.4249500199999998</v>
      </c>
      <c r="I62">
        <v>21.170805600000001</v>
      </c>
      <c r="J62">
        <v>5.4337220000000004</v>
      </c>
      <c r="K62">
        <v>5.2933048200000004</v>
      </c>
      <c r="L62">
        <v>7.1507014599999996</v>
      </c>
      <c r="M62">
        <v>5.3936275499999997</v>
      </c>
      <c r="N62">
        <v>7.0604763699999999</v>
      </c>
      <c r="O62">
        <v>5.3132059800000002</v>
      </c>
      <c r="Q62">
        <v>21.170805600000001</v>
      </c>
      <c r="R62">
        <v>5.44241771</v>
      </c>
      <c r="S62">
        <v>5.2933048200000004</v>
      </c>
      <c r="T62">
        <v>5.7268477500000001</v>
      </c>
      <c r="U62">
        <v>5.4337220000000004</v>
      </c>
      <c r="V62">
        <v>5.8464387799999997</v>
      </c>
      <c r="W62">
        <v>5.2933048200000004</v>
      </c>
      <c r="Y62">
        <v>21.170805600000001</v>
      </c>
      <c r="Z62">
        <v>5.4510384500000004</v>
      </c>
      <c r="AA62">
        <v>5.3132059800000002</v>
      </c>
      <c r="AB62">
        <v>5.4847969299999999</v>
      </c>
      <c r="AC62">
        <v>5.3278761699999997</v>
      </c>
      <c r="AD62">
        <v>5.4680601400000004</v>
      </c>
      <c r="AE62">
        <v>5.2832037300000003</v>
      </c>
    </row>
    <row r="63" spans="1:31" x14ac:dyDescent="0.2">
      <c r="A63">
        <v>21.5358056</v>
      </c>
      <c r="B63">
        <v>5.5093883400000001</v>
      </c>
      <c r="C63">
        <v>5.3230099800000001</v>
      </c>
      <c r="D63">
        <v>7.0724219000000002</v>
      </c>
      <c r="E63">
        <v>5.4510384500000004</v>
      </c>
      <c r="F63">
        <v>6.9847163200000004</v>
      </c>
      <c r="G63">
        <v>5.43807931</v>
      </c>
      <c r="I63">
        <v>21.5358056</v>
      </c>
      <c r="J63">
        <v>5.44241771</v>
      </c>
      <c r="K63">
        <v>5.2933048200000004</v>
      </c>
      <c r="L63">
        <v>7.3011478099999998</v>
      </c>
      <c r="M63">
        <v>5.4071717699999997</v>
      </c>
      <c r="N63">
        <v>7.2137683099999999</v>
      </c>
      <c r="O63">
        <v>5.3181199899999996</v>
      </c>
      <c r="Q63">
        <v>21.5358056</v>
      </c>
      <c r="R63">
        <v>5.4510384500000004</v>
      </c>
      <c r="S63">
        <v>5.2678581600000003</v>
      </c>
      <c r="T63">
        <v>5.7557422100000002</v>
      </c>
      <c r="U63">
        <v>5.4510384500000004</v>
      </c>
      <c r="V63">
        <v>5.88332239</v>
      </c>
      <c r="W63">
        <v>5.3082677</v>
      </c>
      <c r="Y63">
        <v>21.5358056</v>
      </c>
      <c r="Z63">
        <v>5.44241771</v>
      </c>
      <c r="AA63">
        <v>5.3033049099999996</v>
      </c>
      <c r="AB63">
        <v>5.4971682299999998</v>
      </c>
      <c r="AC63">
        <v>5.3230099800000001</v>
      </c>
      <c r="AD63">
        <v>5.4764635500000001</v>
      </c>
      <c r="AE63">
        <v>5.2882670300000001</v>
      </c>
    </row>
    <row r="64" spans="1:31" x14ac:dyDescent="0.2">
      <c r="A64">
        <v>21.902138900000001</v>
      </c>
      <c r="B64">
        <v>5.48893773</v>
      </c>
      <c r="C64">
        <v>5.3082677</v>
      </c>
      <c r="D64">
        <v>7.2211050999999999</v>
      </c>
      <c r="E64">
        <v>5.4722706700000003</v>
      </c>
      <c r="F64">
        <v>7.1356873500000004</v>
      </c>
      <c r="G64">
        <v>5.4764635500000001</v>
      </c>
      <c r="I64">
        <v>21.902138900000001</v>
      </c>
      <c r="J64">
        <v>5.44241771</v>
      </c>
      <c r="K64">
        <v>5.3033049099999996</v>
      </c>
      <c r="L64">
        <v>7.4570320900000002</v>
      </c>
      <c r="M64">
        <v>5.4337220000000004</v>
      </c>
      <c r="N64">
        <v>7.3670770599999997</v>
      </c>
      <c r="O64">
        <v>5.3082677</v>
      </c>
      <c r="Q64">
        <v>21.902138900000001</v>
      </c>
      <c r="R64">
        <v>5.4553211199999998</v>
      </c>
      <c r="S64">
        <v>5.2832037300000003</v>
      </c>
      <c r="T64">
        <v>5.7807435199999997</v>
      </c>
      <c r="U64">
        <v>5.43807931</v>
      </c>
      <c r="V64">
        <v>5.9215784200000003</v>
      </c>
      <c r="W64">
        <v>5.3082677</v>
      </c>
      <c r="Y64">
        <v>21.902138900000001</v>
      </c>
      <c r="Z64">
        <v>5.44241771</v>
      </c>
      <c r="AA64">
        <v>5.3278761699999997</v>
      </c>
      <c r="AB64">
        <v>5.48893773</v>
      </c>
      <c r="AC64">
        <v>5.3565862700000002</v>
      </c>
      <c r="AD64">
        <v>5.5053315400000002</v>
      </c>
      <c r="AE64">
        <v>5.2882670300000001</v>
      </c>
    </row>
    <row r="65" spans="1:31" x14ac:dyDescent="0.2">
      <c r="A65">
        <v>22.267138899999999</v>
      </c>
      <c r="B65">
        <v>5.5254529400000001</v>
      </c>
      <c r="C65">
        <v>5.2626901899999998</v>
      </c>
      <c r="D65">
        <v>7.38274645</v>
      </c>
      <c r="E65">
        <v>5.4467373700000001</v>
      </c>
      <c r="F65">
        <v>7.2984451000000004</v>
      </c>
      <c r="G65">
        <v>5.4680601400000004</v>
      </c>
      <c r="I65">
        <v>22.267138899999999</v>
      </c>
      <c r="J65">
        <v>5.43807931</v>
      </c>
      <c r="K65">
        <v>5.2626901899999998</v>
      </c>
      <c r="L65">
        <v>7.6172678100000004</v>
      </c>
      <c r="M65">
        <v>5.4116460499999999</v>
      </c>
      <c r="N65">
        <v>7.52510075</v>
      </c>
      <c r="O65">
        <v>5.2729995599999997</v>
      </c>
      <c r="Q65">
        <v>22.267138899999999</v>
      </c>
      <c r="R65">
        <v>5.4553211199999998</v>
      </c>
      <c r="S65">
        <v>5.1984970300000004</v>
      </c>
      <c r="T65">
        <v>5.8051349700000001</v>
      </c>
      <c r="U65">
        <v>5.4116460499999999</v>
      </c>
      <c r="V65">
        <v>5.9610053399999998</v>
      </c>
      <c r="W65">
        <v>5.2678581600000003</v>
      </c>
      <c r="Y65">
        <v>22.267138899999999</v>
      </c>
      <c r="Z65">
        <v>5.43807931</v>
      </c>
      <c r="AA65">
        <v>5.25749537</v>
      </c>
      <c r="AB65">
        <v>5.5012582099999996</v>
      </c>
      <c r="AC65">
        <v>5.2882670300000001</v>
      </c>
      <c r="AD65">
        <v>5.49306144</v>
      </c>
      <c r="AE65">
        <v>5.2311086199999997</v>
      </c>
    </row>
    <row r="66" spans="1:31" x14ac:dyDescent="0.2">
      <c r="A66">
        <v>22.632166699999999</v>
      </c>
      <c r="B66">
        <v>5.5093883400000001</v>
      </c>
      <c r="C66">
        <v>5.2364419599999996</v>
      </c>
      <c r="D66">
        <v>7.5368971299999998</v>
      </c>
      <c r="E66">
        <v>5.49306144</v>
      </c>
      <c r="F66">
        <v>7.4547199500000003</v>
      </c>
      <c r="G66">
        <v>5.5134287500000001</v>
      </c>
      <c r="I66">
        <v>22.632166699999999</v>
      </c>
      <c r="J66">
        <v>5.4467373700000001</v>
      </c>
      <c r="K66">
        <v>5.2678581600000003</v>
      </c>
      <c r="L66">
        <v>7.7786301499999997</v>
      </c>
      <c r="M66">
        <v>5.4595855100000001</v>
      </c>
      <c r="N66">
        <v>7.6966670800000001</v>
      </c>
      <c r="O66">
        <v>5.2678581600000003</v>
      </c>
      <c r="Q66">
        <v>22.632166699999999</v>
      </c>
      <c r="R66">
        <v>5.4680601400000004</v>
      </c>
      <c r="S66">
        <v>5.2257466700000004</v>
      </c>
      <c r="T66">
        <v>5.8377304499999996</v>
      </c>
      <c r="U66">
        <v>5.43807931</v>
      </c>
      <c r="V66">
        <v>6.0038870700000002</v>
      </c>
      <c r="W66">
        <v>5.2729995599999997</v>
      </c>
      <c r="Y66">
        <v>22.632166699999999</v>
      </c>
      <c r="Z66">
        <v>5.44241771</v>
      </c>
      <c r="AA66">
        <v>5.2678581600000003</v>
      </c>
      <c r="AB66">
        <v>5.5012582099999996</v>
      </c>
      <c r="AC66">
        <v>5.2729995599999997</v>
      </c>
      <c r="AD66">
        <v>5.5012582099999996</v>
      </c>
      <c r="AE66">
        <v>5.24174702</v>
      </c>
    </row>
    <row r="67" spans="1:31" x14ac:dyDescent="0.2">
      <c r="A67">
        <v>22.997166700000001</v>
      </c>
      <c r="B67">
        <v>5.5012582099999996</v>
      </c>
      <c r="C67">
        <v>5.25749537</v>
      </c>
      <c r="D67">
        <v>7.7043611700000003</v>
      </c>
      <c r="E67">
        <v>5.5333894900000002</v>
      </c>
      <c r="F67">
        <v>7.6216850000000003</v>
      </c>
      <c r="G67">
        <v>5.5721540300000001</v>
      </c>
      <c r="I67">
        <v>22.997166700000001</v>
      </c>
      <c r="J67">
        <v>5.4553211199999998</v>
      </c>
      <c r="K67">
        <v>5.25749537</v>
      </c>
      <c r="L67">
        <v>7.8524390899999998</v>
      </c>
      <c r="M67">
        <v>5.4722706700000003</v>
      </c>
      <c r="N67">
        <v>7.8292325399999996</v>
      </c>
      <c r="O67">
        <v>5.25749537</v>
      </c>
      <c r="Q67">
        <v>22.997166700000001</v>
      </c>
      <c r="R67">
        <v>5.4510384500000004</v>
      </c>
      <c r="S67">
        <v>5.1984970300000004</v>
      </c>
      <c r="T67">
        <v>5.8692969100000001</v>
      </c>
      <c r="U67">
        <v>5.4595855100000001</v>
      </c>
      <c r="V67">
        <v>6.0306852600000003</v>
      </c>
      <c r="W67">
        <v>5.2729995599999997</v>
      </c>
      <c r="Y67">
        <v>22.997166700000001</v>
      </c>
      <c r="Z67">
        <v>5.4337220000000004</v>
      </c>
      <c r="AA67">
        <v>5.2522734299999998</v>
      </c>
      <c r="AB67">
        <v>5.4847969299999999</v>
      </c>
      <c r="AC67">
        <v>5.27811466</v>
      </c>
      <c r="AD67">
        <v>5.4971682299999998</v>
      </c>
      <c r="AE67">
        <v>5.2470240700000002</v>
      </c>
    </row>
    <row r="68" spans="1:31" x14ac:dyDescent="0.2">
      <c r="A68">
        <v>23.3621944</v>
      </c>
      <c r="B68">
        <v>5.5254529400000001</v>
      </c>
      <c r="C68">
        <v>5.27811466</v>
      </c>
      <c r="D68">
        <v>7.8332039499999997</v>
      </c>
      <c r="E68">
        <v>5.5872486600000002</v>
      </c>
      <c r="F68">
        <v>7.79193596</v>
      </c>
      <c r="G68">
        <v>5.6276211099999998</v>
      </c>
      <c r="I68">
        <v>23.3621944</v>
      </c>
      <c r="J68">
        <v>5.4337220000000004</v>
      </c>
      <c r="K68">
        <v>5.2470240700000002</v>
      </c>
      <c r="L68">
        <v>7.8838232100000001</v>
      </c>
      <c r="M68">
        <v>5.49306144</v>
      </c>
      <c r="N68">
        <v>7.8902082099999999</v>
      </c>
      <c r="O68">
        <v>5.2729995599999997</v>
      </c>
      <c r="Q68">
        <v>23.3621944</v>
      </c>
      <c r="R68">
        <v>5.4467373700000001</v>
      </c>
      <c r="S68">
        <v>5.2257466700000004</v>
      </c>
      <c r="T68">
        <v>5.8971538700000004</v>
      </c>
      <c r="U68">
        <v>5.4847969299999999</v>
      </c>
      <c r="V68">
        <v>6.0980742799999996</v>
      </c>
      <c r="W68">
        <v>5.2729995599999997</v>
      </c>
      <c r="Y68">
        <v>23.3621944</v>
      </c>
      <c r="Z68">
        <v>5.4467373700000001</v>
      </c>
      <c r="AA68">
        <v>5.2729995599999997</v>
      </c>
      <c r="AB68">
        <v>5.49306144</v>
      </c>
      <c r="AC68">
        <v>5.2933048200000004</v>
      </c>
      <c r="AD68">
        <v>5.48893773</v>
      </c>
      <c r="AE68">
        <v>5.2311086199999997</v>
      </c>
    </row>
    <row r="69" spans="1:31" x14ac:dyDescent="0.2">
      <c r="A69">
        <v>23.727194399999998</v>
      </c>
      <c r="B69">
        <v>5.5012582099999996</v>
      </c>
      <c r="C69">
        <v>5.2626901899999998</v>
      </c>
      <c r="D69">
        <v>7.8766384599999997</v>
      </c>
      <c r="E69">
        <v>5.6058020700000002</v>
      </c>
      <c r="F69">
        <v>7.8682542700000004</v>
      </c>
      <c r="G69">
        <v>5.7037824700000002</v>
      </c>
      <c r="I69">
        <v>23.727194399999998</v>
      </c>
      <c r="J69">
        <v>5.4337220000000004</v>
      </c>
      <c r="K69">
        <v>5.2470240700000002</v>
      </c>
      <c r="L69">
        <v>7.8902082099999999</v>
      </c>
      <c r="M69">
        <v>5.4971682299999998</v>
      </c>
      <c r="N69">
        <v>7.9160781</v>
      </c>
      <c r="O69">
        <v>5.25749537</v>
      </c>
      <c r="Q69">
        <v>23.727194399999998</v>
      </c>
      <c r="R69">
        <v>5.4510384500000004</v>
      </c>
      <c r="S69">
        <v>5.2257466700000004</v>
      </c>
      <c r="T69">
        <v>5.9348941999999996</v>
      </c>
      <c r="U69">
        <v>5.5053315400000002</v>
      </c>
      <c r="V69">
        <v>6.1484683000000002</v>
      </c>
      <c r="W69">
        <v>5.27811466</v>
      </c>
      <c r="Y69">
        <v>23.727194399999998</v>
      </c>
      <c r="Z69">
        <v>5.43807931</v>
      </c>
      <c r="AA69">
        <v>5.2522734299999998</v>
      </c>
      <c r="AB69">
        <v>5.4971682299999998</v>
      </c>
      <c r="AC69">
        <v>5.2832037300000003</v>
      </c>
      <c r="AD69">
        <v>5.4847969299999999</v>
      </c>
      <c r="AE69">
        <v>5.24174702</v>
      </c>
    </row>
    <row r="70" spans="1:31" x14ac:dyDescent="0.2">
      <c r="A70">
        <v>24.092222199999998</v>
      </c>
      <c r="B70">
        <v>5.5093883400000001</v>
      </c>
      <c r="C70">
        <v>5.2626901899999998</v>
      </c>
      <c r="D70">
        <v>7.8909567200000001</v>
      </c>
      <c r="E70">
        <v>5.6167711000000002</v>
      </c>
      <c r="F70">
        <v>7.9153481699999997</v>
      </c>
      <c r="G70">
        <v>5.77455155</v>
      </c>
      <c r="I70">
        <v>24.092222199999998</v>
      </c>
      <c r="J70">
        <v>5.4467373700000001</v>
      </c>
      <c r="K70">
        <v>5.25749537</v>
      </c>
      <c r="L70">
        <v>7.8868330000000002</v>
      </c>
      <c r="M70">
        <v>5.52146092</v>
      </c>
      <c r="N70">
        <v>7.9193561900000002</v>
      </c>
      <c r="O70">
        <v>5.2626901899999998</v>
      </c>
      <c r="Q70">
        <v>24.092222199999998</v>
      </c>
      <c r="R70">
        <v>5.4595855100000001</v>
      </c>
      <c r="S70">
        <v>5.2364419599999996</v>
      </c>
      <c r="T70">
        <v>5.97380961</v>
      </c>
      <c r="U70">
        <v>5.5254529400000001</v>
      </c>
      <c r="V70">
        <v>6.2065759299999996</v>
      </c>
      <c r="W70">
        <v>5.27811466</v>
      </c>
      <c r="Y70">
        <v>24.092222199999998</v>
      </c>
      <c r="Z70">
        <v>5.44241771</v>
      </c>
      <c r="AA70">
        <v>5.2832037300000003</v>
      </c>
      <c r="AB70">
        <v>5.4971682299999998</v>
      </c>
      <c r="AC70">
        <v>5.2882670300000001</v>
      </c>
      <c r="AD70">
        <v>5.4847969299999999</v>
      </c>
      <c r="AE70">
        <v>5.2364419599999996</v>
      </c>
    </row>
    <row r="71" spans="1:31" x14ac:dyDescent="0.2">
      <c r="A71">
        <v>24.4572222</v>
      </c>
      <c r="B71">
        <v>5.4971682299999998</v>
      </c>
      <c r="C71">
        <v>5.2522734299999998</v>
      </c>
      <c r="D71">
        <v>7.8887095199999999</v>
      </c>
      <c r="E71">
        <v>5.6167711000000002</v>
      </c>
      <c r="F71">
        <v>7.9142522800000004</v>
      </c>
      <c r="G71">
        <v>5.8664680599999999</v>
      </c>
      <c r="I71">
        <v>24.4572222</v>
      </c>
      <c r="J71">
        <v>5.44241771</v>
      </c>
      <c r="K71">
        <v>5.2729995599999997</v>
      </c>
      <c r="L71">
        <v>7.8830693500000004</v>
      </c>
      <c r="M71">
        <v>5.5254529400000001</v>
      </c>
      <c r="N71">
        <v>7.9171719899999999</v>
      </c>
      <c r="O71">
        <v>5.27811466</v>
      </c>
      <c r="Q71">
        <v>24.4572222</v>
      </c>
      <c r="R71">
        <v>5.43807931</v>
      </c>
      <c r="S71">
        <v>5.2203558299999999</v>
      </c>
      <c r="T71">
        <v>6.0137151600000003</v>
      </c>
      <c r="U71">
        <v>5.5645204100000001</v>
      </c>
      <c r="V71">
        <v>6.2595814599999997</v>
      </c>
      <c r="W71">
        <v>5.2933048200000004</v>
      </c>
      <c r="Y71">
        <v>24.4572222</v>
      </c>
      <c r="Z71">
        <v>5.4249500199999998</v>
      </c>
      <c r="AA71">
        <v>5.2626901899999998</v>
      </c>
      <c r="AB71">
        <v>5.4971682299999998</v>
      </c>
      <c r="AC71">
        <v>5.2933048200000004</v>
      </c>
      <c r="AD71">
        <v>5.4806389199999996</v>
      </c>
      <c r="AE71">
        <v>5.2257466700000004</v>
      </c>
    </row>
    <row r="72" spans="1:31" x14ac:dyDescent="0.2">
      <c r="A72">
        <v>24.822222199999999</v>
      </c>
      <c r="B72">
        <v>5.4971682299999998</v>
      </c>
      <c r="C72">
        <v>5.2678581600000003</v>
      </c>
      <c r="D72">
        <v>7.8830693500000004</v>
      </c>
      <c r="E72">
        <v>5.6524891799999999</v>
      </c>
      <c r="F72">
        <v>7.9160781</v>
      </c>
      <c r="G72">
        <v>5.9788857599999998</v>
      </c>
      <c r="I72">
        <v>24.822222199999999</v>
      </c>
      <c r="J72">
        <v>5.4553211199999998</v>
      </c>
      <c r="K72">
        <v>5.2364419599999996</v>
      </c>
      <c r="L72">
        <v>7.8841999300000003</v>
      </c>
      <c r="M72">
        <v>5.5490760799999999</v>
      </c>
      <c r="N72">
        <v>7.9135210200000001</v>
      </c>
      <c r="O72">
        <v>5.2832037300000003</v>
      </c>
      <c r="Q72">
        <v>24.822222199999999</v>
      </c>
      <c r="R72">
        <v>5.4467373700000001</v>
      </c>
      <c r="S72">
        <v>5.2149357600000004</v>
      </c>
      <c r="T72">
        <v>6.0520891700000004</v>
      </c>
      <c r="U72">
        <v>5.5984219599999996</v>
      </c>
      <c r="V72">
        <v>6.3135480499999996</v>
      </c>
      <c r="W72">
        <v>5.3033049099999996</v>
      </c>
      <c r="Y72">
        <v>24.822222199999999</v>
      </c>
      <c r="Z72">
        <v>5.4293456300000003</v>
      </c>
      <c r="AA72">
        <v>5.27811466</v>
      </c>
      <c r="AB72">
        <v>5.4971682299999998</v>
      </c>
      <c r="AC72">
        <v>5.3033049099999996</v>
      </c>
      <c r="AD72">
        <v>5.48893773</v>
      </c>
      <c r="AE72">
        <v>5.2257466700000004</v>
      </c>
    </row>
    <row r="73" spans="1:31" x14ac:dyDescent="0.2">
      <c r="A73">
        <v>25.187249999999999</v>
      </c>
      <c r="B73">
        <v>5.5012582099999996</v>
      </c>
      <c r="C73">
        <v>5.2470240700000002</v>
      </c>
      <c r="D73">
        <v>7.87929149</v>
      </c>
      <c r="E73">
        <v>5.6347896000000004</v>
      </c>
      <c r="F73">
        <v>7.9215356300000002</v>
      </c>
      <c r="G73">
        <v>6.0799332000000001</v>
      </c>
      <c r="I73">
        <v>25.187249999999999</v>
      </c>
      <c r="J73">
        <v>5.4467373700000001</v>
      </c>
      <c r="K73">
        <v>5.24174702</v>
      </c>
      <c r="L73">
        <v>7.8770179000000002</v>
      </c>
      <c r="M73">
        <v>5.5490760799999999</v>
      </c>
      <c r="N73">
        <v>7.9083871600000002</v>
      </c>
      <c r="O73">
        <v>5.2882670300000001</v>
      </c>
      <c r="Q73">
        <v>25.187249999999999</v>
      </c>
      <c r="R73">
        <v>5.4337220000000004</v>
      </c>
      <c r="S73">
        <v>5.2203558299999999</v>
      </c>
      <c r="T73">
        <v>6.1114673399999999</v>
      </c>
      <c r="U73">
        <v>5.6204008700000001</v>
      </c>
      <c r="V73">
        <v>6.3935907500000004</v>
      </c>
      <c r="W73">
        <v>5.2983173700000004</v>
      </c>
      <c r="Y73">
        <v>25.187249999999999</v>
      </c>
      <c r="Z73">
        <v>5.4510384500000004</v>
      </c>
      <c r="AA73">
        <v>5.25749537</v>
      </c>
      <c r="AB73">
        <v>5.5053315400000002</v>
      </c>
      <c r="AC73">
        <v>5.2832037300000003</v>
      </c>
      <c r="AD73">
        <v>5.4971682299999998</v>
      </c>
      <c r="AE73">
        <v>5.2364419599999996</v>
      </c>
    </row>
    <row r="74" spans="1:31" x14ac:dyDescent="0.2">
      <c r="A74">
        <v>25.552250000000001</v>
      </c>
      <c r="B74">
        <v>5.5053315400000002</v>
      </c>
      <c r="C74">
        <v>5.3278761699999997</v>
      </c>
      <c r="D74">
        <v>7.8830693500000004</v>
      </c>
      <c r="E74">
        <v>5.6903594499999999</v>
      </c>
      <c r="F74">
        <v>7.9164428600000001</v>
      </c>
      <c r="G74">
        <v>6.2344107299999996</v>
      </c>
      <c r="I74">
        <v>25.552250000000001</v>
      </c>
      <c r="J74">
        <v>5.4510384500000004</v>
      </c>
      <c r="K74">
        <v>5.3423342500000004</v>
      </c>
      <c r="L74">
        <v>7.8751192799999998</v>
      </c>
      <c r="M74">
        <v>5.6131281099999999</v>
      </c>
      <c r="N74">
        <v>7.9120568899999997</v>
      </c>
      <c r="O74">
        <v>5.37527841</v>
      </c>
      <c r="Q74">
        <v>25.552250000000001</v>
      </c>
      <c r="R74">
        <v>5.4595855100000001</v>
      </c>
      <c r="S74">
        <v>5.3033049099999996</v>
      </c>
      <c r="T74">
        <v>6.1548580900000003</v>
      </c>
      <c r="U74">
        <v>5.70044357</v>
      </c>
      <c r="V74">
        <v>6.4583382800000004</v>
      </c>
      <c r="W74">
        <v>5.3706380300000003</v>
      </c>
      <c r="Y74">
        <v>25.552250000000001</v>
      </c>
      <c r="Z74">
        <v>5.4337220000000004</v>
      </c>
      <c r="AA74">
        <v>5.3375380799999999</v>
      </c>
      <c r="AB74">
        <v>5.49306144</v>
      </c>
      <c r="AC74">
        <v>5.37527841</v>
      </c>
      <c r="AD74">
        <v>5.48893773</v>
      </c>
      <c r="AE74">
        <v>5.3181199899999996</v>
      </c>
    </row>
    <row r="75" spans="1:31" x14ac:dyDescent="0.2">
      <c r="A75">
        <v>25.917277800000001</v>
      </c>
      <c r="B75">
        <v>5.5134287500000001</v>
      </c>
      <c r="C75">
        <v>5.2626901899999998</v>
      </c>
      <c r="D75">
        <v>7.8701659499999996</v>
      </c>
      <c r="E75">
        <v>5.6489742400000003</v>
      </c>
      <c r="F75">
        <v>7.9047039100000003</v>
      </c>
      <c r="G75">
        <v>6.3403593000000003</v>
      </c>
      <c r="I75">
        <v>25.917277800000001</v>
      </c>
      <c r="J75">
        <v>5.43807931</v>
      </c>
      <c r="K75">
        <v>5.25749537</v>
      </c>
      <c r="L75">
        <v>7.8636512700000001</v>
      </c>
      <c r="M75">
        <v>5.5606816300000004</v>
      </c>
      <c r="N75">
        <v>7.9032268099999996</v>
      </c>
      <c r="O75">
        <v>5.2933048200000004</v>
      </c>
      <c r="Q75">
        <v>25.917277800000001</v>
      </c>
      <c r="R75">
        <v>5.4510384500000004</v>
      </c>
      <c r="S75">
        <v>5.2203558299999999</v>
      </c>
      <c r="T75">
        <v>6.2025355199999996</v>
      </c>
      <c r="U75">
        <v>5.6937321399999998</v>
      </c>
      <c r="V75">
        <v>6.5250296600000004</v>
      </c>
      <c r="W75">
        <v>5.3033049099999996</v>
      </c>
      <c r="Y75">
        <v>25.917277800000001</v>
      </c>
      <c r="Z75">
        <v>5.44241771</v>
      </c>
      <c r="AA75">
        <v>5.2626901899999998</v>
      </c>
      <c r="AB75">
        <v>5.48893773</v>
      </c>
      <c r="AC75">
        <v>5.2882670300000001</v>
      </c>
      <c r="AD75">
        <v>5.49306144</v>
      </c>
      <c r="AE75">
        <v>5.2311086199999997</v>
      </c>
    </row>
    <row r="76" spans="1:31" x14ac:dyDescent="0.2">
      <c r="A76">
        <v>26.282277799999999</v>
      </c>
      <c r="B76">
        <v>5.4971682299999998</v>
      </c>
      <c r="C76">
        <v>5.25749537</v>
      </c>
      <c r="D76">
        <v>7.8697838999999998</v>
      </c>
      <c r="E76">
        <v>5.6489742400000003</v>
      </c>
      <c r="F76">
        <v>7.9058103099999997</v>
      </c>
      <c r="G76">
        <v>6.4738907000000001</v>
      </c>
      <c r="I76">
        <v>26.282277799999999</v>
      </c>
      <c r="J76">
        <v>5.4467373700000001</v>
      </c>
      <c r="K76">
        <v>5.24174702</v>
      </c>
      <c r="L76">
        <v>7.8640356599999999</v>
      </c>
      <c r="M76">
        <v>5.5645204100000001</v>
      </c>
      <c r="N76">
        <v>7.8969246599999998</v>
      </c>
      <c r="O76">
        <v>5.2882670300000001</v>
      </c>
      <c r="Q76">
        <v>26.282277799999999</v>
      </c>
      <c r="R76">
        <v>5.4467373700000001</v>
      </c>
      <c r="S76">
        <v>5.2203558299999999</v>
      </c>
      <c r="T76">
        <v>6.2633982599999998</v>
      </c>
      <c r="U76">
        <v>5.7300997799999998</v>
      </c>
      <c r="V76">
        <v>6.5930445300000002</v>
      </c>
      <c r="W76">
        <v>5.3327187900000004</v>
      </c>
      <c r="Y76">
        <v>26.282277799999999</v>
      </c>
      <c r="Z76">
        <v>5.4553211199999998</v>
      </c>
      <c r="AA76">
        <v>5.25749537</v>
      </c>
      <c r="AB76">
        <v>5.4971682299999998</v>
      </c>
      <c r="AC76">
        <v>5.2882670300000001</v>
      </c>
      <c r="AD76">
        <v>5.4722706700000003</v>
      </c>
      <c r="AE76">
        <v>5.2149357600000004</v>
      </c>
    </row>
    <row r="77" spans="1:31" x14ac:dyDescent="0.2">
      <c r="A77">
        <v>26.647305599999999</v>
      </c>
      <c r="B77">
        <v>5.4971682299999998</v>
      </c>
      <c r="C77">
        <v>5.1239639800000001</v>
      </c>
      <c r="D77">
        <v>7.8663389199999996</v>
      </c>
      <c r="E77">
        <v>5.5984219599999996</v>
      </c>
      <c r="F77">
        <v>7.8972964699999997</v>
      </c>
      <c r="G77">
        <v>6.57786136</v>
      </c>
      <c r="I77">
        <v>26.647305599999999</v>
      </c>
      <c r="J77">
        <v>5.4680601400000004</v>
      </c>
      <c r="K77">
        <v>5.1179938099999998</v>
      </c>
      <c r="L77">
        <v>7.8663389199999996</v>
      </c>
      <c r="M77">
        <v>5.5093883400000001</v>
      </c>
      <c r="N77">
        <v>7.8890844099999997</v>
      </c>
      <c r="O77">
        <v>5.1590553000000003</v>
      </c>
      <c r="Q77">
        <v>26.647305599999999</v>
      </c>
      <c r="R77">
        <v>5.4467373700000001</v>
      </c>
      <c r="S77">
        <v>5.0689042000000004</v>
      </c>
      <c r="T77">
        <v>6.3189681100000001</v>
      </c>
      <c r="U77">
        <v>5.71042702</v>
      </c>
      <c r="V77">
        <v>6.6644090199999999</v>
      </c>
      <c r="W77">
        <v>5.2149357600000004</v>
      </c>
      <c r="Y77">
        <v>26.647305599999999</v>
      </c>
      <c r="Z77">
        <v>5.43807931</v>
      </c>
      <c r="AA77">
        <v>5.1474944799999998</v>
      </c>
      <c r="AB77">
        <v>5.5053315400000002</v>
      </c>
      <c r="AC77">
        <v>5.1590553000000003</v>
      </c>
      <c r="AD77">
        <v>5.48893773</v>
      </c>
      <c r="AE77">
        <v>5.0937501999999997</v>
      </c>
    </row>
    <row r="78" spans="1:31" x14ac:dyDescent="0.2">
      <c r="A78">
        <v>27.012305600000001</v>
      </c>
      <c r="B78">
        <v>5.5053315400000002</v>
      </c>
      <c r="C78">
        <v>5.24174702</v>
      </c>
      <c r="D78">
        <v>7.8636512700000001</v>
      </c>
      <c r="E78">
        <v>5.6664266899999998</v>
      </c>
      <c r="F78">
        <v>7.8976681500000003</v>
      </c>
      <c r="G78">
        <v>6.7661917100000002</v>
      </c>
      <c r="I78">
        <v>27.012305600000001</v>
      </c>
      <c r="J78">
        <v>5.43807931</v>
      </c>
      <c r="K78">
        <v>5.2678581600000003</v>
      </c>
      <c r="L78">
        <v>7.8516611799999998</v>
      </c>
      <c r="M78">
        <v>5.5909869800000003</v>
      </c>
      <c r="N78">
        <v>7.8909567200000001</v>
      </c>
      <c r="O78">
        <v>5.3033049099999996</v>
      </c>
      <c r="Q78">
        <v>27.012305600000001</v>
      </c>
      <c r="R78">
        <v>5.4510384500000004</v>
      </c>
      <c r="S78">
        <v>5.2040066899999999</v>
      </c>
      <c r="T78">
        <v>6.3699009799999997</v>
      </c>
      <c r="U78">
        <v>5.8171111599999996</v>
      </c>
      <c r="V78">
        <v>6.7452363499999999</v>
      </c>
      <c r="W78">
        <v>5.3327187900000004</v>
      </c>
      <c r="Y78">
        <v>27.012305600000001</v>
      </c>
      <c r="Z78">
        <v>5.44241771</v>
      </c>
      <c r="AA78">
        <v>5.2522734299999998</v>
      </c>
      <c r="AB78">
        <v>5.49306144</v>
      </c>
      <c r="AC78">
        <v>5.2983173700000004</v>
      </c>
      <c r="AD78">
        <v>5.48893773</v>
      </c>
      <c r="AE78">
        <v>5.2311086199999997</v>
      </c>
    </row>
    <row r="79" spans="1:31" x14ac:dyDescent="0.2">
      <c r="A79">
        <v>27.3773333</v>
      </c>
      <c r="B79">
        <v>5.4971682299999998</v>
      </c>
      <c r="C79">
        <v>5.12989871</v>
      </c>
      <c r="D79">
        <v>7.85282781</v>
      </c>
      <c r="E79">
        <v>5.6131281099999999</v>
      </c>
      <c r="F79">
        <v>7.89319887</v>
      </c>
      <c r="G79">
        <v>6.89972311</v>
      </c>
      <c r="I79">
        <v>27.3773333</v>
      </c>
      <c r="J79">
        <v>5.4510384500000004</v>
      </c>
      <c r="K79">
        <v>5.1179938099999998</v>
      </c>
      <c r="L79">
        <v>7.8624972</v>
      </c>
      <c r="M79">
        <v>5.5254529400000001</v>
      </c>
      <c r="N79">
        <v>7.8868330000000002</v>
      </c>
      <c r="O79">
        <v>5.1761497299999997</v>
      </c>
      <c r="Q79">
        <v>27.3773333</v>
      </c>
      <c r="R79">
        <v>5.4595855100000001</v>
      </c>
      <c r="S79">
        <v>5.0875963400000002</v>
      </c>
      <c r="T79">
        <v>6.4329400899999998</v>
      </c>
      <c r="U79">
        <v>5.8111409900000002</v>
      </c>
      <c r="V79">
        <v>6.8221973900000004</v>
      </c>
      <c r="W79">
        <v>5.24174702</v>
      </c>
      <c r="Y79">
        <v>27.3773333</v>
      </c>
      <c r="Z79">
        <v>5.44241771</v>
      </c>
      <c r="AA79">
        <v>5.12989871</v>
      </c>
      <c r="AB79">
        <v>5.48893773</v>
      </c>
      <c r="AC79">
        <v>5.1761497299999997</v>
      </c>
      <c r="AD79">
        <v>5.4806389199999996</v>
      </c>
      <c r="AE79">
        <v>5.10594547</v>
      </c>
    </row>
    <row r="80" spans="1:31" x14ac:dyDescent="0.2">
      <c r="A80">
        <v>27.742333299999999</v>
      </c>
      <c r="B80">
        <v>5.4971682299999998</v>
      </c>
      <c r="C80">
        <v>5.2470240700000002</v>
      </c>
      <c r="D80">
        <v>7.85941315</v>
      </c>
      <c r="E80">
        <v>5.6801726099999996</v>
      </c>
      <c r="F80">
        <v>7.89319887</v>
      </c>
      <c r="G80">
        <v>7.1057861300000003</v>
      </c>
      <c r="I80">
        <v>27.742333299999999</v>
      </c>
      <c r="J80">
        <v>5.44241771</v>
      </c>
      <c r="K80">
        <v>5.2522734299999998</v>
      </c>
      <c r="L80">
        <v>7.8516611799999998</v>
      </c>
      <c r="M80">
        <v>5.5872486600000002</v>
      </c>
      <c r="N80">
        <v>7.8849529499999997</v>
      </c>
      <c r="O80">
        <v>5.2983173700000004</v>
      </c>
      <c r="Q80">
        <v>27.742333299999999</v>
      </c>
      <c r="R80">
        <v>5.44241771</v>
      </c>
      <c r="S80">
        <v>5.2149357600000004</v>
      </c>
      <c r="T80">
        <v>6.5012896700000002</v>
      </c>
      <c r="U80">
        <v>5.9135030100000003</v>
      </c>
      <c r="V80">
        <v>6.8966943299999999</v>
      </c>
      <c r="W80">
        <v>5.3565862700000002</v>
      </c>
      <c r="Y80">
        <v>27.742333299999999</v>
      </c>
      <c r="Z80">
        <v>5.43807931</v>
      </c>
      <c r="AA80">
        <v>5.2678581600000003</v>
      </c>
      <c r="AB80">
        <v>5.5053315400000002</v>
      </c>
      <c r="AC80">
        <v>5.2933048200000004</v>
      </c>
      <c r="AD80">
        <v>5.49306144</v>
      </c>
      <c r="AE80">
        <v>5.2203558299999999</v>
      </c>
    </row>
    <row r="81" spans="1:31" x14ac:dyDescent="0.2">
      <c r="A81">
        <v>28.107361099999999</v>
      </c>
      <c r="B81">
        <v>5.4847969299999999</v>
      </c>
      <c r="C81">
        <v>5.2832037300000003</v>
      </c>
      <c r="D81">
        <v>7.8508826599999999</v>
      </c>
      <c r="E81">
        <v>5.6869753599999999</v>
      </c>
      <c r="F81">
        <v>7.8928255299999996</v>
      </c>
      <c r="G81">
        <v>7.2668273499999998</v>
      </c>
      <c r="I81">
        <v>28.107361099999999</v>
      </c>
      <c r="J81">
        <v>5.44241771</v>
      </c>
      <c r="K81">
        <v>5.2729995599999997</v>
      </c>
      <c r="L81">
        <v>7.8605707899999997</v>
      </c>
      <c r="M81">
        <v>5.6021188200000003</v>
      </c>
      <c r="N81">
        <v>7.8777763299999997</v>
      </c>
      <c r="O81">
        <v>5.3327187900000004</v>
      </c>
      <c r="Q81">
        <v>28.107361099999999</v>
      </c>
      <c r="R81">
        <v>5.4337220000000004</v>
      </c>
      <c r="S81">
        <v>5.2311086199999997</v>
      </c>
      <c r="T81">
        <v>6.5666724299999997</v>
      </c>
      <c r="U81">
        <v>5.97380961</v>
      </c>
      <c r="V81">
        <v>6.9800759399999999</v>
      </c>
      <c r="W81">
        <v>5.37527841</v>
      </c>
      <c r="Y81">
        <v>28.107361099999999</v>
      </c>
      <c r="Z81">
        <v>5.4510384500000004</v>
      </c>
      <c r="AA81">
        <v>5.27811466</v>
      </c>
      <c r="AB81">
        <v>5.4971682299999998</v>
      </c>
      <c r="AC81">
        <v>5.27811466</v>
      </c>
      <c r="AD81">
        <v>5.4722706700000003</v>
      </c>
      <c r="AE81">
        <v>5.2626901899999998</v>
      </c>
    </row>
    <row r="82" spans="1:31" x14ac:dyDescent="0.2">
      <c r="A82">
        <v>28.472361100000001</v>
      </c>
      <c r="B82">
        <v>5.4971682299999998</v>
      </c>
      <c r="C82">
        <v>5.2470240700000002</v>
      </c>
      <c r="D82">
        <v>7.8578675599999999</v>
      </c>
      <c r="E82">
        <v>5.6801726099999996</v>
      </c>
      <c r="F82">
        <v>7.8887095199999999</v>
      </c>
      <c r="G82">
        <v>7.4535618699999997</v>
      </c>
      <c r="I82">
        <v>28.472361100000001</v>
      </c>
      <c r="J82">
        <v>5.4467373700000001</v>
      </c>
      <c r="K82">
        <v>5.2626901899999998</v>
      </c>
      <c r="L82">
        <v>7.85709386</v>
      </c>
      <c r="M82">
        <v>5.5909869800000003</v>
      </c>
      <c r="N82">
        <v>7.87929149</v>
      </c>
      <c r="O82">
        <v>5.3181199899999996</v>
      </c>
      <c r="Q82">
        <v>28.472361100000001</v>
      </c>
      <c r="R82">
        <v>5.43807931</v>
      </c>
      <c r="S82">
        <v>5.20948615</v>
      </c>
      <c r="T82">
        <v>6.6359465599999998</v>
      </c>
      <c r="U82">
        <v>6.0282785199999998</v>
      </c>
      <c r="V82">
        <v>7.0527210499999997</v>
      </c>
      <c r="W82">
        <v>5.4026773800000001</v>
      </c>
      <c r="Y82">
        <v>28.472361100000001</v>
      </c>
      <c r="Z82">
        <v>5.43807931</v>
      </c>
      <c r="AA82">
        <v>5.27811466</v>
      </c>
      <c r="AB82">
        <v>5.4971682299999998</v>
      </c>
      <c r="AC82">
        <v>5.2983173700000004</v>
      </c>
      <c r="AD82">
        <v>5.48893773</v>
      </c>
      <c r="AE82">
        <v>5.2311086199999997</v>
      </c>
    </row>
    <row r="83" spans="1:31" x14ac:dyDescent="0.2">
      <c r="A83">
        <v>28.837388900000001</v>
      </c>
      <c r="B83">
        <v>5.5012582099999996</v>
      </c>
      <c r="C83">
        <v>5.25749537</v>
      </c>
      <c r="D83">
        <v>7.8489337299999997</v>
      </c>
      <c r="E83">
        <v>5.70044357</v>
      </c>
      <c r="F83">
        <v>7.8777763299999997</v>
      </c>
      <c r="G83">
        <v>7.6530204099999999</v>
      </c>
      <c r="I83">
        <v>28.837388900000001</v>
      </c>
      <c r="J83">
        <v>5.44241771</v>
      </c>
      <c r="K83">
        <v>5.2882670300000001</v>
      </c>
      <c r="L83">
        <v>7.8512719999999998</v>
      </c>
      <c r="M83">
        <v>5.6204008700000001</v>
      </c>
      <c r="N83">
        <v>7.8781553400000002</v>
      </c>
      <c r="O83">
        <v>5.3375380799999999</v>
      </c>
      <c r="Q83">
        <v>28.837388900000001</v>
      </c>
      <c r="R83">
        <v>5.44241771</v>
      </c>
      <c r="S83">
        <v>5.2149357600000004</v>
      </c>
      <c r="T83">
        <v>6.7068623399999998</v>
      </c>
      <c r="U83">
        <v>6.0913098799999998</v>
      </c>
      <c r="V83">
        <v>7.1332959499999999</v>
      </c>
      <c r="W83">
        <v>5.4071717699999997</v>
      </c>
      <c r="Y83">
        <v>28.837388900000001</v>
      </c>
      <c r="Z83">
        <v>5.4337220000000004</v>
      </c>
      <c r="AA83">
        <v>5.2832037300000003</v>
      </c>
      <c r="AB83">
        <v>5.5174529000000003</v>
      </c>
      <c r="AC83">
        <v>5.3033049099999996</v>
      </c>
      <c r="AD83">
        <v>5.5012582099999996</v>
      </c>
      <c r="AE83">
        <v>5.2626901899999998</v>
      </c>
    </row>
    <row r="84" spans="1:31" x14ac:dyDescent="0.2">
      <c r="A84">
        <v>29.202388899999999</v>
      </c>
      <c r="B84">
        <v>5.5012582099999996</v>
      </c>
      <c r="C84">
        <v>5.2729995599999997</v>
      </c>
      <c r="D84">
        <v>7.8563195700000001</v>
      </c>
      <c r="E84">
        <v>5.6835797699999997</v>
      </c>
      <c r="F84">
        <v>7.8838232100000001</v>
      </c>
      <c r="G84">
        <v>7.8430640199999999</v>
      </c>
      <c r="I84">
        <v>29.202388899999999</v>
      </c>
      <c r="J84">
        <v>5.44241771</v>
      </c>
      <c r="K84">
        <v>5.27811466</v>
      </c>
      <c r="L84">
        <v>7.8520502099999998</v>
      </c>
      <c r="M84">
        <v>5.6094717999999997</v>
      </c>
      <c r="N84">
        <v>7.8785341999999998</v>
      </c>
      <c r="O84">
        <v>5.3471075299999997</v>
      </c>
      <c r="Q84">
        <v>29.202388899999999</v>
      </c>
      <c r="R84">
        <v>5.4293456300000003</v>
      </c>
      <c r="S84">
        <v>5.2364419599999996</v>
      </c>
      <c r="T84">
        <v>6.7810576300000003</v>
      </c>
      <c r="U84">
        <v>6.1484683000000002</v>
      </c>
      <c r="V84">
        <v>7.2152399799999998</v>
      </c>
      <c r="W84">
        <v>5.43807931</v>
      </c>
      <c r="Y84">
        <v>29.202388899999999</v>
      </c>
      <c r="Z84">
        <v>5.4293456300000003</v>
      </c>
      <c r="AA84">
        <v>5.2678581600000003</v>
      </c>
      <c r="AB84">
        <v>5.4971682299999998</v>
      </c>
      <c r="AC84">
        <v>5.3181199899999996</v>
      </c>
      <c r="AD84">
        <v>5.5012582099999996</v>
      </c>
      <c r="AE84">
        <v>5.24174702</v>
      </c>
    </row>
    <row r="85" spans="1:31" x14ac:dyDescent="0.2">
      <c r="A85">
        <v>29.567388900000001</v>
      </c>
      <c r="B85">
        <v>5.5053315400000002</v>
      </c>
      <c r="C85">
        <v>5.25749537</v>
      </c>
      <c r="D85">
        <v>7.84854348</v>
      </c>
      <c r="E85">
        <v>5.6970934900000003</v>
      </c>
      <c r="F85">
        <v>7.8811821999999996</v>
      </c>
      <c r="G85">
        <v>8.0278028500000005</v>
      </c>
      <c r="I85">
        <v>29.567388900000001</v>
      </c>
      <c r="J85">
        <v>5.4510384500000004</v>
      </c>
      <c r="K85">
        <v>5.2729995599999997</v>
      </c>
      <c r="L85">
        <v>7.8563195700000001</v>
      </c>
      <c r="M85">
        <v>5.6131281099999999</v>
      </c>
      <c r="N85">
        <v>7.8678714899999997</v>
      </c>
      <c r="O85">
        <v>5.3423342500000004</v>
      </c>
      <c r="Q85">
        <v>29.567388900000001</v>
      </c>
      <c r="R85">
        <v>5.4553211199999998</v>
      </c>
      <c r="S85">
        <v>5.2257466700000004</v>
      </c>
      <c r="T85">
        <v>6.8554088000000002</v>
      </c>
      <c r="U85">
        <v>6.2106000799999999</v>
      </c>
      <c r="V85">
        <v>7.3031700500000003</v>
      </c>
      <c r="W85">
        <v>5.4847969299999999</v>
      </c>
      <c r="Y85">
        <v>29.567388900000001</v>
      </c>
      <c r="Z85">
        <v>5.4467373700000001</v>
      </c>
      <c r="AA85">
        <v>5.2882670300000001</v>
      </c>
      <c r="AB85">
        <v>5.5134287500000001</v>
      </c>
      <c r="AC85">
        <v>5.2933048200000004</v>
      </c>
      <c r="AD85">
        <v>5.4971682299999998</v>
      </c>
      <c r="AE85">
        <v>5.2470240700000002</v>
      </c>
    </row>
    <row r="86" spans="1:31" x14ac:dyDescent="0.2">
      <c r="A86">
        <v>29.932416700000001</v>
      </c>
      <c r="B86">
        <v>5.4971682299999998</v>
      </c>
      <c r="C86">
        <v>5.27811466</v>
      </c>
      <c r="D86">
        <v>7.84384864</v>
      </c>
      <c r="E86">
        <v>5.6970934900000003</v>
      </c>
      <c r="F86">
        <v>7.8815599199999999</v>
      </c>
      <c r="G86">
        <v>8.2163583300000003</v>
      </c>
      <c r="I86">
        <v>29.932416700000001</v>
      </c>
      <c r="J86">
        <v>5.4467373700000001</v>
      </c>
      <c r="K86">
        <v>5.2729995599999997</v>
      </c>
      <c r="L86">
        <v>7.8454160399999999</v>
      </c>
      <c r="M86">
        <v>5.6204008700000001</v>
      </c>
      <c r="N86">
        <v>7.8671055000000001</v>
      </c>
      <c r="O86">
        <v>5.3565862700000002</v>
      </c>
      <c r="Q86">
        <v>29.932416700000001</v>
      </c>
      <c r="R86">
        <v>5.4595855100000001</v>
      </c>
      <c r="S86">
        <v>5.2470240700000002</v>
      </c>
      <c r="T86">
        <v>6.9236286299999996</v>
      </c>
      <c r="U86">
        <v>6.2653012099999996</v>
      </c>
      <c r="V86">
        <v>7.3833681499999999</v>
      </c>
      <c r="W86">
        <v>5.5012582099999996</v>
      </c>
      <c r="Y86">
        <v>29.932416700000001</v>
      </c>
      <c r="Z86">
        <v>5.43807931</v>
      </c>
      <c r="AA86">
        <v>5.2729995599999997</v>
      </c>
      <c r="AB86">
        <v>5.5174529000000003</v>
      </c>
      <c r="AC86">
        <v>5.3181199899999996</v>
      </c>
      <c r="AD86">
        <v>5.5012582099999996</v>
      </c>
      <c r="AE86">
        <v>5.2470240700000002</v>
      </c>
    </row>
    <row r="87" spans="1:31" x14ac:dyDescent="0.2">
      <c r="A87">
        <v>30.297416699999999</v>
      </c>
      <c r="B87">
        <v>5.49306144</v>
      </c>
      <c r="C87">
        <v>5.2626901899999998</v>
      </c>
      <c r="D87">
        <v>7.8446326400000004</v>
      </c>
      <c r="E87">
        <v>5.70044357</v>
      </c>
      <c r="F87">
        <v>7.8671055000000001</v>
      </c>
      <c r="G87">
        <v>8.3900414100000003</v>
      </c>
      <c r="I87">
        <v>30.297416699999999</v>
      </c>
      <c r="J87">
        <v>5.44241771</v>
      </c>
      <c r="K87">
        <v>5.2729995599999997</v>
      </c>
      <c r="L87">
        <v>7.8359745800000002</v>
      </c>
      <c r="M87">
        <v>5.6131281099999999</v>
      </c>
      <c r="N87">
        <v>7.8536048100000002</v>
      </c>
      <c r="O87">
        <v>5.37527841</v>
      </c>
      <c r="Q87">
        <v>30.297416699999999</v>
      </c>
      <c r="R87">
        <v>5.44241771</v>
      </c>
      <c r="S87">
        <v>5.2364419599999996</v>
      </c>
      <c r="T87">
        <v>7.0030654600000002</v>
      </c>
      <c r="U87">
        <v>6.3350542499999998</v>
      </c>
      <c r="V87">
        <v>7.4685132699999999</v>
      </c>
      <c r="W87">
        <v>5.5134287500000001</v>
      </c>
      <c r="Y87">
        <v>30.297416699999999</v>
      </c>
      <c r="Z87">
        <v>5.4467373700000001</v>
      </c>
      <c r="AA87">
        <v>5.2832037300000003</v>
      </c>
      <c r="AB87">
        <v>5.5333894900000002</v>
      </c>
      <c r="AC87">
        <v>5.3230099800000001</v>
      </c>
      <c r="AD87">
        <v>5.5053315400000002</v>
      </c>
      <c r="AE87">
        <v>5.2364419599999996</v>
      </c>
    </row>
    <row r="88" spans="1:31" x14ac:dyDescent="0.2">
      <c r="A88">
        <v>30.662416700000001</v>
      </c>
      <c r="B88">
        <v>5.48893773</v>
      </c>
      <c r="C88">
        <v>5.3230099800000001</v>
      </c>
      <c r="D88">
        <v>7.84384864</v>
      </c>
      <c r="E88">
        <v>5.7203117800000003</v>
      </c>
      <c r="F88">
        <v>7.8713112000000001</v>
      </c>
      <c r="G88">
        <v>8.5869058000000003</v>
      </c>
      <c r="I88">
        <v>30.662416700000001</v>
      </c>
      <c r="J88">
        <v>5.44241771</v>
      </c>
      <c r="K88">
        <v>5.3375380799999999</v>
      </c>
      <c r="L88">
        <v>7.8399193599999997</v>
      </c>
      <c r="M88">
        <v>5.6489742400000003</v>
      </c>
      <c r="N88">
        <v>7.8586406599999998</v>
      </c>
      <c r="O88">
        <v>5.4249500199999998</v>
      </c>
      <c r="Q88">
        <v>30.662416700000001</v>
      </c>
      <c r="R88">
        <v>5.4467373700000001</v>
      </c>
      <c r="S88">
        <v>5.2933048200000004</v>
      </c>
      <c r="T88">
        <v>7.0766538199999998</v>
      </c>
      <c r="U88">
        <v>6.4216222700000003</v>
      </c>
      <c r="V88">
        <v>7.5522372899999999</v>
      </c>
      <c r="W88">
        <v>5.5872486600000002</v>
      </c>
      <c r="Y88">
        <v>30.662416700000001</v>
      </c>
      <c r="Z88">
        <v>5.4293456300000003</v>
      </c>
      <c r="AA88">
        <v>5.3471075299999997</v>
      </c>
      <c r="AB88">
        <v>5.5174529000000003</v>
      </c>
      <c r="AC88">
        <v>5.3565862700000002</v>
      </c>
      <c r="AD88">
        <v>5.4806389199999996</v>
      </c>
      <c r="AE88">
        <v>5.2983173700000004</v>
      </c>
    </row>
    <row r="89" spans="1:31" x14ac:dyDescent="0.2">
      <c r="A89">
        <v>31.0274444</v>
      </c>
      <c r="B89">
        <v>5.4971682299999998</v>
      </c>
      <c r="C89">
        <v>5.3132059800000002</v>
      </c>
      <c r="D89">
        <v>7.8399193599999997</v>
      </c>
      <c r="E89">
        <v>5.7300997799999998</v>
      </c>
      <c r="F89">
        <v>7.8690193800000001</v>
      </c>
      <c r="G89">
        <v>8.6941671399999993</v>
      </c>
      <c r="I89">
        <v>31.0274444</v>
      </c>
      <c r="J89">
        <v>5.4553211199999998</v>
      </c>
      <c r="K89">
        <v>5.3278761699999997</v>
      </c>
      <c r="L89">
        <v>7.8399193599999997</v>
      </c>
      <c r="M89">
        <v>5.6312117800000001</v>
      </c>
      <c r="N89">
        <v>7.8613417999999999</v>
      </c>
      <c r="O89">
        <v>5.4293456300000003</v>
      </c>
      <c r="Q89">
        <v>31.0274444</v>
      </c>
      <c r="R89">
        <v>5.4467373700000001</v>
      </c>
      <c r="S89">
        <v>5.2729995599999997</v>
      </c>
      <c r="T89">
        <v>7.1600692099999996</v>
      </c>
      <c r="U89">
        <v>6.4937538400000001</v>
      </c>
      <c r="V89">
        <v>7.6367521099999998</v>
      </c>
      <c r="W89">
        <v>5.6276211099999998</v>
      </c>
      <c r="Y89">
        <v>31.0274444</v>
      </c>
      <c r="Z89">
        <v>5.44241771</v>
      </c>
      <c r="AA89">
        <v>5.3327187900000004</v>
      </c>
      <c r="AB89">
        <v>5.5254529400000001</v>
      </c>
      <c r="AC89">
        <v>5.3659760199999997</v>
      </c>
      <c r="AD89">
        <v>5.4806389199999996</v>
      </c>
      <c r="AE89">
        <v>5.2832037300000003</v>
      </c>
    </row>
    <row r="90" spans="1:31" x14ac:dyDescent="0.2">
      <c r="A90">
        <v>31.392444399999999</v>
      </c>
      <c r="B90">
        <v>5.5093883400000001</v>
      </c>
      <c r="C90">
        <v>5.25749537</v>
      </c>
      <c r="D90">
        <v>7.8434564</v>
      </c>
      <c r="E90">
        <v>5.6869753599999999</v>
      </c>
      <c r="F90">
        <v>7.8728361800000002</v>
      </c>
      <c r="G90">
        <v>8.7327883199999992</v>
      </c>
      <c r="I90">
        <v>31.392444399999999</v>
      </c>
      <c r="J90">
        <v>5.44241771</v>
      </c>
      <c r="K90">
        <v>5.2729995599999997</v>
      </c>
      <c r="L90">
        <v>7.8312202099999997</v>
      </c>
      <c r="M90">
        <v>5.6167711000000002</v>
      </c>
      <c r="N90">
        <v>7.8555446800000004</v>
      </c>
      <c r="O90">
        <v>5.3936275499999997</v>
      </c>
      <c r="Q90">
        <v>31.392444399999999</v>
      </c>
      <c r="R90">
        <v>5.4467373700000001</v>
      </c>
      <c r="S90">
        <v>5.2149357600000004</v>
      </c>
      <c r="T90">
        <v>7.23056315</v>
      </c>
      <c r="U90">
        <v>6.5496507399999997</v>
      </c>
      <c r="V90">
        <v>7.7195739899999998</v>
      </c>
      <c r="W90">
        <v>5.6276211099999998</v>
      </c>
      <c r="Y90">
        <v>31.392444399999999</v>
      </c>
      <c r="Z90">
        <v>5.44241771</v>
      </c>
      <c r="AA90">
        <v>5.2678581600000003</v>
      </c>
      <c r="AB90">
        <v>5.5254529400000001</v>
      </c>
      <c r="AC90">
        <v>5.3132059800000002</v>
      </c>
      <c r="AD90">
        <v>5.49306144</v>
      </c>
      <c r="AE90">
        <v>5.2311086199999997</v>
      </c>
    </row>
    <row r="91" spans="1:31" x14ac:dyDescent="0.2">
      <c r="A91">
        <v>31.757472199999999</v>
      </c>
      <c r="B91">
        <v>5.4971682299999998</v>
      </c>
      <c r="C91">
        <v>5.2832037300000003</v>
      </c>
      <c r="D91">
        <v>7.8395255800000001</v>
      </c>
      <c r="E91">
        <v>5.7170277</v>
      </c>
      <c r="F91">
        <v>7.8690193800000001</v>
      </c>
      <c r="G91">
        <v>8.7468753199999991</v>
      </c>
      <c r="I91">
        <v>31.757472199999999</v>
      </c>
      <c r="J91">
        <v>5.4553211199999998</v>
      </c>
      <c r="K91">
        <v>5.2882670300000001</v>
      </c>
      <c r="L91">
        <v>7.8336002200000001</v>
      </c>
      <c r="M91">
        <v>5.6204008700000001</v>
      </c>
      <c r="N91">
        <v>7.8586406599999998</v>
      </c>
      <c r="O91">
        <v>5.4071717699999997</v>
      </c>
      <c r="Q91">
        <v>31.757472199999999</v>
      </c>
      <c r="R91">
        <v>5.43807931</v>
      </c>
      <c r="S91">
        <v>5.24174702</v>
      </c>
      <c r="T91">
        <v>7.3024964199999998</v>
      </c>
      <c r="U91">
        <v>6.6174029799999996</v>
      </c>
      <c r="V91">
        <v>7.7769544000000002</v>
      </c>
      <c r="W91">
        <v>5.6801726099999996</v>
      </c>
      <c r="Y91">
        <v>31.757472199999999</v>
      </c>
      <c r="Z91">
        <v>5.4205350000000001</v>
      </c>
      <c r="AA91">
        <v>5.2882670300000001</v>
      </c>
      <c r="AB91">
        <v>5.5174529000000003</v>
      </c>
      <c r="AC91">
        <v>5.3327187900000004</v>
      </c>
      <c r="AD91">
        <v>5.5012582099999996</v>
      </c>
      <c r="AE91">
        <v>5.2626901899999998</v>
      </c>
    </row>
    <row r="92" spans="1:31" x14ac:dyDescent="0.2">
      <c r="A92">
        <v>32.122472199999997</v>
      </c>
      <c r="B92">
        <v>5.49306144</v>
      </c>
      <c r="C92">
        <v>5.2678581600000003</v>
      </c>
      <c r="D92">
        <v>7.8410997699999996</v>
      </c>
      <c r="E92">
        <v>5.70044357</v>
      </c>
      <c r="F92">
        <v>7.8743588200000003</v>
      </c>
      <c r="G92">
        <v>8.7555799699999994</v>
      </c>
      <c r="I92">
        <v>32.122472199999997</v>
      </c>
      <c r="J92">
        <v>5.4680601400000004</v>
      </c>
      <c r="K92">
        <v>5.25749537</v>
      </c>
      <c r="L92">
        <v>7.8343923000000002</v>
      </c>
      <c r="M92">
        <v>5.6312117800000001</v>
      </c>
      <c r="N92">
        <v>7.8547691799999999</v>
      </c>
      <c r="O92">
        <v>5.37527841</v>
      </c>
      <c r="Q92">
        <v>32.122472199999997</v>
      </c>
      <c r="R92">
        <v>5.4595855100000001</v>
      </c>
      <c r="S92">
        <v>5.2364419599999996</v>
      </c>
      <c r="T92">
        <v>7.3839894599999996</v>
      </c>
      <c r="U92">
        <v>6.69456206</v>
      </c>
      <c r="V92">
        <v>7.8164169799999996</v>
      </c>
      <c r="W92">
        <v>5.7268477500000001</v>
      </c>
      <c r="Y92">
        <v>32.122472199999997</v>
      </c>
      <c r="Z92">
        <v>5.4337220000000004</v>
      </c>
      <c r="AA92">
        <v>5.2729995599999997</v>
      </c>
      <c r="AB92">
        <v>5.5294290899999998</v>
      </c>
      <c r="AC92">
        <v>5.3230099800000001</v>
      </c>
      <c r="AD92">
        <v>5.5012582099999996</v>
      </c>
      <c r="AE92">
        <v>5.24174702</v>
      </c>
    </row>
    <row r="93" spans="1:31" x14ac:dyDescent="0.2">
      <c r="A93">
        <v>32.487499999999997</v>
      </c>
      <c r="B93">
        <v>5.5012582099999996</v>
      </c>
      <c r="C93">
        <v>5.2522734299999998</v>
      </c>
      <c r="D93">
        <v>7.8371596500000003</v>
      </c>
      <c r="E93">
        <v>5.7137328099999998</v>
      </c>
      <c r="F93">
        <v>7.8609563600000003</v>
      </c>
      <c r="G93">
        <v>8.7584123900000002</v>
      </c>
      <c r="I93">
        <v>32.487499999999997</v>
      </c>
      <c r="J93">
        <v>5.4467373700000001</v>
      </c>
      <c r="K93">
        <v>5.2626901899999998</v>
      </c>
      <c r="L93">
        <v>7.8371596500000003</v>
      </c>
      <c r="M93">
        <v>5.6167711000000002</v>
      </c>
      <c r="N93">
        <v>7.8551570100000001</v>
      </c>
      <c r="O93">
        <v>5.3936275499999997</v>
      </c>
      <c r="Q93">
        <v>32.487499999999997</v>
      </c>
      <c r="R93">
        <v>5.43807931</v>
      </c>
      <c r="S93">
        <v>5.2203558299999999</v>
      </c>
      <c r="T93">
        <v>7.4599147700000001</v>
      </c>
      <c r="U93">
        <v>6.7569323900000002</v>
      </c>
      <c r="V93">
        <v>7.85049318</v>
      </c>
      <c r="W93">
        <v>5.7557422100000002</v>
      </c>
      <c r="Y93">
        <v>32.487499999999997</v>
      </c>
      <c r="Z93">
        <v>5.4205350000000001</v>
      </c>
      <c r="AA93">
        <v>5.2832037300000003</v>
      </c>
      <c r="AB93">
        <v>5.5254529400000001</v>
      </c>
      <c r="AC93">
        <v>5.3327187900000004</v>
      </c>
      <c r="AD93">
        <v>5.4806389199999996</v>
      </c>
      <c r="AE93">
        <v>5.24174702</v>
      </c>
    </row>
    <row r="94" spans="1:31" x14ac:dyDescent="0.2">
      <c r="A94">
        <v>32.852499999999999</v>
      </c>
      <c r="B94">
        <v>5.49306144</v>
      </c>
      <c r="C94">
        <v>5.27811466</v>
      </c>
      <c r="D94">
        <v>7.8328075200000002</v>
      </c>
      <c r="E94">
        <v>5.71042702</v>
      </c>
      <c r="F94">
        <v>7.8567067899999996</v>
      </c>
      <c r="G94">
        <v>8.7727652099999993</v>
      </c>
      <c r="I94">
        <v>32.852499999999999</v>
      </c>
      <c r="J94">
        <v>5.4595855100000001</v>
      </c>
      <c r="K94">
        <v>5.2729995599999997</v>
      </c>
      <c r="L94">
        <v>7.8296303900000002</v>
      </c>
      <c r="M94">
        <v>5.6312117800000001</v>
      </c>
      <c r="N94">
        <v>7.85321639</v>
      </c>
      <c r="O94">
        <v>5.4205350000000001</v>
      </c>
      <c r="Q94">
        <v>32.852499999999999</v>
      </c>
      <c r="R94">
        <v>5.4510384500000004</v>
      </c>
      <c r="S94">
        <v>5.2470240700000002</v>
      </c>
      <c r="T94">
        <v>7.5336937099999997</v>
      </c>
      <c r="U94">
        <v>6.83087423</v>
      </c>
      <c r="V94">
        <v>7.8943180599999998</v>
      </c>
      <c r="W94">
        <v>5.8051349700000001</v>
      </c>
      <c r="Y94">
        <v>32.852499999999999</v>
      </c>
      <c r="Z94">
        <v>5.4467373700000001</v>
      </c>
      <c r="AA94">
        <v>5.2832037300000003</v>
      </c>
      <c r="AB94">
        <v>5.5134287500000001</v>
      </c>
      <c r="AC94">
        <v>5.3230099800000001</v>
      </c>
      <c r="AD94">
        <v>5.5012582099999996</v>
      </c>
      <c r="AE94">
        <v>5.2626901899999998</v>
      </c>
    </row>
    <row r="95" spans="1:31" x14ac:dyDescent="0.2">
      <c r="A95">
        <v>33.217527799999999</v>
      </c>
      <c r="B95">
        <v>5.5012582099999996</v>
      </c>
      <c r="C95">
        <v>5.2678581600000003</v>
      </c>
      <c r="D95">
        <v>7.8343923000000002</v>
      </c>
      <c r="E95">
        <v>5.7137328099999998</v>
      </c>
      <c r="F95">
        <v>7.8567067899999996</v>
      </c>
      <c r="G95">
        <v>8.7222542399999998</v>
      </c>
      <c r="I95">
        <v>33.217527799999999</v>
      </c>
      <c r="J95">
        <v>5.4553211199999998</v>
      </c>
      <c r="K95">
        <v>5.2983173700000004</v>
      </c>
      <c r="L95">
        <v>7.8276395499999998</v>
      </c>
      <c r="M95">
        <v>5.6276211099999998</v>
      </c>
      <c r="N95">
        <v>7.85709386</v>
      </c>
      <c r="O95">
        <v>5.4205350000000001</v>
      </c>
      <c r="Q95">
        <v>33.217527799999999</v>
      </c>
      <c r="R95">
        <v>5.4467373700000001</v>
      </c>
      <c r="S95">
        <v>5.2311086199999997</v>
      </c>
      <c r="T95">
        <v>7.6202147699999996</v>
      </c>
      <c r="U95">
        <v>6.90675478</v>
      </c>
      <c r="V95">
        <v>7.9345134599999998</v>
      </c>
      <c r="W95">
        <v>5.8550719200000003</v>
      </c>
      <c r="Y95">
        <v>33.217527799999999</v>
      </c>
      <c r="Z95">
        <v>5.43807931</v>
      </c>
      <c r="AA95">
        <v>5.2882670300000001</v>
      </c>
      <c r="AB95">
        <v>5.5294290899999998</v>
      </c>
      <c r="AC95">
        <v>5.3375380799999999</v>
      </c>
      <c r="AD95">
        <v>5.5053315400000002</v>
      </c>
      <c r="AE95">
        <v>5.2522734299999998</v>
      </c>
    </row>
    <row r="96" spans="1:31" x14ac:dyDescent="0.2">
      <c r="A96">
        <v>33.582527800000001</v>
      </c>
      <c r="B96">
        <v>5.48893773</v>
      </c>
      <c r="C96">
        <v>5.3278761699999997</v>
      </c>
      <c r="D96">
        <v>7.8351837599999996</v>
      </c>
      <c r="E96">
        <v>5.7397929100000002</v>
      </c>
      <c r="F96">
        <v>7.8536048100000002</v>
      </c>
      <c r="G96">
        <v>8.6891276600000005</v>
      </c>
      <c r="I96">
        <v>33.582527800000001</v>
      </c>
      <c r="J96">
        <v>5.4638318100000003</v>
      </c>
      <c r="K96">
        <v>5.3423342500000004</v>
      </c>
      <c r="L96">
        <v>7.8252452899999998</v>
      </c>
      <c r="M96">
        <v>5.6664266899999998</v>
      </c>
      <c r="N96">
        <v>7.85049318</v>
      </c>
      <c r="O96">
        <v>5.4764635500000001</v>
      </c>
      <c r="Q96">
        <v>33.582527800000001</v>
      </c>
      <c r="R96">
        <v>5.44241771</v>
      </c>
      <c r="S96">
        <v>5.2832037300000003</v>
      </c>
      <c r="T96">
        <v>7.6975753500000001</v>
      </c>
      <c r="U96">
        <v>6.9612960499999996</v>
      </c>
      <c r="V96">
        <v>7.9596253099999998</v>
      </c>
      <c r="W96">
        <v>5.9454206100000002</v>
      </c>
      <c r="Y96">
        <v>33.582527800000001</v>
      </c>
      <c r="Z96">
        <v>5.4337220000000004</v>
      </c>
      <c r="AA96">
        <v>5.3181199899999996</v>
      </c>
      <c r="AB96">
        <v>5.5254529400000001</v>
      </c>
      <c r="AC96">
        <v>5.3798973500000002</v>
      </c>
      <c r="AD96">
        <v>5.5093883400000001</v>
      </c>
      <c r="AE96">
        <v>5.2933048200000004</v>
      </c>
    </row>
    <row r="97" spans="1:31" x14ac:dyDescent="0.2">
      <c r="A97">
        <v>33.947527800000003</v>
      </c>
      <c r="B97">
        <v>5.4971682299999998</v>
      </c>
      <c r="C97">
        <v>5.3132059800000002</v>
      </c>
      <c r="D97">
        <v>7.8300280799999999</v>
      </c>
      <c r="E97">
        <v>5.7333412800000003</v>
      </c>
      <c r="F97">
        <v>7.85282781</v>
      </c>
      <c r="G97">
        <v>8.6704291700000002</v>
      </c>
      <c r="I97">
        <v>33.947527800000003</v>
      </c>
      <c r="J97">
        <v>5.4595855100000001</v>
      </c>
      <c r="K97">
        <v>5.3423342500000004</v>
      </c>
      <c r="L97">
        <v>7.8328075200000002</v>
      </c>
      <c r="M97">
        <v>5.6489742400000003</v>
      </c>
      <c r="N97">
        <v>7.8520502099999998</v>
      </c>
      <c r="O97">
        <v>5.4638318100000003</v>
      </c>
      <c r="Q97">
        <v>33.947527800000003</v>
      </c>
      <c r="R97">
        <v>5.4467373700000001</v>
      </c>
      <c r="S97">
        <v>5.2933048200000004</v>
      </c>
      <c r="T97">
        <v>7.7519053299999996</v>
      </c>
      <c r="U97">
        <v>6.9884131800000002</v>
      </c>
      <c r="V97">
        <v>7.9851439299999996</v>
      </c>
      <c r="W97">
        <v>5.9939614299999997</v>
      </c>
      <c r="Y97">
        <v>33.947527800000003</v>
      </c>
      <c r="Z97">
        <v>5.43807931</v>
      </c>
      <c r="AA97">
        <v>5.3375380799999999</v>
      </c>
      <c r="AB97">
        <v>5.5254529400000001</v>
      </c>
      <c r="AC97">
        <v>5.37527841</v>
      </c>
      <c r="AD97">
        <v>5.4971682299999998</v>
      </c>
      <c r="AE97">
        <v>5.3181199899999996</v>
      </c>
    </row>
    <row r="98" spans="1:31" x14ac:dyDescent="0.2">
      <c r="A98">
        <v>34.312555600000003</v>
      </c>
      <c r="B98">
        <v>5.5134287500000001</v>
      </c>
      <c r="C98">
        <v>5.3375380799999999</v>
      </c>
      <c r="D98">
        <v>7.8308229999999996</v>
      </c>
      <c r="E98">
        <v>5.7397929100000002</v>
      </c>
      <c r="F98">
        <v>7.8497137600000002</v>
      </c>
      <c r="G98">
        <v>8.66354209</v>
      </c>
      <c r="I98">
        <v>34.312555600000003</v>
      </c>
      <c r="J98">
        <v>5.4638318100000003</v>
      </c>
      <c r="K98">
        <v>5.3278761699999997</v>
      </c>
      <c r="L98">
        <v>7.8252452899999998</v>
      </c>
      <c r="M98">
        <v>5.6594822200000001</v>
      </c>
      <c r="N98">
        <v>7.8481530900000003</v>
      </c>
      <c r="O98">
        <v>5.48893773</v>
      </c>
      <c r="Q98">
        <v>34.312555600000003</v>
      </c>
      <c r="R98">
        <v>5.4467373700000001</v>
      </c>
      <c r="S98">
        <v>5.2933048200000004</v>
      </c>
      <c r="T98">
        <v>7.7823903400000001</v>
      </c>
      <c r="U98">
        <v>7.0057890199999999</v>
      </c>
      <c r="V98">
        <v>7.9772819899999998</v>
      </c>
      <c r="W98">
        <v>6.0520891700000004</v>
      </c>
      <c r="Y98">
        <v>34.312555600000003</v>
      </c>
      <c r="Z98">
        <v>5.4293456300000003</v>
      </c>
      <c r="AA98">
        <v>5.3278761699999997</v>
      </c>
      <c r="AB98">
        <v>5.5294290899999998</v>
      </c>
      <c r="AC98">
        <v>5.37527841</v>
      </c>
      <c r="AD98">
        <v>5.5012582099999996</v>
      </c>
      <c r="AE98">
        <v>5.3033049099999996</v>
      </c>
    </row>
    <row r="99" spans="1:31" x14ac:dyDescent="0.2">
      <c r="A99">
        <v>34.677555599999998</v>
      </c>
      <c r="B99">
        <v>5.5053315400000002</v>
      </c>
      <c r="C99">
        <v>5.3471075299999997</v>
      </c>
      <c r="D99">
        <v>7.8320141799999998</v>
      </c>
      <c r="E99">
        <v>5.7525726400000003</v>
      </c>
      <c r="F99">
        <v>7.8555446800000004</v>
      </c>
      <c r="G99">
        <v>8.6612935400000008</v>
      </c>
      <c r="I99">
        <v>34.677555599999998</v>
      </c>
      <c r="J99">
        <v>5.4638318100000003</v>
      </c>
      <c r="K99">
        <v>5.3375380799999999</v>
      </c>
      <c r="L99">
        <v>7.8284363600000004</v>
      </c>
      <c r="M99">
        <v>5.6594822200000001</v>
      </c>
      <c r="N99">
        <v>7.8469809799999997</v>
      </c>
      <c r="O99">
        <v>5.5012582099999996</v>
      </c>
      <c r="Q99">
        <v>34.677555599999998</v>
      </c>
      <c r="R99">
        <v>5.4467373700000001</v>
      </c>
      <c r="S99">
        <v>5.3033049099999996</v>
      </c>
      <c r="T99">
        <v>7.8160138400000001</v>
      </c>
      <c r="U99">
        <v>7.0175061400000001</v>
      </c>
      <c r="V99">
        <v>7.9779680900000001</v>
      </c>
      <c r="W99">
        <v>6.1114673399999999</v>
      </c>
      <c r="Y99">
        <v>34.677555599999998</v>
      </c>
      <c r="Z99">
        <v>5.43807931</v>
      </c>
      <c r="AA99">
        <v>5.3230099800000001</v>
      </c>
      <c r="AB99">
        <v>5.5254529400000001</v>
      </c>
      <c r="AC99">
        <v>5.3890717300000004</v>
      </c>
      <c r="AD99">
        <v>5.5053315400000002</v>
      </c>
      <c r="AE99">
        <v>5.3132059800000002</v>
      </c>
    </row>
    <row r="100" spans="1:31" x14ac:dyDescent="0.2">
      <c r="A100">
        <v>35.042583299999997</v>
      </c>
      <c r="B100">
        <v>5.4971682299999998</v>
      </c>
      <c r="C100">
        <v>5.2983173700000004</v>
      </c>
      <c r="D100">
        <v>7.8292325399999996</v>
      </c>
      <c r="E100">
        <v>5.7268477500000001</v>
      </c>
      <c r="F100">
        <v>7.8586406599999998</v>
      </c>
      <c r="G100">
        <v>8.6532962700000002</v>
      </c>
      <c r="I100">
        <v>35.042583299999997</v>
      </c>
      <c r="J100">
        <v>5.4638318100000003</v>
      </c>
      <c r="K100">
        <v>5.3033049099999996</v>
      </c>
      <c r="L100">
        <v>7.8284363600000004</v>
      </c>
      <c r="M100">
        <v>5.6454468999999996</v>
      </c>
      <c r="N100">
        <v>7.8469809799999997</v>
      </c>
      <c r="O100">
        <v>5.4638318100000003</v>
      </c>
      <c r="Q100">
        <v>35.042583299999997</v>
      </c>
      <c r="R100">
        <v>5.4553211199999998</v>
      </c>
      <c r="S100">
        <v>5.24174702</v>
      </c>
      <c r="T100">
        <v>7.8497137600000002</v>
      </c>
      <c r="U100">
        <v>7.02553831</v>
      </c>
      <c r="V100">
        <v>7.9786537300000004</v>
      </c>
      <c r="W100">
        <v>6.1569789899999998</v>
      </c>
      <c r="Y100">
        <v>35.042583299999997</v>
      </c>
      <c r="Z100">
        <v>5.4467373700000001</v>
      </c>
      <c r="AA100">
        <v>5.2933048200000004</v>
      </c>
      <c r="AB100">
        <v>5.5254529400000001</v>
      </c>
      <c r="AC100">
        <v>5.3471075299999997</v>
      </c>
      <c r="AD100">
        <v>5.52146092</v>
      </c>
      <c r="AE100">
        <v>5.2882670300000001</v>
      </c>
    </row>
    <row r="101" spans="1:31" x14ac:dyDescent="0.2">
      <c r="A101">
        <v>35.407583299999999</v>
      </c>
      <c r="B101">
        <v>5.5134287500000001</v>
      </c>
      <c r="C101">
        <v>5.3423342500000004</v>
      </c>
      <c r="D101">
        <v>7.8292325399999996</v>
      </c>
      <c r="E101">
        <v>5.7589017699999996</v>
      </c>
      <c r="F101">
        <v>7.8536048100000002</v>
      </c>
      <c r="G101">
        <v>8.6621589599999993</v>
      </c>
      <c r="I101">
        <v>35.407583299999999</v>
      </c>
      <c r="J101">
        <v>5.4595855100000001</v>
      </c>
      <c r="K101">
        <v>5.3327187900000004</v>
      </c>
      <c r="L101">
        <v>7.8363697600000002</v>
      </c>
      <c r="M101">
        <v>5.6524891799999999</v>
      </c>
      <c r="N101">
        <v>7.8520502099999998</v>
      </c>
      <c r="O101">
        <v>5.5294290899999998</v>
      </c>
      <c r="Q101">
        <v>35.407583299999999</v>
      </c>
      <c r="R101">
        <v>5.4638318100000003</v>
      </c>
      <c r="S101">
        <v>5.27811466</v>
      </c>
      <c r="T101">
        <v>7.88570539</v>
      </c>
      <c r="U101">
        <v>7.0210839600000003</v>
      </c>
      <c r="V101">
        <v>7.9772819899999998</v>
      </c>
      <c r="W101">
        <v>6.2519038800000004</v>
      </c>
      <c r="Y101">
        <v>35.407583299999999</v>
      </c>
      <c r="Z101">
        <v>5.44241771</v>
      </c>
      <c r="AA101">
        <v>5.3181199899999996</v>
      </c>
      <c r="AB101">
        <v>5.5254529400000001</v>
      </c>
      <c r="AC101">
        <v>5.3798973500000002</v>
      </c>
      <c r="AD101">
        <v>5.4971682299999998</v>
      </c>
      <c r="AE101">
        <v>5.3181199899999996</v>
      </c>
    </row>
    <row r="102" spans="1:31" x14ac:dyDescent="0.2">
      <c r="A102">
        <v>35.772611099999999</v>
      </c>
      <c r="B102">
        <v>5.5134287500000001</v>
      </c>
      <c r="C102">
        <v>5.3518581300000001</v>
      </c>
      <c r="D102">
        <v>7.8260440100000004</v>
      </c>
      <c r="E102">
        <v>5.7557422100000002</v>
      </c>
      <c r="F102">
        <v>7.8582541800000003</v>
      </c>
      <c r="G102">
        <v>8.6586927500000002</v>
      </c>
      <c r="I102">
        <v>35.772611099999999</v>
      </c>
      <c r="J102">
        <v>5.4722706700000003</v>
      </c>
      <c r="K102">
        <v>5.3375380799999999</v>
      </c>
      <c r="L102">
        <v>7.8228452900000001</v>
      </c>
      <c r="M102">
        <v>5.6664266899999998</v>
      </c>
      <c r="N102">
        <v>7.8434564</v>
      </c>
      <c r="O102">
        <v>5.5254529400000001</v>
      </c>
      <c r="Q102">
        <v>35.772611099999999</v>
      </c>
      <c r="R102">
        <v>5.44241771</v>
      </c>
      <c r="S102">
        <v>5.2983173700000004</v>
      </c>
      <c r="T102">
        <v>7.8808043400000001</v>
      </c>
      <c r="U102">
        <v>7.0157124199999998</v>
      </c>
      <c r="V102">
        <v>7.9620673100000001</v>
      </c>
      <c r="W102">
        <v>6.3135480499999996</v>
      </c>
      <c r="Y102">
        <v>35.772611099999999</v>
      </c>
      <c r="Z102">
        <v>5.4510384500000004</v>
      </c>
      <c r="AA102">
        <v>5.3181199899999996</v>
      </c>
      <c r="AB102">
        <v>5.5254529400000001</v>
      </c>
      <c r="AC102">
        <v>5.3936275499999997</v>
      </c>
      <c r="AD102">
        <v>5.5093883400000001</v>
      </c>
      <c r="AE102">
        <v>5.2983173700000004</v>
      </c>
    </row>
    <row r="103" spans="1:31" x14ac:dyDescent="0.2">
      <c r="A103">
        <v>36.137611100000001</v>
      </c>
      <c r="B103">
        <v>5.5294290899999998</v>
      </c>
      <c r="C103">
        <v>5.3082677</v>
      </c>
      <c r="D103">
        <v>7.8300280799999999</v>
      </c>
      <c r="E103">
        <v>5.7268477500000001</v>
      </c>
      <c r="F103">
        <v>7.85321639</v>
      </c>
      <c r="G103">
        <v>8.6597338799999992</v>
      </c>
      <c r="I103">
        <v>36.137611100000001</v>
      </c>
      <c r="J103">
        <v>5.4680601400000004</v>
      </c>
      <c r="K103">
        <v>5.2983173700000004</v>
      </c>
      <c r="L103">
        <v>7.8272408999999996</v>
      </c>
      <c r="M103">
        <v>5.6454468999999996</v>
      </c>
      <c r="N103">
        <v>7.8461988199999997</v>
      </c>
      <c r="O103">
        <v>5.5093883400000001</v>
      </c>
      <c r="Q103">
        <v>36.137611100000001</v>
      </c>
      <c r="R103">
        <v>5.4510384500000004</v>
      </c>
      <c r="S103">
        <v>5.2364419599999996</v>
      </c>
      <c r="T103">
        <v>7.8751192799999998</v>
      </c>
      <c r="U103">
        <v>6.9800759399999999</v>
      </c>
      <c r="V103">
        <v>7.9522633100000002</v>
      </c>
      <c r="W103">
        <v>6.3784261799999999</v>
      </c>
      <c r="Y103">
        <v>36.137611100000001</v>
      </c>
      <c r="Z103">
        <v>5.4293456300000003</v>
      </c>
      <c r="AA103">
        <v>5.2832037300000003</v>
      </c>
      <c r="AB103">
        <v>5.5294290899999998</v>
      </c>
      <c r="AC103">
        <v>5.3518581300000001</v>
      </c>
      <c r="AD103">
        <v>5.5174529000000003</v>
      </c>
      <c r="AE103">
        <v>5.2729995599999997</v>
      </c>
    </row>
    <row r="104" spans="1:31" x14ac:dyDescent="0.2">
      <c r="A104">
        <v>36.502638900000001</v>
      </c>
      <c r="B104">
        <v>5.5134287500000001</v>
      </c>
      <c r="C104">
        <v>5.3132059800000002</v>
      </c>
      <c r="D104">
        <v>7.8296303900000002</v>
      </c>
      <c r="E104">
        <v>5.7300997799999998</v>
      </c>
      <c r="F104">
        <v>7.8489337299999997</v>
      </c>
      <c r="G104">
        <v>8.6612935400000008</v>
      </c>
      <c r="I104">
        <v>36.502638900000001</v>
      </c>
      <c r="J104">
        <v>5.4722706700000003</v>
      </c>
      <c r="K104">
        <v>5.3033049099999996</v>
      </c>
      <c r="L104">
        <v>7.82244473</v>
      </c>
      <c r="M104">
        <v>5.6594822200000001</v>
      </c>
      <c r="N104">
        <v>7.84227878</v>
      </c>
      <c r="O104">
        <v>5.5294290899999998</v>
      </c>
      <c r="Q104">
        <v>36.502638900000001</v>
      </c>
      <c r="R104">
        <v>5.4510384500000004</v>
      </c>
      <c r="S104">
        <v>5.2626901899999998</v>
      </c>
      <c r="T104">
        <v>7.8739783799999996</v>
      </c>
      <c r="U104">
        <v>6.9837899700000001</v>
      </c>
      <c r="V104">
        <v>7.94838529</v>
      </c>
      <c r="W104">
        <v>6.4630294599999996</v>
      </c>
      <c r="Y104">
        <v>36.502638900000001</v>
      </c>
      <c r="Z104">
        <v>5.4510384500000004</v>
      </c>
      <c r="AA104">
        <v>5.2832037300000003</v>
      </c>
      <c r="AB104">
        <v>5.5333894900000002</v>
      </c>
      <c r="AC104">
        <v>5.3706380300000003</v>
      </c>
      <c r="AD104">
        <v>5.5093883400000001</v>
      </c>
      <c r="AE104">
        <v>5.2729995599999997</v>
      </c>
    </row>
    <row r="105" spans="1:31" x14ac:dyDescent="0.2">
      <c r="A105">
        <v>36.867638900000003</v>
      </c>
      <c r="B105">
        <v>5.5254529400000001</v>
      </c>
      <c r="C105">
        <v>5.3132059800000002</v>
      </c>
      <c r="D105">
        <v>7.8276395499999998</v>
      </c>
      <c r="E105">
        <v>5.7268477500000001</v>
      </c>
      <c r="F105">
        <v>7.8454160399999999</v>
      </c>
      <c r="G105">
        <v>8.6618128799999994</v>
      </c>
      <c r="I105">
        <v>36.867638900000003</v>
      </c>
      <c r="J105">
        <v>5.4847969299999999</v>
      </c>
      <c r="K105">
        <v>5.2933048200000004</v>
      </c>
      <c r="L105">
        <v>7.8252452899999998</v>
      </c>
      <c r="M105">
        <v>5.6347896000000004</v>
      </c>
      <c r="N105">
        <v>7.8454160399999999</v>
      </c>
      <c r="O105">
        <v>5.5373342699999997</v>
      </c>
      <c r="Q105">
        <v>36.867638900000003</v>
      </c>
      <c r="R105">
        <v>5.4467373700000001</v>
      </c>
      <c r="S105">
        <v>5.2470240700000002</v>
      </c>
      <c r="T105">
        <v>7.8632667200000004</v>
      </c>
      <c r="U105">
        <v>6.9669671400000004</v>
      </c>
      <c r="V105">
        <v>7.9494444199999998</v>
      </c>
      <c r="W105">
        <v>6.5337888399999997</v>
      </c>
      <c r="Y105">
        <v>36.867638900000003</v>
      </c>
      <c r="Z105">
        <v>5.44241771</v>
      </c>
      <c r="AA105">
        <v>5.2882670300000001</v>
      </c>
      <c r="AB105">
        <v>5.5529595799999996</v>
      </c>
      <c r="AC105">
        <v>5.3423342500000004</v>
      </c>
      <c r="AD105">
        <v>5.5093883400000001</v>
      </c>
      <c r="AE105">
        <v>5.25749537</v>
      </c>
    </row>
    <row r="106" spans="1:31" x14ac:dyDescent="0.2">
      <c r="A106">
        <v>37.232638899999998</v>
      </c>
      <c r="B106">
        <v>5.5451774399999998</v>
      </c>
      <c r="C106">
        <v>5.3706380300000003</v>
      </c>
      <c r="D106">
        <v>7.8212420800000002</v>
      </c>
      <c r="E106">
        <v>5.7589017699999996</v>
      </c>
      <c r="F106">
        <v>7.8477625399999997</v>
      </c>
      <c r="G106">
        <v>8.6723148299999995</v>
      </c>
      <c r="I106">
        <v>37.232638899999998</v>
      </c>
      <c r="J106">
        <v>5.4847969299999999</v>
      </c>
      <c r="K106">
        <v>5.3659760199999997</v>
      </c>
      <c r="L106">
        <v>7.8284363600000004</v>
      </c>
      <c r="M106">
        <v>5.67332327</v>
      </c>
      <c r="N106">
        <v>7.8418859300000001</v>
      </c>
      <c r="O106">
        <v>5.5947113799999997</v>
      </c>
      <c r="Q106">
        <v>37.232638899999998</v>
      </c>
      <c r="R106">
        <v>5.4595855100000001</v>
      </c>
      <c r="S106">
        <v>5.3033049099999996</v>
      </c>
      <c r="T106">
        <v>7.8697838999999998</v>
      </c>
      <c r="U106">
        <v>6.9688503800000001</v>
      </c>
      <c r="V106">
        <v>7.9434277700000004</v>
      </c>
      <c r="W106">
        <v>6.6359465599999998</v>
      </c>
      <c r="Y106">
        <v>37.232638899999998</v>
      </c>
      <c r="Z106">
        <v>5.4595855100000001</v>
      </c>
      <c r="AA106">
        <v>5.3181199899999996</v>
      </c>
      <c r="AB106">
        <v>5.5451774399999998</v>
      </c>
      <c r="AC106">
        <v>5.3936275499999997</v>
      </c>
      <c r="AD106">
        <v>5.5093883400000001</v>
      </c>
      <c r="AE106">
        <v>5.3230099800000001</v>
      </c>
    </row>
    <row r="107" spans="1:31" x14ac:dyDescent="0.2">
      <c r="A107">
        <v>37.5976389</v>
      </c>
      <c r="B107">
        <v>5.5451774399999998</v>
      </c>
      <c r="C107">
        <v>5.3181199899999996</v>
      </c>
      <c r="D107">
        <v>7.82404601</v>
      </c>
      <c r="E107">
        <v>5.7365722999999997</v>
      </c>
      <c r="F107">
        <v>7.8473718400000001</v>
      </c>
      <c r="G107">
        <v>8.6647507600000004</v>
      </c>
      <c r="I107">
        <v>37.5976389</v>
      </c>
      <c r="J107">
        <v>5.4847969299999999</v>
      </c>
      <c r="K107">
        <v>5.3033049099999996</v>
      </c>
      <c r="L107">
        <v>7.8208408800000004</v>
      </c>
      <c r="M107">
        <v>5.6524891799999999</v>
      </c>
      <c r="N107">
        <v>7.8418859300000001</v>
      </c>
      <c r="O107">
        <v>5.5721540300000001</v>
      </c>
      <c r="Q107">
        <v>37.5976389</v>
      </c>
      <c r="R107">
        <v>5.4510384500000004</v>
      </c>
      <c r="S107">
        <v>5.2470240700000002</v>
      </c>
      <c r="T107">
        <v>7.86940171</v>
      </c>
      <c r="U107">
        <v>6.9631899900000001</v>
      </c>
      <c r="V107">
        <v>7.93844555</v>
      </c>
      <c r="W107">
        <v>6.7031881100000001</v>
      </c>
      <c r="Y107">
        <v>37.5976389</v>
      </c>
      <c r="Z107">
        <v>5.44241771</v>
      </c>
      <c r="AA107">
        <v>5.2933048200000004</v>
      </c>
      <c r="AB107">
        <v>5.5721540300000001</v>
      </c>
      <c r="AC107">
        <v>5.3471075299999997</v>
      </c>
      <c r="AD107">
        <v>5.5134287500000001</v>
      </c>
      <c r="AE107">
        <v>5.2678581600000003</v>
      </c>
    </row>
    <row r="108" spans="1:31" x14ac:dyDescent="0.2">
      <c r="A108">
        <v>37.9626667</v>
      </c>
      <c r="B108">
        <v>5.5451774399999998</v>
      </c>
      <c r="C108">
        <v>5.3375380799999999</v>
      </c>
      <c r="D108">
        <v>7.8204395199999999</v>
      </c>
      <c r="E108">
        <v>5.7462031900000001</v>
      </c>
      <c r="F108">
        <v>7.8508826599999999</v>
      </c>
      <c r="G108">
        <v>8.6740259900000005</v>
      </c>
      <c r="I108">
        <v>37.9626667</v>
      </c>
      <c r="J108">
        <v>5.4847969299999999</v>
      </c>
      <c r="K108">
        <v>5.3082677</v>
      </c>
      <c r="L108">
        <v>7.8228452900000001</v>
      </c>
      <c r="M108">
        <v>5.6454468999999996</v>
      </c>
      <c r="N108">
        <v>7.8355792500000003</v>
      </c>
      <c r="O108">
        <v>5.5834963100000001</v>
      </c>
      <c r="Q108">
        <v>37.9626667</v>
      </c>
      <c r="R108">
        <v>5.4510384500000004</v>
      </c>
      <c r="S108">
        <v>5.2522734299999998</v>
      </c>
      <c r="T108">
        <v>7.8586406599999998</v>
      </c>
      <c r="U108">
        <v>6.9411900600000003</v>
      </c>
      <c r="V108">
        <v>7.9327210299999997</v>
      </c>
      <c r="W108">
        <v>6.7934661299999997</v>
      </c>
      <c r="Y108">
        <v>37.9626667</v>
      </c>
      <c r="Z108">
        <v>5.4467373700000001</v>
      </c>
      <c r="AA108">
        <v>5.2832037300000003</v>
      </c>
      <c r="AB108">
        <v>5.5373342699999997</v>
      </c>
      <c r="AC108">
        <v>5.3518581300000001</v>
      </c>
      <c r="AD108">
        <v>5.52146092</v>
      </c>
      <c r="AE108">
        <v>5.2832037300000003</v>
      </c>
    </row>
    <row r="109" spans="1:31" x14ac:dyDescent="0.2">
      <c r="A109">
        <v>38.327666700000002</v>
      </c>
      <c r="B109">
        <v>5.5529595799999996</v>
      </c>
      <c r="C109">
        <v>5.3659760199999997</v>
      </c>
      <c r="D109">
        <v>7.8204395199999999</v>
      </c>
      <c r="E109">
        <v>5.7493929899999996</v>
      </c>
      <c r="F109">
        <v>7.8379489199999997</v>
      </c>
      <c r="G109">
        <v>8.6793120399999992</v>
      </c>
      <c r="I109">
        <v>38.327666700000002</v>
      </c>
      <c r="J109">
        <v>5.4847969299999999</v>
      </c>
      <c r="K109">
        <v>5.3423342500000004</v>
      </c>
      <c r="L109">
        <v>7.8248456900000001</v>
      </c>
      <c r="M109">
        <v>5.6629604799999997</v>
      </c>
      <c r="N109">
        <v>7.8379489199999997</v>
      </c>
      <c r="O109">
        <v>5.6276211099999998</v>
      </c>
      <c r="Q109">
        <v>38.327666700000002</v>
      </c>
      <c r="R109">
        <v>5.4467373700000001</v>
      </c>
      <c r="S109">
        <v>5.3082677</v>
      </c>
      <c r="T109">
        <v>7.8547691799999999</v>
      </c>
      <c r="U109">
        <v>6.9565454400000002</v>
      </c>
      <c r="V109">
        <v>7.9334383900000001</v>
      </c>
      <c r="W109">
        <v>6.8844866500000004</v>
      </c>
      <c r="Y109">
        <v>38.327666700000002</v>
      </c>
      <c r="Z109">
        <v>5.4510384500000004</v>
      </c>
      <c r="AA109">
        <v>5.3327187900000004</v>
      </c>
      <c r="AB109">
        <v>5.5645204100000001</v>
      </c>
      <c r="AC109">
        <v>5.3936275499999997</v>
      </c>
      <c r="AD109">
        <v>5.5093883400000001</v>
      </c>
      <c r="AE109">
        <v>5.3132059800000002</v>
      </c>
    </row>
    <row r="110" spans="1:31" x14ac:dyDescent="0.2">
      <c r="A110">
        <v>38.692694400000001</v>
      </c>
      <c r="B110">
        <v>5.5529595799999996</v>
      </c>
      <c r="C110">
        <v>5.3423342500000004</v>
      </c>
      <c r="D110">
        <v>7.8208408800000004</v>
      </c>
      <c r="E110">
        <v>5.7300997799999998</v>
      </c>
      <c r="F110">
        <v>7.8410997699999996</v>
      </c>
      <c r="G110">
        <v>8.6811810400000002</v>
      </c>
      <c r="I110">
        <v>38.692694400000001</v>
      </c>
      <c r="J110">
        <v>5.4680601400000004</v>
      </c>
      <c r="K110">
        <v>5.3082677</v>
      </c>
      <c r="L110">
        <v>7.8164169799999996</v>
      </c>
      <c r="M110">
        <v>5.6559918099999997</v>
      </c>
      <c r="N110">
        <v>7.8430640199999999</v>
      </c>
      <c r="O110">
        <v>5.6312117800000001</v>
      </c>
      <c r="Q110">
        <v>38.692694400000001</v>
      </c>
      <c r="R110">
        <v>5.44241771</v>
      </c>
      <c r="S110">
        <v>5.24174702</v>
      </c>
      <c r="T110">
        <v>7.8543812099999997</v>
      </c>
      <c r="U110">
        <v>6.9411900600000003</v>
      </c>
      <c r="V110">
        <v>7.9237103299999996</v>
      </c>
      <c r="W110">
        <v>6.9631899900000001</v>
      </c>
      <c r="Y110">
        <v>38.692694400000001</v>
      </c>
      <c r="Z110">
        <v>5.4337220000000004</v>
      </c>
      <c r="AA110">
        <v>5.2882670300000001</v>
      </c>
      <c r="AB110">
        <v>5.5451774399999998</v>
      </c>
      <c r="AC110">
        <v>5.3471075299999997</v>
      </c>
      <c r="AD110">
        <v>5.5294290899999998</v>
      </c>
      <c r="AE110">
        <v>5.2882670300000001</v>
      </c>
    </row>
    <row r="111" spans="1:31" x14ac:dyDescent="0.2">
      <c r="A111">
        <v>39.057722200000001</v>
      </c>
      <c r="B111">
        <v>5.5606816300000004</v>
      </c>
      <c r="C111">
        <v>5.25749537</v>
      </c>
      <c r="D111">
        <v>7.8131872700000002</v>
      </c>
      <c r="E111">
        <v>5.70044357</v>
      </c>
      <c r="F111">
        <v>7.8407064499999999</v>
      </c>
      <c r="G111">
        <v>8.6767577599999992</v>
      </c>
      <c r="I111">
        <v>39.057722200000001</v>
      </c>
      <c r="J111">
        <v>5.5012582099999996</v>
      </c>
      <c r="K111">
        <v>5.2257466700000004</v>
      </c>
      <c r="L111">
        <v>7.8143996299999996</v>
      </c>
      <c r="M111">
        <v>5.5834963100000001</v>
      </c>
      <c r="N111">
        <v>7.8347881099999999</v>
      </c>
      <c r="O111">
        <v>5.5797298299999998</v>
      </c>
      <c r="Q111">
        <v>39.057722200000001</v>
      </c>
      <c r="R111">
        <v>5.44241771</v>
      </c>
      <c r="S111">
        <v>5.1704840000000001</v>
      </c>
      <c r="T111">
        <v>7.8403129800000002</v>
      </c>
      <c r="U111">
        <v>6.9216581799999997</v>
      </c>
      <c r="V111">
        <v>7.9211727200000004</v>
      </c>
      <c r="W111">
        <v>7.0475172199999996</v>
      </c>
      <c r="Y111">
        <v>39.057722200000001</v>
      </c>
      <c r="Z111">
        <v>5.4467373700000001</v>
      </c>
      <c r="AA111">
        <v>5.1817835499999996</v>
      </c>
      <c r="AB111">
        <v>5.5451774399999998</v>
      </c>
      <c r="AC111">
        <v>5.2522734299999998</v>
      </c>
      <c r="AD111">
        <v>5.5174529000000003</v>
      </c>
      <c r="AE111">
        <v>5.1984970300000004</v>
      </c>
    </row>
    <row r="112" spans="1:31" x14ac:dyDescent="0.2">
      <c r="A112">
        <v>39.422722200000003</v>
      </c>
      <c r="B112">
        <v>5.5947113799999997</v>
      </c>
      <c r="C112">
        <v>5.3565862700000002</v>
      </c>
      <c r="D112">
        <v>7.8192344499999997</v>
      </c>
      <c r="E112">
        <v>5.7300997799999998</v>
      </c>
      <c r="F112">
        <v>7.8473718400000001</v>
      </c>
      <c r="G112">
        <v>8.6882852699999997</v>
      </c>
      <c r="I112">
        <v>39.422722200000003</v>
      </c>
      <c r="J112">
        <v>5.5012582099999996</v>
      </c>
      <c r="K112">
        <v>5.3132059800000002</v>
      </c>
      <c r="L112">
        <v>7.8123782100000003</v>
      </c>
      <c r="M112">
        <v>5.6594822200000001</v>
      </c>
      <c r="N112">
        <v>7.8399193599999997</v>
      </c>
      <c r="O112">
        <v>5.67332327</v>
      </c>
      <c r="Q112">
        <v>39.422722200000003</v>
      </c>
      <c r="R112">
        <v>5.4553211199999998</v>
      </c>
      <c r="S112">
        <v>5.2470240700000002</v>
      </c>
      <c r="T112">
        <v>7.8442407200000002</v>
      </c>
      <c r="U112">
        <v>6.9469759900000003</v>
      </c>
      <c r="V112">
        <v>7.9160781</v>
      </c>
      <c r="W112">
        <v>7.1631723899999997</v>
      </c>
      <c r="Y112">
        <v>39.422722200000003</v>
      </c>
      <c r="Z112">
        <v>5.4337220000000004</v>
      </c>
      <c r="AA112">
        <v>5.2729995599999997</v>
      </c>
      <c r="AB112">
        <v>5.5645204100000001</v>
      </c>
      <c r="AC112">
        <v>5.3327187900000004</v>
      </c>
      <c r="AD112">
        <v>5.5174529000000003</v>
      </c>
      <c r="AE112">
        <v>5.27811466</v>
      </c>
    </row>
    <row r="113" spans="1:31" x14ac:dyDescent="0.2">
      <c r="A113">
        <v>39.787722199999997</v>
      </c>
      <c r="B113">
        <v>5.5872486600000002</v>
      </c>
      <c r="C113">
        <v>5.3518581300000001</v>
      </c>
      <c r="D113">
        <v>7.8184302700000003</v>
      </c>
      <c r="E113">
        <v>5.7557422100000002</v>
      </c>
      <c r="F113">
        <v>7.8296303900000002</v>
      </c>
      <c r="G113">
        <v>8.6884537999999996</v>
      </c>
      <c r="I113">
        <v>39.787722199999997</v>
      </c>
      <c r="J113">
        <v>5.49306144</v>
      </c>
      <c r="K113">
        <v>5.3181199899999996</v>
      </c>
      <c r="L113">
        <v>7.8143996299999996</v>
      </c>
      <c r="M113">
        <v>5.6419070700000002</v>
      </c>
      <c r="N113">
        <v>7.8336002200000001</v>
      </c>
      <c r="O113">
        <v>5.7203117800000003</v>
      </c>
      <c r="Q113">
        <v>39.787722199999997</v>
      </c>
      <c r="R113">
        <v>5.4467373700000001</v>
      </c>
      <c r="S113">
        <v>5.2470240700000002</v>
      </c>
      <c r="T113">
        <v>7.8407064499999999</v>
      </c>
      <c r="U113">
        <v>6.9488972200000001</v>
      </c>
      <c r="V113">
        <v>7.9135210200000001</v>
      </c>
      <c r="W113">
        <v>7.2541778499999996</v>
      </c>
      <c r="Y113">
        <v>39.787722199999997</v>
      </c>
      <c r="Z113">
        <v>5.4510384500000004</v>
      </c>
      <c r="AA113">
        <v>5.2832037300000003</v>
      </c>
      <c r="AB113">
        <v>5.5683445000000003</v>
      </c>
      <c r="AC113">
        <v>5.3565862700000002</v>
      </c>
      <c r="AD113">
        <v>5.5012582099999996</v>
      </c>
      <c r="AE113">
        <v>5.2832037300000003</v>
      </c>
    </row>
    <row r="114" spans="1:31" x14ac:dyDescent="0.2">
      <c r="A114">
        <v>40.152749999999997</v>
      </c>
      <c r="B114">
        <v>5.5984219599999996</v>
      </c>
      <c r="C114">
        <v>5.3518581300000001</v>
      </c>
      <c r="D114">
        <v>7.8192344499999997</v>
      </c>
      <c r="E114">
        <v>5.7365722999999997</v>
      </c>
      <c r="F114">
        <v>7.8375543600000004</v>
      </c>
      <c r="G114">
        <v>8.6869359700000004</v>
      </c>
      <c r="I114">
        <v>40.152749999999997</v>
      </c>
      <c r="J114">
        <v>5.5254529400000001</v>
      </c>
      <c r="K114">
        <v>5.3082677</v>
      </c>
      <c r="L114">
        <v>7.8135915499999999</v>
      </c>
      <c r="M114">
        <v>5.6419070700000002</v>
      </c>
      <c r="N114">
        <v>7.8320141799999998</v>
      </c>
      <c r="O114">
        <v>5.7333412800000003</v>
      </c>
      <c r="Q114">
        <v>40.152749999999997</v>
      </c>
      <c r="R114">
        <v>5.4595855100000001</v>
      </c>
      <c r="S114">
        <v>5.2626901899999998</v>
      </c>
      <c r="T114">
        <v>7.8407064499999999</v>
      </c>
      <c r="U114">
        <v>6.9450510599999999</v>
      </c>
      <c r="V114">
        <v>7.9138867099999999</v>
      </c>
      <c r="W114">
        <v>7.3543623299999998</v>
      </c>
      <c r="Y114">
        <v>40.152749999999997</v>
      </c>
      <c r="Z114">
        <v>5.4337220000000004</v>
      </c>
      <c r="AA114">
        <v>5.2729995599999997</v>
      </c>
      <c r="AB114">
        <v>5.5683445000000003</v>
      </c>
      <c r="AC114">
        <v>5.3230099800000001</v>
      </c>
      <c r="AD114">
        <v>5.52146092</v>
      </c>
      <c r="AE114">
        <v>5.27811466</v>
      </c>
    </row>
    <row r="115" spans="1:31" x14ac:dyDescent="0.2">
      <c r="A115">
        <v>40.517749999999999</v>
      </c>
      <c r="B115">
        <v>5.6131281099999999</v>
      </c>
      <c r="C115">
        <v>5.5093883400000001</v>
      </c>
      <c r="D115">
        <v>7.8119734300000001</v>
      </c>
      <c r="E115">
        <v>5.8260001099999998</v>
      </c>
      <c r="F115">
        <v>7.8418859300000001</v>
      </c>
      <c r="G115">
        <v>8.6869359700000004</v>
      </c>
      <c r="I115">
        <v>40.517749999999999</v>
      </c>
      <c r="J115">
        <v>5.5093883400000001</v>
      </c>
      <c r="K115">
        <v>5.2626901899999998</v>
      </c>
      <c r="L115">
        <v>7.8156105299999998</v>
      </c>
      <c r="M115">
        <v>5.6167711000000002</v>
      </c>
      <c r="N115">
        <v>7.8276395499999998</v>
      </c>
      <c r="O115">
        <v>5.7037824700000002</v>
      </c>
      <c r="Q115">
        <v>40.517749999999999</v>
      </c>
      <c r="R115">
        <v>5.4467373700000001</v>
      </c>
      <c r="S115">
        <v>5.4026773800000001</v>
      </c>
      <c r="T115">
        <v>7.8347881099999999</v>
      </c>
      <c r="U115">
        <v>6.9697906700000001</v>
      </c>
      <c r="V115">
        <v>7.9072836100000004</v>
      </c>
      <c r="W115">
        <v>7.4436636800000002</v>
      </c>
      <c r="Y115">
        <v>40.517749999999999</v>
      </c>
      <c r="Z115">
        <v>5.4467373700000001</v>
      </c>
      <c r="AA115">
        <v>5.1929568499999998</v>
      </c>
      <c r="AB115">
        <v>5.5797298299999998</v>
      </c>
      <c r="AC115">
        <v>5.2729995599999997</v>
      </c>
      <c r="AD115">
        <v>5.5294290899999998</v>
      </c>
      <c r="AE115">
        <v>5.2149357600000004</v>
      </c>
    </row>
    <row r="116" spans="1:31" x14ac:dyDescent="0.2">
      <c r="A116">
        <v>40.8827778</v>
      </c>
      <c r="B116">
        <v>5.6240175099999998</v>
      </c>
      <c r="C116">
        <v>5.3798973500000002</v>
      </c>
      <c r="D116">
        <v>7.8160138400000001</v>
      </c>
      <c r="E116">
        <v>5.7430031899999996</v>
      </c>
      <c r="F116">
        <v>7.8375543600000004</v>
      </c>
      <c r="G116">
        <v>8.6951719999999995</v>
      </c>
      <c r="I116">
        <v>40.8827778</v>
      </c>
      <c r="J116">
        <v>5.52146092</v>
      </c>
      <c r="K116">
        <v>5.3278761699999997</v>
      </c>
      <c r="L116">
        <v>7.8119734300000001</v>
      </c>
      <c r="M116">
        <v>5.6559918099999997</v>
      </c>
      <c r="N116">
        <v>7.8339963399999997</v>
      </c>
      <c r="O116">
        <v>5.8051349700000001</v>
      </c>
      <c r="Q116">
        <v>40.8827778</v>
      </c>
      <c r="R116">
        <v>5.44241771</v>
      </c>
      <c r="S116">
        <v>5.25749537</v>
      </c>
      <c r="T116">
        <v>7.8347881099999999</v>
      </c>
      <c r="U116">
        <v>6.94601399</v>
      </c>
      <c r="V116">
        <v>7.9102237100000004</v>
      </c>
      <c r="W116">
        <v>7.5538108499999996</v>
      </c>
      <c r="Y116">
        <v>40.8827778</v>
      </c>
      <c r="Z116">
        <v>5.4595855100000001</v>
      </c>
      <c r="AA116">
        <v>5.2832037300000003</v>
      </c>
      <c r="AB116">
        <v>5.5721540300000001</v>
      </c>
      <c r="AC116">
        <v>5.3612921699999996</v>
      </c>
      <c r="AD116">
        <v>5.5134287500000001</v>
      </c>
      <c r="AE116">
        <v>5.2832037300000003</v>
      </c>
    </row>
    <row r="117" spans="1:31" x14ac:dyDescent="0.2">
      <c r="A117">
        <v>41.247777800000001</v>
      </c>
      <c r="B117">
        <v>5.6276211099999998</v>
      </c>
      <c r="C117">
        <v>5.4293456300000003</v>
      </c>
      <c r="D117">
        <v>7.8148034300000004</v>
      </c>
      <c r="E117">
        <v>5.7683210000000003</v>
      </c>
      <c r="F117">
        <v>7.8363697600000002</v>
      </c>
      <c r="G117">
        <v>8.6951719999999995</v>
      </c>
      <c r="I117">
        <v>41.247777800000001</v>
      </c>
      <c r="J117">
        <v>5.5174529000000003</v>
      </c>
      <c r="K117">
        <v>5.37527841</v>
      </c>
      <c r="L117">
        <v>7.8184302700000003</v>
      </c>
      <c r="M117">
        <v>5.6835797699999997</v>
      </c>
      <c r="N117">
        <v>7.83241093</v>
      </c>
      <c r="O117">
        <v>5.8664680599999999</v>
      </c>
      <c r="Q117">
        <v>41.247777800000001</v>
      </c>
      <c r="R117">
        <v>5.4638318100000003</v>
      </c>
      <c r="S117">
        <v>5.3278761699999997</v>
      </c>
      <c r="T117">
        <v>7.8312202099999997</v>
      </c>
      <c r="U117">
        <v>6.9612960499999996</v>
      </c>
      <c r="V117">
        <v>7.9024874399999998</v>
      </c>
      <c r="W117">
        <v>7.6591713700000001</v>
      </c>
      <c r="Y117">
        <v>41.247777800000001</v>
      </c>
      <c r="Z117">
        <v>5.4337220000000004</v>
      </c>
      <c r="AA117">
        <v>5.3518581300000001</v>
      </c>
      <c r="AB117">
        <v>5.5797298299999998</v>
      </c>
      <c r="AC117">
        <v>5.4026773800000001</v>
      </c>
      <c r="AD117">
        <v>5.5134287500000001</v>
      </c>
      <c r="AE117">
        <v>5.3327187900000004</v>
      </c>
    </row>
    <row r="118" spans="1:31" x14ac:dyDescent="0.2">
      <c r="A118">
        <v>41.612805600000002</v>
      </c>
      <c r="B118">
        <v>5.63835467</v>
      </c>
      <c r="C118">
        <v>5.4116460499999999</v>
      </c>
      <c r="D118">
        <v>7.8119734300000001</v>
      </c>
      <c r="E118">
        <v>5.7365722999999997</v>
      </c>
      <c r="F118">
        <v>7.8383433199999999</v>
      </c>
      <c r="G118">
        <v>8.6874421700000006</v>
      </c>
      <c r="I118">
        <v>41.612805600000002</v>
      </c>
      <c r="J118">
        <v>5.5294290899999998</v>
      </c>
      <c r="K118">
        <v>5.3181199899999996</v>
      </c>
      <c r="L118">
        <v>7.8099470899999996</v>
      </c>
      <c r="M118">
        <v>5.6594822200000001</v>
      </c>
      <c r="N118">
        <v>7.8248456900000001</v>
      </c>
      <c r="O118">
        <v>5.88332239</v>
      </c>
      <c r="Q118">
        <v>41.612805600000002</v>
      </c>
      <c r="R118">
        <v>5.4595855100000001</v>
      </c>
      <c r="S118">
        <v>5.2678581600000003</v>
      </c>
      <c r="T118">
        <v>7.8260440100000004</v>
      </c>
      <c r="U118">
        <v>6.9574973699999996</v>
      </c>
      <c r="V118">
        <v>7.8976681500000003</v>
      </c>
      <c r="W118">
        <v>7.74716497</v>
      </c>
      <c r="Y118">
        <v>41.612805600000002</v>
      </c>
      <c r="Z118">
        <v>5.4337220000000004</v>
      </c>
      <c r="AA118">
        <v>5.2882670300000001</v>
      </c>
      <c r="AB118">
        <v>5.5834963100000001</v>
      </c>
      <c r="AC118">
        <v>5.3565862700000002</v>
      </c>
      <c r="AD118">
        <v>5.5294290899999998</v>
      </c>
      <c r="AE118">
        <v>5.2882670300000001</v>
      </c>
    </row>
    <row r="119" spans="1:31" x14ac:dyDescent="0.2">
      <c r="A119">
        <v>41.977805600000003</v>
      </c>
      <c r="B119">
        <v>5.6454468999999996</v>
      </c>
      <c r="C119">
        <v>5.44241771</v>
      </c>
      <c r="D119">
        <v>7.8143996299999996</v>
      </c>
      <c r="E119">
        <v>5.7868973800000001</v>
      </c>
      <c r="F119">
        <v>7.8387375600000002</v>
      </c>
      <c r="G119">
        <v>8.6929935300000007</v>
      </c>
      <c r="I119">
        <v>41.977805600000003</v>
      </c>
      <c r="J119">
        <v>5.5134287500000001</v>
      </c>
      <c r="K119">
        <v>5.3565862700000002</v>
      </c>
      <c r="L119">
        <v>7.8099470899999996</v>
      </c>
      <c r="M119">
        <v>5.6937321399999998</v>
      </c>
      <c r="N119">
        <v>7.8300280799999999</v>
      </c>
      <c r="O119">
        <v>5.9375362100000002</v>
      </c>
      <c r="Q119">
        <v>41.977805600000003</v>
      </c>
      <c r="R119">
        <v>5.44241771</v>
      </c>
      <c r="S119">
        <v>5.3230099800000001</v>
      </c>
      <c r="T119">
        <v>7.8244459300000004</v>
      </c>
      <c r="U119">
        <v>6.9612960499999996</v>
      </c>
      <c r="V119">
        <v>7.8976681500000003</v>
      </c>
      <c r="W119">
        <v>7.8536048100000002</v>
      </c>
      <c r="Y119">
        <v>41.977805600000003</v>
      </c>
      <c r="Z119">
        <v>5.43807931</v>
      </c>
      <c r="AA119">
        <v>5.3278761699999997</v>
      </c>
      <c r="AB119">
        <v>5.5872486600000002</v>
      </c>
      <c r="AC119">
        <v>5.3890717300000004</v>
      </c>
      <c r="AD119">
        <v>5.52146092</v>
      </c>
      <c r="AE119">
        <v>5.3375380799999999</v>
      </c>
    </row>
    <row r="120" spans="1:31" x14ac:dyDescent="0.2">
      <c r="A120">
        <v>42.342833300000002</v>
      </c>
      <c r="B120">
        <v>5.6664266899999998</v>
      </c>
      <c r="C120">
        <v>5.4161004000000004</v>
      </c>
      <c r="D120">
        <v>7.8103526800000003</v>
      </c>
      <c r="E120">
        <v>5.7589017699999996</v>
      </c>
      <c r="F120">
        <v>7.8316172799999997</v>
      </c>
      <c r="G120">
        <v>8.6906421700000003</v>
      </c>
      <c r="I120">
        <v>42.342833300000002</v>
      </c>
      <c r="J120">
        <v>5.54126355</v>
      </c>
      <c r="K120">
        <v>5.3327187900000004</v>
      </c>
      <c r="L120">
        <v>7.8135915499999999</v>
      </c>
      <c r="M120">
        <v>5.67332327</v>
      </c>
      <c r="N120">
        <v>7.8276395499999998</v>
      </c>
      <c r="O120">
        <v>5.9661467400000001</v>
      </c>
      <c r="Q120">
        <v>42.342833300000002</v>
      </c>
      <c r="R120">
        <v>5.4553211199999998</v>
      </c>
      <c r="S120">
        <v>5.2933048200000004</v>
      </c>
      <c r="T120">
        <v>7.82164313</v>
      </c>
      <c r="U120">
        <v>6.9612960499999996</v>
      </c>
      <c r="V120">
        <v>7.8954360100000001</v>
      </c>
      <c r="W120">
        <v>7.9462636399999997</v>
      </c>
      <c r="Y120">
        <v>42.342833300000002</v>
      </c>
      <c r="Z120">
        <v>5.44241771</v>
      </c>
      <c r="AA120">
        <v>5.2933048200000004</v>
      </c>
      <c r="AB120">
        <v>5.5872486600000002</v>
      </c>
      <c r="AC120">
        <v>5.3936275499999997</v>
      </c>
      <c r="AD120">
        <v>5.5294290899999998</v>
      </c>
      <c r="AE120">
        <v>5.3033049099999996</v>
      </c>
    </row>
    <row r="121" spans="1:31" x14ac:dyDescent="0.2">
      <c r="A121">
        <v>42.707833299999997</v>
      </c>
      <c r="B121">
        <v>5.6801726099999996</v>
      </c>
      <c r="C121">
        <v>5.4847969299999999</v>
      </c>
      <c r="D121">
        <v>7.80547463</v>
      </c>
      <c r="E121">
        <v>5.7899601699999996</v>
      </c>
      <c r="F121">
        <v>7.8414929200000003</v>
      </c>
      <c r="G121">
        <v>8.69265796</v>
      </c>
      <c r="I121">
        <v>42.707833299999997</v>
      </c>
      <c r="J121">
        <v>5.5254529400000001</v>
      </c>
      <c r="K121">
        <v>5.3936275499999997</v>
      </c>
      <c r="L121">
        <v>7.8095413200000001</v>
      </c>
      <c r="M121">
        <v>5.7071102600000003</v>
      </c>
      <c r="N121">
        <v>7.8256447299999996</v>
      </c>
      <c r="O121">
        <v>6.05443935</v>
      </c>
      <c r="Q121">
        <v>42.707833299999997</v>
      </c>
      <c r="R121">
        <v>5.4510384500000004</v>
      </c>
      <c r="S121">
        <v>5.3471075299999997</v>
      </c>
      <c r="T121">
        <v>7.8184302700000003</v>
      </c>
      <c r="U121">
        <v>6.9679092000000002</v>
      </c>
      <c r="V121">
        <v>7.8943180599999998</v>
      </c>
      <c r="W121">
        <v>8.0410909999999998</v>
      </c>
      <c r="Y121">
        <v>42.707833299999997</v>
      </c>
      <c r="Z121">
        <v>5.43807931</v>
      </c>
      <c r="AA121">
        <v>5.3659760199999997</v>
      </c>
      <c r="AB121">
        <v>5.5909869800000003</v>
      </c>
      <c r="AC121">
        <v>5.4161004000000004</v>
      </c>
      <c r="AD121">
        <v>5.5174529000000003</v>
      </c>
      <c r="AE121">
        <v>5.3706380300000003</v>
      </c>
    </row>
    <row r="122" spans="1:31" x14ac:dyDescent="0.2">
      <c r="A122">
        <v>43.072861099999997</v>
      </c>
      <c r="B122">
        <v>5.6970934900000003</v>
      </c>
      <c r="C122">
        <v>5.5333894900000002</v>
      </c>
      <c r="D122">
        <v>7.80547463</v>
      </c>
      <c r="E122">
        <v>5.8260001099999998</v>
      </c>
      <c r="F122">
        <v>7.83241093</v>
      </c>
      <c r="G122">
        <v>8.6793120399999992</v>
      </c>
      <c r="I122">
        <v>43.072861099999997</v>
      </c>
      <c r="J122">
        <v>5.5294290899999998</v>
      </c>
      <c r="K122">
        <v>5.25749537</v>
      </c>
      <c r="L122">
        <v>7.8091353999999997</v>
      </c>
      <c r="M122">
        <v>5.6204008700000001</v>
      </c>
      <c r="N122">
        <v>7.8304256199999998</v>
      </c>
      <c r="O122">
        <v>6.02344759</v>
      </c>
      <c r="Q122">
        <v>43.072861099999997</v>
      </c>
      <c r="R122">
        <v>5.4595855100000001</v>
      </c>
      <c r="S122">
        <v>5.4026773800000001</v>
      </c>
      <c r="T122">
        <v>7.8119734300000001</v>
      </c>
      <c r="U122">
        <v>6.9810057399999996</v>
      </c>
      <c r="V122">
        <v>7.8838232100000001</v>
      </c>
      <c r="W122">
        <v>8.1256309899999994</v>
      </c>
      <c r="Y122">
        <v>43.072861099999997</v>
      </c>
      <c r="Z122">
        <v>5.4510384500000004</v>
      </c>
      <c r="AA122">
        <v>5.2203558299999999</v>
      </c>
      <c r="AB122">
        <v>5.5872486600000002</v>
      </c>
      <c r="AC122">
        <v>5.2983173700000004</v>
      </c>
      <c r="AD122">
        <v>5.5294290899999998</v>
      </c>
      <c r="AE122">
        <v>5.20948615</v>
      </c>
    </row>
    <row r="123" spans="1:31" x14ac:dyDescent="0.2">
      <c r="A123">
        <v>43.437861099999999</v>
      </c>
      <c r="B123">
        <v>5.7268477500000001</v>
      </c>
      <c r="C123">
        <v>5.49306144</v>
      </c>
      <c r="D123">
        <v>7.8099470899999996</v>
      </c>
      <c r="E123">
        <v>5.7868973800000001</v>
      </c>
      <c r="F123">
        <v>7.8236459299999996</v>
      </c>
      <c r="G123">
        <v>8.6869359700000004</v>
      </c>
      <c r="I123">
        <v>43.437861099999999</v>
      </c>
      <c r="J123">
        <v>5.5490760799999999</v>
      </c>
      <c r="K123">
        <v>5.37527841</v>
      </c>
      <c r="L123">
        <v>7.8022093200000002</v>
      </c>
      <c r="M123">
        <v>5.7037824700000002</v>
      </c>
      <c r="N123">
        <v>7.8232456900000003</v>
      </c>
      <c r="O123">
        <v>6.1590953900000001</v>
      </c>
      <c r="Q123">
        <v>43.437861099999999</v>
      </c>
      <c r="R123">
        <v>5.4722706700000003</v>
      </c>
      <c r="S123">
        <v>5.3612921699999996</v>
      </c>
      <c r="T123">
        <v>7.8135915499999999</v>
      </c>
      <c r="U123">
        <v>6.9726062500000001</v>
      </c>
      <c r="V123">
        <v>7.8815599199999999</v>
      </c>
      <c r="W123">
        <v>8.2193260899999991</v>
      </c>
      <c r="Y123">
        <v>43.437861099999999</v>
      </c>
      <c r="Z123">
        <v>5.4467373700000001</v>
      </c>
      <c r="AA123">
        <v>5.3518581300000001</v>
      </c>
      <c r="AB123">
        <v>5.5984219599999996</v>
      </c>
      <c r="AC123">
        <v>5.4337220000000004</v>
      </c>
      <c r="AD123">
        <v>5.5333894900000002</v>
      </c>
      <c r="AE123">
        <v>5.3565862700000002</v>
      </c>
    </row>
    <row r="124" spans="1:31" x14ac:dyDescent="0.2">
      <c r="A124">
        <v>43.802861100000001</v>
      </c>
      <c r="B124">
        <v>5.7430031899999996</v>
      </c>
      <c r="C124">
        <v>5.4680601400000004</v>
      </c>
      <c r="D124">
        <v>7.8062892899999996</v>
      </c>
      <c r="E124">
        <v>5.7557422100000002</v>
      </c>
      <c r="F124">
        <v>7.8284363600000004</v>
      </c>
      <c r="G124">
        <v>8.6828771099999997</v>
      </c>
      <c r="I124">
        <v>43.802861100000001</v>
      </c>
      <c r="J124">
        <v>5.54126355</v>
      </c>
      <c r="K124">
        <v>5.3423342500000004</v>
      </c>
      <c r="L124">
        <v>7.8026180600000004</v>
      </c>
      <c r="M124">
        <v>5.6629604799999997</v>
      </c>
      <c r="N124">
        <v>7.8204395199999999</v>
      </c>
      <c r="O124">
        <v>6.1882641200000004</v>
      </c>
      <c r="Q124">
        <v>43.802861100000001</v>
      </c>
      <c r="R124">
        <v>5.4680601400000004</v>
      </c>
      <c r="S124">
        <v>5.3132059800000002</v>
      </c>
      <c r="T124">
        <v>7.8083230500000003</v>
      </c>
      <c r="U124">
        <v>6.9536842099999996</v>
      </c>
      <c r="V124">
        <v>7.8720739799999997</v>
      </c>
      <c r="W124">
        <v>8.3069658700000009</v>
      </c>
      <c r="Y124">
        <v>43.802861100000001</v>
      </c>
      <c r="Z124">
        <v>5.4467373700000001</v>
      </c>
      <c r="AA124">
        <v>5.2882670300000001</v>
      </c>
      <c r="AB124">
        <v>5.5947113799999997</v>
      </c>
      <c r="AC124">
        <v>5.3706380300000003</v>
      </c>
      <c r="AD124">
        <v>5.5373342699999997</v>
      </c>
      <c r="AE124">
        <v>5.2983173700000004</v>
      </c>
    </row>
    <row r="125" spans="1:31" x14ac:dyDescent="0.2">
      <c r="A125">
        <v>44.167888900000001</v>
      </c>
      <c r="B125">
        <v>5.7651911</v>
      </c>
      <c r="C125">
        <v>5.4638318100000003</v>
      </c>
      <c r="D125">
        <v>7.7997533199999998</v>
      </c>
      <c r="E125">
        <v>5.7493929899999996</v>
      </c>
      <c r="F125">
        <v>7.8164169799999996</v>
      </c>
      <c r="G125">
        <v>8.68202943</v>
      </c>
      <c r="I125">
        <v>44.167888900000001</v>
      </c>
      <c r="J125">
        <v>5.5451774399999998</v>
      </c>
      <c r="K125">
        <v>5.3327187900000004</v>
      </c>
      <c r="L125">
        <v>7.7939990899999998</v>
      </c>
      <c r="M125">
        <v>5.67332327</v>
      </c>
      <c r="N125">
        <v>7.8152070599999997</v>
      </c>
      <c r="O125">
        <v>6.2614916799999998</v>
      </c>
      <c r="Q125">
        <v>44.167888900000001</v>
      </c>
      <c r="R125">
        <v>5.4638318100000003</v>
      </c>
      <c r="S125">
        <v>5.2729995599999997</v>
      </c>
      <c r="T125">
        <v>7.8026180600000004</v>
      </c>
      <c r="U125">
        <v>6.9612960499999996</v>
      </c>
      <c r="V125">
        <v>7.8667222900000002</v>
      </c>
      <c r="W125">
        <v>8.3986348599999996</v>
      </c>
      <c r="Y125">
        <v>44.167888900000001</v>
      </c>
      <c r="Z125">
        <v>5.4510384500000004</v>
      </c>
      <c r="AA125">
        <v>5.2933048200000004</v>
      </c>
      <c r="AB125">
        <v>5.5947113799999997</v>
      </c>
      <c r="AC125">
        <v>5.3518581300000001</v>
      </c>
      <c r="AD125">
        <v>5.5451774399999998</v>
      </c>
      <c r="AE125">
        <v>5.3082677</v>
      </c>
    </row>
    <row r="126" spans="1:31" x14ac:dyDescent="0.2">
      <c r="A126">
        <v>44.532888900000003</v>
      </c>
      <c r="B126">
        <v>5.7899601699999996</v>
      </c>
      <c r="C126">
        <v>5.54126355</v>
      </c>
      <c r="D126">
        <v>7.7981126300000003</v>
      </c>
      <c r="E126">
        <v>5.7807435199999997</v>
      </c>
      <c r="F126">
        <v>7.8131872700000002</v>
      </c>
      <c r="G126">
        <v>8.6789718499999999</v>
      </c>
      <c r="I126">
        <v>44.532888900000003</v>
      </c>
      <c r="J126">
        <v>5.55682806</v>
      </c>
      <c r="K126">
        <v>5.3890717300000004</v>
      </c>
      <c r="L126">
        <v>7.7977020399999999</v>
      </c>
      <c r="M126">
        <v>5.7037824700000002</v>
      </c>
      <c r="N126">
        <v>7.81075812</v>
      </c>
      <c r="O126">
        <v>6.3647507599999997</v>
      </c>
      <c r="Q126">
        <v>44.532888900000003</v>
      </c>
      <c r="R126">
        <v>5.4553211199999998</v>
      </c>
      <c r="S126">
        <v>5.3327187900000004</v>
      </c>
      <c r="T126">
        <v>7.7964692400000004</v>
      </c>
      <c r="U126">
        <v>6.96508035</v>
      </c>
      <c r="V126">
        <v>7.8796699099999996</v>
      </c>
      <c r="W126">
        <v>8.4906438600000005</v>
      </c>
      <c r="Y126">
        <v>44.532888900000003</v>
      </c>
      <c r="Z126">
        <v>5.44241771</v>
      </c>
      <c r="AA126">
        <v>5.3375380799999999</v>
      </c>
      <c r="AB126">
        <v>5.6021188200000003</v>
      </c>
      <c r="AC126">
        <v>5.4161004000000004</v>
      </c>
      <c r="AD126">
        <v>5.5254529400000001</v>
      </c>
      <c r="AE126">
        <v>5.3423342500000004</v>
      </c>
    </row>
    <row r="127" spans="1:31" x14ac:dyDescent="0.2">
      <c r="A127">
        <v>44.897916700000003</v>
      </c>
      <c r="B127">
        <v>5.7960577500000001</v>
      </c>
      <c r="C127">
        <v>5.5093883400000001</v>
      </c>
      <c r="D127">
        <v>7.8042513800000002</v>
      </c>
      <c r="E127">
        <v>5.7525726400000003</v>
      </c>
      <c r="F127">
        <v>7.8172227899999998</v>
      </c>
      <c r="G127">
        <v>8.6743678699999993</v>
      </c>
      <c r="I127">
        <v>44.897916700000003</v>
      </c>
      <c r="J127">
        <v>5.5490760799999999</v>
      </c>
      <c r="K127">
        <v>5.3423342500000004</v>
      </c>
      <c r="L127">
        <v>7.7989333099999998</v>
      </c>
      <c r="M127">
        <v>5.6664266899999998</v>
      </c>
      <c r="N127">
        <v>7.8127828199999998</v>
      </c>
      <c r="O127">
        <v>6.4281052699999996</v>
      </c>
      <c r="Q127">
        <v>44.897916700000003</v>
      </c>
      <c r="R127">
        <v>5.4553211199999998</v>
      </c>
      <c r="S127">
        <v>5.3033049099999996</v>
      </c>
      <c r="T127">
        <v>7.7956465399999999</v>
      </c>
      <c r="U127">
        <v>6.9631899900000001</v>
      </c>
      <c r="V127">
        <v>7.8724551500000004</v>
      </c>
      <c r="W127">
        <v>8.5816692099999994</v>
      </c>
      <c r="Y127">
        <v>44.897916700000003</v>
      </c>
      <c r="Z127">
        <v>5.4510384500000004</v>
      </c>
      <c r="AA127">
        <v>5.2983173700000004</v>
      </c>
      <c r="AB127">
        <v>5.5984219599999996</v>
      </c>
      <c r="AC127">
        <v>5.3798973500000002</v>
      </c>
      <c r="AD127">
        <v>5.5373342699999997</v>
      </c>
      <c r="AE127">
        <v>5.2983173700000004</v>
      </c>
    </row>
    <row r="128" spans="1:31" x14ac:dyDescent="0.2">
      <c r="A128">
        <v>45.262916699999998</v>
      </c>
      <c r="B128">
        <v>5.8200829299999999</v>
      </c>
      <c r="C128">
        <v>5.5174529000000003</v>
      </c>
      <c r="D128">
        <v>7.79852305</v>
      </c>
      <c r="E128">
        <v>5.7683210000000003</v>
      </c>
      <c r="F128">
        <v>7.8127828199999998</v>
      </c>
      <c r="G128">
        <v>8.67539281</v>
      </c>
      <c r="I128">
        <v>45.262916699999998</v>
      </c>
      <c r="J128">
        <v>5.55682806</v>
      </c>
      <c r="K128">
        <v>5.3230099800000001</v>
      </c>
      <c r="L128">
        <v>7.7993433999999997</v>
      </c>
      <c r="M128">
        <v>5.6869753599999999</v>
      </c>
      <c r="N128">
        <v>7.8119734300000001</v>
      </c>
      <c r="O128">
        <v>6.5176712700000001</v>
      </c>
      <c r="Q128">
        <v>45.262916699999998</v>
      </c>
      <c r="R128">
        <v>5.4553211199999998</v>
      </c>
      <c r="S128">
        <v>5.3181199899999996</v>
      </c>
      <c r="T128">
        <v>7.7964692400000004</v>
      </c>
      <c r="U128">
        <v>6.9641356099999996</v>
      </c>
      <c r="V128">
        <v>7.8690193800000001</v>
      </c>
      <c r="W128">
        <v>8.6628507599999995</v>
      </c>
      <c r="Y128">
        <v>45.262916699999998</v>
      </c>
      <c r="Z128">
        <v>5.43807931</v>
      </c>
      <c r="AA128">
        <v>5.3082677</v>
      </c>
      <c r="AB128">
        <v>5.6058020700000002</v>
      </c>
      <c r="AC128">
        <v>5.3706380300000003</v>
      </c>
      <c r="AD128">
        <v>5.54126355</v>
      </c>
      <c r="AE128">
        <v>5.3181199899999996</v>
      </c>
    </row>
    <row r="129" spans="1:31" x14ac:dyDescent="0.2">
      <c r="A129">
        <v>45.6279167</v>
      </c>
      <c r="B129">
        <v>5.8435444199999997</v>
      </c>
      <c r="C129">
        <v>5.5721540300000001</v>
      </c>
      <c r="D129">
        <v>7.79852305</v>
      </c>
      <c r="E129">
        <v>5.7807435199999997</v>
      </c>
      <c r="F129">
        <v>7.8164169799999996</v>
      </c>
      <c r="G129">
        <v>8.6796521200000001</v>
      </c>
      <c r="I129">
        <v>45.6279167</v>
      </c>
      <c r="J129">
        <v>5.5529595799999996</v>
      </c>
      <c r="K129">
        <v>5.37527841</v>
      </c>
      <c r="L129">
        <v>7.7997533199999998</v>
      </c>
      <c r="M129">
        <v>5.6869753599999999</v>
      </c>
      <c r="N129">
        <v>7.81075812</v>
      </c>
      <c r="O129">
        <v>6.6333184300000001</v>
      </c>
      <c r="Q129">
        <v>45.6279167</v>
      </c>
      <c r="R129">
        <v>5.4553211199999998</v>
      </c>
      <c r="S129">
        <v>5.3565862700000002</v>
      </c>
      <c r="T129">
        <v>7.7944112099999998</v>
      </c>
      <c r="U129">
        <v>6.9697906700000001</v>
      </c>
      <c r="V129">
        <v>7.8621122100000003</v>
      </c>
      <c r="W129">
        <v>8.7540029300000004</v>
      </c>
      <c r="Y129">
        <v>45.6279167</v>
      </c>
      <c r="Z129">
        <v>5.4249500199999998</v>
      </c>
      <c r="AA129">
        <v>5.3423342500000004</v>
      </c>
      <c r="AB129">
        <v>5.6204008700000001</v>
      </c>
      <c r="AC129">
        <v>5.4205350000000001</v>
      </c>
      <c r="AD129">
        <v>5.5645204100000001</v>
      </c>
      <c r="AE129">
        <v>5.3471075299999997</v>
      </c>
    </row>
    <row r="130" spans="1:31" x14ac:dyDescent="0.2">
      <c r="A130">
        <v>45.992944399999999</v>
      </c>
      <c r="B130">
        <v>5.8636311799999996</v>
      </c>
      <c r="C130">
        <v>5.6094717999999997</v>
      </c>
      <c r="D130">
        <v>7.7894545700000002</v>
      </c>
      <c r="E130">
        <v>5.7807435199999997</v>
      </c>
      <c r="F130">
        <v>7.8188324400000004</v>
      </c>
      <c r="G130">
        <v>8.6791419600000008</v>
      </c>
      <c r="I130">
        <v>45.992944399999999</v>
      </c>
      <c r="J130">
        <v>5.5759490999999999</v>
      </c>
      <c r="K130">
        <v>5.4026773800000001</v>
      </c>
      <c r="L130">
        <v>7.7960579699999997</v>
      </c>
      <c r="M130">
        <v>5.70044357</v>
      </c>
      <c r="N130">
        <v>7.8099470899999996</v>
      </c>
      <c r="O130">
        <v>6.73815249</v>
      </c>
      <c r="Q130">
        <v>45.992944399999999</v>
      </c>
      <c r="R130">
        <v>5.4638318100000003</v>
      </c>
      <c r="S130">
        <v>5.3706380300000003</v>
      </c>
      <c r="T130">
        <v>7.7923489200000002</v>
      </c>
      <c r="U130">
        <v>6.9772813400000002</v>
      </c>
      <c r="V130">
        <v>7.8648040000000004</v>
      </c>
      <c r="W130">
        <v>8.8312737400000003</v>
      </c>
      <c r="Y130">
        <v>45.992944399999999</v>
      </c>
      <c r="Z130">
        <v>5.4467373700000001</v>
      </c>
      <c r="AA130">
        <v>5.3518581300000001</v>
      </c>
      <c r="AB130">
        <v>5.6276211099999998</v>
      </c>
      <c r="AC130">
        <v>5.4337220000000004</v>
      </c>
      <c r="AD130">
        <v>5.54126355</v>
      </c>
      <c r="AE130">
        <v>5.3612921699999996</v>
      </c>
    </row>
    <row r="131" spans="1:31" x14ac:dyDescent="0.2">
      <c r="A131">
        <v>46.357944400000001</v>
      </c>
      <c r="B131">
        <v>5.8944028299999998</v>
      </c>
      <c r="C131">
        <v>5.6131281099999999</v>
      </c>
      <c r="D131">
        <v>7.7968803400000004</v>
      </c>
      <c r="E131">
        <v>5.7899601699999996</v>
      </c>
      <c r="F131">
        <v>7.8139956799999997</v>
      </c>
      <c r="G131">
        <v>8.6760755199999995</v>
      </c>
      <c r="I131">
        <v>46.357944400000001</v>
      </c>
      <c r="J131">
        <v>5.5683445000000003</v>
      </c>
      <c r="K131">
        <v>5.3844950599999999</v>
      </c>
      <c r="L131">
        <v>7.80016307</v>
      </c>
      <c r="M131">
        <v>5.7071102600000003</v>
      </c>
      <c r="N131">
        <v>7.8135915499999999</v>
      </c>
      <c r="O131">
        <v>6.8543545000000003</v>
      </c>
      <c r="Q131">
        <v>46.357944400000001</v>
      </c>
      <c r="R131">
        <v>5.4638318100000003</v>
      </c>
      <c r="S131">
        <v>5.3706380300000003</v>
      </c>
      <c r="T131">
        <v>7.7923489200000002</v>
      </c>
      <c r="U131">
        <v>6.9819346800000002</v>
      </c>
      <c r="V131">
        <v>7.8597991800000004</v>
      </c>
      <c r="W131">
        <v>8.8667226699999997</v>
      </c>
      <c r="Y131">
        <v>46.357944400000001</v>
      </c>
      <c r="Z131">
        <v>5.4595855100000001</v>
      </c>
      <c r="AA131">
        <v>5.3518581300000001</v>
      </c>
      <c r="AB131">
        <v>5.6240175099999998</v>
      </c>
      <c r="AC131">
        <v>5.4249500199999998</v>
      </c>
      <c r="AD131">
        <v>5.5529595799999996</v>
      </c>
      <c r="AE131">
        <v>5.3565862700000002</v>
      </c>
    </row>
    <row r="132" spans="1:31" x14ac:dyDescent="0.2">
      <c r="A132">
        <v>46.722972200000001</v>
      </c>
      <c r="B132">
        <v>5.9269260299999997</v>
      </c>
      <c r="C132">
        <v>5.6131281099999999</v>
      </c>
      <c r="D132">
        <v>7.7977020399999999</v>
      </c>
      <c r="E132">
        <v>5.7620513799999999</v>
      </c>
      <c r="F132">
        <v>7.8143996299999996</v>
      </c>
      <c r="G132">
        <v>8.6719722499999996</v>
      </c>
      <c r="I132">
        <v>46.722972200000001</v>
      </c>
      <c r="J132">
        <v>5.5872486600000002</v>
      </c>
      <c r="K132">
        <v>5.3565862700000002</v>
      </c>
      <c r="L132">
        <v>7.7972912699999997</v>
      </c>
      <c r="M132">
        <v>5.6869753599999999</v>
      </c>
      <c r="N132">
        <v>7.8131872700000002</v>
      </c>
      <c r="O132">
        <v>6.95177216</v>
      </c>
      <c r="Q132">
        <v>46.722972200000001</v>
      </c>
      <c r="R132">
        <v>5.4806389199999996</v>
      </c>
      <c r="S132">
        <v>5.3082677</v>
      </c>
      <c r="T132">
        <v>7.7873820299999998</v>
      </c>
      <c r="U132">
        <v>6.9744789100000002</v>
      </c>
      <c r="V132">
        <v>7.8582541800000003</v>
      </c>
      <c r="W132">
        <v>8.8858559899999996</v>
      </c>
      <c r="Y132">
        <v>46.722972200000001</v>
      </c>
      <c r="Z132">
        <v>5.44241771</v>
      </c>
      <c r="AA132">
        <v>5.3082677</v>
      </c>
      <c r="AB132">
        <v>5.6347896000000004</v>
      </c>
      <c r="AC132">
        <v>5.3936275499999997</v>
      </c>
      <c r="AD132">
        <v>5.5490760799999999</v>
      </c>
      <c r="AE132">
        <v>5.3278761699999997</v>
      </c>
    </row>
    <row r="133" spans="1:31" x14ac:dyDescent="0.2">
      <c r="A133">
        <v>47.087972200000003</v>
      </c>
      <c r="B133">
        <v>5.9584246900000002</v>
      </c>
      <c r="C133">
        <v>5.5294290899999998</v>
      </c>
      <c r="D133">
        <v>7.7898685600000004</v>
      </c>
      <c r="E133">
        <v>5.7170277</v>
      </c>
      <c r="F133">
        <v>7.8143996299999996</v>
      </c>
      <c r="G133">
        <v>8.6597338799999992</v>
      </c>
      <c r="I133">
        <v>47.087972200000003</v>
      </c>
      <c r="J133">
        <v>5.5797298299999998</v>
      </c>
      <c r="K133">
        <v>5.20948615</v>
      </c>
      <c r="L133">
        <v>7.7956465399999999</v>
      </c>
      <c r="M133">
        <v>5.6021188200000003</v>
      </c>
      <c r="N133">
        <v>7.8095413200000001</v>
      </c>
      <c r="O133">
        <v>7.05961763</v>
      </c>
      <c r="Q133">
        <v>47.087972200000003</v>
      </c>
      <c r="R133">
        <v>5.4806389199999996</v>
      </c>
      <c r="S133">
        <v>5.20948615</v>
      </c>
      <c r="T133">
        <v>7.7848892999999997</v>
      </c>
      <c r="U133">
        <v>6.9488972200000001</v>
      </c>
      <c r="V133">
        <v>7.85941315</v>
      </c>
      <c r="W133">
        <v>8.8789153800000005</v>
      </c>
      <c r="Y133">
        <v>47.087972200000003</v>
      </c>
      <c r="Z133">
        <v>5.43807931</v>
      </c>
      <c r="AA133">
        <v>5.1532915900000003</v>
      </c>
      <c r="AB133">
        <v>5.6276211099999998</v>
      </c>
      <c r="AC133">
        <v>5.2678581600000003</v>
      </c>
      <c r="AD133">
        <v>5.5490760799999999</v>
      </c>
      <c r="AE133">
        <v>5.1817835499999996</v>
      </c>
    </row>
    <row r="134" spans="1:31" x14ac:dyDescent="0.2">
      <c r="A134">
        <v>47.4533889</v>
      </c>
      <c r="B134">
        <v>5.9889614199999999</v>
      </c>
      <c r="C134">
        <v>5.6629604799999997</v>
      </c>
      <c r="D134">
        <v>7.79852305</v>
      </c>
      <c r="E134">
        <v>5.7365722999999997</v>
      </c>
      <c r="F134">
        <v>7.8152070599999997</v>
      </c>
      <c r="G134">
        <v>8.66354209</v>
      </c>
      <c r="I134">
        <v>47.4533889</v>
      </c>
      <c r="J134">
        <v>5.5984219599999996</v>
      </c>
      <c r="K134">
        <v>5.3327187900000004</v>
      </c>
      <c r="L134">
        <v>7.7956465399999999</v>
      </c>
      <c r="M134">
        <v>5.6903594499999999</v>
      </c>
      <c r="N134">
        <v>7.8087293100000004</v>
      </c>
      <c r="O134">
        <v>7.2122944699999998</v>
      </c>
      <c r="Q134">
        <v>47.4533889</v>
      </c>
      <c r="R134">
        <v>5.4722706700000003</v>
      </c>
      <c r="S134">
        <v>5.3423342500000004</v>
      </c>
      <c r="T134">
        <v>7.7877968800000001</v>
      </c>
      <c r="U134">
        <v>6.9697906700000001</v>
      </c>
      <c r="V134">
        <v>7.8493238200000004</v>
      </c>
      <c r="W134">
        <v>8.8979556899999999</v>
      </c>
      <c r="Y134">
        <v>47.4533889</v>
      </c>
      <c r="Z134">
        <v>5.44241771</v>
      </c>
      <c r="AA134">
        <v>5.3082677</v>
      </c>
      <c r="AB134">
        <v>5.6312117800000001</v>
      </c>
      <c r="AC134">
        <v>5.3890717300000004</v>
      </c>
      <c r="AD134">
        <v>5.5490760799999999</v>
      </c>
      <c r="AE134">
        <v>5.2983173700000004</v>
      </c>
    </row>
    <row r="135" spans="1:31" x14ac:dyDescent="0.2">
      <c r="A135">
        <v>47.818277799999997</v>
      </c>
      <c r="B135">
        <v>6.02344759</v>
      </c>
      <c r="C135">
        <v>5.6801726099999996</v>
      </c>
      <c r="D135">
        <v>7.7960579699999997</v>
      </c>
      <c r="E135">
        <v>5.7589017699999996</v>
      </c>
      <c r="F135">
        <v>7.8172227899999998</v>
      </c>
      <c r="G135">
        <v>8.6619859399999992</v>
      </c>
      <c r="I135">
        <v>47.818277799999997</v>
      </c>
      <c r="J135">
        <v>5.5872486600000002</v>
      </c>
      <c r="K135">
        <v>5.3423342500000004</v>
      </c>
      <c r="L135">
        <v>7.7906960300000003</v>
      </c>
      <c r="M135">
        <v>5.6767538000000002</v>
      </c>
      <c r="N135">
        <v>7.8046593</v>
      </c>
      <c r="O135">
        <v>7.3613754299999998</v>
      </c>
      <c r="Q135">
        <v>47.818277799999997</v>
      </c>
      <c r="R135">
        <v>5.48893773</v>
      </c>
      <c r="S135">
        <v>5.3423342500000004</v>
      </c>
      <c r="T135">
        <v>7.7823903400000001</v>
      </c>
      <c r="U135">
        <v>6.9660241899999997</v>
      </c>
      <c r="V135">
        <v>7.85321639</v>
      </c>
      <c r="W135">
        <v>8.9111253799999997</v>
      </c>
      <c r="Y135">
        <v>47.818277799999997</v>
      </c>
      <c r="Z135">
        <v>5.4510384500000004</v>
      </c>
      <c r="AA135">
        <v>5.2882670300000001</v>
      </c>
      <c r="AB135">
        <v>5.6347896000000004</v>
      </c>
      <c r="AC135">
        <v>5.3890717300000004</v>
      </c>
      <c r="AD135">
        <v>5.5490760799999999</v>
      </c>
      <c r="AE135">
        <v>5.3132059800000002</v>
      </c>
    </row>
    <row r="136" spans="1:31" x14ac:dyDescent="0.2">
      <c r="A136">
        <v>48.183277799999999</v>
      </c>
      <c r="B136">
        <v>6.0591232000000002</v>
      </c>
      <c r="C136">
        <v>5.71042702</v>
      </c>
      <c r="D136">
        <v>7.7911095100000001</v>
      </c>
      <c r="E136">
        <v>5.7525726400000003</v>
      </c>
      <c r="F136">
        <v>7.8038432999999996</v>
      </c>
      <c r="G136">
        <v>8.6618128799999994</v>
      </c>
      <c r="I136">
        <v>48.183277799999999</v>
      </c>
      <c r="J136">
        <v>5.5909869800000003</v>
      </c>
      <c r="K136">
        <v>5.3327187900000004</v>
      </c>
      <c r="L136">
        <v>7.7939990899999998</v>
      </c>
      <c r="M136">
        <v>5.6664266899999998</v>
      </c>
      <c r="N136">
        <v>7.8066963700000001</v>
      </c>
      <c r="O136">
        <v>7.5038407500000002</v>
      </c>
      <c r="Q136">
        <v>48.183277799999999</v>
      </c>
      <c r="R136">
        <v>5.4722706700000003</v>
      </c>
      <c r="S136">
        <v>5.3181199899999996</v>
      </c>
      <c r="T136">
        <v>7.7832240199999996</v>
      </c>
      <c r="U136">
        <v>6.9697906700000001</v>
      </c>
      <c r="V136">
        <v>7.8512719999999998</v>
      </c>
      <c r="W136">
        <v>8.92651751</v>
      </c>
      <c r="Y136">
        <v>48.183277799999999</v>
      </c>
      <c r="Z136">
        <v>5.4467373700000001</v>
      </c>
      <c r="AA136">
        <v>5.2933048200000004</v>
      </c>
      <c r="AB136">
        <v>5.6524891799999999</v>
      </c>
      <c r="AC136">
        <v>5.3981627000000003</v>
      </c>
      <c r="AD136">
        <v>5.5645204100000001</v>
      </c>
      <c r="AE136">
        <v>5.3082677</v>
      </c>
    </row>
    <row r="137" spans="1:31" x14ac:dyDescent="0.2">
      <c r="A137">
        <v>48.548277800000001</v>
      </c>
      <c r="B137">
        <v>6.1047932300000003</v>
      </c>
      <c r="C137">
        <v>5.8141305299999999</v>
      </c>
      <c r="D137">
        <v>7.79193596</v>
      </c>
      <c r="E137">
        <v>5.8260001099999998</v>
      </c>
      <c r="F137">
        <v>7.8192344499999997</v>
      </c>
      <c r="G137">
        <v>8.6573028999999995</v>
      </c>
      <c r="I137">
        <v>48.548277800000001</v>
      </c>
      <c r="J137">
        <v>5.6058020700000002</v>
      </c>
      <c r="K137">
        <v>5.2729995599999997</v>
      </c>
      <c r="L137">
        <v>7.7952349300000003</v>
      </c>
      <c r="M137">
        <v>5.6489742400000003</v>
      </c>
      <c r="N137">
        <v>7.7997533199999998</v>
      </c>
      <c r="O137">
        <v>7.6539691799999998</v>
      </c>
      <c r="Q137">
        <v>48.548277800000001</v>
      </c>
      <c r="R137">
        <v>5.4971682299999998</v>
      </c>
      <c r="S137">
        <v>5.4553211199999998</v>
      </c>
      <c r="T137">
        <v>7.7769544000000002</v>
      </c>
      <c r="U137">
        <v>6.9966814900000003</v>
      </c>
      <c r="V137">
        <v>7.8536048100000002</v>
      </c>
      <c r="W137">
        <v>8.9311554300000005</v>
      </c>
      <c r="Y137">
        <v>48.548277800000001</v>
      </c>
      <c r="Z137">
        <v>5.4510384500000004</v>
      </c>
      <c r="AA137">
        <v>5.1929568499999998</v>
      </c>
      <c r="AB137">
        <v>5.6489742400000003</v>
      </c>
      <c r="AC137">
        <v>5.3327187900000004</v>
      </c>
      <c r="AD137">
        <v>5.5373342699999997</v>
      </c>
      <c r="AE137">
        <v>5.24174702</v>
      </c>
    </row>
    <row r="138" spans="1:31" x14ac:dyDescent="0.2">
      <c r="A138">
        <v>48.913305600000001</v>
      </c>
      <c r="B138">
        <v>6.1268691799999999</v>
      </c>
      <c r="C138">
        <v>5.7683210000000003</v>
      </c>
      <c r="D138">
        <v>7.7911095100000001</v>
      </c>
      <c r="E138">
        <v>5.77455155</v>
      </c>
      <c r="F138">
        <v>7.8083230500000003</v>
      </c>
      <c r="G138">
        <v>8.6600806800000001</v>
      </c>
      <c r="I138">
        <v>48.913305600000001</v>
      </c>
      <c r="J138">
        <v>5.6058020700000002</v>
      </c>
      <c r="K138">
        <v>5.3423342500000004</v>
      </c>
      <c r="L138">
        <v>7.7977020399999999</v>
      </c>
      <c r="M138">
        <v>5.6970934900000003</v>
      </c>
      <c r="N138">
        <v>7.8079166300000002</v>
      </c>
      <c r="O138">
        <v>7.8260440100000004</v>
      </c>
      <c r="Q138">
        <v>48.913305600000001</v>
      </c>
      <c r="R138">
        <v>5.5053315400000002</v>
      </c>
      <c r="S138">
        <v>5.3471075299999997</v>
      </c>
      <c r="T138">
        <v>7.7807208899999996</v>
      </c>
      <c r="U138">
        <v>6.9772813400000002</v>
      </c>
      <c r="V138">
        <v>7.8536048100000002</v>
      </c>
      <c r="W138">
        <v>8.9514400999999992</v>
      </c>
      <c r="Y138">
        <v>48.913305600000001</v>
      </c>
      <c r="Z138">
        <v>5.4510384500000004</v>
      </c>
      <c r="AA138">
        <v>5.3082677</v>
      </c>
      <c r="AB138">
        <v>5.6559918099999997</v>
      </c>
      <c r="AC138">
        <v>5.4026773800000001</v>
      </c>
      <c r="AD138">
        <v>5.5529595799999996</v>
      </c>
      <c r="AE138">
        <v>5.3327187900000004</v>
      </c>
    </row>
    <row r="139" spans="1:31" x14ac:dyDescent="0.2">
      <c r="A139">
        <v>49.278305600000003</v>
      </c>
      <c r="B139">
        <v>6.1779441100000003</v>
      </c>
      <c r="C139">
        <v>5.7397929100000002</v>
      </c>
      <c r="D139">
        <v>7.7906960300000003</v>
      </c>
      <c r="E139">
        <v>5.71042702</v>
      </c>
      <c r="F139">
        <v>7.8038432999999996</v>
      </c>
      <c r="G139">
        <v>8.6524231399999998</v>
      </c>
      <c r="I139">
        <v>49.278305600000003</v>
      </c>
      <c r="J139">
        <v>5.6021188200000003</v>
      </c>
      <c r="K139">
        <v>5.2364419599999996</v>
      </c>
      <c r="L139">
        <v>7.79482315</v>
      </c>
      <c r="M139">
        <v>5.6347896000000004</v>
      </c>
      <c r="N139">
        <v>7.8079166300000002</v>
      </c>
      <c r="O139">
        <v>7.9745328400000002</v>
      </c>
      <c r="Q139">
        <v>49.278305600000003</v>
      </c>
      <c r="R139">
        <v>5.5012582099999996</v>
      </c>
      <c r="S139">
        <v>5.24174702</v>
      </c>
      <c r="T139">
        <v>7.7840569999999998</v>
      </c>
      <c r="U139">
        <v>6.9546388600000002</v>
      </c>
      <c r="V139">
        <v>7.8481530900000003</v>
      </c>
      <c r="W139">
        <v>8.9459841200000003</v>
      </c>
      <c r="Y139">
        <v>49.278305600000003</v>
      </c>
      <c r="Z139">
        <v>5.4553211199999998</v>
      </c>
      <c r="AA139">
        <v>5.1761497299999997</v>
      </c>
      <c r="AB139">
        <v>5.6559918099999997</v>
      </c>
      <c r="AC139">
        <v>5.2832037300000003</v>
      </c>
      <c r="AD139">
        <v>5.5606816300000004</v>
      </c>
      <c r="AE139">
        <v>5.1873858100000003</v>
      </c>
    </row>
    <row r="140" spans="1:31" x14ac:dyDescent="0.2">
      <c r="A140">
        <v>49.643305599999998</v>
      </c>
      <c r="B140">
        <v>6.2106000799999999</v>
      </c>
      <c r="C140">
        <v>5.8435444199999997</v>
      </c>
      <c r="D140">
        <v>7.7865518099999997</v>
      </c>
      <c r="E140">
        <v>5.7557422100000002</v>
      </c>
      <c r="F140">
        <v>7.8131872700000002</v>
      </c>
      <c r="G140">
        <v>8.6555628599999999</v>
      </c>
      <c r="I140">
        <v>49.643305599999998</v>
      </c>
      <c r="J140">
        <v>5.6094717999999997</v>
      </c>
      <c r="K140">
        <v>5.3471075299999997</v>
      </c>
      <c r="L140">
        <v>7.7944112099999998</v>
      </c>
      <c r="M140">
        <v>5.6869753599999999</v>
      </c>
      <c r="N140">
        <v>7.8046593</v>
      </c>
      <c r="O140">
        <v>8.1590886499999993</v>
      </c>
      <c r="Q140">
        <v>49.643305599999998</v>
      </c>
      <c r="R140">
        <v>5.5053315400000002</v>
      </c>
      <c r="S140">
        <v>5.3471075299999997</v>
      </c>
      <c r="T140">
        <v>7.7794669699999996</v>
      </c>
      <c r="U140">
        <v>6.97914528</v>
      </c>
      <c r="V140">
        <v>7.8434564</v>
      </c>
      <c r="W140">
        <v>8.9667389800000006</v>
      </c>
      <c r="Y140">
        <v>49.643305599999998</v>
      </c>
      <c r="Z140">
        <v>5.4467373700000001</v>
      </c>
      <c r="AA140">
        <v>5.3082677</v>
      </c>
      <c r="AB140">
        <v>5.6629604799999997</v>
      </c>
      <c r="AC140">
        <v>5.4205350000000001</v>
      </c>
      <c r="AD140">
        <v>5.5797298299999998</v>
      </c>
      <c r="AE140">
        <v>5.3181199899999996</v>
      </c>
    </row>
    <row r="141" spans="1:31" x14ac:dyDescent="0.2">
      <c r="A141">
        <v>50.008333299999997</v>
      </c>
      <c r="B141">
        <v>6.2538288099999999</v>
      </c>
      <c r="C141">
        <v>5.8777357800000001</v>
      </c>
      <c r="D141">
        <v>7.7960579699999997</v>
      </c>
      <c r="E141">
        <v>5.7683210000000003</v>
      </c>
      <c r="F141">
        <v>7.8143996299999996</v>
      </c>
      <c r="G141">
        <v>8.6552144900000005</v>
      </c>
      <c r="I141">
        <v>50.008333299999997</v>
      </c>
      <c r="J141">
        <v>5.6240175099999998</v>
      </c>
      <c r="K141">
        <v>5.3565862700000002</v>
      </c>
      <c r="L141">
        <v>7.7894545700000002</v>
      </c>
      <c r="M141">
        <v>5.6869753599999999</v>
      </c>
      <c r="N141">
        <v>7.8071032899999997</v>
      </c>
      <c r="O141">
        <v>8.3143423399999996</v>
      </c>
      <c r="Q141">
        <v>50.008333299999997</v>
      </c>
      <c r="R141">
        <v>5.5174529000000003</v>
      </c>
      <c r="S141">
        <v>5.3706380300000003</v>
      </c>
      <c r="T141">
        <v>7.7698010000000002</v>
      </c>
      <c r="U141">
        <v>6.9800759399999999</v>
      </c>
      <c r="V141">
        <v>7.8391316499999997</v>
      </c>
      <c r="W141">
        <v>8.9791646499999995</v>
      </c>
      <c r="Y141">
        <v>50.008333299999997</v>
      </c>
      <c r="Z141">
        <v>5.4510384500000004</v>
      </c>
      <c r="AA141">
        <v>5.2882670300000001</v>
      </c>
      <c r="AB141">
        <v>5.67332327</v>
      </c>
      <c r="AC141">
        <v>5.4205350000000001</v>
      </c>
      <c r="AD141">
        <v>5.5759490999999999</v>
      </c>
      <c r="AE141">
        <v>5.3278761699999997</v>
      </c>
    </row>
    <row r="142" spans="1:31" x14ac:dyDescent="0.2">
      <c r="A142">
        <v>50.373333299999999</v>
      </c>
      <c r="B142">
        <v>6.3007857899999999</v>
      </c>
      <c r="C142">
        <v>5.9162020599999998</v>
      </c>
      <c r="D142">
        <v>7.79152282</v>
      </c>
      <c r="E142">
        <v>5.7651911</v>
      </c>
      <c r="F142">
        <v>7.8026180600000004</v>
      </c>
      <c r="G142">
        <v>8.6566072500000004</v>
      </c>
      <c r="I142">
        <v>50.373333299999999</v>
      </c>
      <c r="J142">
        <v>5.6131281099999999</v>
      </c>
      <c r="K142">
        <v>5.3565862700000002</v>
      </c>
      <c r="L142">
        <v>7.7894545700000002</v>
      </c>
      <c r="M142">
        <v>5.6903594499999999</v>
      </c>
      <c r="N142">
        <v>7.8030266399999997</v>
      </c>
      <c r="O142">
        <v>8.4869401500000006</v>
      </c>
      <c r="Q142">
        <v>50.373333299999999</v>
      </c>
      <c r="R142">
        <v>5.5134287500000001</v>
      </c>
      <c r="S142">
        <v>5.4071717699999997</v>
      </c>
      <c r="T142">
        <v>7.7740150799999999</v>
      </c>
      <c r="U142">
        <v>6.9819346800000002</v>
      </c>
      <c r="V142">
        <v>7.8489337299999997</v>
      </c>
      <c r="W142">
        <v>8.9893195699999993</v>
      </c>
      <c r="Y142">
        <v>50.373333299999999</v>
      </c>
      <c r="Z142">
        <v>5.4510384500000004</v>
      </c>
      <c r="AA142">
        <v>5.3132059800000002</v>
      </c>
      <c r="AB142">
        <v>5.6937321399999998</v>
      </c>
      <c r="AC142">
        <v>5.44241771</v>
      </c>
      <c r="AD142">
        <v>5.5606816300000004</v>
      </c>
      <c r="AE142">
        <v>5.3375380799999999</v>
      </c>
    </row>
    <row r="143" spans="1:31" x14ac:dyDescent="0.2">
      <c r="A143">
        <v>50.738333300000001</v>
      </c>
      <c r="B143">
        <v>6.3595738700000002</v>
      </c>
      <c r="C143">
        <v>5.8971538700000004</v>
      </c>
      <c r="D143">
        <v>7.7832240199999996</v>
      </c>
      <c r="E143">
        <v>5.7170277</v>
      </c>
      <c r="F143">
        <v>7.8087293100000004</v>
      </c>
      <c r="G143">
        <v>8.6436496199999997</v>
      </c>
      <c r="I143">
        <v>50.738333300000001</v>
      </c>
      <c r="J143">
        <v>5.6240175099999998</v>
      </c>
      <c r="K143">
        <v>5.2311086199999997</v>
      </c>
      <c r="L143">
        <v>7.7956465399999999</v>
      </c>
      <c r="M143">
        <v>5.6204008700000001</v>
      </c>
      <c r="N143">
        <v>7.81075812</v>
      </c>
      <c r="O143">
        <v>8.6204715400000005</v>
      </c>
      <c r="Q143">
        <v>50.738333300000001</v>
      </c>
      <c r="R143">
        <v>5.52146092</v>
      </c>
      <c r="S143">
        <v>5.2882670300000001</v>
      </c>
      <c r="T143">
        <v>7.7731736800000002</v>
      </c>
      <c r="U143">
        <v>6.95177216</v>
      </c>
      <c r="V143">
        <v>7.8336002200000001</v>
      </c>
      <c r="W143">
        <v>8.9514400999999992</v>
      </c>
      <c r="Y143">
        <v>50.738333300000001</v>
      </c>
      <c r="Z143">
        <v>5.4467373700000001</v>
      </c>
      <c r="AA143">
        <v>5.1647859699999996</v>
      </c>
      <c r="AB143">
        <v>5.6835797699999997</v>
      </c>
      <c r="AC143">
        <v>5.3230099800000001</v>
      </c>
      <c r="AD143">
        <v>5.5645204100000001</v>
      </c>
      <c r="AE143">
        <v>5.2040066899999999</v>
      </c>
    </row>
    <row r="144" spans="1:31" x14ac:dyDescent="0.2">
      <c r="A144">
        <v>51.103361100000001</v>
      </c>
      <c r="B144">
        <v>6.4002574499999998</v>
      </c>
      <c r="C144">
        <v>6.0063531599999997</v>
      </c>
      <c r="D144">
        <v>7.7906960300000003</v>
      </c>
      <c r="E144">
        <v>5.7807435199999997</v>
      </c>
      <c r="F144">
        <v>7.8009820699999999</v>
      </c>
      <c r="G144">
        <v>8.6566072500000004</v>
      </c>
      <c r="I144">
        <v>51.103361100000001</v>
      </c>
      <c r="J144">
        <v>5.6559918099999997</v>
      </c>
      <c r="K144">
        <v>5.3565862700000002</v>
      </c>
      <c r="L144">
        <v>7.7939990899999998</v>
      </c>
      <c r="M144">
        <v>5.6869753599999999</v>
      </c>
      <c r="N144">
        <v>7.8066963700000001</v>
      </c>
      <c r="O144">
        <v>8.6750512799999999</v>
      </c>
      <c r="Q144">
        <v>51.103361100000001</v>
      </c>
      <c r="R144">
        <v>5.5174529000000003</v>
      </c>
      <c r="S144">
        <v>5.4071717699999997</v>
      </c>
      <c r="T144">
        <v>7.7740150799999999</v>
      </c>
      <c r="U144">
        <v>6.9754139300000002</v>
      </c>
      <c r="V144">
        <v>7.8355792500000003</v>
      </c>
      <c r="W144">
        <v>8.9403672299999997</v>
      </c>
      <c r="Y144">
        <v>51.103361100000001</v>
      </c>
      <c r="Z144">
        <v>5.44241771</v>
      </c>
      <c r="AA144">
        <v>5.3082677</v>
      </c>
      <c r="AB144">
        <v>5.6903594499999999</v>
      </c>
      <c r="AC144">
        <v>5.4510384500000004</v>
      </c>
      <c r="AD144">
        <v>5.5683445000000003</v>
      </c>
      <c r="AE144">
        <v>5.3471075299999997</v>
      </c>
    </row>
    <row r="145" spans="1:31" x14ac:dyDescent="0.2">
      <c r="A145">
        <v>51.468361100000003</v>
      </c>
      <c r="B145">
        <v>6.4583382800000004</v>
      </c>
      <c r="C145">
        <v>6.0354814299999999</v>
      </c>
      <c r="D145">
        <v>7.79152282</v>
      </c>
      <c r="E145">
        <v>5.7776523199999996</v>
      </c>
      <c r="F145">
        <v>7.8099470899999996</v>
      </c>
      <c r="G145">
        <v>8.6531217100000006</v>
      </c>
      <c r="I145">
        <v>51.468361100000003</v>
      </c>
      <c r="J145">
        <v>5.6454468999999996</v>
      </c>
      <c r="K145">
        <v>5.37527841</v>
      </c>
      <c r="L145">
        <v>7.7931743500000001</v>
      </c>
      <c r="M145">
        <v>5.6903594499999999</v>
      </c>
      <c r="N145">
        <v>7.8103526800000003</v>
      </c>
      <c r="O145">
        <v>8.6857538299999995</v>
      </c>
      <c r="Q145">
        <v>51.468361100000003</v>
      </c>
      <c r="R145">
        <v>5.5373342699999997</v>
      </c>
      <c r="S145">
        <v>5.4116460499999999</v>
      </c>
      <c r="T145">
        <v>7.7714887600000004</v>
      </c>
      <c r="U145">
        <v>6.9810057399999996</v>
      </c>
      <c r="V145">
        <v>7.8407064499999999</v>
      </c>
      <c r="W145">
        <v>8.9323445699999997</v>
      </c>
      <c r="Y145">
        <v>51.468361100000003</v>
      </c>
      <c r="Z145">
        <v>5.4553211199999998</v>
      </c>
      <c r="AA145">
        <v>5.3082677</v>
      </c>
      <c r="AB145">
        <v>5.70044357</v>
      </c>
      <c r="AC145">
        <v>5.4638318100000003</v>
      </c>
      <c r="AD145">
        <v>5.5759490999999999</v>
      </c>
      <c r="AE145">
        <v>5.3327187900000004</v>
      </c>
    </row>
    <row r="146" spans="1:31" x14ac:dyDescent="0.2">
      <c r="A146">
        <v>51.833388900000003</v>
      </c>
      <c r="B146">
        <v>6.5057840599999999</v>
      </c>
      <c r="C146">
        <v>6.0980742799999996</v>
      </c>
      <c r="D146">
        <v>7.7902823799999998</v>
      </c>
      <c r="E146">
        <v>5.7990926500000004</v>
      </c>
      <c r="F146">
        <v>7.8135915499999999</v>
      </c>
      <c r="G146">
        <v>8.6585191300000002</v>
      </c>
      <c r="I146">
        <v>51.833388900000003</v>
      </c>
      <c r="J146">
        <v>5.6489742400000003</v>
      </c>
      <c r="K146">
        <v>5.3844950599999999</v>
      </c>
      <c r="L146">
        <v>7.7993433999999997</v>
      </c>
      <c r="M146">
        <v>5.71042702</v>
      </c>
      <c r="N146">
        <v>7.8066963700000001</v>
      </c>
      <c r="O146">
        <v>8.6978466900000004</v>
      </c>
      <c r="Q146">
        <v>51.833388900000003</v>
      </c>
      <c r="R146">
        <v>5.5451774399999998</v>
      </c>
      <c r="S146">
        <v>5.4293456300000003</v>
      </c>
      <c r="T146">
        <v>7.7723315800000004</v>
      </c>
      <c r="U146">
        <v>6.9884131800000002</v>
      </c>
      <c r="V146">
        <v>7.8399193599999997</v>
      </c>
      <c r="W146">
        <v>8.9258531899999998</v>
      </c>
      <c r="Y146">
        <v>51.833388900000003</v>
      </c>
      <c r="Z146">
        <v>5.43807931</v>
      </c>
      <c r="AA146">
        <v>5.3181199899999996</v>
      </c>
      <c r="AB146">
        <v>5.70044357</v>
      </c>
      <c r="AC146">
        <v>5.4680601400000004</v>
      </c>
      <c r="AD146">
        <v>5.5683445000000003</v>
      </c>
      <c r="AE146">
        <v>5.3375380799999999</v>
      </c>
    </row>
    <row r="147" spans="1:31" x14ac:dyDescent="0.2">
      <c r="A147">
        <v>52.198388899999998</v>
      </c>
      <c r="B147">
        <v>6.5666724299999997</v>
      </c>
      <c r="C147">
        <v>6.1355648900000004</v>
      </c>
      <c r="D147">
        <v>7.7944112099999998</v>
      </c>
      <c r="E147">
        <v>5.7868973800000001</v>
      </c>
      <c r="F147">
        <v>7.8083230500000003</v>
      </c>
      <c r="G147">
        <v>8.6578243199999996</v>
      </c>
      <c r="I147">
        <v>52.198388899999998</v>
      </c>
      <c r="J147">
        <v>5.67332327</v>
      </c>
      <c r="K147">
        <v>5.3798973500000002</v>
      </c>
      <c r="L147">
        <v>7.7935867999999999</v>
      </c>
      <c r="M147">
        <v>5.7037824700000002</v>
      </c>
      <c r="N147">
        <v>7.8127828199999998</v>
      </c>
      <c r="O147">
        <v>8.6640602700000002</v>
      </c>
      <c r="Q147">
        <v>52.198388899999998</v>
      </c>
      <c r="R147">
        <v>5.5683445000000003</v>
      </c>
      <c r="S147">
        <v>5.4467373700000001</v>
      </c>
      <c r="T147">
        <v>7.7731736800000002</v>
      </c>
      <c r="U147">
        <v>6.9865664599999997</v>
      </c>
      <c r="V147">
        <v>7.8375543600000004</v>
      </c>
      <c r="W147">
        <v>8.9124732699999996</v>
      </c>
      <c r="Y147">
        <v>52.198388899999998</v>
      </c>
      <c r="Z147">
        <v>5.4467373700000001</v>
      </c>
      <c r="AA147">
        <v>5.3132059800000002</v>
      </c>
      <c r="AB147">
        <v>5.7170277</v>
      </c>
      <c r="AC147">
        <v>5.4510384500000004</v>
      </c>
      <c r="AD147">
        <v>5.5759490999999999</v>
      </c>
      <c r="AE147">
        <v>5.3375380799999999</v>
      </c>
    </row>
    <row r="148" spans="1:31" x14ac:dyDescent="0.2">
      <c r="A148">
        <v>52.563416699999998</v>
      </c>
      <c r="B148">
        <v>6.62804138</v>
      </c>
      <c r="C148">
        <v>6.1717006000000003</v>
      </c>
      <c r="D148">
        <v>7.7968803400000004</v>
      </c>
      <c r="E148">
        <v>5.77455155</v>
      </c>
      <c r="F148">
        <v>7.8062892899999996</v>
      </c>
      <c r="G148">
        <v>8.6525978299999995</v>
      </c>
      <c r="I148">
        <v>52.563416699999998</v>
      </c>
      <c r="J148">
        <v>5.6489742400000003</v>
      </c>
      <c r="K148">
        <v>5.3612921699999996</v>
      </c>
      <c r="L148">
        <v>7.7935867999999999</v>
      </c>
      <c r="M148">
        <v>5.70044357</v>
      </c>
      <c r="N148">
        <v>7.8038432999999996</v>
      </c>
      <c r="O148">
        <v>8.6301646699999992</v>
      </c>
      <c r="Q148">
        <v>52.563416699999998</v>
      </c>
      <c r="R148">
        <v>5.5645204100000001</v>
      </c>
      <c r="S148">
        <v>5.4510384500000004</v>
      </c>
      <c r="T148">
        <v>7.76895604</v>
      </c>
      <c r="U148">
        <v>6.9847163200000004</v>
      </c>
      <c r="V148">
        <v>7.8351837599999996</v>
      </c>
      <c r="W148">
        <v>8.9081536099999994</v>
      </c>
      <c r="Y148">
        <v>52.563416699999998</v>
      </c>
      <c r="Z148">
        <v>5.4467373700000001</v>
      </c>
      <c r="AA148">
        <v>5.3327187900000004</v>
      </c>
      <c r="AB148">
        <v>5.7268477500000001</v>
      </c>
      <c r="AC148">
        <v>5.4722706700000003</v>
      </c>
      <c r="AD148">
        <v>5.5759490999999999</v>
      </c>
      <c r="AE148">
        <v>5.3518581300000001</v>
      </c>
    </row>
    <row r="149" spans="1:31" x14ac:dyDescent="0.2">
      <c r="A149">
        <v>52.9284167</v>
      </c>
      <c r="B149">
        <v>6.6808546800000004</v>
      </c>
      <c r="C149">
        <v>6.2106000799999999</v>
      </c>
      <c r="D149">
        <v>7.7927617199999997</v>
      </c>
      <c r="E149">
        <v>5.7807435199999997</v>
      </c>
      <c r="F149">
        <v>7.8111633899999999</v>
      </c>
      <c r="G149">
        <v>8.6560851900000007</v>
      </c>
      <c r="I149">
        <v>52.9284167</v>
      </c>
      <c r="J149">
        <v>5.6559918099999997</v>
      </c>
      <c r="K149">
        <v>5.3612921699999996</v>
      </c>
      <c r="L149">
        <v>7.7869669999999998</v>
      </c>
      <c r="M149">
        <v>5.7071102600000003</v>
      </c>
      <c r="N149">
        <v>7.8095413200000001</v>
      </c>
      <c r="O149">
        <v>8.6125033700000007</v>
      </c>
      <c r="Q149">
        <v>52.9284167</v>
      </c>
      <c r="R149">
        <v>5.5721540300000001</v>
      </c>
      <c r="S149">
        <v>5.4293456300000003</v>
      </c>
      <c r="T149">
        <v>7.7685332999999996</v>
      </c>
      <c r="U149">
        <v>6.97914528</v>
      </c>
      <c r="V149">
        <v>7.8351837599999996</v>
      </c>
      <c r="W149">
        <v>8.8963143200000001</v>
      </c>
      <c r="Y149">
        <v>52.9284167</v>
      </c>
      <c r="Z149">
        <v>5.44241771</v>
      </c>
      <c r="AA149">
        <v>5.3132059800000002</v>
      </c>
      <c r="AB149">
        <v>5.7365722999999997</v>
      </c>
      <c r="AC149">
        <v>5.4722706700000003</v>
      </c>
      <c r="AD149">
        <v>5.6021188200000003</v>
      </c>
      <c r="AE149">
        <v>5.3471075299999997</v>
      </c>
    </row>
    <row r="150" spans="1:31" x14ac:dyDescent="0.2">
      <c r="A150">
        <v>53.293444399999998</v>
      </c>
      <c r="B150">
        <v>6.7499311899999999</v>
      </c>
      <c r="C150">
        <v>6.2766434899999997</v>
      </c>
      <c r="D150">
        <v>7.7989333099999998</v>
      </c>
      <c r="E150">
        <v>5.79301361</v>
      </c>
      <c r="F150">
        <v>7.80547463</v>
      </c>
      <c r="G150">
        <v>8.6525978299999995</v>
      </c>
      <c r="I150">
        <v>53.293444399999998</v>
      </c>
      <c r="J150">
        <v>5.6869753599999999</v>
      </c>
      <c r="K150">
        <v>5.3844950599999999</v>
      </c>
      <c r="L150">
        <v>7.7977020399999999</v>
      </c>
      <c r="M150">
        <v>5.6970934900000003</v>
      </c>
      <c r="N150">
        <v>7.8103526800000003</v>
      </c>
      <c r="O150">
        <v>8.6039211899999994</v>
      </c>
      <c r="Q150">
        <v>53.293444399999998</v>
      </c>
      <c r="R150">
        <v>5.5947113799999997</v>
      </c>
      <c r="S150">
        <v>5.4467373700000001</v>
      </c>
      <c r="T150">
        <v>7.7676872799999996</v>
      </c>
      <c r="U150">
        <v>6.9884131800000002</v>
      </c>
      <c r="V150">
        <v>7.8351837599999996</v>
      </c>
      <c r="W150">
        <v>8.8941216399999998</v>
      </c>
      <c r="Y150">
        <v>53.293444399999998</v>
      </c>
      <c r="Z150">
        <v>5.4595855100000001</v>
      </c>
      <c r="AA150">
        <v>5.3471075299999997</v>
      </c>
      <c r="AB150">
        <v>5.7525726400000003</v>
      </c>
      <c r="AC150">
        <v>5.4847969299999999</v>
      </c>
      <c r="AD150">
        <v>5.5947113799999997</v>
      </c>
      <c r="AE150">
        <v>5.3612921699999996</v>
      </c>
    </row>
    <row r="151" spans="1:31" x14ac:dyDescent="0.2">
      <c r="A151">
        <v>53.6584444</v>
      </c>
      <c r="B151">
        <v>6.8134446000000004</v>
      </c>
      <c r="C151">
        <v>6.3207682900000002</v>
      </c>
      <c r="D151">
        <v>7.7964692400000004</v>
      </c>
      <c r="E151">
        <v>5.7899601699999996</v>
      </c>
      <c r="F151">
        <v>7.8083230500000003</v>
      </c>
      <c r="G151">
        <v>8.6532962700000002</v>
      </c>
      <c r="I151">
        <v>53.6584444</v>
      </c>
      <c r="J151">
        <v>5.6801726099999996</v>
      </c>
      <c r="K151">
        <v>5.3659760199999997</v>
      </c>
      <c r="L151">
        <v>7.7960579699999997</v>
      </c>
      <c r="M151">
        <v>5.70044357</v>
      </c>
      <c r="N151">
        <v>7.8087293100000004</v>
      </c>
      <c r="O151">
        <v>8.5982200300000002</v>
      </c>
      <c r="Q151">
        <v>53.6584444</v>
      </c>
      <c r="R151">
        <v>5.5984219599999996</v>
      </c>
      <c r="S151">
        <v>5.4806389199999996</v>
      </c>
      <c r="T151">
        <v>7.7723315800000004</v>
      </c>
      <c r="U151">
        <v>6.9902565000000001</v>
      </c>
      <c r="V151">
        <v>7.8316172799999997</v>
      </c>
      <c r="W151">
        <v>8.8865474100000004</v>
      </c>
      <c r="Y151">
        <v>53.6584444</v>
      </c>
      <c r="Z151">
        <v>5.4467373700000001</v>
      </c>
      <c r="AA151">
        <v>5.3082677</v>
      </c>
      <c r="AB151">
        <v>5.7493929899999996</v>
      </c>
      <c r="AC151">
        <v>5.48893773</v>
      </c>
      <c r="AD151">
        <v>5.5797298299999998</v>
      </c>
      <c r="AE151">
        <v>5.3565862700000002</v>
      </c>
    </row>
    <row r="152" spans="1:31" x14ac:dyDescent="0.2">
      <c r="A152">
        <v>54.0234722</v>
      </c>
      <c r="B152">
        <v>6.8803840799999998</v>
      </c>
      <c r="C152">
        <v>6.3935907500000004</v>
      </c>
      <c r="D152">
        <v>7.7939990899999998</v>
      </c>
      <c r="E152">
        <v>5.8171111599999996</v>
      </c>
      <c r="F152">
        <v>7.8066963700000001</v>
      </c>
      <c r="G152">
        <v>8.65381979</v>
      </c>
      <c r="I152">
        <v>54.0234722</v>
      </c>
      <c r="J152">
        <v>5.6835797699999997</v>
      </c>
      <c r="K152">
        <v>5.43807931</v>
      </c>
      <c r="L152">
        <v>7.8013913199999996</v>
      </c>
      <c r="M152">
        <v>5.7430031899999996</v>
      </c>
      <c r="N152">
        <v>7.8111633899999999</v>
      </c>
      <c r="O152">
        <v>8.5891416899999999</v>
      </c>
      <c r="Q152">
        <v>54.0234722</v>
      </c>
      <c r="R152">
        <v>5.6131281099999999</v>
      </c>
      <c r="S152">
        <v>5.54126355</v>
      </c>
      <c r="T152">
        <v>7.7651449000000001</v>
      </c>
      <c r="U152">
        <v>6.9884131800000002</v>
      </c>
      <c r="V152">
        <v>7.8343923000000002</v>
      </c>
      <c r="W152">
        <v>8.8879288200000008</v>
      </c>
      <c r="Y152">
        <v>54.0234722</v>
      </c>
      <c r="Z152">
        <v>5.4553211199999998</v>
      </c>
      <c r="AA152">
        <v>5.3936275499999997</v>
      </c>
      <c r="AB152">
        <v>5.7525726400000003</v>
      </c>
      <c r="AC152">
        <v>5.5490760799999999</v>
      </c>
      <c r="AD152">
        <v>5.5984219599999996</v>
      </c>
      <c r="AE152">
        <v>5.4205350000000001</v>
      </c>
    </row>
    <row r="153" spans="1:31" x14ac:dyDescent="0.2">
      <c r="A153">
        <v>54.388472200000002</v>
      </c>
      <c r="B153">
        <v>6.9536842099999996</v>
      </c>
      <c r="C153">
        <v>6.4707995</v>
      </c>
      <c r="D153">
        <v>7.7968803400000004</v>
      </c>
      <c r="E153">
        <v>5.8636311799999996</v>
      </c>
      <c r="F153">
        <v>7.8127828199999998</v>
      </c>
      <c r="G153">
        <v>8.6455864099999999</v>
      </c>
      <c r="I153">
        <v>54.388472200000002</v>
      </c>
      <c r="J153">
        <v>5.6937321399999998</v>
      </c>
      <c r="K153">
        <v>5.3230099800000001</v>
      </c>
      <c r="L153">
        <v>7.7960579699999997</v>
      </c>
      <c r="M153">
        <v>5.6937321399999998</v>
      </c>
      <c r="N153">
        <v>7.80343506</v>
      </c>
      <c r="O153">
        <v>8.5767819799999998</v>
      </c>
      <c r="Q153">
        <v>54.388472200000002</v>
      </c>
      <c r="R153">
        <v>5.63835467</v>
      </c>
      <c r="S153">
        <v>5.6167711000000002</v>
      </c>
      <c r="T153">
        <v>7.7647205399999999</v>
      </c>
      <c r="U153">
        <v>7.0103118699999998</v>
      </c>
      <c r="V153">
        <v>7.8367647800000002</v>
      </c>
      <c r="W153">
        <v>8.8816974099999992</v>
      </c>
      <c r="Y153">
        <v>54.388472200000002</v>
      </c>
      <c r="Z153">
        <v>5.4553211199999998</v>
      </c>
      <c r="AA153">
        <v>5.2678581600000003</v>
      </c>
      <c r="AB153">
        <v>5.7589017699999996</v>
      </c>
      <c r="AC153">
        <v>5.4638318100000003</v>
      </c>
      <c r="AD153">
        <v>5.5947113799999997</v>
      </c>
      <c r="AE153">
        <v>5.3082677</v>
      </c>
    </row>
    <row r="154" spans="1:31" x14ac:dyDescent="0.2">
      <c r="A154">
        <v>54.753500000000003</v>
      </c>
      <c r="B154">
        <v>7.0273145100000001</v>
      </c>
      <c r="C154">
        <v>6.4769723600000004</v>
      </c>
      <c r="D154">
        <v>7.8046593</v>
      </c>
      <c r="E154">
        <v>5.7960577500000001</v>
      </c>
      <c r="F154">
        <v>7.8152070599999997</v>
      </c>
      <c r="G154">
        <v>8.65207367</v>
      </c>
      <c r="I154">
        <v>54.753500000000003</v>
      </c>
      <c r="J154">
        <v>5.7037824700000002</v>
      </c>
      <c r="K154">
        <v>5.3981627000000003</v>
      </c>
      <c r="L154">
        <v>7.7939990899999998</v>
      </c>
      <c r="M154">
        <v>5.7037824700000002</v>
      </c>
      <c r="N154">
        <v>7.8066963700000001</v>
      </c>
      <c r="O154">
        <v>8.58054351</v>
      </c>
      <c r="Q154">
        <v>54.753500000000003</v>
      </c>
      <c r="R154">
        <v>5.6524891799999999</v>
      </c>
      <c r="S154">
        <v>5.5134287500000001</v>
      </c>
      <c r="T154">
        <v>7.7681103800000004</v>
      </c>
      <c r="U154">
        <v>6.9819346800000002</v>
      </c>
      <c r="V154">
        <v>7.8248456900000001</v>
      </c>
      <c r="W154">
        <v>8.8798899700000007</v>
      </c>
      <c r="Y154">
        <v>54.753500000000003</v>
      </c>
      <c r="Z154">
        <v>5.4638318100000003</v>
      </c>
      <c r="AA154">
        <v>5.3181199899999996</v>
      </c>
      <c r="AB154">
        <v>5.7589017699999996</v>
      </c>
      <c r="AC154">
        <v>5.5254529400000001</v>
      </c>
      <c r="AD154">
        <v>5.6058020700000002</v>
      </c>
      <c r="AE154">
        <v>5.3471075299999997</v>
      </c>
    </row>
    <row r="155" spans="1:31" x14ac:dyDescent="0.2">
      <c r="A155">
        <v>55.118499999999997</v>
      </c>
      <c r="B155">
        <v>7.1057861300000003</v>
      </c>
      <c r="C155">
        <v>6.5366916000000002</v>
      </c>
      <c r="D155">
        <v>7.7898685600000004</v>
      </c>
      <c r="E155">
        <v>5.79301361</v>
      </c>
      <c r="F155">
        <v>7.80343506</v>
      </c>
      <c r="G155">
        <v>8.6432970699999991</v>
      </c>
      <c r="I155">
        <v>55.118499999999997</v>
      </c>
      <c r="J155">
        <v>5.7137328099999998</v>
      </c>
      <c r="K155">
        <v>5.3659760199999997</v>
      </c>
      <c r="L155">
        <v>7.79193596</v>
      </c>
      <c r="M155">
        <v>5.7137328099999998</v>
      </c>
      <c r="N155">
        <v>7.81075812</v>
      </c>
      <c r="O155">
        <v>8.5692162199999995</v>
      </c>
      <c r="Q155">
        <v>55.118499999999997</v>
      </c>
      <c r="R155">
        <v>5.6767538000000002</v>
      </c>
      <c r="S155">
        <v>5.52146092</v>
      </c>
      <c r="T155">
        <v>7.7647205399999999</v>
      </c>
      <c r="U155">
        <v>6.9893352699999998</v>
      </c>
      <c r="V155">
        <v>7.8300280799999999</v>
      </c>
      <c r="W155">
        <v>8.8832242299999997</v>
      </c>
      <c r="Y155">
        <v>55.118499999999997</v>
      </c>
      <c r="Z155">
        <v>5.4595855100000001</v>
      </c>
      <c r="AA155">
        <v>5.3082677</v>
      </c>
      <c r="AB155">
        <v>5.7714411200000004</v>
      </c>
      <c r="AC155">
        <v>5.5490760799999999</v>
      </c>
      <c r="AD155">
        <v>5.6058020700000002</v>
      </c>
      <c r="AE155">
        <v>5.3518581300000001</v>
      </c>
    </row>
    <row r="156" spans="1:31" x14ac:dyDescent="0.2">
      <c r="A156">
        <v>55.483527799999997</v>
      </c>
      <c r="B156">
        <v>7.1785454800000004</v>
      </c>
      <c r="C156">
        <v>6.6080006300000003</v>
      </c>
      <c r="D156">
        <v>7.79152282</v>
      </c>
      <c r="E156">
        <v>5.8289456199999998</v>
      </c>
      <c r="F156">
        <v>7.80506704</v>
      </c>
      <c r="G156">
        <v>8.6487476300000008</v>
      </c>
      <c r="I156">
        <v>55.483527799999997</v>
      </c>
      <c r="J156">
        <v>5.7300997799999998</v>
      </c>
      <c r="K156">
        <v>5.43807931</v>
      </c>
      <c r="L156">
        <v>7.7877968800000001</v>
      </c>
      <c r="M156">
        <v>5.7397929100000002</v>
      </c>
      <c r="N156">
        <v>7.80547463</v>
      </c>
      <c r="O156">
        <v>8.58054351</v>
      </c>
      <c r="Q156">
        <v>55.483527799999997</v>
      </c>
      <c r="R156">
        <v>5.6869753599999999</v>
      </c>
      <c r="S156">
        <v>5.5909869800000003</v>
      </c>
      <c r="T156">
        <v>7.7655690799999997</v>
      </c>
      <c r="U156">
        <v>6.9948499899999996</v>
      </c>
      <c r="V156">
        <v>7.8248456900000001</v>
      </c>
      <c r="W156">
        <v>8.8872383500000005</v>
      </c>
      <c r="Y156">
        <v>55.483527799999997</v>
      </c>
      <c r="Z156">
        <v>5.4510384500000004</v>
      </c>
      <c r="AA156">
        <v>5.3612921699999996</v>
      </c>
      <c r="AB156">
        <v>5.7960577500000001</v>
      </c>
      <c r="AC156">
        <v>5.6058020700000002</v>
      </c>
      <c r="AD156">
        <v>5.5984219599999996</v>
      </c>
      <c r="AE156">
        <v>5.4116460499999999</v>
      </c>
    </row>
    <row r="157" spans="1:31" x14ac:dyDescent="0.2">
      <c r="A157">
        <v>55.848527799999999</v>
      </c>
      <c r="B157">
        <v>7.2619270900000004</v>
      </c>
      <c r="C157">
        <v>6.6528630299999998</v>
      </c>
      <c r="D157">
        <v>7.7939990899999998</v>
      </c>
      <c r="E157">
        <v>5.7868973800000001</v>
      </c>
      <c r="F157">
        <v>7.8111633899999999</v>
      </c>
      <c r="G157">
        <v>8.6424151600000005</v>
      </c>
      <c r="I157">
        <v>55.848527799999999</v>
      </c>
      <c r="J157">
        <v>5.7137328099999998</v>
      </c>
      <c r="K157">
        <v>5.3890717300000004</v>
      </c>
      <c r="L157">
        <v>7.79193596</v>
      </c>
      <c r="M157">
        <v>5.7170277</v>
      </c>
      <c r="N157">
        <v>7.80506704</v>
      </c>
      <c r="O157">
        <v>8.5781001299999993</v>
      </c>
      <c r="Q157">
        <v>55.848527799999999</v>
      </c>
      <c r="R157">
        <v>5.7235851000000002</v>
      </c>
      <c r="S157">
        <v>5.5645204100000001</v>
      </c>
      <c r="T157">
        <v>7.7655690799999997</v>
      </c>
      <c r="U157">
        <v>6.9920964300000001</v>
      </c>
      <c r="V157">
        <v>7.8304256199999998</v>
      </c>
      <c r="W157">
        <v>8.8877907599999997</v>
      </c>
      <c r="Y157">
        <v>55.848527799999999</v>
      </c>
      <c r="Z157">
        <v>5.4680601400000004</v>
      </c>
      <c r="AA157">
        <v>5.3082677</v>
      </c>
      <c r="AB157">
        <v>5.8051349700000001</v>
      </c>
      <c r="AC157">
        <v>5.5529595799999996</v>
      </c>
      <c r="AD157">
        <v>5.6021188200000003</v>
      </c>
      <c r="AE157">
        <v>5.3659760199999997</v>
      </c>
    </row>
    <row r="158" spans="1:31" x14ac:dyDescent="0.2">
      <c r="A158">
        <v>56.213527800000001</v>
      </c>
      <c r="B158">
        <v>7.3472996999999998</v>
      </c>
      <c r="C158">
        <v>6.7190131500000003</v>
      </c>
      <c r="D158">
        <v>7.7956465399999999</v>
      </c>
      <c r="E158">
        <v>5.8111409900000002</v>
      </c>
      <c r="F158">
        <v>7.8099470899999996</v>
      </c>
      <c r="G158">
        <v>8.6475194500000008</v>
      </c>
      <c r="I158">
        <v>56.213527800000001</v>
      </c>
      <c r="J158">
        <v>5.7397929100000002</v>
      </c>
      <c r="K158">
        <v>5.3844950599999999</v>
      </c>
      <c r="L158">
        <v>7.7968803400000004</v>
      </c>
      <c r="M158">
        <v>5.71042702</v>
      </c>
      <c r="N158">
        <v>7.8131872700000002</v>
      </c>
      <c r="O158">
        <v>8.5796044499999997</v>
      </c>
      <c r="Q158">
        <v>56.213527800000001</v>
      </c>
      <c r="R158">
        <v>5.7397929100000002</v>
      </c>
      <c r="S158">
        <v>5.5759490999999999</v>
      </c>
      <c r="T158">
        <v>7.7617449799999996</v>
      </c>
      <c r="U158">
        <v>6.9874902499999996</v>
      </c>
      <c r="V158">
        <v>7.8272408999999996</v>
      </c>
      <c r="W158">
        <v>8.8861326199999997</v>
      </c>
      <c r="Y158">
        <v>56.213527800000001</v>
      </c>
      <c r="Z158">
        <v>5.4638318100000003</v>
      </c>
      <c r="AA158">
        <v>5.3033049099999996</v>
      </c>
      <c r="AB158">
        <v>5.8081424899999998</v>
      </c>
      <c r="AC158">
        <v>5.5909869800000003</v>
      </c>
      <c r="AD158">
        <v>5.6167711000000002</v>
      </c>
      <c r="AE158">
        <v>5.3798973500000002</v>
      </c>
    </row>
    <row r="159" spans="1:31" x14ac:dyDescent="0.2">
      <c r="A159">
        <v>56.578527800000003</v>
      </c>
      <c r="B159">
        <v>7.4377951199999996</v>
      </c>
      <c r="C159">
        <v>6.7776465899999998</v>
      </c>
      <c r="D159">
        <v>7.7964692400000004</v>
      </c>
      <c r="E159">
        <v>5.8021183799999996</v>
      </c>
      <c r="F159">
        <v>7.8022093200000002</v>
      </c>
      <c r="G159">
        <v>8.6394108200000002</v>
      </c>
      <c r="I159">
        <v>56.578527800000003</v>
      </c>
      <c r="J159">
        <v>5.7300997799999998</v>
      </c>
      <c r="K159">
        <v>5.4071717699999997</v>
      </c>
      <c r="L159">
        <v>7.7927617199999997</v>
      </c>
      <c r="M159">
        <v>5.71042702</v>
      </c>
      <c r="N159">
        <v>7.8095413200000001</v>
      </c>
      <c r="O159">
        <v>8.5921151200000008</v>
      </c>
      <c r="Q159">
        <v>56.578527800000003</v>
      </c>
      <c r="R159">
        <v>5.7557422100000002</v>
      </c>
      <c r="S159">
        <v>5.5834963100000001</v>
      </c>
      <c r="T159">
        <v>7.7617449799999996</v>
      </c>
      <c r="U159">
        <v>6.9865664599999997</v>
      </c>
      <c r="V159">
        <v>7.8272408999999996</v>
      </c>
      <c r="W159">
        <v>8.8858559899999996</v>
      </c>
      <c r="Y159">
        <v>56.578527800000003</v>
      </c>
      <c r="Z159">
        <v>5.4510384500000004</v>
      </c>
      <c r="AA159">
        <v>5.3230099800000001</v>
      </c>
      <c r="AB159">
        <v>5.8171111599999996</v>
      </c>
      <c r="AC159">
        <v>5.5872486600000002</v>
      </c>
      <c r="AD159">
        <v>5.6276211099999998</v>
      </c>
      <c r="AE159">
        <v>5.3612921699999996</v>
      </c>
    </row>
    <row r="160" spans="1:31" x14ac:dyDescent="0.2">
      <c r="A160">
        <v>56.943555600000003</v>
      </c>
      <c r="B160">
        <v>7.5240214200000004</v>
      </c>
      <c r="C160">
        <v>6.8373328100000004</v>
      </c>
      <c r="D160">
        <v>7.80016307</v>
      </c>
      <c r="E160">
        <v>5.8111409900000002</v>
      </c>
      <c r="F160">
        <v>7.8022093200000002</v>
      </c>
      <c r="G160">
        <v>8.6387026099999993</v>
      </c>
      <c r="I160">
        <v>56.943555600000003</v>
      </c>
      <c r="J160">
        <v>5.7589017699999996</v>
      </c>
      <c r="K160">
        <v>5.3844950599999999</v>
      </c>
      <c r="L160">
        <v>7.7939990899999998</v>
      </c>
      <c r="M160">
        <v>5.71042702</v>
      </c>
      <c r="N160">
        <v>7.8066963700000001</v>
      </c>
      <c r="O160">
        <v>8.5932278800000006</v>
      </c>
      <c r="Q160">
        <v>56.943555600000003</v>
      </c>
      <c r="R160">
        <v>5.7868973800000001</v>
      </c>
      <c r="S160">
        <v>5.6167711000000002</v>
      </c>
      <c r="T160">
        <v>7.7608931999999999</v>
      </c>
      <c r="U160">
        <v>6.9902565000000001</v>
      </c>
      <c r="V160">
        <v>7.82404601</v>
      </c>
      <c r="W160">
        <v>8.8879288200000008</v>
      </c>
      <c r="Y160">
        <v>56.943555600000003</v>
      </c>
      <c r="Z160">
        <v>5.44241771</v>
      </c>
      <c r="AA160">
        <v>5.3230099800000001</v>
      </c>
      <c r="AB160">
        <v>5.83188248</v>
      </c>
      <c r="AC160">
        <v>5.5984219599999996</v>
      </c>
      <c r="AD160">
        <v>5.6240175099999998</v>
      </c>
      <c r="AE160">
        <v>5.3844950599999999</v>
      </c>
    </row>
    <row r="161" spans="1:31" x14ac:dyDescent="0.2">
      <c r="A161">
        <v>57.308555599999998</v>
      </c>
      <c r="B161">
        <v>7.6172678100000004</v>
      </c>
      <c r="C161">
        <v>6.8916259000000002</v>
      </c>
      <c r="D161">
        <v>7.8018004000000003</v>
      </c>
      <c r="E161">
        <v>5.8021183799999996</v>
      </c>
      <c r="F161">
        <v>7.8111633899999999</v>
      </c>
      <c r="G161">
        <v>8.6372846699999997</v>
      </c>
      <c r="I161">
        <v>57.308555599999998</v>
      </c>
      <c r="J161">
        <v>5.7620513799999999</v>
      </c>
      <c r="K161">
        <v>5.37527841</v>
      </c>
      <c r="L161">
        <v>7.7981126300000003</v>
      </c>
      <c r="M161">
        <v>5.7203117800000003</v>
      </c>
      <c r="N161">
        <v>7.8083230500000003</v>
      </c>
      <c r="O161">
        <v>8.5969281599999992</v>
      </c>
      <c r="Q161">
        <v>57.308555599999998</v>
      </c>
      <c r="R161">
        <v>5.8435444199999997</v>
      </c>
      <c r="S161">
        <v>5.63835467</v>
      </c>
      <c r="T161">
        <v>7.7642960099999998</v>
      </c>
      <c r="U161">
        <v>6.9847163200000004</v>
      </c>
      <c r="V161">
        <v>7.8260440100000004</v>
      </c>
      <c r="W161">
        <v>8.8924739699999993</v>
      </c>
      <c r="Y161">
        <v>57.308555599999998</v>
      </c>
      <c r="Z161">
        <v>5.4553211199999998</v>
      </c>
      <c r="AA161">
        <v>5.3181199899999996</v>
      </c>
      <c r="AB161">
        <v>5.8692969100000001</v>
      </c>
      <c r="AC161">
        <v>5.6240175099999998</v>
      </c>
      <c r="AD161">
        <v>5.6312117800000001</v>
      </c>
      <c r="AE161">
        <v>5.3844950599999999</v>
      </c>
    </row>
    <row r="162" spans="1:31" x14ac:dyDescent="0.2">
      <c r="A162">
        <v>57.673583299999997</v>
      </c>
      <c r="B162">
        <v>7.7002952000000002</v>
      </c>
      <c r="C162">
        <v>6.96508035</v>
      </c>
      <c r="D162">
        <v>7.7939990899999998</v>
      </c>
      <c r="E162">
        <v>5.8111409900000002</v>
      </c>
      <c r="F162">
        <v>7.8058820400000002</v>
      </c>
      <c r="G162">
        <v>8.6431207499999996</v>
      </c>
      <c r="I162">
        <v>57.673583299999997</v>
      </c>
      <c r="J162">
        <v>5.7651911</v>
      </c>
      <c r="K162">
        <v>5.4026773800000001</v>
      </c>
      <c r="L162">
        <v>7.7964692400000004</v>
      </c>
      <c r="M162">
        <v>5.7137328099999998</v>
      </c>
      <c r="N162">
        <v>7.8095413200000001</v>
      </c>
      <c r="O162">
        <v>8.5978510900000007</v>
      </c>
      <c r="Q162">
        <v>57.673583299999997</v>
      </c>
      <c r="R162">
        <v>5.8664680599999999</v>
      </c>
      <c r="S162">
        <v>5.6594822200000001</v>
      </c>
      <c r="T162">
        <v>7.7630213100000001</v>
      </c>
      <c r="U162">
        <v>6.9920964300000001</v>
      </c>
      <c r="V162">
        <v>7.8260440100000004</v>
      </c>
      <c r="W162">
        <v>8.8898595900000004</v>
      </c>
      <c r="Y162">
        <v>57.673583299999997</v>
      </c>
      <c r="Z162">
        <v>5.4595855100000001</v>
      </c>
      <c r="AA162">
        <v>5.3132059800000002</v>
      </c>
      <c r="AB162">
        <v>5.8636311799999996</v>
      </c>
      <c r="AC162">
        <v>5.6312117800000001</v>
      </c>
      <c r="AD162">
        <v>5.6312117800000001</v>
      </c>
      <c r="AE162">
        <v>5.3844950599999999</v>
      </c>
    </row>
    <row r="163" spans="1:31" x14ac:dyDescent="0.2">
      <c r="A163">
        <v>58.038583299999999</v>
      </c>
      <c r="B163">
        <v>7.7848892999999997</v>
      </c>
      <c r="C163">
        <v>7.0175061400000001</v>
      </c>
      <c r="D163">
        <v>7.7952349300000003</v>
      </c>
      <c r="E163">
        <v>5.8111409900000002</v>
      </c>
      <c r="F163">
        <v>7.8083230500000003</v>
      </c>
      <c r="G163">
        <v>8.6371072899999994</v>
      </c>
      <c r="I163">
        <v>58.038583299999999</v>
      </c>
      <c r="J163">
        <v>5.7651911</v>
      </c>
      <c r="K163">
        <v>5.3981627000000003</v>
      </c>
      <c r="L163">
        <v>7.79152282</v>
      </c>
      <c r="M163">
        <v>5.7268477500000001</v>
      </c>
      <c r="N163">
        <v>7.8103526800000003</v>
      </c>
      <c r="O163">
        <v>8.5998785600000005</v>
      </c>
      <c r="Q163">
        <v>58.038583299999999</v>
      </c>
      <c r="R163">
        <v>5.8944028299999998</v>
      </c>
      <c r="S163">
        <v>5.6767538000000002</v>
      </c>
      <c r="T163">
        <v>7.7579062099999998</v>
      </c>
      <c r="U163">
        <v>6.9772813400000002</v>
      </c>
      <c r="V163">
        <v>7.8272408999999996</v>
      </c>
      <c r="W163">
        <v>8.8942588300000001</v>
      </c>
      <c r="Y163">
        <v>58.038583299999999</v>
      </c>
      <c r="Z163">
        <v>5.4595855100000001</v>
      </c>
      <c r="AA163">
        <v>5.3181199899999996</v>
      </c>
      <c r="AB163">
        <v>5.8664680599999999</v>
      </c>
      <c r="AC163">
        <v>5.6489742400000003</v>
      </c>
      <c r="AD163">
        <v>5.6347896000000004</v>
      </c>
      <c r="AE163">
        <v>5.3844950599999999</v>
      </c>
    </row>
    <row r="164" spans="1:31" x14ac:dyDescent="0.2">
      <c r="A164">
        <v>58.403611099999999</v>
      </c>
      <c r="B164">
        <v>7.85709386</v>
      </c>
      <c r="C164">
        <v>7.0561752799999997</v>
      </c>
      <c r="D164">
        <v>7.7960579699999997</v>
      </c>
      <c r="E164">
        <v>5.8021183799999996</v>
      </c>
      <c r="F164">
        <v>7.8046593</v>
      </c>
      <c r="G164">
        <v>8.63657495</v>
      </c>
      <c r="I164">
        <v>58.403611099999999</v>
      </c>
      <c r="J164">
        <v>5.7807435199999997</v>
      </c>
      <c r="K164">
        <v>5.4161004000000004</v>
      </c>
      <c r="L164">
        <v>7.7960579699999997</v>
      </c>
      <c r="M164">
        <v>5.7137328099999998</v>
      </c>
      <c r="N164">
        <v>7.8099470899999996</v>
      </c>
      <c r="O164">
        <v>8.6000626699999998</v>
      </c>
      <c r="Q164">
        <v>58.403611099999999</v>
      </c>
      <c r="R164">
        <v>5.9348941999999996</v>
      </c>
      <c r="S164">
        <v>5.7037824700000002</v>
      </c>
      <c r="T164">
        <v>7.7553388099999996</v>
      </c>
      <c r="U164">
        <v>6.9810057399999996</v>
      </c>
      <c r="V164">
        <v>7.8232456900000003</v>
      </c>
      <c r="W164">
        <v>8.8851641000000008</v>
      </c>
      <c r="Y164">
        <v>58.403611099999999</v>
      </c>
      <c r="Z164">
        <v>5.4595855100000001</v>
      </c>
      <c r="AA164">
        <v>5.3230099800000001</v>
      </c>
      <c r="AB164">
        <v>5.8692969100000001</v>
      </c>
      <c r="AC164">
        <v>5.6698809199999998</v>
      </c>
      <c r="AD164">
        <v>5.6312117800000001</v>
      </c>
      <c r="AE164">
        <v>5.3936275499999997</v>
      </c>
    </row>
    <row r="165" spans="1:31" x14ac:dyDescent="0.2">
      <c r="A165">
        <v>58.768611100000001</v>
      </c>
      <c r="B165">
        <v>7.8834463499999998</v>
      </c>
      <c r="C165">
        <v>7.09007684</v>
      </c>
      <c r="D165">
        <v>7.7989333099999998</v>
      </c>
      <c r="E165">
        <v>5.8111409900000002</v>
      </c>
      <c r="F165">
        <v>7.8091353999999997</v>
      </c>
      <c r="G165">
        <v>8.6353317199999999</v>
      </c>
      <c r="I165">
        <v>58.768611100000001</v>
      </c>
      <c r="J165">
        <v>5.79301361</v>
      </c>
      <c r="K165">
        <v>5.4161004000000004</v>
      </c>
      <c r="L165">
        <v>7.7997533199999998</v>
      </c>
      <c r="M165">
        <v>5.7268477500000001</v>
      </c>
      <c r="N165">
        <v>7.8071032899999997</v>
      </c>
      <c r="O165">
        <v>8.6073994599999999</v>
      </c>
      <c r="Q165">
        <v>58.768611100000001</v>
      </c>
      <c r="R165">
        <v>5.9763509099999998</v>
      </c>
      <c r="S165">
        <v>5.7333412800000003</v>
      </c>
      <c r="T165">
        <v>7.7587605399999999</v>
      </c>
      <c r="U165">
        <v>6.9810057399999996</v>
      </c>
      <c r="V165">
        <v>7.8143996299999996</v>
      </c>
      <c r="W165">
        <v>8.8920616300000006</v>
      </c>
      <c r="Y165">
        <v>58.768611100000001</v>
      </c>
      <c r="Z165">
        <v>5.4553211199999998</v>
      </c>
      <c r="AA165">
        <v>5.3278761699999997</v>
      </c>
      <c r="AB165">
        <v>5.8888779600000003</v>
      </c>
      <c r="AC165">
        <v>5.70044357</v>
      </c>
      <c r="AD165">
        <v>5.6347896000000004</v>
      </c>
      <c r="AE165">
        <v>5.3844950599999999</v>
      </c>
    </row>
    <row r="166" spans="1:31" x14ac:dyDescent="0.2">
      <c r="A166">
        <v>59.133638900000001</v>
      </c>
      <c r="B166">
        <v>7.9080194400000003</v>
      </c>
      <c r="C166">
        <v>7.1180161999999996</v>
      </c>
      <c r="D166">
        <v>7.7939990899999998</v>
      </c>
      <c r="E166">
        <v>5.8111409900000002</v>
      </c>
      <c r="F166">
        <v>7.8009820699999999</v>
      </c>
      <c r="G166">
        <v>8.6314143399999992</v>
      </c>
      <c r="I166">
        <v>59.133638900000001</v>
      </c>
      <c r="J166">
        <v>5.8081424899999998</v>
      </c>
      <c r="K166">
        <v>5.4161004000000004</v>
      </c>
      <c r="L166">
        <v>7.7939990899999998</v>
      </c>
      <c r="M166">
        <v>5.7235851000000002</v>
      </c>
      <c r="N166">
        <v>7.8046593</v>
      </c>
      <c r="O166">
        <v>8.6157707499999994</v>
      </c>
      <c r="Q166">
        <v>59.133638900000001</v>
      </c>
      <c r="R166">
        <v>6.0088131899999997</v>
      </c>
      <c r="S166">
        <v>5.7557422100000002</v>
      </c>
      <c r="T166">
        <v>7.7540526400000003</v>
      </c>
      <c r="U166">
        <v>6.9874902499999996</v>
      </c>
      <c r="V166">
        <v>7.8232456900000003</v>
      </c>
      <c r="W166">
        <v>8.8945331400000001</v>
      </c>
      <c r="Y166">
        <v>59.133638900000001</v>
      </c>
      <c r="Z166">
        <v>5.4638318100000003</v>
      </c>
      <c r="AA166">
        <v>5.3327187900000004</v>
      </c>
      <c r="AB166">
        <v>5.9135030100000003</v>
      </c>
      <c r="AC166">
        <v>5.7365722999999997</v>
      </c>
      <c r="AD166">
        <v>5.6559918099999997</v>
      </c>
      <c r="AE166">
        <v>5.4116460499999999</v>
      </c>
    </row>
    <row r="167" spans="1:31" x14ac:dyDescent="0.2">
      <c r="A167">
        <v>59.498638900000003</v>
      </c>
      <c r="B167">
        <v>7.9247959100000003</v>
      </c>
      <c r="C167">
        <v>7.1475592700000004</v>
      </c>
      <c r="D167">
        <v>7.8009820699999999</v>
      </c>
      <c r="E167">
        <v>5.8377304499999996</v>
      </c>
      <c r="F167">
        <v>7.8022093200000002</v>
      </c>
      <c r="G167">
        <v>8.6369298699999995</v>
      </c>
      <c r="I167">
        <v>59.498638900000003</v>
      </c>
      <c r="J167">
        <v>5.8200829299999999</v>
      </c>
      <c r="K167">
        <v>5.4680601400000004</v>
      </c>
      <c r="L167">
        <v>7.7944112099999998</v>
      </c>
      <c r="M167">
        <v>5.7300997799999998</v>
      </c>
      <c r="N167">
        <v>7.8022093200000002</v>
      </c>
      <c r="O167">
        <v>8.6095900400000005</v>
      </c>
      <c r="Q167">
        <v>59.498638900000003</v>
      </c>
      <c r="R167">
        <v>6.0567840100000003</v>
      </c>
      <c r="S167">
        <v>5.8200829299999999</v>
      </c>
      <c r="T167">
        <v>7.7527648100000004</v>
      </c>
      <c r="U167">
        <v>6.9920964300000001</v>
      </c>
      <c r="V167">
        <v>7.8208408800000004</v>
      </c>
      <c r="W167">
        <v>8.8949444599999996</v>
      </c>
      <c r="Y167">
        <v>59.498638900000003</v>
      </c>
      <c r="Z167">
        <v>5.4510384500000004</v>
      </c>
      <c r="AA167">
        <v>5.3612921699999996</v>
      </c>
      <c r="AB167">
        <v>5.9135030100000003</v>
      </c>
      <c r="AC167">
        <v>5.7589017699999996</v>
      </c>
      <c r="AD167">
        <v>5.6594822200000001</v>
      </c>
      <c r="AE167">
        <v>5.4116460499999999</v>
      </c>
    </row>
    <row r="168" spans="1:31" x14ac:dyDescent="0.2">
      <c r="A168">
        <v>59.863638899999998</v>
      </c>
      <c r="B168">
        <v>7.94838529</v>
      </c>
      <c r="C168">
        <v>7.1491315999999996</v>
      </c>
      <c r="D168">
        <v>7.7927617199999997</v>
      </c>
      <c r="E168">
        <v>5.7990926500000004</v>
      </c>
      <c r="F168">
        <v>7.8062892899999996</v>
      </c>
      <c r="G168">
        <v>8.6308789600000004</v>
      </c>
      <c r="I168">
        <v>59.863638899999998</v>
      </c>
      <c r="J168">
        <v>5.8200829299999999</v>
      </c>
      <c r="K168">
        <v>5.4205350000000001</v>
      </c>
      <c r="L168">
        <v>7.7935867999999999</v>
      </c>
      <c r="M168">
        <v>5.7170277</v>
      </c>
      <c r="N168">
        <v>7.80343506</v>
      </c>
      <c r="O168">
        <v>8.6121396699999995</v>
      </c>
      <c r="Q168">
        <v>59.863638899999998</v>
      </c>
      <c r="R168">
        <v>6.1136821799999996</v>
      </c>
      <c r="S168">
        <v>5.8141305299999999</v>
      </c>
      <c r="T168">
        <v>7.7501841599999999</v>
      </c>
      <c r="U168">
        <v>6.9837899700000001</v>
      </c>
      <c r="V168">
        <v>7.8192344499999997</v>
      </c>
      <c r="W168">
        <v>8.8916491099999995</v>
      </c>
      <c r="Y168">
        <v>59.863638899999998</v>
      </c>
      <c r="Z168">
        <v>5.4638318100000003</v>
      </c>
      <c r="AA168">
        <v>5.3230099800000001</v>
      </c>
      <c r="AB168">
        <v>5.9269260299999997</v>
      </c>
      <c r="AC168">
        <v>5.7589017699999996</v>
      </c>
      <c r="AD168">
        <v>5.6524891799999999</v>
      </c>
      <c r="AE168">
        <v>5.3981627000000003</v>
      </c>
    </row>
    <row r="169" spans="1:31" x14ac:dyDescent="0.2">
      <c r="A169">
        <v>60.228666699999998</v>
      </c>
      <c r="B169">
        <v>7.9734999599999998</v>
      </c>
      <c r="C169">
        <v>7.1348908499999997</v>
      </c>
      <c r="D169">
        <v>7.7935867999999999</v>
      </c>
      <c r="E169">
        <v>5.8111409900000002</v>
      </c>
      <c r="F169">
        <v>7.7935867999999999</v>
      </c>
      <c r="G169">
        <v>8.6256887899999999</v>
      </c>
      <c r="I169">
        <v>60.228666699999998</v>
      </c>
      <c r="J169">
        <v>5.8081424899999998</v>
      </c>
      <c r="K169">
        <v>5.4337220000000004</v>
      </c>
      <c r="L169">
        <v>7.7923489200000002</v>
      </c>
      <c r="M169">
        <v>5.7235851000000002</v>
      </c>
      <c r="N169">
        <v>7.8013913199999996</v>
      </c>
      <c r="O169">
        <v>8.6119577700000001</v>
      </c>
      <c r="Q169">
        <v>60.228666699999998</v>
      </c>
      <c r="R169">
        <v>6.1333980400000003</v>
      </c>
      <c r="S169">
        <v>5.8493247799999999</v>
      </c>
      <c r="T169">
        <v>7.7506147299999997</v>
      </c>
      <c r="U169">
        <v>6.9911768900000002</v>
      </c>
      <c r="V169">
        <v>7.8164169799999996</v>
      </c>
      <c r="W169">
        <v>8.8905482500000002</v>
      </c>
      <c r="Y169">
        <v>60.228666699999998</v>
      </c>
      <c r="Z169">
        <v>5.4595855100000001</v>
      </c>
      <c r="AA169">
        <v>5.3327187900000004</v>
      </c>
      <c r="AB169">
        <v>5.9427993800000003</v>
      </c>
      <c r="AC169">
        <v>5.7899601699999996</v>
      </c>
      <c r="AD169">
        <v>5.6698809199999998</v>
      </c>
      <c r="AE169">
        <v>5.3706380300000003</v>
      </c>
    </row>
    <row r="170" spans="1:31" x14ac:dyDescent="0.2">
      <c r="A170">
        <v>60.593694399999997</v>
      </c>
      <c r="B170">
        <v>7.9765954099999998</v>
      </c>
      <c r="C170">
        <v>7.1049654499999999</v>
      </c>
      <c r="D170">
        <v>7.7939990899999998</v>
      </c>
      <c r="E170">
        <v>5.8141305299999999</v>
      </c>
      <c r="F170">
        <v>7.8013913199999996</v>
      </c>
      <c r="G170">
        <v>8.6224536999999994</v>
      </c>
      <c r="I170">
        <v>60.593694399999997</v>
      </c>
      <c r="J170">
        <v>5.83188248</v>
      </c>
      <c r="K170">
        <v>5.43807931</v>
      </c>
      <c r="L170">
        <v>7.7898685600000004</v>
      </c>
      <c r="M170">
        <v>5.7203117800000003</v>
      </c>
      <c r="N170">
        <v>7.8062892899999996</v>
      </c>
      <c r="O170">
        <v>8.6117758299999991</v>
      </c>
      <c r="Q170">
        <v>60.593694399999997</v>
      </c>
      <c r="R170">
        <v>6.1820849100000004</v>
      </c>
      <c r="S170">
        <v>5.8888779600000003</v>
      </c>
      <c r="T170">
        <v>7.7579062099999998</v>
      </c>
      <c r="U170">
        <v>6.9856418199999997</v>
      </c>
      <c r="V170">
        <v>7.8176254399999996</v>
      </c>
      <c r="W170">
        <v>8.8882048699999991</v>
      </c>
      <c r="Y170">
        <v>60.593694399999997</v>
      </c>
      <c r="Z170">
        <v>5.4553211199999998</v>
      </c>
      <c r="AA170">
        <v>5.3132059800000002</v>
      </c>
      <c r="AB170">
        <v>5.9635793399999999</v>
      </c>
      <c r="AC170">
        <v>5.8260001099999998</v>
      </c>
      <c r="AD170">
        <v>5.6664266899999998</v>
      </c>
      <c r="AE170">
        <v>5.3936275499999997</v>
      </c>
    </row>
    <row r="171" spans="1:31" x14ac:dyDescent="0.2">
      <c r="A171">
        <v>60.958694399999999</v>
      </c>
      <c r="B171">
        <v>7.9789963699999999</v>
      </c>
      <c r="C171">
        <v>7.09672138</v>
      </c>
      <c r="D171">
        <v>7.7939990899999998</v>
      </c>
      <c r="E171">
        <v>5.7990926500000004</v>
      </c>
      <c r="F171">
        <v>7.7977020399999999</v>
      </c>
      <c r="G171">
        <v>8.6280187500000007</v>
      </c>
      <c r="I171">
        <v>60.958694399999999</v>
      </c>
      <c r="J171">
        <v>5.8406416600000002</v>
      </c>
      <c r="K171">
        <v>5.4116460499999999</v>
      </c>
      <c r="L171">
        <v>7.79193596</v>
      </c>
      <c r="M171">
        <v>5.7071102600000003</v>
      </c>
      <c r="N171">
        <v>7.8026180600000004</v>
      </c>
      <c r="O171">
        <v>8.6112298299999992</v>
      </c>
      <c r="Q171">
        <v>60.958694399999999</v>
      </c>
      <c r="R171">
        <v>6.2245584300000001</v>
      </c>
      <c r="S171">
        <v>5.9053618500000002</v>
      </c>
      <c r="T171">
        <v>7.7475968399999999</v>
      </c>
      <c r="U171">
        <v>6.9874902499999996</v>
      </c>
      <c r="V171">
        <v>7.8123782100000003</v>
      </c>
      <c r="W171">
        <v>8.8864091700000003</v>
      </c>
      <c r="Y171">
        <v>60.958694399999999</v>
      </c>
      <c r="Z171">
        <v>5.4553211199999998</v>
      </c>
      <c r="AA171">
        <v>5.3181199899999996</v>
      </c>
      <c r="AB171">
        <v>5.9763509099999998</v>
      </c>
      <c r="AC171">
        <v>5.8464387799999997</v>
      </c>
      <c r="AD171">
        <v>5.6664266899999998</v>
      </c>
      <c r="AE171">
        <v>5.3936275499999997</v>
      </c>
    </row>
    <row r="172" spans="1:31" x14ac:dyDescent="0.2">
      <c r="A172">
        <v>61.323694400000001</v>
      </c>
      <c r="B172">
        <v>7.9817332900000002</v>
      </c>
      <c r="C172">
        <v>7.0992017399999998</v>
      </c>
      <c r="D172">
        <v>7.7890404000000002</v>
      </c>
      <c r="E172">
        <v>5.8141305299999999</v>
      </c>
      <c r="F172">
        <v>7.8013913199999996</v>
      </c>
      <c r="G172">
        <v>8.6193887</v>
      </c>
      <c r="I172">
        <v>61.323694400000001</v>
      </c>
      <c r="J172">
        <v>5.8522024799999999</v>
      </c>
      <c r="K172">
        <v>5.4595855100000001</v>
      </c>
      <c r="L172">
        <v>7.7968803400000004</v>
      </c>
      <c r="M172">
        <v>5.7333412800000003</v>
      </c>
      <c r="N172">
        <v>7.8071032899999997</v>
      </c>
      <c r="O172">
        <v>8.6073994599999999</v>
      </c>
      <c r="Q172">
        <v>61.323694400000001</v>
      </c>
      <c r="R172">
        <v>6.2766434899999997</v>
      </c>
      <c r="S172">
        <v>5.9454206100000002</v>
      </c>
      <c r="T172">
        <v>7.7493224600000001</v>
      </c>
      <c r="U172">
        <v>6.9902565000000001</v>
      </c>
      <c r="V172">
        <v>7.8091353999999997</v>
      </c>
      <c r="W172">
        <v>8.8877907599999997</v>
      </c>
      <c r="Y172">
        <v>61.323694400000001</v>
      </c>
      <c r="Z172">
        <v>5.4638318100000003</v>
      </c>
      <c r="AA172">
        <v>5.3230099800000001</v>
      </c>
      <c r="AB172">
        <v>5.9889614199999999</v>
      </c>
      <c r="AC172">
        <v>5.8888779600000003</v>
      </c>
      <c r="AD172">
        <v>5.6801726099999996</v>
      </c>
      <c r="AE172">
        <v>5.4026773800000001</v>
      </c>
    </row>
    <row r="173" spans="1:31" x14ac:dyDescent="0.2">
      <c r="A173">
        <v>61.688722200000001</v>
      </c>
      <c r="B173">
        <v>7.9824163500000003</v>
      </c>
      <c r="C173">
        <v>7.0917421200000001</v>
      </c>
      <c r="D173">
        <v>7.7840569999999998</v>
      </c>
      <c r="E173">
        <v>5.8111409900000002</v>
      </c>
      <c r="F173">
        <v>7.8026180600000004</v>
      </c>
      <c r="G173">
        <v>8.6215532100000001</v>
      </c>
      <c r="I173">
        <v>61.688722200000001</v>
      </c>
      <c r="J173">
        <v>5.8636311799999996</v>
      </c>
      <c r="K173">
        <v>5.43807931</v>
      </c>
      <c r="L173">
        <v>7.7964692400000004</v>
      </c>
      <c r="M173">
        <v>5.7235851000000002</v>
      </c>
      <c r="N173">
        <v>7.80506704</v>
      </c>
      <c r="O173">
        <v>8.6108656700000008</v>
      </c>
      <c r="Q173">
        <v>61.688722200000001</v>
      </c>
      <c r="R173">
        <v>6.3189681100000001</v>
      </c>
      <c r="S173">
        <v>5.98393628</v>
      </c>
      <c r="T173">
        <v>7.7484600199999996</v>
      </c>
      <c r="U173">
        <v>6.9865664599999997</v>
      </c>
      <c r="V173">
        <v>7.8180279400000003</v>
      </c>
      <c r="W173">
        <v>8.8835015800000008</v>
      </c>
      <c r="Y173">
        <v>61.688722200000001</v>
      </c>
      <c r="Z173">
        <v>5.4595855100000001</v>
      </c>
      <c r="AA173">
        <v>5.3278761699999997</v>
      </c>
      <c r="AB173">
        <v>6.02344759</v>
      </c>
      <c r="AC173">
        <v>5.9188938499999999</v>
      </c>
      <c r="AD173">
        <v>5.6767538000000002</v>
      </c>
      <c r="AE173">
        <v>5.4071717699999997</v>
      </c>
    </row>
    <row r="174" spans="1:31" x14ac:dyDescent="0.2">
      <c r="A174">
        <v>62.053722200000003</v>
      </c>
      <c r="B174">
        <v>7.9793389000000001</v>
      </c>
      <c r="C174">
        <v>7.0842264200000002</v>
      </c>
      <c r="D174">
        <v>7.7865518099999997</v>
      </c>
      <c r="E174">
        <v>5.8260001099999998</v>
      </c>
      <c r="F174">
        <v>7.7993433999999997</v>
      </c>
      <c r="G174">
        <v>8.6296286200000001</v>
      </c>
      <c r="I174">
        <v>62.053722200000003</v>
      </c>
      <c r="J174">
        <v>5.8861040300000003</v>
      </c>
      <c r="K174">
        <v>5.4847969299999999</v>
      </c>
      <c r="L174">
        <v>7.7956465399999999</v>
      </c>
      <c r="M174">
        <v>5.7525726400000003</v>
      </c>
      <c r="N174">
        <v>7.79852305</v>
      </c>
      <c r="O174">
        <v>8.6088603799999994</v>
      </c>
      <c r="Q174">
        <v>62.053722200000003</v>
      </c>
      <c r="R174">
        <v>6.3681871900000004</v>
      </c>
      <c r="S174">
        <v>6.05443935</v>
      </c>
      <c r="T174">
        <v>7.7497534100000003</v>
      </c>
      <c r="U174">
        <v>6.9865664599999997</v>
      </c>
      <c r="V174">
        <v>7.8119734300000001</v>
      </c>
      <c r="W174">
        <v>8.8821140399999994</v>
      </c>
      <c r="Y174">
        <v>62.053722200000003</v>
      </c>
      <c r="Z174">
        <v>5.4553211199999998</v>
      </c>
      <c r="AA174">
        <v>5.3659760199999997</v>
      </c>
      <c r="AB174">
        <v>6.0378709199999996</v>
      </c>
      <c r="AC174">
        <v>5.9814142099999996</v>
      </c>
      <c r="AD174">
        <v>5.67332327</v>
      </c>
      <c r="AE174">
        <v>5.4467373700000001</v>
      </c>
    </row>
    <row r="175" spans="1:31" x14ac:dyDescent="0.2">
      <c r="A175">
        <v>62.418750000000003</v>
      </c>
      <c r="B175">
        <v>7.9851439299999996</v>
      </c>
      <c r="C175">
        <v>7.0808679000000003</v>
      </c>
      <c r="D175">
        <v>7.7873820299999998</v>
      </c>
      <c r="E175">
        <v>5.8230459000000003</v>
      </c>
      <c r="F175">
        <v>7.7972912699999997</v>
      </c>
      <c r="G175">
        <v>8.6255093299999999</v>
      </c>
      <c r="I175">
        <v>62.418750000000003</v>
      </c>
      <c r="J175">
        <v>5.8777357800000001</v>
      </c>
      <c r="K175">
        <v>5.4971682299999998</v>
      </c>
      <c r="L175">
        <v>7.7886260700000003</v>
      </c>
      <c r="M175">
        <v>5.7557422100000002</v>
      </c>
      <c r="N175">
        <v>7.8018004000000003</v>
      </c>
      <c r="O175">
        <v>8.6123215399999999</v>
      </c>
      <c r="Q175">
        <v>62.418750000000003</v>
      </c>
      <c r="R175">
        <v>6.4264884599999998</v>
      </c>
      <c r="S175">
        <v>6.0958245599999996</v>
      </c>
      <c r="T175">
        <v>7.7475968399999999</v>
      </c>
      <c r="U175">
        <v>6.9966814900000003</v>
      </c>
      <c r="V175">
        <v>7.81075812</v>
      </c>
      <c r="W175">
        <v>8.8847487300000001</v>
      </c>
      <c r="Y175">
        <v>62.418750000000003</v>
      </c>
      <c r="Z175">
        <v>5.4510384500000004</v>
      </c>
      <c r="AA175">
        <v>5.37527841</v>
      </c>
      <c r="AB175">
        <v>6.05443935</v>
      </c>
      <c r="AC175">
        <v>6.0185932099999997</v>
      </c>
      <c r="AD175">
        <v>5.6937321399999998</v>
      </c>
      <c r="AE175">
        <v>5.4510384500000004</v>
      </c>
    </row>
    <row r="176" spans="1:31" x14ac:dyDescent="0.2">
      <c r="A176">
        <v>62.783749999999998</v>
      </c>
      <c r="B176">
        <v>7.9783109699999999</v>
      </c>
      <c r="C176">
        <v>7.0630481600000001</v>
      </c>
      <c r="D176">
        <v>7.7894545700000002</v>
      </c>
      <c r="E176">
        <v>5.8171111599999996</v>
      </c>
      <c r="F176">
        <v>7.8058820400000002</v>
      </c>
      <c r="G176">
        <v>8.6206519000000004</v>
      </c>
      <c r="I176">
        <v>62.783749999999998</v>
      </c>
      <c r="J176">
        <v>5.88332239</v>
      </c>
      <c r="K176">
        <v>5.4553211199999998</v>
      </c>
      <c r="L176">
        <v>7.79193596</v>
      </c>
      <c r="M176">
        <v>5.7462031900000001</v>
      </c>
      <c r="N176">
        <v>7.8013913199999996</v>
      </c>
      <c r="O176">
        <v>8.6088603799999994</v>
      </c>
      <c r="Q176">
        <v>62.783749999999998</v>
      </c>
      <c r="R176">
        <v>6.4892049299999996</v>
      </c>
      <c r="S176">
        <v>6.0958245599999996</v>
      </c>
      <c r="T176">
        <v>7.7437032600000002</v>
      </c>
      <c r="U176">
        <v>6.9810057399999996</v>
      </c>
      <c r="V176">
        <v>7.8152070599999997</v>
      </c>
      <c r="W176">
        <v>8.8822528799999994</v>
      </c>
      <c r="Y176">
        <v>62.783749999999998</v>
      </c>
      <c r="Z176">
        <v>5.4595855100000001</v>
      </c>
      <c r="AA176">
        <v>5.3423342500000004</v>
      </c>
      <c r="AB176">
        <v>6.0637852099999998</v>
      </c>
      <c r="AC176">
        <v>6.0378709199999996</v>
      </c>
      <c r="AD176">
        <v>5.70044357</v>
      </c>
      <c r="AE176">
        <v>5.4205350000000001</v>
      </c>
    </row>
    <row r="177" spans="1:31" x14ac:dyDescent="0.2">
      <c r="A177">
        <v>63.14875</v>
      </c>
      <c r="B177">
        <v>7.9786537300000004</v>
      </c>
      <c r="C177">
        <v>7.0639039600000002</v>
      </c>
      <c r="D177">
        <v>7.7857209000000003</v>
      </c>
      <c r="E177">
        <v>5.8200829299999999</v>
      </c>
      <c r="F177">
        <v>7.80547463</v>
      </c>
      <c r="G177">
        <v>8.6210125200000007</v>
      </c>
      <c r="I177">
        <v>63.14875</v>
      </c>
      <c r="J177">
        <v>5.8998973499999998</v>
      </c>
      <c r="K177">
        <v>5.4764635500000001</v>
      </c>
      <c r="L177">
        <v>7.7923489200000002</v>
      </c>
      <c r="M177">
        <v>5.7333412800000003</v>
      </c>
      <c r="N177">
        <v>7.8018004000000003</v>
      </c>
      <c r="O177">
        <v>8.6070338999999993</v>
      </c>
      <c r="Q177">
        <v>63.14875</v>
      </c>
      <c r="R177">
        <v>6.5410300000000001</v>
      </c>
      <c r="S177">
        <v>6.1569789899999998</v>
      </c>
      <c r="T177">
        <v>7.7467329100000004</v>
      </c>
      <c r="U177">
        <v>6.9884131800000002</v>
      </c>
      <c r="V177">
        <v>7.8143996299999996</v>
      </c>
      <c r="W177">
        <v>8.8796116099999995</v>
      </c>
      <c r="Y177">
        <v>63.14875</v>
      </c>
      <c r="Z177">
        <v>5.4553211199999998</v>
      </c>
      <c r="AA177">
        <v>5.3327187900000004</v>
      </c>
      <c r="AB177">
        <v>6.0890448800000003</v>
      </c>
      <c r="AC177">
        <v>6.0753460300000004</v>
      </c>
      <c r="AD177">
        <v>5.70044357</v>
      </c>
      <c r="AE177">
        <v>5.44241771</v>
      </c>
    </row>
    <row r="178" spans="1:31" x14ac:dyDescent="0.2">
      <c r="A178">
        <v>63.5137778</v>
      </c>
      <c r="B178">
        <v>7.9745328400000002</v>
      </c>
      <c r="C178">
        <v>7.03702761</v>
      </c>
      <c r="D178">
        <v>7.7890404000000002</v>
      </c>
      <c r="E178">
        <v>5.7807435199999997</v>
      </c>
      <c r="F178">
        <v>7.8013913199999996</v>
      </c>
      <c r="G178">
        <v>8.6119577700000001</v>
      </c>
      <c r="I178">
        <v>63.5137778</v>
      </c>
      <c r="J178">
        <v>5.91079664</v>
      </c>
      <c r="K178">
        <v>5.4071717699999997</v>
      </c>
      <c r="L178">
        <v>7.7939990899999998</v>
      </c>
      <c r="M178">
        <v>5.6903594499999999</v>
      </c>
      <c r="N178">
        <v>7.7944112099999998</v>
      </c>
      <c r="O178">
        <v>8.5976665800000003</v>
      </c>
      <c r="Q178">
        <v>63.5137778</v>
      </c>
      <c r="R178">
        <v>6.6039438199999996</v>
      </c>
      <c r="S178">
        <v>6.1654178499999999</v>
      </c>
      <c r="T178">
        <v>7.7475968399999999</v>
      </c>
      <c r="U178">
        <v>6.9716686000000001</v>
      </c>
      <c r="V178">
        <v>7.8030266399999997</v>
      </c>
      <c r="W178">
        <v>8.8682725100000006</v>
      </c>
      <c r="Y178">
        <v>63.5137778</v>
      </c>
      <c r="Z178">
        <v>5.4467373700000001</v>
      </c>
      <c r="AA178">
        <v>5.2311086199999997</v>
      </c>
      <c r="AB178">
        <v>6.1158921299999998</v>
      </c>
      <c r="AC178">
        <v>6.0684255900000004</v>
      </c>
      <c r="AD178">
        <v>5.7071102600000003</v>
      </c>
      <c r="AE178">
        <v>5.3471075299999997</v>
      </c>
    </row>
    <row r="179" spans="1:31" x14ac:dyDescent="0.2">
      <c r="A179">
        <v>63.878777800000002</v>
      </c>
      <c r="B179">
        <v>7.97590836</v>
      </c>
      <c r="C179">
        <v>7.0587581500000001</v>
      </c>
      <c r="D179">
        <v>7.7956465399999999</v>
      </c>
      <c r="E179">
        <v>5.8289456199999998</v>
      </c>
      <c r="F179">
        <v>7.7952349300000003</v>
      </c>
      <c r="G179">
        <v>8.6150455899999994</v>
      </c>
      <c r="I179">
        <v>63.878777800000002</v>
      </c>
      <c r="J179">
        <v>5.9269260299999997</v>
      </c>
      <c r="K179">
        <v>5.4722706700000003</v>
      </c>
      <c r="L179">
        <v>7.7832240199999996</v>
      </c>
      <c r="M179">
        <v>5.7430031899999996</v>
      </c>
      <c r="N179">
        <v>7.8046593</v>
      </c>
      <c r="O179">
        <v>8.6002467500000002</v>
      </c>
      <c r="Q179">
        <v>63.878777800000002</v>
      </c>
      <c r="R179">
        <v>6.6644090199999999</v>
      </c>
      <c r="S179">
        <v>6.2461067699999999</v>
      </c>
      <c r="T179">
        <v>7.7441366299999999</v>
      </c>
      <c r="U179">
        <v>6.9828627499999998</v>
      </c>
      <c r="V179">
        <v>7.8042513800000002</v>
      </c>
      <c r="W179">
        <v>8.8780792599999998</v>
      </c>
      <c r="Y179">
        <v>63.878777800000002</v>
      </c>
      <c r="Z179">
        <v>5.4595855100000001</v>
      </c>
      <c r="AA179">
        <v>5.3327187900000004</v>
      </c>
      <c r="AB179">
        <v>6.1398845499999997</v>
      </c>
      <c r="AC179">
        <v>6.1717006000000003</v>
      </c>
      <c r="AD179">
        <v>5.7203117800000003</v>
      </c>
      <c r="AE179">
        <v>5.4337220000000004</v>
      </c>
    </row>
    <row r="180" spans="1:31" x14ac:dyDescent="0.2">
      <c r="A180">
        <v>64.243805600000002</v>
      </c>
      <c r="B180">
        <v>7.9765954099999998</v>
      </c>
      <c r="C180">
        <v>7.06133437</v>
      </c>
      <c r="D180">
        <v>7.7873820299999998</v>
      </c>
      <c r="E180">
        <v>5.8171111599999996</v>
      </c>
      <c r="F180">
        <v>7.79852305</v>
      </c>
      <c r="G180">
        <v>8.6123215399999999</v>
      </c>
      <c r="I180">
        <v>64.243805600000002</v>
      </c>
      <c r="J180">
        <v>5.9375362100000002</v>
      </c>
      <c r="K180">
        <v>5.5012582099999996</v>
      </c>
      <c r="L180">
        <v>7.7894545700000002</v>
      </c>
      <c r="M180">
        <v>5.7493929899999996</v>
      </c>
      <c r="N180">
        <v>7.7968803400000004</v>
      </c>
      <c r="O180">
        <v>8.5939690300000002</v>
      </c>
      <c r="Q180">
        <v>64.243805600000002</v>
      </c>
      <c r="R180">
        <v>6.7286286100000003</v>
      </c>
      <c r="S180">
        <v>6.2878585600000001</v>
      </c>
      <c r="T180">
        <v>7.7406644</v>
      </c>
      <c r="U180">
        <v>6.9810057399999996</v>
      </c>
      <c r="V180">
        <v>7.8091353999999997</v>
      </c>
      <c r="W180">
        <v>8.8702415699999992</v>
      </c>
      <c r="Y180">
        <v>64.243805600000002</v>
      </c>
      <c r="Z180">
        <v>5.4638318100000003</v>
      </c>
      <c r="AA180">
        <v>5.3471075299999997</v>
      </c>
      <c r="AB180">
        <v>6.1420374100000004</v>
      </c>
      <c r="AC180">
        <v>6.2126061000000004</v>
      </c>
      <c r="AD180">
        <v>5.7170277</v>
      </c>
      <c r="AE180">
        <v>5.4467373700000001</v>
      </c>
    </row>
    <row r="181" spans="1:31" x14ac:dyDescent="0.2">
      <c r="A181">
        <v>64.608805599999997</v>
      </c>
      <c r="B181">
        <v>7.9745328400000002</v>
      </c>
      <c r="C181">
        <v>7.06133437</v>
      </c>
      <c r="D181">
        <v>7.7894545700000002</v>
      </c>
      <c r="E181">
        <v>5.83188248</v>
      </c>
      <c r="F181">
        <v>7.7997533199999998</v>
      </c>
      <c r="G181">
        <v>8.6199302699999993</v>
      </c>
      <c r="I181">
        <v>64.608805599999997</v>
      </c>
      <c r="J181">
        <v>5.9427993800000003</v>
      </c>
      <c r="K181">
        <v>5.4806389199999996</v>
      </c>
      <c r="L181">
        <v>7.7877968800000001</v>
      </c>
      <c r="M181">
        <v>5.7397929100000002</v>
      </c>
      <c r="N181">
        <v>7.7972912699999997</v>
      </c>
      <c r="O181">
        <v>8.5934132200000004</v>
      </c>
      <c r="Q181">
        <v>64.608805599999997</v>
      </c>
      <c r="R181">
        <v>6.7957057799999996</v>
      </c>
      <c r="S181">
        <v>6.3578422699999999</v>
      </c>
      <c r="T181">
        <v>7.74716497</v>
      </c>
      <c r="U181">
        <v>6.9837899700000001</v>
      </c>
      <c r="V181">
        <v>7.7997533199999998</v>
      </c>
      <c r="W181">
        <v>8.8764049200000006</v>
      </c>
      <c r="Y181">
        <v>64.608805599999997</v>
      </c>
      <c r="Z181">
        <v>5.4553211199999998</v>
      </c>
      <c r="AA181">
        <v>5.3423342500000004</v>
      </c>
      <c r="AB181">
        <v>6.1882641200000004</v>
      </c>
      <c r="AC181">
        <v>6.2576675899999996</v>
      </c>
      <c r="AD181">
        <v>5.7333412800000003</v>
      </c>
      <c r="AE181">
        <v>5.43807931</v>
      </c>
    </row>
    <row r="182" spans="1:31" x14ac:dyDescent="0.2">
      <c r="A182">
        <v>64.973833299999995</v>
      </c>
      <c r="B182">
        <v>7.96762674</v>
      </c>
      <c r="C182">
        <v>7.0509894500000003</v>
      </c>
      <c r="D182">
        <v>7.7857209000000003</v>
      </c>
      <c r="E182">
        <v>5.8111409900000002</v>
      </c>
      <c r="F182">
        <v>7.7944112099999998</v>
      </c>
      <c r="G182">
        <v>8.6134120500000009</v>
      </c>
      <c r="I182">
        <v>64.973833299999995</v>
      </c>
      <c r="J182">
        <v>5.9558373700000002</v>
      </c>
      <c r="K182">
        <v>5.4847969299999999</v>
      </c>
      <c r="L182">
        <v>7.7877968800000001</v>
      </c>
      <c r="M182">
        <v>5.7365722999999997</v>
      </c>
      <c r="N182">
        <v>7.8018004000000003</v>
      </c>
      <c r="O182">
        <v>8.5943394000000009</v>
      </c>
      <c r="Q182">
        <v>64.973833299999995</v>
      </c>
      <c r="R182">
        <v>6.8679744100000004</v>
      </c>
      <c r="S182">
        <v>6.3919171099999996</v>
      </c>
      <c r="T182">
        <v>7.7428359599999999</v>
      </c>
      <c r="U182">
        <v>6.9856418199999997</v>
      </c>
      <c r="V182">
        <v>7.7960579699999997</v>
      </c>
      <c r="W182">
        <v>8.8691168699999992</v>
      </c>
      <c r="Y182">
        <v>64.973833299999995</v>
      </c>
      <c r="Z182">
        <v>5.4510384500000004</v>
      </c>
      <c r="AA182">
        <v>5.3278761699999997</v>
      </c>
      <c r="AB182">
        <v>6.1984787199999998</v>
      </c>
      <c r="AC182">
        <v>6.3099182799999998</v>
      </c>
      <c r="AD182">
        <v>5.7397929100000002</v>
      </c>
      <c r="AE182">
        <v>5.4337220000000004</v>
      </c>
    </row>
    <row r="183" spans="1:31" x14ac:dyDescent="0.2">
      <c r="A183">
        <v>65.338833300000005</v>
      </c>
      <c r="B183">
        <v>7.9769387600000004</v>
      </c>
      <c r="C183">
        <v>7.05531284</v>
      </c>
      <c r="D183">
        <v>7.7832240199999996</v>
      </c>
      <c r="E183">
        <v>5.8289456199999998</v>
      </c>
      <c r="F183">
        <v>7.8030266399999997</v>
      </c>
      <c r="G183">
        <v>8.6168575100000009</v>
      </c>
      <c r="I183">
        <v>65.338833300000005</v>
      </c>
      <c r="J183">
        <v>5.9687075600000004</v>
      </c>
      <c r="K183">
        <v>5.49306144</v>
      </c>
      <c r="L183">
        <v>7.7906960300000003</v>
      </c>
      <c r="M183">
        <v>5.7365722999999997</v>
      </c>
      <c r="N183">
        <v>7.8111633899999999</v>
      </c>
      <c r="O183">
        <v>8.5891416899999999</v>
      </c>
      <c r="Q183">
        <v>65.338833300000005</v>
      </c>
      <c r="R183">
        <v>6.9488972200000001</v>
      </c>
      <c r="S183">
        <v>6.4599044499999998</v>
      </c>
      <c r="T183">
        <v>7.7406644</v>
      </c>
      <c r="U183">
        <v>6.9800759399999999</v>
      </c>
      <c r="V183">
        <v>7.8091353999999997</v>
      </c>
      <c r="W183">
        <v>8.8698199500000001</v>
      </c>
      <c r="Y183">
        <v>65.338833300000005</v>
      </c>
      <c r="Z183">
        <v>5.4553211199999998</v>
      </c>
      <c r="AA183">
        <v>5.3278761699999997</v>
      </c>
      <c r="AB183">
        <v>6.2225762700000002</v>
      </c>
      <c r="AC183">
        <v>6.3767269500000001</v>
      </c>
      <c r="AD183">
        <v>5.7462031900000001</v>
      </c>
      <c r="AE183">
        <v>5.4553211199999998</v>
      </c>
    </row>
    <row r="184" spans="1:31" x14ac:dyDescent="0.2">
      <c r="A184">
        <v>65.703833299999999</v>
      </c>
      <c r="B184">
        <v>7.9717761200000004</v>
      </c>
      <c r="C184">
        <v>7.0732697199999999</v>
      </c>
      <c r="D184">
        <v>7.7857209000000003</v>
      </c>
      <c r="E184">
        <v>5.83188248</v>
      </c>
      <c r="F184">
        <v>7.8111633899999999</v>
      </c>
      <c r="G184">
        <v>8.6123215399999999</v>
      </c>
      <c r="I184">
        <v>65.703833299999999</v>
      </c>
      <c r="J184">
        <v>5.9788857599999998</v>
      </c>
      <c r="K184">
        <v>5.5134287500000001</v>
      </c>
      <c r="L184">
        <v>7.7902823799999998</v>
      </c>
      <c r="M184">
        <v>5.7430031899999996</v>
      </c>
      <c r="N184">
        <v>7.8038432999999996</v>
      </c>
      <c r="O184">
        <v>8.5867192499999998</v>
      </c>
      <c r="Q184">
        <v>65.703833299999999</v>
      </c>
      <c r="R184">
        <v>7.0048819900000003</v>
      </c>
      <c r="S184">
        <v>6.5147126899999996</v>
      </c>
      <c r="T184">
        <v>7.7402295199999998</v>
      </c>
      <c r="U184">
        <v>6.9837899700000001</v>
      </c>
      <c r="V184">
        <v>7.8026180600000004</v>
      </c>
      <c r="W184">
        <v>8.8716456699999995</v>
      </c>
      <c r="Y184">
        <v>65.703833299999999</v>
      </c>
      <c r="Z184">
        <v>5.4595855100000001</v>
      </c>
      <c r="AA184">
        <v>5.3423342500000004</v>
      </c>
      <c r="AB184">
        <v>6.2519038800000004</v>
      </c>
      <c r="AC184">
        <v>6.42486902</v>
      </c>
      <c r="AD184">
        <v>5.7589017699999996</v>
      </c>
      <c r="AE184">
        <v>5.4638318100000003</v>
      </c>
    </row>
    <row r="185" spans="1:31" x14ac:dyDescent="0.2">
      <c r="A185">
        <v>66.068861100000007</v>
      </c>
      <c r="B185">
        <v>7.9765954099999998</v>
      </c>
      <c r="C185">
        <v>7.0639039600000002</v>
      </c>
      <c r="D185">
        <v>7.7935867999999999</v>
      </c>
      <c r="E185">
        <v>5.8200829299999999</v>
      </c>
      <c r="F185">
        <v>7.80016307</v>
      </c>
      <c r="G185">
        <v>8.6070338999999993</v>
      </c>
      <c r="I185">
        <v>66.068861100000007</v>
      </c>
      <c r="J185">
        <v>5.99645209</v>
      </c>
      <c r="K185">
        <v>5.52146092</v>
      </c>
      <c r="L185">
        <v>7.7927617199999997</v>
      </c>
      <c r="M185">
        <v>5.7397929100000002</v>
      </c>
      <c r="N185">
        <v>7.8038432999999996</v>
      </c>
      <c r="O185">
        <v>8.5891416899999999</v>
      </c>
      <c r="Q185">
        <v>66.068861100000007</v>
      </c>
      <c r="R185">
        <v>7.08506429</v>
      </c>
      <c r="S185">
        <v>6.5736801700000003</v>
      </c>
      <c r="T185">
        <v>7.7428359599999999</v>
      </c>
      <c r="U185">
        <v>6.9800759399999999</v>
      </c>
      <c r="V185">
        <v>7.8038432999999996</v>
      </c>
      <c r="W185">
        <v>8.8689761899999997</v>
      </c>
      <c r="Y185">
        <v>66.068861100000007</v>
      </c>
      <c r="Z185">
        <v>5.4680601400000004</v>
      </c>
      <c r="AA185">
        <v>5.3278761699999997</v>
      </c>
      <c r="AB185">
        <v>6.2822667499999998</v>
      </c>
      <c r="AC185">
        <v>6.4937538400000001</v>
      </c>
      <c r="AD185">
        <v>5.7683210000000003</v>
      </c>
      <c r="AE185">
        <v>5.4595855100000001</v>
      </c>
    </row>
    <row r="186" spans="1:31" x14ac:dyDescent="0.2">
      <c r="A186">
        <v>66.433888899999999</v>
      </c>
      <c r="B186">
        <v>7.9734999599999998</v>
      </c>
      <c r="C186">
        <v>7.0673198499999996</v>
      </c>
      <c r="D186">
        <v>7.7877968800000001</v>
      </c>
      <c r="E186">
        <v>5.8200829299999999</v>
      </c>
      <c r="F186">
        <v>7.8018004000000003</v>
      </c>
      <c r="G186">
        <v>8.6101369400000003</v>
      </c>
      <c r="I186">
        <v>66.433888899999999</v>
      </c>
      <c r="J186">
        <v>6.0161571599999997</v>
      </c>
      <c r="K186">
        <v>5.54126355</v>
      </c>
      <c r="L186">
        <v>7.7906960300000003</v>
      </c>
      <c r="M186">
        <v>5.7462031900000001</v>
      </c>
      <c r="N186">
        <v>7.80016307</v>
      </c>
      <c r="O186">
        <v>8.5852255999999993</v>
      </c>
      <c r="Q186">
        <v>66.433888899999999</v>
      </c>
      <c r="R186">
        <v>7.15617664</v>
      </c>
      <c r="S186">
        <v>6.6359465599999998</v>
      </c>
      <c r="T186">
        <v>7.7376162800000001</v>
      </c>
      <c r="U186">
        <v>6.97914528</v>
      </c>
      <c r="V186">
        <v>7.7997533199999998</v>
      </c>
      <c r="W186">
        <v>8.8750074899999998</v>
      </c>
      <c r="Y186">
        <v>66.433888899999999</v>
      </c>
      <c r="Z186">
        <v>5.4638318100000003</v>
      </c>
      <c r="AA186">
        <v>5.3471075299999997</v>
      </c>
      <c r="AB186">
        <v>6.3153579999999998</v>
      </c>
      <c r="AC186">
        <v>6.5539334</v>
      </c>
      <c r="AD186">
        <v>5.7620513799999999</v>
      </c>
      <c r="AE186">
        <v>5.4510384500000004</v>
      </c>
    </row>
    <row r="187" spans="1:31" x14ac:dyDescent="0.2">
      <c r="A187">
        <v>66.798888899999994</v>
      </c>
      <c r="B187">
        <v>7.9745328400000002</v>
      </c>
      <c r="C187">
        <v>7.0656133600000004</v>
      </c>
      <c r="D187">
        <v>7.7902823799999998</v>
      </c>
      <c r="E187">
        <v>5.83188248</v>
      </c>
      <c r="F187">
        <v>7.8005726500000003</v>
      </c>
      <c r="G187">
        <v>8.6090428499999998</v>
      </c>
      <c r="I187">
        <v>66.798888899999994</v>
      </c>
      <c r="J187">
        <v>6.0161571599999997</v>
      </c>
      <c r="K187">
        <v>5.54126355</v>
      </c>
      <c r="L187">
        <v>7.7927617199999997</v>
      </c>
      <c r="M187">
        <v>5.7397929100000002</v>
      </c>
      <c r="N187">
        <v>7.7997533199999998</v>
      </c>
      <c r="O187">
        <v>8.5861593999999997</v>
      </c>
      <c r="Q187">
        <v>66.798888899999994</v>
      </c>
      <c r="R187">
        <v>7.231287</v>
      </c>
      <c r="S187">
        <v>6.7007311100000004</v>
      </c>
      <c r="T187">
        <v>7.7380522999999997</v>
      </c>
      <c r="U187">
        <v>6.9865664599999997</v>
      </c>
      <c r="V187">
        <v>7.8099470899999996</v>
      </c>
      <c r="W187">
        <v>8.8677092099999992</v>
      </c>
      <c r="Y187">
        <v>66.798888899999994</v>
      </c>
      <c r="Z187">
        <v>5.4553211199999998</v>
      </c>
      <c r="AA187">
        <v>5.3375380799999999</v>
      </c>
      <c r="AB187">
        <v>6.3315018500000004</v>
      </c>
      <c r="AC187">
        <v>6.6240652300000002</v>
      </c>
      <c r="AD187">
        <v>5.77455155</v>
      </c>
      <c r="AE187">
        <v>5.4847969299999999</v>
      </c>
    </row>
    <row r="188" spans="1:31" x14ac:dyDescent="0.2">
      <c r="A188">
        <v>67.163888900000003</v>
      </c>
      <c r="B188">
        <v>7.9703949100000004</v>
      </c>
      <c r="C188">
        <v>7.0707241099999996</v>
      </c>
      <c r="D188">
        <v>7.79152282</v>
      </c>
      <c r="E188">
        <v>5.83481074</v>
      </c>
      <c r="F188">
        <v>7.8026180600000004</v>
      </c>
      <c r="G188">
        <v>8.6168575100000009</v>
      </c>
      <c r="I188">
        <v>67.163888900000003</v>
      </c>
      <c r="J188">
        <v>6.0426328299999996</v>
      </c>
      <c r="K188">
        <v>5.5373342699999997</v>
      </c>
      <c r="L188">
        <v>7.80506704</v>
      </c>
      <c r="M188">
        <v>5.7462031900000001</v>
      </c>
      <c r="N188">
        <v>7.80343506</v>
      </c>
      <c r="O188">
        <v>8.5885831899999996</v>
      </c>
      <c r="Q188">
        <v>67.163888900000003</v>
      </c>
      <c r="R188">
        <v>7.3085427999999997</v>
      </c>
      <c r="S188">
        <v>6.7592552699999997</v>
      </c>
      <c r="T188">
        <v>7.7428359599999999</v>
      </c>
      <c r="U188">
        <v>6.9828627499999998</v>
      </c>
      <c r="V188">
        <v>7.8103526800000003</v>
      </c>
      <c r="W188">
        <v>8.8705225500000005</v>
      </c>
      <c r="Y188">
        <v>67.163888900000003</v>
      </c>
      <c r="Z188">
        <v>5.4680601400000004</v>
      </c>
      <c r="AA188">
        <v>5.3423342500000004</v>
      </c>
      <c r="AB188">
        <v>6.3784261799999999</v>
      </c>
      <c r="AC188">
        <v>6.6933236699999998</v>
      </c>
      <c r="AD188">
        <v>5.7776523199999996</v>
      </c>
      <c r="AE188">
        <v>5.49306144</v>
      </c>
    </row>
    <row r="189" spans="1:31" x14ac:dyDescent="0.2">
      <c r="A189">
        <v>67.528916699999996</v>
      </c>
      <c r="B189">
        <v>7.9721211299999997</v>
      </c>
      <c r="C189">
        <v>7.0766538199999998</v>
      </c>
      <c r="D189">
        <v>7.79152282</v>
      </c>
      <c r="E189">
        <v>5.83481074</v>
      </c>
      <c r="F189">
        <v>7.8075100400000004</v>
      </c>
      <c r="G189">
        <v>8.6152269300000004</v>
      </c>
      <c r="I189">
        <v>67.528916699999996</v>
      </c>
      <c r="J189">
        <v>6.0567840100000003</v>
      </c>
      <c r="K189">
        <v>5.5683445000000003</v>
      </c>
      <c r="L189">
        <v>7.7989333099999998</v>
      </c>
      <c r="M189">
        <v>5.7430031899999996</v>
      </c>
      <c r="N189">
        <v>7.8075100400000004</v>
      </c>
      <c r="O189">
        <v>8.5792285800000005</v>
      </c>
      <c r="Q189">
        <v>67.528916699999996</v>
      </c>
      <c r="R189">
        <v>7.3883278600000004</v>
      </c>
      <c r="S189">
        <v>6.8351845899999999</v>
      </c>
      <c r="T189">
        <v>7.7419678999999997</v>
      </c>
      <c r="U189">
        <v>6.9847163200000004</v>
      </c>
      <c r="V189">
        <v>7.80506704</v>
      </c>
      <c r="W189">
        <v>8.8724871800000003</v>
      </c>
      <c r="Y189">
        <v>67.528916699999996</v>
      </c>
      <c r="Z189">
        <v>5.48893773</v>
      </c>
      <c r="AA189">
        <v>5.3423342500000004</v>
      </c>
      <c r="AB189">
        <v>6.4101748799999996</v>
      </c>
      <c r="AC189">
        <v>6.7627295099999998</v>
      </c>
      <c r="AD189">
        <v>5.78382518</v>
      </c>
      <c r="AE189">
        <v>5.4806389199999996</v>
      </c>
    </row>
    <row r="190" spans="1:31" x14ac:dyDescent="0.2">
      <c r="A190">
        <v>67.893944399999995</v>
      </c>
      <c r="B190">
        <v>7.9769387600000004</v>
      </c>
      <c r="C190">
        <v>7.06133437</v>
      </c>
      <c r="D190">
        <v>7.7939990899999998</v>
      </c>
      <c r="E190">
        <v>5.77455155</v>
      </c>
      <c r="F190">
        <v>7.8022093200000002</v>
      </c>
      <c r="G190">
        <v>8.6094076800000003</v>
      </c>
      <c r="I190">
        <v>67.893944399999995</v>
      </c>
      <c r="J190">
        <v>6.0684255900000004</v>
      </c>
      <c r="K190">
        <v>5.49306144</v>
      </c>
      <c r="L190">
        <v>7.80343506</v>
      </c>
      <c r="M190">
        <v>5.6903594499999999</v>
      </c>
      <c r="N190">
        <v>7.8058820400000002</v>
      </c>
      <c r="O190">
        <v>8.5771587700000005</v>
      </c>
      <c r="Q190">
        <v>67.893944399999995</v>
      </c>
      <c r="R190">
        <v>7.4719320800000002</v>
      </c>
      <c r="S190">
        <v>6.8731638300000002</v>
      </c>
      <c r="T190">
        <v>7.7424020200000001</v>
      </c>
      <c r="U190">
        <v>6.9735430200000001</v>
      </c>
      <c r="V190">
        <v>7.8071032899999997</v>
      </c>
      <c r="W190">
        <v>8.8644640599999995</v>
      </c>
      <c r="Y190">
        <v>67.893944399999995</v>
      </c>
      <c r="Z190">
        <v>5.4680601400000004</v>
      </c>
      <c r="AA190">
        <v>5.2203558299999999</v>
      </c>
      <c r="AB190">
        <v>6.4457198199999999</v>
      </c>
      <c r="AC190">
        <v>6.8057225499999996</v>
      </c>
      <c r="AD190">
        <v>5.8171111599999996</v>
      </c>
      <c r="AE190">
        <v>5.4026773800000001</v>
      </c>
    </row>
    <row r="191" spans="1:31" x14ac:dyDescent="0.2">
      <c r="A191">
        <v>68.258944400000004</v>
      </c>
      <c r="B191">
        <v>7.9813915800000004</v>
      </c>
      <c r="C191">
        <v>7.08506429</v>
      </c>
      <c r="D191">
        <v>7.7960579699999997</v>
      </c>
      <c r="E191">
        <v>5.8522024799999999</v>
      </c>
      <c r="F191">
        <v>7.8071032899999997</v>
      </c>
      <c r="G191">
        <v>8.6183046900000004</v>
      </c>
      <c r="I191">
        <v>68.258944400000004</v>
      </c>
      <c r="J191">
        <v>6.0980742799999996</v>
      </c>
      <c r="K191">
        <v>5.6419070700000002</v>
      </c>
      <c r="L191">
        <v>7.7997533199999998</v>
      </c>
      <c r="M191">
        <v>5.7868973800000001</v>
      </c>
      <c r="N191">
        <v>7.8095413200000001</v>
      </c>
      <c r="O191">
        <v>8.5842909299999999</v>
      </c>
      <c r="Q191">
        <v>68.258944400000004</v>
      </c>
      <c r="R191">
        <v>7.5496091700000001</v>
      </c>
      <c r="S191">
        <v>6.97914528</v>
      </c>
      <c r="T191">
        <v>7.7410990899999996</v>
      </c>
      <c r="U191">
        <v>6.9975959799999998</v>
      </c>
      <c r="V191">
        <v>7.8095413200000001</v>
      </c>
      <c r="W191">
        <v>8.8722067599999992</v>
      </c>
      <c r="Y191">
        <v>68.258944400000004</v>
      </c>
      <c r="Z191">
        <v>5.4722706700000003</v>
      </c>
      <c r="AA191">
        <v>5.4026773800000001</v>
      </c>
      <c r="AB191">
        <v>6.4800445599999996</v>
      </c>
      <c r="AC191">
        <v>6.9157234499999998</v>
      </c>
      <c r="AD191">
        <v>5.8171111599999996</v>
      </c>
      <c r="AE191">
        <v>5.5529595799999996</v>
      </c>
    </row>
    <row r="192" spans="1:31" x14ac:dyDescent="0.2">
      <c r="A192">
        <v>68.623972199999997</v>
      </c>
      <c r="B192">
        <v>7.9741886700000002</v>
      </c>
      <c r="C192">
        <v>7.0909098200000003</v>
      </c>
      <c r="D192">
        <v>7.7927617199999997</v>
      </c>
      <c r="E192">
        <v>5.8636311799999996</v>
      </c>
      <c r="F192">
        <v>7.8071032899999997</v>
      </c>
      <c r="G192">
        <v>8.6179430900000007</v>
      </c>
      <c r="I192">
        <v>68.623972199999997</v>
      </c>
      <c r="J192">
        <v>6.1136821799999996</v>
      </c>
      <c r="K192">
        <v>5.6419070700000002</v>
      </c>
      <c r="L192">
        <v>7.7981126300000003</v>
      </c>
      <c r="M192">
        <v>5.77455155</v>
      </c>
      <c r="N192">
        <v>7.8071032899999997</v>
      </c>
      <c r="O192">
        <v>8.5827936499999993</v>
      </c>
      <c r="Q192">
        <v>68.623972199999997</v>
      </c>
      <c r="R192">
        <v>7.6280311300000001</v>
      </c>
      <c r="S192">
        <v>7.0317412600000004</v>
      </c>
      <c r="T192">
        <v>7.7397944599999997</v>
      </c>
      <c r="U192">
        <v>6.9948499899999996</v>
      </c>
      <c r="V192">
        <v>7.8005726500000003</v>
      </c>
      <c r="W192">
        <v>8.8730478000000002</v>
      </c>
      <c r="Y192">
        <v>68.623972199999997</v>
      </c>
      <c r="Z192">
        <v>5.4680601400000004</v>
      </c>
      <c r="AA192">
        <v>5.3981627000000003</v>
      </c>
      <c r="AB192">
        <v>6.5087691400000001</v>
      </c>
      <c r="AC192">
        <v>6.9828627499999998</v>
      </c>
      <c r="AD192">
        <v>5.8406416600000002</v>
      </c>
      <c r="AE192">
        <v>5.5606816300000004</v>
      </c>
    </row>
    <row r="193" spans="1:31" x14ac:dyDescent="0.2">
      <c r="A193">
        <v>68.989027800000002</v>
      </c>
      <c r="B193">
        <v>7.9714309999999999</v>
      </c>
      <c r="C193">
        <v>7.0925737199999999</v>
      </c>
      <c r="D193">
        <v>7.7828072600000002</v>
      </c>
      <c r="E193">
        <v>5.87493073</v>
      </c>
      <c r="F193">
        <v>7.8013913199999996</v>
      </c>
      <c r="G193">
        <v>8.6152269300000004</v>
      </c>
      <c r="I193">
        <v>68.989027800000002</v>
      </c>
      <c r="J193">
        <v>6.1268691799999999</v>
      </c>
      <c r="K193">
        <v>5.6594822200000001</v>
      </c>
      <c r="L193">
        <v>7.79482315</v>
      </c>
      <c r="M193">
        <v>5.7807435199999997</v>
      </c>
      <c r="N193">
        <v>7.80343506</v>
      </c>
      <c r="O193">
        <v>8.5811065200000005</v>
      </c>
      <c r="Q193">
        <v>68.989027800000002</v>
      </c>
      <c r="R193">
        <v>7.6962126399999997</v>
      </c>
      <c r="S193">
        <v>7.0909098200000003</v>
      </c>
      <c r="T193">
        <v>7.7406644</v>
      </c>
      <c r="U193">
        <v>6.9911768900000002</v>
      </c>
      <c r="V193">
        <v>7.79852305</v>
      </c>
      <c r="W193">
        <v>8.8743080400000007</v>
      </c>
      <c r="Y193">
        <v>68.989027800000002</v>
      </c>
      <c r="Z193">
        <v>5.48893773</v>
      </c>
      <c r="AA193">
        <v>5.4026773800000001</v>
      </c>
      <c r="AB193">
        <v>6.55677836</v>
      </c>
      <c r="AC193">
        <v>7.0664669699999996</v>
      </c>
      <c r="AD193">
        <v>5.8522024799999999</v>
      </c>
      <c r="AE193">
        <v>5.5759490999999999</v>
      </c>
    </row>
    <row r="194" spans="1:31" x14ac:dyDescent="0.2">
      <c r="A194">
        <v>69.353972200000001</v>
      </c>
      <c r="B194">
        <v>7.9700493000000003</v>
      </c>
      <c r="C194">
        <v>7.0808679000000003</v>
      </c>
      <c r="D194">
        <v>7.7890404000000002</v>
      </c>
      <c r="E194">
        <v>5.8435444199999997</v>
      </c>
      <c r="F194">
        <v>7.8083230500000003</v>
      </c>
      <c r="G194">
        <v>8.6103191700000004</v>
      </c>
      <c r="I194">
        <v>69.353972200000001</v>
      </c>
      <c r="J194">
        <v>6.1548580900000003</v>
      </c>
      <c r="K194">
        <v>5.6489742400000003</v>
      </c>
      <c r="L194">
        <v>7.7902823799999998</v>
      </c>
      <c r="M194">
        <v>5.7462031900000001</v>
      </c>
      <c r="N194">
        <v>7.8030266399999997</v>
      </c>
      <c r="O194">
        <v>8.5709235100000001</v>
      </c>
      <c r="Q194">
        <v>69.353972200000001</v>
      </c>
      <c r="R194">
        <v>7.7415335900000004</v>
      </c>
      <c r="S194">
        <v>7.1123274399999996</v>
      </c>
      <c r="T194">
        <v>7.7402295199999998</v>
      </c>
      <c r="U194">
        <v>6.9856418199999997</v>
      </c>
      <c r="V194">
        <v>7.80547463</v>
      </c>
      <c r="W194">
        <v>8.8653116300000008</v>
      </c>
      <c r="Y194">
        <v>69.353972200000001</v>
      </c>
      <c r="Z194">
        <v>5.48893773</v>
      </c>
      <c r="AA194">
        <v>5.3471075299999997</v>
      </c>
      <c r="AB194">
        <v>6.59578051</v>
      </c>
      <c r="AC194">
        <v>7.1300985099999998</v>
      </c>
      <c r="AD194">
        <v>5.8377304499999996</v>
      </c>
      <c r="AE194">
        <v>5.5373342699999997</v>
      </c>
    </row>
    <row r="195" spans="1:31" x14ac:dyDescent="0.2">
      <c r="A195">
        <v>69.718999999999994</v>
      </c>
      <c r="B195">
        <v>7.96762674</v>
      </c>
      <c r="C195">
        <v>7.0825485700000002</v>
      </c>
      <c r="D195">
        <v>7.7844732399999996</v>
      </c>
      <c r="E195">
        <v>5.8377304499999996</v>
      </c>
      <c r="F195">
        <v>7.8013913199999996</v>
      </c>
      <c r="G195">
        <v>8.6123215399999999</v>
      </c>
      <c r="I195">
        <v>69.718999999999994</v>
      </c>
      <c r="J195">
        <v>6.1569789899999998</v>
      </c>
      <c r="K195">
        <v>5.6489742400000003</v>
      </c>
      <c r="L195">
        <v>7.7939990899999998</v>
      </c>
      <c r="M195">
        <v>5.7493929899999996</v>
      </c>
      <c r="N195">
        <v>7.80506704</v>
      </c>
      <c r="O195">
        <v>8.5705443700000004</v>
      </c>
      <c r="Q195">
        <v>69.718999999999994</v>
      </c>
      <c r="R195">
        <v>7.7698010000000002</v>
      </c>
      <c r="S195">
        <v>7.1420365700000001</v>
      </c>
      <c r="T195">
        <v>7.7380522999999997</v>
      </c>
      <c r="U195">
        <v>6.9763480700000002</v>
      </c>
      <c r="V195">
        <v>7.8013913199999996</v>
      </c>
      <c r="W195">
        <v>8.8667226699999997</v>
      </c>
      <c r="Y195">
        <v>69.718999999999994</v>
      </c>
      <c r="Z195">
        <v>5.4722706700000003</v>
      </c>
      <c r="AA195">
        <v>5.3375380799999999</v>
      </c>
      <c r="AB195">
        <v>6.6346333599999996</v>
      </c>
      <c r="AC195">
        <v>7.2011708800000003</v>
      </c>
      <c r="AD195">
        <v>5.8464387799999997</v>
      </c>
      <c r="AE195">
        <v>5.5373342699999997</v>
      </c>
    </row>
    <row r="196" spans="1:31" x14ac:dyDescent="0.2">
      <c r="A196">
        <v>70.084000000000003</v>
      </c>
      <c r="B196">
        <v>7.9624156800000003</v>
      </c>
      <c r="C196">
        <v>7.0817085899999999</v>
      </c>
      <c r="D196">
        <v>7.7882115599999997</v>
      </c>
      <c r="E196">
        <v>5.83188248</v>
      </c>
      <c r="F196">
        <v>7.7952349300000003</v>
      </c>
      <c r="G196">
        <v>8.6137752899999995</v>
      </c>
      <c r="I196">
        <v>70.084000000000003</v>
      </c>
      <c r="J196">
        <v>6.1882641200000004</v>
      </c>
      <c r="K196">
        <v>5.6524891799999999</v>
      </c>
      <c r="L196">
        <v>7.7939990899999998</v>
      </c>
      <c r="M196">
        <v>5.7557422100000002</v>
      </c>
      <c r="N196">
        <v>7.8066963700000001</v>
      </c>
      <c r="O196">
        <v>8.5686464699999991</v>
      </c>
      <c r="Q196">
        <v>70.084000000000003</v>
      </c>
      <c r="R196">
        <v>7.7981126300000003</v>
      </c>
      <c r="S196">
        <v>7.1459844700000001</v>
      </c>
      <c r="T196">
        <v>7.7363071000000003</v>
      </c>
      <c r="U196">
        <v>6.9810057399999996</v>
      </c>
      <c r="V196">
        <v>7.8042513800000002</v>
      </c>
      <c r="W196">
        <v>8.8644640599999995</v>
      </c>
      <c r="Y196">
        <v>70.084000000000003</v>
      </c>
      <c r="Z196">
        <v>5.4680601400000004</v>
      </c>
      <c r="AA196">
        <v>5.3423342500000004</v>
      </c>
      <c r="AB196">
        <v>6.67834211</v>
      </c>
      <c r="AC196">
        <v>7.2751723200000002</v>
      </c>
      <c r="AD196">
        <v>5.8692969100000001</v>
      </c>
      <c r="AE196">
        <v>5.5373342699999997</v>
      </c>
    </row>
    <row r="197" spans="1:31" x14ac:dyDescent="0.2">
      <c r="A197">
        <v>70.449027799999996</v>
      </c>
      <c r="B197">
        <v>7.9683194999999998</v>
      </c>
      <c r="C197">
        <v>7.07749805</v>
      </c>
      <c r="D197">
        <v>7.7857209000000003</v>
      </c>
      <c r="E197">
        <v>5.8377304499999996</v>
      </c>
      <c r="F197">
        <v>7.8066963700000001</v>
      </c>
      <c r="G197">
        <v>8.6086778800000001</v>
      </c>
      <c r="I197">
        <v>70.449027799999996</v>
      </c>
      <c r="J197">
        <v>6.1862086200000004</v>
      </c>
      <c r="K197">
        <v>5.6664266899999998</v>
      </c>
      <c r="L197">
        <v>7.7935867999999999</v>
      </c>
      <c r="M197">
        <v>5.7557422100000002</v>
      </c>
      <c r="N197">
        <v>7.8038432999999996</v>
      </c>
      <c r="O197">
        <v>8.5676961699999996</v>
      </c>
      <c r="Q197">
        <v>70.449027799999996</v>
      </c>
      <c r="R197">
        <v>7.8276395499999998</v>
      </c>
      <c r="S197">
        <v>7.1678091799999999</v>
      </c>
      <c r="T197">
        <v>7.73455884</v>
      </c>
      <c r="U197">
        <v>6.9772813400000002</v>
      </c>
      <c r="V197">
        <v>7.7960579699999997</v>
      </c>
      <c r="W197">
        <v>8.8640399999999993</v>
      </c>
      <c r="Y197">
        <v>70.449027799999996</v>
      </c>
      <c r="Z197">
        <v>5.4764635500000001</v>
      </c>
      <c r="AA197">
        <v>5.3565862700000002</v>
      </c>
      <c r="AB197">
        <v>6.7262333999999999</v>
      </c>
      <c r="AC197">
        <v>7.3447190500000001</v>
      </c>
      <c r="AD197">
        <v>5.8664680599999999</v>
      </c>
      <c r="AE197">
        <v>5.54126355</v>
      </c>
    </row>
    <row r="198" spans="1:31" x14ac:dyDescent="0.2">
      <c r="A198">
        <v>70.814027800000005</v>
      </c>
      <c r="B198">
        <v>7.96346007</v>
      </c>
      <c r="C198">
        <v>7.07918439</v>
      </c>
      <c r="D198">
        <v>7.7865518099999997</v>
      </c>
      <c r="E198">
        <v>5.83188248</v>
      </c>
      <c r="F198">
        <v>7.8030266399999997</v>
      </c>
      <c r="G198">
        <v>8.6105013699999997</v>
      </c>
      <c r="I198">
        <v>70.814027800000005</v>
      </c>
      <c r="J198">
        <v>6.2126061000000004</v>
      </c>
      <c r="K198">
        <v>5.70044357</v>
      </c>
      <c r="L198">
        <v>7.7906960300000003</v>
      </c>
      <c r="M198">
        <v>5.7557422100000002</v>
      </c>
      <c r="N198">
        <v>7.80016307</v>
      </c>
      <c r="O198">
        <v>8.5646491299999994</v>
      </c>
      <c r="Q198">
        <v>70.814027800000005</v>
      </c>
      <c r="R198">
        <v>7.8758791600000002</v>
      </c>
      <c r="S198">
        <v>7.1762545299999996</v>
      </c>
      <c r="T198">
        <v>7.7306140699999997</v>
      </c>
      <c r="U198">
        <v>6.9735430200000001</v>
      </c>
      <c r="V198">
        <v>7.8038432999999996</v>
      </c>
      <c r="W198">
        <v>8.8614918599999992</v>
      </c>
      <c r="Y198">
        <v>70.814027800000005</v>
      </c>
      <c r="Z198">
        <v>5.4680601400000004</v>
      </c>
      <c r="AA198">
        <v>5.3327187900000004</v>
      </c>
      <c r="AB198">
        <v>6.7719355600000002</v>
      </c>
      <c r="AC198">
        <v>7.4199799200000003</v>
      </c>
      <c r="AD198">
        <v>5.8777357800000001</v>
      </c>
      <c r="AE198">
        <v>5.5606816300000004</v>
      </c>
    </row>
    <row r="199" spans="1:31" x14ac:dyDescent="0.2">
      <c r="A199">
        <v>71.1790278</v>
      </c>
      <c r="B199">
        <v>7.9638079499999996</v>
      </c>
      <c r="C199">
        <v>7.0859014599999997</v>
      </c>
      <c r="D199">
        <v>7.7836406</v>
      </c>
      <c r="E199">
        <v>5.8464387799999997</v>
      </c>
      <c r="F199">
        <v>7.8018004000000003</v>
      </c>
      <c r="G199">
        <v>8.6101369400000003</v>
      </c>
      <c r="I199">
        <v>71.1790278</v>
      </c>
      <c r="J199">
        <v>6.2422232700000002</v>
      </c>
      <c r="K199">
        <v>5.7170277</v>
      </c>
      <c r="L199">
        <v>7.7902823799999998</v>
      </c>
      <c r="M199">
        <v>5.7525726400000003</v>
      </c>
      <c r="N199">
        <v>7.80343506</v>
      </c>
      <c r="O199">
        <v>8.5697856399999992</v>
      </c>
      <c r="Q199">
        <v>71.1790278</v>
      </c>
      <c r="R199">
        <v>7.8830693500000004</v>
      </c>
      <c r="S199">
        <v>7.1451961300000004</v>
      </c>
      <c r="T199">
        <v>7.7371800799999999</v>
      </c>
      <c r="U199">
        <v>6.9735430200000001</v>
      </c>
      <c r="V199">
        <v>7.7977020399999999</v>
      </c>
      <c r="W199">
        <v>8.8552356200000002</v>
      </c>
      <c r="Y199">
        <v>71.1790278</v>
      </c>
      <c r="Z199">
        <v>5.4680601400000004</v>
      </c>
      <c r="AA199">
        <v>5.3471075299999997</v>
      </c>
      <c r="AB199">
        <v>6.8276292300000003</v>
      </c>
      <c r="AC199">
        <v>7.4966524400000001</v>
      </c>
      <c r="AD199">
        <v>5.8888779600000003</v>
      </c>
      <c r="AE199">
        <v>5.5606816300000004</v>
      </c>
    </row>
    <row r="200" spans="1:31" x14ac:dyDescent="0.2">
      <c r="A200">
        <v>71.544055599999993</v>
      </c>
      <c r="B200">
        <v>7.9603236300000004</v>
      </c>
      <c r="C200">
        <v>7.09007684</v>
      </c>
      <c r="D200">
        <v>7.7782114699999996</v>
      </c>
      <c r="E200">
        <v>5.8721177899999999</v>
      </c>
      <c r="F200">
        <v>7.8042513800000002</v>
      </c>
      <c r="G200">
        <v>8.6072166899999996</v>
      </c>
      <c r="I200">
        <v>71.544055599999993</v>
      </c>
      <c r="J200">
        <v>6.2595814599999997</v>
      </c>
      <c r="K200">
        <v>5.7683210000000003</v>
      </c>
      <c r="L200">
        <v>7.7993433999999997</v>
      </c>
      <c r="M200">
        <v>5.7776523199999996</v>
      </c>
      <c r="N200">
        <v>7.80506704</v>
      </c>
      <c r="O200">
        <v>8.5635040900000003</v>
      </c>
      <c r="Q200">
        <v>71.544055599999993</v>
      </c>
      <c r="R200">
        <v>7.8860814000000001</v>
      </c>
      <c r="S200">
        <v>7.1467721800000001</v>
      </c>
      <c r="T200">
        <v>7.7301748000000003</v>
      </c>
      <c r="U200">
        <v>6.9828627499999998</v>
      </c>
      <c r="V200">
        <v>7.7944112099999998</v>
      </c>
      <c r="W200">
        <v>8.8651704200000001</v>
      </c>
      <c r="Y200">
        <v>71.544055599999993</v>
      </c>
      <c r="Z200">
        <v>5.4847969299999999</v>
      </c>
      <c r="AA200">
        <v>5.3844950599999999</v>
      </c>
      <c r="AB200">
        <v>6.8648477799999998</v>
      </c>
      <c r="AC200">
        <v>7.5704432500000003</v>
      </c>
      <c r="AD200">
        <v>5.9080829399999999</v>
      </c>
      <c r="AE200">
        <v>5.6094717999999997</v>
      </c>
    </row>
    <row r="201" spans="1:31" x14ac:dyDescent="0.2">
      <c r="A201">
        <v>71.909055600000002</v>
      </c>
      <c r="B201">
        <v>7.9603236300000004</v>
      </c>
      <c r="C201">
        <v>7.0800264999999998</v>
      </c>
      <c r="D201">
        <v>7.7790486400000001</v>
      </c>
      <c r="E201">
        <v>5.8550719200000003</v>
      </c>
      <c r="F201">
        <v>7.7989333099999998</v>
      </c>
      <c r="G201">
        <v>8.6086778800000001</v>
      </c>
      <c r="I201">
        <v>71.909055600000002</v>
      </c>
      <c r="J201">
        <v>6.2934192800000002</v>
      </c>
      <c r="K201">
        <v>5.7557422100000002</v>
      </c>
      <c r="L201">
        <v>7.7927617199999997</v>
      </c>
      <c r="M201">
        <v>5.7557422100000002</v>
      </c>
      <c r="N201">
        <v>7.8046593</v>
      </c>
      <c r="O201">
        <v>8.5594861000000009</v>
      </c>
      <c r="Q201">
        <v>71.909055600000002</v>
      </c>
      <c r="R201">
        <v>7.8826922100000001</v>
      </c>
      <c r="S201">
        <v>7.1236727899999996</v>
      </c>
      <c r="T201">
        <v>7.7301748000000003</v>
      </c>
      <c r="U201">
        <v>6.97914528</v>
      </c>
      <c r="V201">
        <v>7.7906960300000003</v>
      </c>
      <c r="W201">
        <v>8.8589372199999996</v>
      </c>
      <c r="Y201">
        <v>71.909055600000002</v>
      </c>
      <c r="Z201">
        <v>5.48893773</v>
      </c>
      <c r="AA201">
        <v>5.3471075299999997</v>
      </c>
      <c r="AB201">
        <v>6.9343972100000002</v>
      </c>
      <c r="AC201">
        <v>7.6434829100000004</v>
      </c>
      <c r="AD201">
        <v>5.91079664</v>
      </c>
      <c r="AE201">
        <v>5.5759490999999999</v>
      </c>
    </row>
    <row r="202" spans="1:31" x14ac:dyDescent="0.2">
      <c r="A202">
        <v>72.274083300000001</v>
      </c>
      <c r="B202">
        <v>7.9599745300000002</v>
      </c>
      <c r="C202">
        <v>7.1074254699999999</v>
      </c>
      <c r="D202">
        <v>7.7807208899999996</v>
      </c>
      <c r="E202">
        <v>5.9053618500000002</v>
      </c>
      <c r="F202">
        <v>7.8099470899999996</v>
      </c>
      <c r="G202">
        <v>8.6066681999999997</v>
      </c>
      <c r="I202">
        <v>72.274083300000001</v>
      </c>
      <c r="J202">
        <v>6.3171646900000002</v>
      </c>
      <c r="K202">
        <v>5.7365722999999997</v>
      </c>
      <c r="L202">
        <v>7.7927617199999997</v>
      </c>
      <c r="M202">
        <v>5.7333412800000003</v>
      </c>
      <c r="N202">
        <v>7.8018004000000003</v>
      </c>
      <c r="O202">
        <v>8.5517878399999994</v>
      </c>
      <c r="Q202">
        <v>72.274083300000001</v>
      </c>
      <c r="R202">
        <v>7.8811821999999996</v>
      </c>
      <c r="S202">
        <v>7.1356873500000004</v>
      </c>
      <c r="T202">
        <v>7.7284157799999997</v>
      </c>
      <c r="U202">
        <v>6.9957661599999996</v>
      </c>
      <c r="V202">
        <v>7.7923489200000002</v>
      </c>
      <c r="W202">
        <v>8.8505176199999998</v>
      </c>
      <c r="Y202">
        <v>72.274083300000001</v>
      </c>
      <c r="Z202">
        <v>5.4806389199999996</v>
      </c>
      <c r="AA202">
        <v>5.2729995599999997</v>
      </c>
      <c r="AB202">
        <v>6.9744789100000002</v>
      </c>
      <c r="AC202">
        <v>7.7025561099999997</v>
      </c>
      <c r="AD202">
        <v>5.9269260299999997</v>
      </c>
      <c r="AE202">
        <v>5.54126355</v>
      </c>
    </row>
    <row r="203" spans="1:31" x14ac:dyDescent="0.2">
      <c r="A203">
        <v>72.639083299999996</v>
      </c>
      <c r="B203">
        <v>7.9561263499999999</v>
      </c>
      <c r="C203">
        <v>7.0934046300000002</v>
      </c>
      <c r="D203">
        <v>7.7894545700000002</v>
      </c>
      <c r="E203">
        <v>5.8664680599999999</v>
      </c>
      <c r="F203">
        <v>7.7981126300000003</v>
      </c>
      <c r="G203">
        <v>8.6112298299999992</v>
      </c>
      <c r="I203">
        <v>72.639083299999996</v>
      </c>
      <c r="J203">
        <v>6.3526293999999996</v>
      </c>
      <c r="K203">
        <v>5.8377304499999996</v>
      </c>
      <c r="L203">
        <v>7.7927617199999997</v>
      </c>
      <c r="M203">
        <v>5.8051349700000001</v>
      </c>
      <c r="N203">
        <v>7.8026180600000004</v>
      </c>
      <c r="O203">
        <v>8.5558368199999997</v>
      </c>
      <c r="Q203">
        <v>72.639083299999996</v>
      </c>
      <c r="R203">
        <v>7.8800482000000001</v>
      </c>
      <c r="S203">
        <v>7.1252830899999999</v>
      </c>
      <c r="T203">
        <v>7.72444665</v>
      </c>
      <c r="U203">
        <v>6.9847163200000004</v>
      </c>
      <c r="V203">
        <v>7.79152282</v>
      </c>
      <c r="W203">
        <v>8.8626251699999994</v>
      </c>
      <c r="Y203">
        <v>72.639083299999996</v>
      </c>
      <c r="Z203">
        <v>5.4806389199999996</v>
      </c>
      <c r="AA203">
        <v>5.3844950599999999</v>
      </c>
      <c r="AB203">
        <v>7.0396603500000001</v>
      </c>
      <c r="AC203">
        <v>7.7882115599999997</v>
      </c>
      <c r="AD203">
        <v>5.9375362100000002</v>
      </c>
      <c r="AE203">
        <v>5.6419070700000002</v>
      </c>
    </row>
    <row r="204" spans="1:31" x14ac:dyDescent="0.2">
      <c r="A204">
        <v>73.004555600000003</v>
      </c>
      <c r="B204">
        <v>7.9603236300000004</v>
      </c>
      <c r="C204">
        <v>7.0950643800000002</v>
      </c>
      <c r="D204">
        <v>7.7803030900000003</v>
      </c>
      <c r="E204">
        <v>5.87493073</v>
      </c>
      <c r="F204">
        <v>7.7960579699999997</v>
      </c>
      <c r="G204">
        <v>8.6103191700000004</v>
      </c>
      <c r="I204">
        <v>73.004555600000003</v>
      </c>
      <c r="J204">
        <v>6.3784261799999999</v>
      </c>
      <c r="K204">
        <v>5.8464387799999997</v>
      </c>
      <c r="L204">
        <v>7.7894545700000002</v>
      </c>
      <c r="M204">
        <v>5.7899601699999996</v>
      </c>
      <c r="N204">
        <v>7.8030266399999997</v>
      </c>
      <c r="O204">
        <v>8.5566061900000001</v>
      </c>
      <c r="Q204">
        <v>73.004555600000003</v>
      </c>
      <c r="R204">
        <v>7.8754992899999996</v>
      </c>
      <c r="S204">
        <v>7.1139561100000002</v>
      </c>
      <c r="T204">
        <v>7.72488844</v>
      </c>
      <c r="U204">
        <v>6.9763480700000002</v>
      </c>
      <c r="V204">
        <v>7.7906960300000003</v>
      </c>
      <c r="W204">
        <v>8.85936345</v>
      </c>
      <c r="Y204">
        <v>73.004555600000003</v>
      </c>
      <c r="Z204">
        <v>5.4806389199999996</v>
      </c>
      <c r="AA204">
        <v>5.4026773800000001</v>
      </c>
      <c r="AB204">
        <v>7.1024993600000004</v>
      </c>
      <c r="AC204">
        <v>7.8586406599999998</v>
      </c>
      <c r="AD204">
        <v>5.9427993800000003</v>
      </c>
      <c r="AE204">
        <v>5.6664266899999998</v>
      </c>
    </row>
    <row r="205" spans="1:31" x14ac:dyDescent="0.2">
      <c r="A205">
        <v>73.369444400000006</v>
      </c>
      <c r="B205">
        <v>7.9578773600000003</v>
      </c>
      <c r="C205">
        <v>7.0715733600000004</v>
      </c>
      <c r="D205">
        <v>7.7786301499999997</v>
      </c>
      <c r="E205">
        <v>5.8464387799999997</v>
      </c>
      <c r="F205">
        <v>7.8038432999999996</v>
      </c>
      <c r="G205">
        <v>8.6095900400000005</v>
      </c>
      <c r="I205">
        <v>73.369444400000006</v>
      </c>
      <c r="J205">
        <v>6.3851943999999996</v>
      </c>
      <c r="K205">
        <v>5.8464387799999997</v>
      </c>
      <c r="L205">
        <v>7.7931743500000001</v>
      </c>
      <c r="M205">
        <v>5.7589017699999996</v>
      </c>
      <c r="N205">
        <v>7.80343506</v>
      </c>
      <c r="O205">
        <v>8.5564139000000008</v>
      </c>
      <c r="Q205">
        <v>73.369444400000006</v>
      </c>
      <c r="R205">
        <v>7.87625888</v>
      </c>
      <c r="S205">
        <v>7.0975488499999999</v>
      </c>
      <c r="T205">
        <v>7.7275351099999998</v>
      </c>
      <c r="U205">
        <v>6.9763480700000002</v>
      </c>
      <c r="V205">
        <v>7.7935867999999999</v>
      </c>
      <c r="W205">
        <v>8.8550929800000002</v>
      </c>
      <c r="Y205">
        <v>73.369444400000006</v>
      </c>
      <c r="Z205">
        <v>5.4595855100000001</v>
      </c>
      <c r="AA205">
        <v>5.3423342500000004</v>
      </c>
      <c r="AB205">
        <v>7.1631723899999997</v>
      </c>
      <c r="AC205">
        <v>7.9189924899999999</v>
      </c>
      <c r="AD205">
        <v>5.9661467400000001</v>
      </c>
      <c r="AE205">
        <v>5.63835467</v>
      </c>
    </row>
    <row r="206" spans="1:31" x14ac:dyDescent="0.2">
      <c r="A206">
        <v>73.734444400000001</v>
      </c>
      <c r="B206">
        <v>7.95331835</v>
      </c>
      <c r="C206">
        <v>7.0825485700000002</v>
      </c>
      <c r="D206">
        <v>7.7777926300000004</v>
      </c>
      <c r="E206">
        <v>5.8607862199999996</v>
      </c>
      <c r="F206">
        <v>7.79482315</v>
      </c>
      <c r="G206">
        <v>8.6039211899999994</v>
      </c>
      <c r="I206">
        <v>73.734444400000001</v>
      </c>
      <c r="J206">
        <v>6.4345465199999996</v>
      </c>
      <c r="K206">
        <v>5.8805329899999998</v>
      </c>
      <c r="L206">
        <v>7.7944112099999998</v>
      </c>
      <c r="M206">
        <v>5.7620513799999999</v>
      </c>
      <c r="N206">
        <v>7.8018004000000003</v>
      </c>
      <c r="O206">
        <v>8.5514013599999998</v>
      </c>
      <c r="Q206">
        <v>73.734444400000001</v>
      </c>
      <c r="R206">
        <v>7.86940171</v>
      </c>
      <c r="S206">
        <v>7.0992017399999998</v>
      </c>
      <c r="T206">
        <v>7.7310531400000002</v>
      </c>
      <c r="U206">
        <v>6.9707300800000001</v>
      </c>
      <c r="V206">
        <v>7.8018004000000003</v>
      </c>
      <c r="W206">
        <v>8.85352256</v>
      </c>
      <c r="Y206">
        <v>73.734444400000001</v>
      </c>
      <c r="Z206">
        <v>5.4680601400000004</v>
      </c>
      <c r="AA206">
        <v>5.3423342500000004</v>
      </c>
      <c r="AB206">
        <v>7.2254814700000001</v>
      </c>
      <c r="AC206">
        <v>7.9858246700000004</v>
      </c>
      <c r="AD206">
        <v>5.97380961</v>
      </c>
      <c r="AE206">
        <v>5.63835467</v>
      </c>
    </row>
    <row r="207" spans="1:31" x14ac:dyDescent="0.2">
      <c r="A207">
        <v>74.099472199999994</v>
      </c>
      <c r="B207">
        <v>7.9620673100000001</v>
      </c>
      <c r="C207">
        <v>7.0604763699999999</v>
      </c>
      <c r="D207">
        <v>7.7769544000000002</v>
      </c>
      <c r="E207">
        <v>5.7990926500000004</v>
      </c>
      <c r="F207">
        <v>7.80343506</v>
      </c>
      <c r="G207">
        <v>8.5989574900000001</v>
      </c>
      <c r="I207">
        <v>74.099472199999994</v>
      </c>
      <c r="J207">
        <v>6.4599044499999998</v>
      </c>
      <c r="K207">
        <v>5.8377304499999996</v>
      </c>
      <c r="L207">
        <v>7.7902823799999998</v>
      </c>
      <c r="M207">
        <v>5.7071102600000003</v>
      </c>
      <c r="N207">
        <v>7.8013913199999996</v>
      </c>
      <c r="O207">
        <v>8.5407143899999998</v>
      </c>
      <c r="Q207">
        <v>74.099472199999994</v>
      </c>
      <c r="R207">
        <v>7.8651879500000001</v>
      </c>
      <c r="S207">
        <v>7.0758088600000004</v>
      </c>
      <c r="T207">
        <v>7.72444665</v>
      </c>
      <c r="U207">
        <v>6.9421567099999999</v>
      </c>
      <c r="V207">
        <v>7.7956465399999999</v>
      </c>
      <c r="W207">
        <v>8.8460651899999991</v>
      </c>
      <c r="Y207">
        <v>74.099472199999994</v>
      </c>
      <c r="Z207">
        <v>5.4764635500000001</v>
      </c>
      <c r="AA207">
        <v>5.2257466700000004</v>
      </c>
      <c r="AB207">
        <v>7.2751723200000002</v>
      </c>
      <c r="AC207">
        <v>8.0228968700000003</v>
      </c>
      <c r="AD207">
        <v>5.9889614199999999</v>
      </c>
      <c r="AE207">
        <v>5.5451774399999998</v>
      </c>
    </row>
    <row r="208" spans="1:31" x14ac:dyDescent="0.2">
      <c r="A208">
        <v>74.464472200000003</v>
      </c>
      <c r="B208">
        <v>7.9543722700000004</v>
      </c>
      <c r="C208">
        <v>7.0749632</v>
      </c>
      <c r="D208">
        <v>7.7756957499999997</v>
      </c>
      <c r="E208">
        <v>5.8493247799999999</v>
      </c>
      <c r="F208">
        <v>7.8009820699999999</v>
      </c>
      <c r="G208">
        <v>8.6059363999999992</v>
      </c>
      <c r="I208">
        <v>74.464472200000003</v>
      </c>
      <c r="J208">
        <v>6.5072777100000003</v>
      </c>
      <c r="K208">
        <v>5.9401712499999997</v>
      </c>
      <c r="L208">
        <v>7.7923489200000002</v>
      </c>
      <c r="M208">
        <v>5.7776523199999996</v>
      </c>
      <c r="N208">
        <v>7.80547463</v>
      </c>
      <c r="O208">
        <v>8.5521741599999999</v>
      </c>
      <c r="Q208">
        <v>74.464472200000003</v>
      </c>
      <c r="R208">
        <v>7.8624972</v>
      </c>
      <c r="S208">
        <v>7.0892431599999997</v>
      </c>
      <c r="T208">
        <v>7.7332456499999997</v>
      </c>
      <c r="U208">
        <v>6.96508035</v>
      </c>
      <c r="V208">
        <v>7.7968803400000004</v>
      </c>
      <c r="W208">
        <v>8.8508042000000007</v>
      </c>
      <c r="Y208">
        <v>74.464472200000003</v>
      </c>
      <c r="Z208">
        <v>5.4847969299999999</v>
      </c>
      <c r="AA208">
        <v>5.3659760199999997</v>
      </c>
      <c r="AB208">
        <v>7.3472996999999998</v>
      </c>
      <c r="AC208">
        <v>8.07620453</v>
      </c>
      <c r="AD208">
        <v>6.0088131899999997</v>
      </c>
      <c r="AE208">
        <v>5.6698809199999998</v>
      </c>
    </row>
    <row r="209" spans="1:31" x14ac:dyDescent="0.2">
      <c r="A209">
        <v>74.829472199999998</v>
      </c>
      <c r="B209">
        <v>7.9617188199999998</v>
      </c>
      <c r="C209">
        <v>7.0630481600000001</v>
      </c>
      <c r="D209">
        <v>7.7777926300000004</v>
      </c>
      <c r="E209">
        <v>5.7990926500000004</v>
      </c>
      <c r="F209">
        <v>7.7931743500000001</v>
      </c>
      <c r="G209">
        <v>8.5974820199999993</v>
      </c>
      <c r="I209">
        <v>74.829472199999998</v>
      </c>
      <c r="J209">
        <v>6.5395859600000001</v>
      </c>
      <c r="K209">
        <v>5.8971538700000004</v>
      </c>
      <c r="L209">
        <v>7.7989333099999998</v>
      </c>
      <c r="M209">
        <v>5.7037824700000002</v>
      </c>
      <c r="N209">
        <v>7.8030266399999997</v>
      </c>
      <c r="O209">
        <v>8.5426659899999997</v>
      </c>
      <c r="Q209">
        <v>74.829472199999998</v>
      </c>
      <c r="R209">
        <v>7.8667222900000002</v>
      </c>
      <c r="S209">
        <v>7.0758088600000004</v>
      </c>
      <c r="T209">
        <v>7.7191298399999999</v>
      </c>
      <c r="U209">
        <v>6.9431224199999999</v>
      </c>
      <c r="V209">
        <v>7.7935867999999999</v>
      </c>
      <c r="W209">
        <v>8.8431820999999999</v>
      </c>
      <c r="Y209">
        <v>74.829472199999998</v>
      </c>
      <c r="Z209">
        <v>5.4806389199999996</v>
      </c>
      <c r="AA209">
        <v>5.20948615</v>
      </c>
      <c r="AB209">
        <v>7.4048875799999996</v>
      </c>
      <c r="AC209">
        <v>8.0882547299999992</v>
      </c>
      <c r="AD209">
        <v>6.0282785199999998</v>
      </c>
      <c r="AE209">
        <v>5.5909869800000003</v>
      </c>
    </row>
    <row r="210" spans="1:31" x14ac:dyDescent="0.2">
      <c r="A210">
        <v>75.194500000000005</v>
      </c>
      <c r="B210">
        <v>7.9508548599999997</v>
      </c>
      <c r="C210">
        <v>7.0758088600000004</v>
      </c>
      <c r="D210">
        <v>7.7857209000000003</v>
      </c>
      <c r="E210">
        <v>5.8550719200000003</v>
      </c>
      <c r="F210">
        <v>7.8026180600000004</v>
      </c>
      <c r="G210">
        <v>8.6057533700000004</v>
      </c>
      <c r="I210">
        <v>75.194500000000005</v>
      </c>
      <c r="J210">
        <v>6.5596152400000003</v>
      </c>
      <c r="K210">
        <v>5.9939614299999997</v>
      </c>
      <c r="L210">
        <v>7.7960579699999997</v>
      </c>
      <c r="M210">
        <v>5.7683210000000003</v>
      </c>
      <c r="N210">
        <v>7.8042513800000002</v>
      </c>
      <c r="O210">
        <v>8.5432507300000005</v>
      </c>
      <c r="Q210">
        <v>75.194500000000005</v>
      </c>
      <c r="R210">
        <v>7.85941315</v>
      </c>
      <c r="S210">
        <v>7.08673793</v>
      </c>
      <c r="T210">
        <v>7.7213486099999997</v>
      </c>
      <c r="U210">
        <v>6.9735430200000001</v>
      </c>
      <c r="V210">
        <v>7.7906960300000003</v>
      </c>
      <c r="W210">
        <v>8.8489400000000007</v>
      </c>
      <c r="Y210">
        <v>75.194500000000005</v>
      </c>
      <c r="Z210">
        <v>5.5012582099999996</v>
      </c>
      <c r="AA210">
        <v>5.3327187900000004</v>
      </c>
      <c r="AB210">
        <v>7.4639366000000003</v>
      </c>
      <c r="AC210">
        <v>8.1185050699999994</v>
      </c>
      <c r="AD210">
        <v>6.0378709199999996</v>
      </c>
      <c r="AE210">
        <v>5.6801726099999996</v>
      </c>
    </row>
    <row r="211" spans="1:31" x14ac:dyDescent="0.2">
      <c r="A211">
        <v>75.5595</v>
      </c>
      <c r="B211">
        <v>7.9568271199999998</v>
      </c>
      <c r="C211">
        <v>7.07749805</v>
      </c>
      <c r="D211">
        <v>7.7756957499999997</v>
      </c>
      <c r="E211">
        <v>5.8493247799999999</v>
      </c>
      <c r="F211">
        <v>7.8018004000000003</v>
      </c>
      <c r="G211">
        <v>8.6044712000000008</v>
      </c>
      <c r="I211">
        <v>75.5595</v>
      </c>
      <c r="J211">
        <v>6.59578051</v>
      </c>
      <c r="K211">
        <v>6.0161571599999997</v>
      </c>
      <c r="L211">
        <v>7.7989333099999998</v>
      </c>
      <c r="M211">
        <v>5.7714411200000004</v>
      </c>
      <c r="N211">
        <v>7.80547463</v>
      </c>
      <c r="O211">
        <v>8.5434455600000003</v>
      </c>
      <c r="Q211">
        <v>75.5595</v>
      </c>
      <c r="R211">
        <v>7.8508826599999999</v>
      </c>
      <c r="S211">
        <v>7.0942348500000003</v>
      </c>
      <c r="T211">
        <v>7.7209052500000004</v>
      </c>
      <c r="U211">
        <v>6.9679092000000002</v>
      </c>
      <c r="V211">
        <v>7.7931743500000001</v>
      </c>
      <c r="W211">
        <v>8.8460651899999991</v>
      </c>
      <c r="Y211">
        <v>75.5595</v>
      </c>
      <c r="Z211">
        <v>5.4764635500000001</v>
      </c>
      <c r="AA211">
        <v>5.3518581300000001</v>
      </c>
      <c r="AB211">
        <v>7.5049420700000002</v>
      </c>
      <c r="AC211">
        <v>8.1400239499999998</v>
      </c>
      <c r="AD211">
        <v>6.0567840100000003</v>
      </c>
      <c r="AE211">
        <v>5.7037824700000002</v>
      </c>
    </row>
    <row r="212" spans="1:31" x14ac:dyDescent="0.2">
      <c r="A212">
        <v>75.924527800000007</v>
      </c>
      <c r="B212">
        <v>7.9617188199999998</v>
      </c>
      <c r="C212">
        <v>7.08757371</v>
      </c>
      <c r="D212">
        <v>7.7765350299999998</v>
      </c>
      <c r="E212">
        <v>5.8692969100000001</v>
      </c>
      <c r="F212">
        <v>7.7972912699999997</v>
      </c>
      <c r="G212">
        <v>8.6099546700000005</v>
      </c>
      <c r="I212">
        <v>75.924527800000007</v>
      </c>
      <c r="J212">
        <v>6.62804138</v>
      </c>
      <c r="K212">
        <v>6.0753460300000004</v>
      </c>
      <c r="L212">
        <v>7.8005726500000003</v>
      </c>
      <c r="M212">
        <v>5.7776523199999996</v>
      </c>
      <c r="N212">
        <v>7.8030266399999997</v>
      </c>
      <c r="O212">
        <v>8.5521741599999999</v>
      </c>
      <c r="Q212">
        <v>75.924527800000007</v>
      </c>
      <c r="R212">
        <v>7.85282781</v>
      </c>
      <c r="S212">
        <v>7.0859014599999997</v>
      </c>
      <c r="T212">
        <v>7.7213486099999997</v>
      </c>
      <c r="U212">
        <v>6.9763480700000002</v>
      </c>
      <c r="V212">
        <v>7.7960579699999997</v>
      </c>
      <c r="W212">
        <v>8.8530938399999997</v>
      </c>
      <c r="Y212">
        <v>75.924527800000007</v>
      </c>
      <c r="Z212">
        <v>5.49306144</v>
      </c>
      <c r="AA212">
        <v>5.4026773800000001</v>
      </c>
      <c r="AB212">
        <v>7.5390270599999996</v>
      </c>
      <c r="AC212">
        <v>8.1576570200000003</v>
      </c>
      <c r="AD212">
        <v>6.0730445299999998</v>
      </c>
      <c r="AE212">
        <v>5.7620513799999999</v>
      </c>
    </row>
    <row r="213" spans="1:31" x14ac:dyDescent="0.2">
      <c r="A213">
        <v>76.289527800000002</v>
      </c>
      <c r="B213">
        <v>7.9589264899999996</v>
      </c>
      <c r="C213">
        <v>7.0732697199999999</v>
      </c>
      <c r="D213">
        <v>7.7790486400000001</v>
      </c>
      <c r="E213">
        <v>5.8550719200000003</v>
      </c>
      <c r="F213">
        <v>7.80506704</v>
      </c>
      <c r="G213">
        <v>8.6088603799999994</v>
      </c>
      <c r="I213">
        <v>76.289527800000002</v>
      </c>
      <c r="J213">
        <v>6.6720329500000002</v>
      </c>
      <c r="K213">
        <v>6.1047932300000003</v>
      </c>
      <c r="L213">
        <v>7.8009820699999999</v>
      </c>
      <c r="M213">
        <v>5.7807435199999997</v>
      </c>
      <c r="N213">
        <v>7.8005726500000003</v>
      </c>
      <c r="O213">
        <v>8.54305585</v>
      </c>
      <c r="Q213">
        <v>76.289527800000002</v>
      </c>
      <c r="R213">
        <v>7.8512719999999998</v>
      </c>
      <c r="S213">
        <v>7.0950643800000002</v>
      </c>
      <c r="T213">
        <v>7.7213486099999997</v>
      </c>
      <c r="U213">
        <v>6.9754139300000002</v>
      </c>
      <c r="V213">
        <v>7.7886260700000003</v>
      </c>
      <c r="W213">
        <v>8.8510906899999995</v>
      </c>
      <c r="Y213">
        <v>76.289527800000002</v>
      </c>
      <c r="Z213">
        <v>5.48893773</v>
      </c>
      <c r="AA213">
        <v>5.3659760199999997</v>
      </c>
      <c r="AB213">
        <v>7.5532866099999998</v>
      </c>
      <c r="AC213">
        <v>8.1025864300000006</v>
      </c>
      <c r="AD213">
        <v>6.0799332000000001</v>
      </c>
      <c r="AE213">
        <v>5.7525726400000003</v>
      </c>
    </row>
    <row r="214" spans="1:31" x14ac:dyDescent="0.2">
      <c r="A214">
        <v>76.654527799999997</v>
      </c>
      <c r="B214">
        <v>7.9638079499999996</v>
      </c>
      <c r="C214">
        <v>7.0724219000000002</v>
      </c>
      <c r="D214">
        <v>7.7807208899999996</v>
      </c>
      <c r="E214">
        <v>5.8550719200000003</v>
      </c>
      <c r="F214">
        <v>7.7960579699999997</v>
      </c>
      <c r="G214">
        <v>8.6073994599999999</v>
      </c>
      <c r="I214">
        <v>76.654527799999997</v>
      </c>
      <c r="J214">
        <v>6.7129561999999998</v>
      </c>
      <c r="K214">
        <v>6.1224928099999998</v>
      </c>
      <c r="L214">
        <v>7.7911095100000001</v>
      </c>
      <c r="M214">
        <v>5.77455155</v>
      </c>
      <c r="N214">
        <v>7.80343506</v>
      </c>
      <c r="O214">
        <v>8.5440298499999994</v>
      </c>
      <c r="Q214">
        <v>76.654527799999997</v>
      </c>
      <c r="R214">
        <v>7.8493238200000004</v>
      </c>
      <c r="S214">
        <v>7.0942348500000003</v>
      </c>
      <c r="T214">
        <v>7.7213486099999997</v>
      </c>
      <c r="U214">
        <v>6.9660241899999997</v>
      </c>
      <c r="V214">
        <v>7.79482315</v>
      </c>
      <c r="W214">
        <v>8.8467846699999999</v>
      </c>
      <c r="Y214">
        <v>76.654527799999997</v>
      </c>
      <c r="Z214">
        <v>5.4847969299999999</v>
      </c>
      <c r="AA214">
        <v>5.3518581300000001</v>
      </c>
      <c r="AB214">
        <v>7.5678626099999997</v>
      </c>
      <c r="AC214">
        <v>8.0965129200000003</v>
      </c>
      <c r="AD214">
        <v>6.1047932300000003</v>
      </c>
      <c r="AE214">
        <v>5.7589017699999996</v>
      </c>
    </row>
    <row r="215" spans="1:31" x14ac:dyDescent="0.2">
      <c r="A215">
        <v>77.019555600000004</v>
      </c>
      <c r="B215">
        <v>7.9613702000000002</v>
      </c>
      <c r="C215">
        <v>7.0741168200000004</v>
      </c>
      <c r="D215">
        <v>7.7798851200000003</v>
      </c>
      <c r="E215">
        <v>5.8550719200000003</v>
      </c>
      <c r="F215">
        <v>7.79193596</v>
      </c>
      <c r="G215">
        <v>8.6088603799999994</v>
      </c>
      <c r="I215">
        <v>77.019555600000004</v>
      </c>
      <c r="J215">
        <v>6.7499311899999999</v>
      </c>
      <c r="K215">
        <v>6.1654178499999999</v>
      </c>
      <c r="L215">
        <v>7.7968803400000004</v>
      </c>
      <c r="M215">
        <v>5.7776523199999996</v>
      </c>
      <c r="N215">
        <v>7.8013913199999996</v>
      </c>
      <c r="O215">
        <v>8.5465578000000004</v>
      </c>
      <c r="Q215">
        <v>77.019555600000004</v>
      </c>
      <c r="R215">
        <v>7.8477625399999997</v>
      </c>
      <c r="S215">
        <v>7.0925737199999999</v>
      </c>
      <c r="T215">
        <v>7.7186855000000003</v>
      </c>
      <c r="U215">
        <v>6.9735430200000001</v>
      </c>
      <c r="V215">
        <v>7.79482315</v>
      </c>
      <c r="W215">
        <v>8.8447688299999996</v>
      </c>
      <c r="Y215">
        <v>77.019555600000004</v>
      </c>
      <c r="Z215">
        <v>5.4806389199999996</v>
      </c>
      <c r="AA215">
        <v>5.3423342500000004</v>
      </c>
      <c r="AB215">
        <v>7.5647570100000001</v>
      </c>
      <c r="AC215">
        <v>8.0904022999999992</v>
      </c>
      <c r="AD215">
        <v>6.1246833900000004</v>
      </c>
      <c r="AE215">
        <v>5.78382518</v>
      </c>
    </row>
    <row r="216" spans="1:31" x14ac:dyDescent="0.2">
      <c r="A216">
        <v>77.384555599999999</v>
      </c>
      <c r="B216">
        <v>7.9550742699999999</v>
      </c>
      <c r="C216">
        <v>7.0707241099999996</v>
      </c>
      <c r="D216">
        <v>7.7794669699999996</v>
      </c>
      <c r="E216">
        <v>5.8692969100000001</v>
      </c>
      <c r="F216">
        <v>7.7977020399999999</v>
      </c>
      <c r="G216">
        <v>8.6092252800000004</v>
      </c>
      <c r="I216">
        <v>77.384555599999999</v>
      </c>
      <c r="J216">
        <v>6.78784498</v>
      </c>
      <c r="K216">
        <v>6.2085900299999999</v>
      </c>
      <c r="L216">
        <v>7.7931743500000001</v>
      </c>
      <c r="M216">
        <v>5.7651911</v>
      </c>
      <c r="N216">
        <v>7.81075812</v>
      </c>
      <c r="O216">
        <v>8.5428609400000006</v>
      </c>
      <c r="Q216">
        <v>77.384555599999999</v>
      </c>
      <c r="R216">
        <v>7.8450244199999997</v>
      </c>
      <c r="S216">
        <v>7.08506429</v>
      </c>
      <c r="T216">
        <v>7.7155695299999998</v>
      </c>
      <c r="U216">
        <v>6.9631899900000001</v>
      </c>
      <c r="V216">
        <v>7.79193596</v>
      </c>
      <c r="W216">
        <v>8.8483656899999996</v>
      </c>
      <c r="Y216">
        <v>77.384555599999999</v>
      </c>
      <c r="Z216">
        <v>5.4847969299999999</v>
      </c>
      <c r="AA216">
        <v>5.3565862700000002</v>
      </c>
      <c r="AB216">
        <v>7.5678626099999997</v>
      </c>
      <c r="AC216">
        <v>8.06871619</v>
      </c>
      <c r="AD216">
        <v>6.14418563</v>
      </c>
      <c r="AE216">
        <v>5.7807435199999997</v>
      </c>
    </row>
    <row r="217" spans="1:31" x14ac:dyDescent="0.2">
      <c r="A217">
        <v>77.749583299999998</v>
      </c>
      <c r="B217">
        <v>7.95331835</v>
      </c>
      <c r="C217">
        <v>7.0766538199999998</v>
      </c>
      <c r="D217">
        <v>7.7790486400000001</v>
      </c>
      <c r="E217">
        <v>5.8805329899999998</v>
      </c>
      <c r="F217">
        <v>7.7960579699999997</v>
      </c>
      <c r="G217">
        <v>8.6148642199999994</v>
      </c>
      <c r="I217">
        <v>77.749583299999998</v>
      </c>
      <c r="J217">
        <v>6.8319535699999996</v>
      </c>
      <c r="K217">
        <v>6.2690962800000003</v>
      </c>
      <c r="L217">
        <v>7.79852305</v>
      </c>
      <c r="M217">
        <v>5.79301361</v>
      </c>
      <c r="N217">
        <v>7.8038432999999996</v>
      </c>
      <c r="O217">
        <v>8.5440298499999994</v>
      </c>
      <c r="Q217">
        <v>77.749583299999998</v>
      </c>
      <c r="R217">
        <v>7.8477625399999997</v>
      </c>
      <c r="S217">
        <v>7.1008519100000003</v>
      </c>
      <c r="T217">
        <v>7.72001794</v>
      </c>
      <c r="U217">
        <v>6.9688503800000001</v>
      </c>
      <c r="V217">
        <v>7.7964692400000004</v>
      </c>
      <c r="W217">
        <v>8.8499442300000002</v>
      </c>
      <c r="Y217">
        <v>77.749583299999998</v>
      </c>
      <c r="Z217">
        <v>5.5093883400000001</v>
      </c>
      <c r="AA217">
        <v>5.3981627000000003</v>
      </c>
      <c r="AB217">
        <v>7.5673456799999999</v>
      </c>
      <c r="AC217">
        <v>8.0573774900000004</v>
      </c>
      <c r="AD217">
        <v>6.1717006000000003</v>
      </c>
      <c r="AE217">
        <v>5.8522024799999999</v>
      </c>
    </row>
    <row r="218" spans="1:31" x14ac:dyDescent="0.2">
      <c r="A218">
        <v>78.114583300000007</v>
      </c>
      <c r="B218">
        <v>7.9578773600000003</v>
      </c>
      <c r="C218">
        <v>7.0749632</v>
      </c>
      <c r="D218">
        <v>7.7773735999999998</v>
      </c>
      <c r="E218">
        <v>5.87493073</v>
      </c>
      <c r="F218">
        <v>7.7964692400000004</v>
      </c>
      <c r="G218">
        <v>8.6112298299999992</v>
      </c>
      <c r="I218">
        <v>78.114583300000007</v>
      </c>
      <c r="J218">
        <v>6.86275791</v>
      </c>
      <c r="K218">
        <v>6.3261494699999998</v>
      </c>
      <c r="L218">
        <v>7.7972912699999997</v>
      </c>
      <c r="M218">
        <v>5.8081424899999998</v>
      </c>
      <c r="N218">
        <v>7.81156849</v>
      </c>
      <c r="O218">
        <v>8.5442245299999993</v>
      </c>
      <c r="Q218">
        <v>78.114583300000007</v>
      </c>
      <c r="R218">
        <v>7.8387375600000002</v>
      </c>
      <c r="S218">
        <v>7.1066061400000002</v>
      </c>
      <c r="T218">
        <v>7.72001794</v>
      </c>
      <c r="U218">
        <v>6.96508035</v>
      </c>
      <c r="V218">
        <v>7.7923489200000002</v>
      </c>
      <c r="W218">
        <v>8.8502309700000001</v>
      </c>
      <c r="Y218">
        <v>78.114583300000007</v>
      </c>
      <c r="Z218">
        <v>5.5174529000000003</v>
      </c>
      <c r="AA218">
        <v>5.4026773800000001</v>
      </c>
      <c r="AB218">
        <v>7.5688956599999999</v>
      </c>
      <c r="AC218">
        <v>8.04526772</v>
      </c>
      <c r="AD218">
        <v>6.1903154100000002</v>
      </c>
      <c r="AE218">
        <v>5.8550719200000003</v>
      </c>
    </row>
    <row r="219" spans="1:31" x14ac:dyDescent="0.2">
      <c r="A219">
        <v>78.4796111</v>
      </c>
      <c r="B219">
        <v>7.9624156800000003</v>
      </c>
      <c r="C219">
        <v>7.09007684</v>
      </c>
      <c r="D219">
        <v>7.7786301499999997</v>
      </c>
      <c r="E219">
        <v>5.9269260299999997</v>
      </c>
      <c r="F219">
        <v>7.8042513800000002</v>
      </c>
      <c r="G219">
        <v>8.6004307900000008</v>
      </c>
      <c r="I219">
        <v>78.4796111</v>
      </c>
      <c r="J219">
        <v>6.9007306599999998</v>
      </c>
      <c r="K219">
        <v>6.3171646900000002</v>
      </c>
      <c r="L219">
        <v>7.79852305</v>
      </c>
      <c r="M219">
        <v>5.7493929899999996</v>
      </c>
      <c r="N219">
        <v>7.8091353999999997</v>
      </c>
      <c r="O219">
        <v>8.5318847400000006</v>
      </c>
      <c r="Q219">
        <v>78.4796111</v>
      </c>
      <c r="R219">
        <v>7.8359745800000002</v>
      </c>
      <c r="S219">
        <v>7.1163941399999997</v>
      </c>
      <c r="T219">
        <v>7.7155695299999998</v>
      </c>
      <c r="U219">
        <v>6.9884131800000002</v>
      </c>
      <c r="V219">
        <v>7.7869669999999998</v>
      </c>
      <c r="W219">
        <v>8.8411589799999994</v>
      </c>
      <c r="Y219">
        <v>78.4796111</v>
      </c>
      <c r="Z219">
        <v>5.4847969299999999</v>
      </c>
      <c r="AA219">
        <v>5.2983173700000004</v>
      </c>
      <c r="AB219">
        <v>7.5652752799999998</v>
      </c>
      <c r="AC219">
        <v>8.02125618</v>
      </c>
      <c r="AD219">
        <v>6.2025355199999996</v>
      </c>
      <c r="AE219">
        <v>5.8081424899999998</v>
      </c>
    </row>
    <row r="220" spans="1:31" x14ac:dyDescent="0.2">
      <c r="A220">
        <v>78.844611099999995</v>
      </c>
      <c r="B220">
        <v>7.9585768999999997</v>
      </c>
      <c r="C220">
        <v>7.0639039600000002</v>
      </c>
      <c r="D220">
        <v>7.7761154799999996</v>
      </c>
      <c r="E220">
        <v>5.8550719200000003</v>
      </c>
      <c r="F220">
        <v>7.7956465399999999</v>
      </c>
      <c r="G220">
        <v>8.6070338999999993</v>
      </c>
      <c r="I220">
        <v>78.844611099999995</v>
      </c>
      <c r="J220">
        <v>6.9622434599999998</v>
      </c>
      <c r="K220">
        <v>6.4085287900000001</v>
      </c>
      <c r="L220">
        <v>7.8030266399999997</v>
      </c>
      <c r="M220">
        <v>5.7868973800000001</v>
      </c>
      <c r="N220">
        <v>7.7981126300000003</v>
      </c>
      <c r="O220">
        <v>8.54149548</v>
      </c>
      <c r="Q220">
        <v>78.844611099999995</v>
      </c>
      <c r="R220">
        <v>7.8387375600000002</v>
      </c>
      <c r="S220">
        <v>7.0992017399999998</v>
      </c>
      <c r="T220">
        <v>7.7164608000000001</v>
      </c>
      <c r="U220">
        <v>6.9565454400000002</v>
      </c>
      <c r="V220">
        <v>7.7972912699999997</v>
      </c>
      <c r="W220">
        <v>8.8482220700000003</v>
      </c>
      <c r="Y220">
        <v>78.844611099999995</v>
      </c>
      <c r="Z220">
        <v>5.49306144</v>
      </c>
      <c r="AA220">
        <v>5.3844950599999999</v>
      </c>
      <c r="AB220">
        <v>7.5663110099999997</v>
      </c>
      <c r="AC220">
        <v>8.0235523900000008</v>
      </c>
      <c r="AD220">
        <v>6.2265366699999998</v>
      </c>
      <c r="AE220">
        <v>5.8805329899999998</v>
      </c>
    </row>
    <row r="221" spans="1:31" x14ac:dyDescent="0.2">
      <c r="A221">
        <v>79.209638900000002</v>
      </c>
      <c r="B221">
        <v>7.9610214700000004</v>
      </c>
      <c r="C221">
        <v>7.07834158</v>
      </c>
      <c r="D221">
        <v>7.7790486400000001</v>
      </c>
      <c r="E221">
        <v>5.8916442099999999</v>
      </c>
      <c r="F221">
        <v>7.8079166300000002</v>
      </c>
      <c r="G221">
        <v>8.6188468500000006</v>
      </c>
      <c r="I221">
        <v>79.209638900000002</v>
      </c>
      <c r="J221">
        <v>7.0130157899999999</v>
      </c>
      <c r="K221">
        <v>6.46614472</v>
      </c>
      <c r="L221">
        <v>7.7964692400000004</v>
      </c>
      <c r="M221">
        <v>5.8141305299999999</v>
      </c>
      <c r="N221">
        <v>7.8087293100000004</v>
      </c>
      <c r="O221">
        <v>8.5467519900000006</v>
      </c>
      <c r="Q221">
        <v>79.209638900000002</v>
      </c>
      <c r="R221">
        <v>7.8268421000000004</v>
      </c>
      <c r="S221">
        <v>7.1041440900000001</v>
      </c>
      <c r="T221">
        <v>7.7151236000000001</v>
      </c>
      <c r="U221">
        <v>6.9726062500000001</v>
      </c>
      <c r="V221">
        <v>7.7981126300000003</v>
      </c>
      <c r="W221">
        <v>8.8466408100000002</v>
      </c>
      <c r="Y221">
        <v>79.209638900000002</v>
      </c>
      <c r="Z221">
        <v>5.4847969299999999</v>
      </c>
      <c r="AA221">
        <v>5.4071717699999997</v>
      </c>
      <c r="AB221">
        <v>7.5740450099999999</v>
      </c>
      <c r="AC221">
        <v>8.0251893200000008</v>
      </c>
      <c r="AD221">
        <v>6.2519038800000004</v>
      </c>
      <c r="AE221">
        <v>5.92958914</v>
      </c>
    </row>
    <row r="222" spans="1:31" x14ac:dyDescent="0.2">
      <c r="A222">
        <v>79.574666699999995</v>
      </c>
      <c r="B222">
        <v>7.9620673100000001</v>
      </c>
      <c r="C222">
        <v>7.0673198499999996</v>
      </c>
      <c r="D222">
        <v>7.7815559600000004</v>
      </c>
      <c r="E222">
        <v>5.88332239</v>
      </c>
      <c r="F222">
        <v>7.7964692400000004</v>
      </c>
      <c r="G222">
        <v>8.6123215399999999</v>
      </c>
      <c r="I222">
        <v>79.574666699999995</v>
      </c>
      <c r="J222">
        <v>7.0604763699999999</v>
      </c>
      <c r="K222">
        <v>6.5057840599999999</v>
      </c>
      <c r="L222">
        <v>7.7968803400000004</v>
      </c>
      <c r="M222">
        <v>5.8200829299999999</v>
      </c>
      <c r="N222">
        <v>7.8099470899999996</v>
      </c>
      <c r="O222">
        <v>8.5465578000000004</v>
      </c>
      <c r="Q222">
        <v>79.574666699999995</v>
      </c>
      <c r="R222">
        <v>7.8268421000000004</v>
      </c>
      <c r="S222">
        <v>7.1049654499999999</v>
      </c>
      <c r="T222">
        <v>7.7169061399999999</v>
      </c>
      <c r="U222">
        <v>6.9622434599999998</v>
      </c>
      <c r="V222">
        <v>7.7944112099999998</v>
      </c>
      <c r="W222">
        <v>8.8436150900000001</v>
      </c>
      <c r="Y222">
        <v>79.574666699999995</v>
      </c>
      <c r="Z222">
        <v>5.4847969299999999</v>
      </c>
      <c r="AA222">
        <v>5.3890717300000004</v>
      </c>
      <c r="AB222">
        <v>7.5626812499999998</v>
      </c>
      <c r="AC222">
        <v>8.01961279</v>
      </c>
      <c r="AD222">
        <v>6.2822667499999998</v>
      </c>
      <c r="AE222">
        <v>5.9506425500000004</v>
      </c>
    </row>
    <row r="223" spans="1:31" x14ac:dyDescent="0.2">
      <c r="A223">
        <v>79.939666700000004</v>
      </c>
      <c r="B223">
        <v>7.9624156800000003</v>
      </c>
      <c r="C223">
        <v>7.0587581500000001</v>
      </c>
      <c r="D223">
        <v>7.7773735999999998</v>
      </c>
      <c r="E223">
        <v>5.8607862199999996</v>
      </c>
      <c r="F223">
        <v>7.7997533199999998</v>
      </c>
      <c r="G223">
        <v>8.6110477700000008</v>
      </c>
      <c r="I223">
        <v>79.939666700000004</v>
      </c>
      <c r="J223">
        <v>7.1155821299999999</v>
      </c>
      <c r="K223">
        <v>6.5294188399999999</v>
      </c>
      <c r="L223">
        <v>7.8026180600000004</v>
      </c>
      <c r="M223">
        <v>5.7960577500000001</v>
      </c>
      <c r="N223">
        <v>7.8139956799999997</v>
      </c>
      <c r="O223">
        <v>8.5340503099999996</v>
      </c>
      <c r="Q223">
        <v>79.939666700000004</v>
      </c>
      <c r="R223">
        <v>7.8304256199999998</v>
      </c>
      <c r="S223">
        <v>7.1016759699999996</v>
      </c>
      <c r="T223">
        <v>7.7160152699999998</v>
      </c>
      <c r="U223">
        <v>6.9546388600000002</v>
      </c>
      <c r="V223">
        <v>7.7956465399999999</v>
      </c>
      <c r="W223">
        <v>8.8433264499999993</v>
      </c>
      <c r="Y223">
        <v>79.939666700000004</v>
      </c>
      <c r="Z223">
        <v>5.4722706700000003</v>
      </c>
      <c r="AA223">
        <v>5.3565862700000002</v>
      </c>
      <c r="AB223">
        <v>7.5611215899999999</v>
      </c>
      <c r="AC223">
        <v>8.0219127799999992</v>
      </c>
      <c r="AD223">
        <v>6.29156914</v>
      </c>
      <c r="AE223">
        <v>5.94803499</v>
      </c>
    </row>
    <row r="224" spans="1:31" x14ac:dyDescent="0.2">
      <c r="A224">
        <v>80.304666699999999</v>
      </c>
      <c r="B224">
        <v>7.9606726099999996</v>
      </c>
      <c r="C224">
        <v>7.0518556200000004</v>
      </c>
      <c r="D224">
        <v>7.7777926300000004</v>
      </c>
      <c r="E224">
        <v>5.8721177899999999</v>
      </c>
      <c r="F224">
        <v>7.7927617199999997</v>
      </c>
      <c r="G224">
        <v>8.6068510600000003</v>
      </c>
      <c r="I224">
        <v>80.304666699999999</v>
      </c>
      <c r="J224">
        <v>7.1800698699999996</v>
      </c>
      <c r="K224">
        <v>6.5916737300000001</v>
      </c>
      <c r="L224">
        <v>7.8058820400000002</v>
      </c>
      <c r="M224">
        <v>5.79301361</v>
      </c>
      <c r="N224">
        <v>7.8148034300000004</v>
      </c>
      <c r="O224">
        <v>8.5379757299999994</v>
      </c>
      <c r="Q224">
        <v>80.304666699999999</v>
      </c>
      <c r="R224">
        <v>7.8236459299999996</v>
      </c>
      <c r="S224">
        <v>7.0958932199999998</v>
      </c>
      <c r="T224">
        <v>7.7084106700000001</v>
      </c>
      <c r="U224">
        <v>6.9488972200000001</v>
      </c>
      <c r="V224">
        <v>7.7931743500000001</v>
      </c>
      <c r="W224">
        <v>8.8447688299999996</v>
      </c>
      <c r="Y224">
        <v>80.304666699999999</v>
      </c>
      <c r="Z224">
        <v>5.49306144</v>
      </c>
      <c r="AA224">
        <v>5.3612921699999996</v>
      </c>
      <c r="AB224">
        <v>7.5642384800000002</v>
      </c>
      <c r="AC224">
        <v>8.0202704699999998</v>
      </c>
      <c r="AD224">
        <v>6.3207682900000002</v>
      </c>
      <c r="AE224">
        <v>5.9661467400000001</v>
      </c>
    </row>
    <row r="225" spans="1:31" x14ac:dyDescent="0.2">
      <c r="A225">
        <v>80.669666699999993</v>
      </c>
      <c r="B225">
        <v>7.9624156800000003</v>
      </c>
      <c r="C225">
        <v>7.0825485700000002</v>
      </c>
      <c r="D225">
        <v>7.7761154799999996</v>
      </c>
      <c r="E225">
        <v>5.9322451899999997</v>
      </c>
      <c r="F225">
        <v>7.7981126300000003</v>
      </c>
      <c r="G225">
        <v>8.6055703000000001</v>
      </c>
      <c r="I225">
        <v>80.669666699999993</v>
      </c>
      <c r="J225">
        <v>7.2320103299999996</v>
      </c>
      <c r="K225">
        <v>6.6200732100000002</v>
      </c>
      <c r="L225">
        <v>7.8022093200000002</v>
      </c>
      <c r="M225">
        <v>5.7525726400000003</v>
      </c>
      <c r="N225">
        <v>7.8119734300000001</v>
      </c>
      <c r="O225">
        <v>8.5360149500000002</v>
      </c>
      <c r="Q225">
        <v>80.669666699999993</v>
      </c>
      <c r="R225">
        <v>7.8260440100000004</v>
      </c>
      <c r="S225">
        <v>7.1244782600000001</v>
      </c>
      <c r="T225">
        <v>7.7191298399999999</v>
      </c>
      <c r="U225">
        <v>6.9782137400000002</v>
      </c>
      <c r="V225">
        <v>7.7873820299999998</v>
      </c>
      <c r="W225">
        <v>8.8376812200000003</v>
      </c>
      <c r="Y225">
        <v>80.669666699999993</v>
      </c>
      <c r="Z225">
        <v>5.48893773</v>
      </c>
      <c r="AA225">
        <v>5.3082677</v>
      </c>
      <c r="AB225">
        <v>7.5579949600000003</v>
      </c>
      <c r="AC225">
        <v>8.0149968900000008</v>
      </c>
      <c r="AD225">
        <v>6.3491389900000001</v>
      </c>
      <c r="AE225">
        <v>5.9558373700000002</v>
      </c>
    </row>
    <row r="226" spans="1:31" x14ac:dyDescent="0.2">
      <c r="A226">
        <v>81.034694400000006</v>
      </c>
      <c r="B226">
        <v>7.9627639300000004</v>
      </c>
      <c r="C226">
        <v>7.0673198499999996</v>
      </c>
      <c r="D226">
        <v>7.7752758499999999</v>
      </c>
      <c r="E226">
        <v>5.8777357800000001</v>
      </c>
      <c r="F226">
        <v>7.80016307</v>
      </c>
      <c r="G226">
        <v>8.6073994599999999</v>
      </c>
      <c r="I226">
        <v>81.034694400000006</v>
      </c>
      <c r="J226">
        <v>7.2930176800000002</v>
      </c>
      <c r="K226">
        <v>6.7031881100000001</v>
      </c>
      <c r="L226">
        <v>7.8026180600000004</v>
      </c>
      <c r="M226">
        <v>5.8081424899999998</v>
      </c>
      <c r="N226">
        <v>7.8087293100000004</v>
      </c>
      <c r="O226">
        <v>8.5420809099999992</v>
      </c>
      <c r="Q226">
        <v>81.034694400000006</v>
      </c>
      <c r="R226">
        <v>7.8196363</v>
      </c>
      <c r="S226">
        <v>7.1139561100000002</v>
      </c>
      <c r="T226">
        <v>7.7128909600000002</v>
      </c>
      <c r="U226">
        <v>6.9612960499999996</v>
      </c>
      <c r="V226">
        <v>7.7894545700000002</v>
      </c>
      <c r="W226">
        <v>8.8446246800000008</v>
      </c>
      <c r="Y226">
        <v>81.034694400000006</v>
      </c>
      <c r="Z226">
        <v>5.48893773</v>
      </c>
      <c r="AA226">
        <v>5.4071717699999997</v>
      </c>
      <c r="AB226">
        <v>7.5475016799999999</v>
      </c>
      <c r="AC226">
        <v>8.0245348700000001</v>
      </c>
      <c r="AD226">
        <v>6.3801225400000003</v>
      </c>
      <c r="AE226">
        <v>6.04737218</v>
      </c>
    </row>
    <row r="227" spans="1:31" x14ac:dyDescent="0.2">
      <c r="A227">
        <v>81.399722199999999</v>
      </c>
      <c r="B227">
        <v>7.9638079499999996</v>
      </c>
      <c r="C227">
        <v>7.0578979400000001</v>
      </c>
      <c r="D227">
        <v>7.7765350299999998</v>
      </c>
      <c r="E227">
        <v>5.8721177899999999</v>
      </c>
      <c r="F227">
        <v>7.7927617199999997</v>
      </c>
      <c r="G227">
        <v>8.6105013699999997</v>
      </c>
      <c r="I227">
        <v>81.399722199999999</v>
      </c>
      <c r="J227">
        <v>7.3472996999999998</v>
      </c>
      <c r="K227">
        <v>6.7487595499999999</v>
      </c>
      <c r="L227">
        <v>7.79152282</v>
      </c>
      <c r="M227">
        <v>5.8081424899999998</v>
      </c>
      <c r="N227">
        <v>7.8095413200000001</v>
      </c>
      <c r="O227">
        <v>8.5350331100000005</v>
      </c>
      <c r="Q227">
        <v>81.399722199999999</v>
      </c>
      <c r="R227">
        <v>7.8232456900000003</v>
      </c>
      <c r="S227">
        <v>7.1074254699999999</v>
      </c>
      <c r="T227">
        <v>7.7119965099999996</v>
      </c>
      <c r="U227">
        <v>6.96508035</v>
      </c>
      <c r="V227">
        <v>7.7882115599999997</v>
      </c>
      <c r="W227">
        <v>8.8436150900000001</v>
      </c>
      <c r="Y227">
        <v>81.399722199999999</v>
      </c>
      <c r="Z227">
        <v>5.48893773</v>
      </c>
      <c r="AA227">
        <v>5.4071717699999997</v>
      </c>
      <c r="AB227">
        <v>7.5485559799999997</v>
      </c>
      <c r="AC227">
        <v>8.0310601800000008</v>
      </c>
      <c r="AD227">
        <v>6.3985949299999998</v>
      </c>
      <c r="AE227">
        <v>6.0730445299999998</v>
      </c>
    </row>
    <row r="228" spans="1:31" x14ac:dyDescent="0.2">
      <c r="A228">
        <v>81.764722199999994</v>
      </c>
      <c r="B228">
        <v>7.9610214700000004</v>
      </c>
      <c r="C228">
        <v>7.06133437</v>
      </c>
      <c r="D228">
        <v>7.7752758499999999</v>
      </c>
      <c r="E228">
        <v>5.8805329899999998</v>
      </c>
      <c r="F228">
        <v>7.8013913199999996</v>
      </c>
      <c r="G228">
        <v>8.6154082400000007</v>
      </c>
      <c r="I228">
        <v>81.764722199999994</v>
      </c>
      <c r="J228">
        <v>7.3957216099999998</v>
      </c>
      <c r="K228">
        <v>6.8167358800000004</v>
      </c>
      <c r="L228">
        <v>7.80016307</v>
      </c>
      <c r="M228">
        <v>5.8081424899999998</v>
      </c>
      <c r="N228">
        <v>7.8066963700000001</v>
      </c>
      <c r="O228">
        <v>8.5367997199999994</v>
      </c>
      <c r="Q228">
        <v>81.764722199999994</v>
      </c>
      <c r="R228">
        <v>7.8164169799999996</v>
      </c>
      <c r="S228">
        <v>7.1106961200000001</v>
      </c>
      <c r="T228">
        <v>7.7070626600000001</v>
      </c>
      <c r="U228">
        <v>6.9593985099999998</v>
      </c>
      <c r="V228">
        <v>7.7886260700000003</v>
      </c>
      <c r="W228">
        <v>8.84879645</v>
      </c>
      <c r="Y228">
        <v>81.764722199999994</v>
      </c>
      <c r="Z228">
        <v>5.5012582099999996</v>
      </c>
      <c r="AA228">
        <v>5.3936275499999997</v>
      </c>
      <c r="AB228">
        <v>7.5532866099999998</v>
      </c>
      <c r="AC228">
        <v>8.0264969399999995</v>
      </c>
      <c r="AD228">
        <v>6.4313310799999996</v>
      </c>
      <c r="AE228">
        <v>6.1047932300000003</v>
      </c>
    </row>
    <row r="229" spans="1:31" x14ac:dyDescent="0.2">
      <c r="A229">
        <v>82.129722200000003</v>
      </c>
      <c r="B229">
        <v>7.9665866999999997</v>
      </c>
      <c r="C229">
        <v>7.0414116599999996</v>
      </c>
      <c r="D229">
        <v>7.7702232000000002</v>
      </c>
      <c r="E229">
        <v>5.8721177899999999</v>
      </c>
      <c r="F229">
        <v>7.80547463</v>
      </c>
      <c r="G229">
        <v>8.6083127800000003</v>
      </c>
      <c r="I229">
        <v>82.129722200000003</v>
      </c>
      <c r="J229">
        <v>7.4506607999999996</v>
      </c>
      <c r="K229">
        <v>6.8638033900000002</v>
      </c>
      <c r="L229">
        <v>7.8058820400000002</v>
      </c>
      <c r="M229">
        <v>5.7807435199999997</v>
      </c>
      <c r="N229">
        <v>7.8119734300000001</v>
      </c>
      <c r="O229">
        <v>8.5350331100000005</v>
      </c>
      <c r="Q229">
        <v>82.129722200000003</v>
      </c>
      <c r="R229">
        <v>7.8184302700000003</v>
      </c>
      <c r="S229">
        <v>7.0934046300000002</v>
      </c>
      <c r="T229">
        <v>7.7088596000000003</v>
      </c>
      <c r="U229">
        <v>6.94601399</v>
      </c>
      <c r="V229">
        <v>7.8009820699999999</v>
      </c>
      <c r="W229">
        <v>8.8423155500000004</v>
      </c>
      <c r="Y229">
        <v>82.129722200000003</v>
      </c>
      <c r="Z229">
        <v>5.5053315400000002</v>
      </c>
      <c r="AA229">
        <v>5.3565862700000002</v>
      </c>
      <c r="AB229">
        <v>7.5496091700000001</v>
      </c>
      <c r="AC229">
        <v>8.0235523900000008</v>
      </c>
      <c r="AD229">
        <v>6.4614681799999998</v>
      </c>
      <c r="AE229">
        <v>6.1070228899999996</v>
      </c>
    </row>
    <row r="230" spans="1:31" x14ac:dyDescent="0.2">
      <c r="A230">
        <v>82.494749999999996</v>
      </c>
      <c r="B230">
        <v>7.9592759600000003</v>
      </c>
      <c r="C230">
        <v>7.0405363899999998</v>
      </c>
      <c r="D230">
        <v>7.7693786100000004</v>
      </c>
      <c r="E230">
        <v>5.83481074</v>
      </c>
      <c r="F230">
        <v>7.8042513800000002</v>
      </c>
      <c r="G230">
        <v>8.6044712000000008</v>
      </c>
      <c r="I230">
        <v>82.494749999999996</v>
      </c>
      <c r="J230">
        <v>7.5115246500000001</v>
      </c>
      <c r="K230">
        <v>6.9196838500000002</v>
      </c>
      <c r="L230">
        <v>7.7977020399999999</v>
      </c>
      <c r="M230">
        <v>5.7493929899999996</v>
      </c>
      <c r="N230">
        <v>7.8139956799999997</v>
      </c>
      <c r="O230">
        <v>8.5275394799999997</v>
      </c>
      <c r="Q230">
        <v>82.494749999999996</v>
      </c>
      <c r="R230">
        <v>7.8252452899999998</v>
      </c>
      <c r="S230">
        <v>7.0909098200000003</v>
      </c>
      <c r="T230">
        <v>7.7097568599999997</v>
      </c>
      <c r="U230">
        <v>6.9255952000000001</v>
      </c>
      <c r="V230">
        <v>7.80506704</v>
      </c>
      <c r="W230">
        <v>8.8349193899999996</v>
      </c>
      <c r="Y230">
        <v>82.494749999999996</v>
      </c>
      <c r="Z230">
        <v>5.4971682299999998</v>
      </c>
      <c r="AA230">
        <v>5.2983173700000004</v>
      </c>
      <c r="AB230">
        <v>7.5501353399999998</v>
      </c>
      <c r="AC230">
        <v>8.02125618</v>
      </c>
      <c r="AD230">
        <v>6.4846352400000002</v>
      </c>
      <c r="AE230">
        <v>6.1180972000000002</v>
      </c>
    </row>
    <row r="231" spans="1:31" x14ac:dyDescent="0.2">
      <c r="A231">
        <v>82.859750000000005</v>
      </c>
      <c r="B231">
        <v>7.96519829</v>
      </c>
      <c r="C231">
        <v>7.0492548399999997</v>
      </c>
      <c r="D231">
        <v>7.7714887600000004</v>
      </c>
      <c r="E231">
        <v>5.8721177899999999</v>
      </c>
      <c r="F231">
        <v>7.8046593</v>
      </c>
      <c r="G231">
        <v>8.6092252800000004</v>
      </c>
      <c r="I231">
        <v>82.859750000000005</v>
      </c>
      <c r="J231">
        <v>7.5657932800000003</v>
      </c>
      <c r="K231">
        <v>6.9948499899999996</v>
      </c>
      <c r="L231">
        <v>7.8046593</v>
      </c>
      <c r="M231">
        <v>5.7776523199999996</v>
      </c>
      <c r="N231">
        <v>7.8172227899999998</v>
      </c>
      <c r="O231">
        <v>8.5362112000000003</v>
      </c>
      <c r="Q231">
        <v>82.859750000000005</v>
      </c>
      <c r="R231">
        <v>7.8127828199999998</v>
      </c>
      <c r="S231">
        <v>7.10332206</v>
      </c>
      <c r="T231">
        <v>7.7115489799999999</v>
      </c>
      <c r="U231">
        <v>6.9373140800000002</v>
      </c>
      <c r="V231">
        <v>7.7894545700000002</v>
      </c>
      <c r="W231">
        <v>8.8436150900000001</v>
      </c>
      <c r="Y231">
        <v>82.859750000000005</v>
      </c>
      <c r="Z231">
        <v>5.5012582099999996</v>
      </c>
      <c r="AA231">
        <v>5.3612921699999996</v>
      </c>
      <c r="AB231">
        <v>7.54009032</v>
      </c>
      <c r="AC231">
        <v>8.0336584299999991</v>
      </c>
      <c r="AD231">
        <v>6.5147126899999996</v>
      </c>
      <c r="AE231">
        <v>6.1862086200000004</v>
      </c>
    </row>
    <row r="232" spans="1:31" x14ac:dyDescent="0.2">
      <c r="A232">
        <v>83.224777799999998</v>
      </c>
      <c r="B232">
        <v>7.9669334999999997</v>
      </c>
      <c r="C232">
        <v>7.0501225200000004</v>
      </c>
      <c r="D232">
        <v>7.7727527199999997</v>
      </c>
      <c r="E232">
        <v>5.8664680599999999</v>
      </c>
      <c r="F232">
        <v>7.7972912699999997</v>
      </c>
      <c r="G232">
        <v>8.6086778800000001</v>
      </c>
      <c r="I232">
        <v>83.224777799999998</v>
      </c>
      <c r="J232">
        <v>7.6275443899999997</v>
      </c>
      <c r="K232">
        <v>7.0690234299999997</v>
      </c>
      <c r="L232">
        <v>7.80506704</v>
      </c>
      <c r="M232">
        <v>5.8021183799999996</v>
      </c>
      <c r="N232">
        <v>7.8099470899999996</v>
      </c>
      <c r="O232">
        <v>8.5369958199999996</v>
      </c>
      <c r="Q232">
        <v>83.224777799999998</v>
      </c>
      <c r="R232">
        <v>7.8123782100000003</v>
      </c>
      <c r="S232">
        <v>7.1000271699999997</v>
      </c>
      <c r="T232">
        <v>7.7070626600000001</v>
      </c>
      <c r="U232">
        <v>6.9431224199999999</v>
      </c>
      <c r="V232">
        <v>7.7993433999999997</v>
      </c>
      <c r="W232">
        <v>8.8470723099999997</v>
      </c>
      <c r="Y232">
        <v>83.224777799999998</v>
      </c>
      <c r="Z232">
        <v>5.4847969299999999</v>
      </c>
      <c r="AA232">
        <v>5.3798973500000002</v>
      </c>
      <c r="AB232">
        <v>7.54433211</v>
      </c>
      <c r="AC232">
        <v>8.0336584299999991</v>
      </c>
      <c r="AD232">
        <v>6.5410300000000001</v>
      </c>
      <c r="AE232">
        <v>6.2245584300000001</v>
      </c>
    </row>
    <row r="233" spans="1:31" x14ac:dyDescent="0.2">
      <c r="A233">
        <v>83.589777799999993</v>
      </c>
      <c r="B233">
        <v>7.9596253099999998</v>
      </c>
      <c r="C233">
        <v>7.0396603500000001</v>
      </c>
      <c r="D233">
        <v>7.7706452300000004</v>
      </c>
      <c r="E233">
        <v>5.8607862199999996</v>
      </c>
      <c r="F233">
        <v>7.8026180600000004</v>
      </c>
      <c r="G233">
        <v>8.6061194000000008</v>
      </c>
      <c r="I233">
        <v>83.589777799999993</v>
      </c>
      <c r="J233">
        <v>7.68799717</v>
      </c>
      <c r="K233">
        <v>7.1428273999999998</v>
      </c>
      <c r="L233">
        <v>7.8046593</v>
      </c>
      <c r="M233">
        <v>5.7776523199999996</v>
      </c>
      <c r="N233">
        <v>7.8196363</v>
      </c>
      <c r="O233">
        <v>8.5401281600000001</v>
      </c>
      <c r="Q233">
        <v>83.589777799999993</v>
      </c>
      <c r="R233">
        <v>7.8127828199999998</v>
      </c>
      <c r="S233">
        <v>7.1016759699999996</v>
      </c>
      <c r="T233">
        <v>7.7115489799999999</v>
      </c>
      <c r="U233">
        <v>6.9411900600000003</v>
      </c>
      <c r="V233">
        <v>7.7989333099999998</v>
      </c>
      <c r="W233">
        <v>8.8486528900000003</v>
      </c>
      <c r="Y233">
        <v>83.589777799999993</v>
      </c>
      <c r="Z233">
        <v>5.4847969299999999</v>
      </c>
      <c r="AA233">
        <v>5.3565862700000002</v>
      </c>
      <c r="AB233">
        <v>7.5485559799999997</v>
      </c>
      <c r="AC233">
        <v>8.0391573899999997</v>
      </c>
      <c r="AD233">
        <v>6.57786136</v>
      </c>
      <c r="AE233">
        <v>6.2614916799999998</v>
      </c>
    </row>
    <row r="234" spans="1:31" x14ac:dyDescent="0.2">
      <c r="A234">
        <v>83.9548056</v>
      </c>
      <c r="B234">
        <v>7.9665866999999997</v>
      </c>
      <c r="C234">
        <v>7.05531284</v>
      </c>
      <c r="D234">
        <v>7.7803030900000003</v>
      </c>
      <c r="E234">
        <v>5.8861040300000003</v>
      </c>
      <c r="F234">
        <v>7.8018004000000003</v>
      </c>
      <c r="G234">
        <v>8.6161331400000005</v>
      </c>
      <c r="I234">
        <v>83.9548056</v>
      </c>
      <c r="J234">
        <v>7.7506147299999997</v>
      </c>
      <c r="K234">
        <v>7.2122944699999998</v>
      </c>
      <c r="L234">
        <v>7.81156849</v>
      </c>
      <c r="M234">
        <v>5.8230459000000003</v>
      </c>
      <c r="N234">
        <v>7.8176254399999996</v>
      </c>
      <c r="O234">
        <v>8.5477223999999996</v>
      </c>
      <c r="Q234">
        <v>83.9548056</v>
      </c>
      <c r="R234">
        <v>7.8176254399999996</v>
      </c>
      <c r="S234">
        <v>7.1236727899999996</v>
      </c>
      <c r="T234">
        <v>7.7128909600000002</v>
      </c>
      <c r="U234">
        <v>6.95081477</v>
      </c>
      <c r="V234">
        <v>7.7977020399999999</v>
      </c>
      <c r="W234">
        <v>8.8526649299999995</v>
      </c>
      <c r="Y234">
        <v>83.9548056</v>
      </c>
      <c r="Z234">
        <v>5.5174529000000003</v>
      </c>
      <c r="AA234">
        <v>5.4116460499999999</v>
      </c>
      <c r="AB234">
        <v>7.5379626599999998</v>
      </c>
      <c r="AC234">
        <v>8.0430208899999993</v>
      </c>
      <c r="AD234">
        <v>6.6147255999999999</v>
      </c>
      <c r="AE234">
        <v>6.3243589599999996</v>
      </c>
    </row>
    <row r="235" spans="1:31" x14ac:dyDescent="0.2">
      <c r="A235">
        <v>84.319805599999995</v>
      </c>
      <c r="B235">
        <v>7.9690117799999998</v>
      </c>
      <c r="C235">
        <v>7.04838641</v>
      </c>
      <c r="D235">
        <v>7.7723315800000004</v>
      </c>
      <c r="E235">
        <v>5.8805329899999998</v>
      </c>
      <c r="F235">
        <v>7.8046593</v>
      </c>
      <c r="G235">
        <v>8.6134120500000009</v>
      </c>
      <c r="I235">
        <v>84.319805599999995</v>
      </c>
      <c r="J235">
        <v>7.7977020399999999</v>
      </c>
      <c r="K235">
        <v>7.2420823600000004</v>
      </c>
      <c r="L235">
        <v>7.8099470899999996</v>
      </c>
      <c r="M235">
        <v>5.8051349700000001</v>
      </c>
      <c r="N235">
        <v>7.8156105299999998</v>
      </c>
      <c r="O235">
        <v>8.5434455600000003</v>
      </c>
      <c r="Q235">
        <v>84.319805599999995</v>
      </c>
      <c r="R235">
        <v>7.8071032899999997</v>
      </c>
      <c r="S235">
        <v>7.1008519100000003</v>
      </c>
      <c r="T235">
        <v>7.7097568599999997</v>
      </c>
      <c r="U235">
        <v>6.9450510599999999</v>
      </c>
      <c r="V235">
        <v>7.7993433999999997</v>
      </c>
      <c r="W235">
        <v>8.8447688299999996</v>
      </c>
      <c r="Y235">
        <v>84.319805599999995</v>
      </c>
      <c r="Z235">
        <v>5.5093883400000001</v>
      </c>
      <c r="AA235">
        <v>5.3706380300000003</v>
      </c>
      <c r="AB235">
        <v>7.5480289699999998</v>
      </c>
      <c r="AC235">
        <v>8.0381891799999998</v>
      </c>
      <c r="AD235">
        <v>6.6437897299999999</v>
      </c>
      <c r="AE235">
        <v>6.33859408</v>
      </c>
    </row>
    <row r="236" spans="1:31" x14ac:dyDescent="0.2">
      <c r="A236">
        <v>84.684805600000004</v>
      </c>
      <c r="B236">
        <v>7.9693577400000004</v>
      </c>
      <c r="C236">
        <v>7.0449051200000001</v>
      </c>
      <c r="D236">
        <v>7.7702232000000002</v>
      </c>
      <c r="E236">
        <v>5.8664680599999999</v>
      </c>
      <c r="F236">
        <v>7.8046593</v>
      </c>
      <c r="G236">
        <v>8.6115938700000001</v>
      </c>
      <c r="I236">
        <v>84.684805600000004</v>
      </c>
      <c r="J236">
        <v>7.8336002200000001</v>
      </c>
      <c r="K236">
        <v>7.2633296200000004</v>
      </c>
      <c r="L236">
        <v>7.8119734300000001</v>
      </c>
      <c r="M236">
        <v>5.7868973800000001</v>
      </c>
      <c r="N236">
        <v>7.8164169799999996</v>
      </c>
      <c r="O236">
        <v>8.5391503600000007</v>
      </c>
      <c r="Q236">
        <v>84.684805600000004</v>
      </c>
      <c r="R236">
        <v>7.8046593</v>
      </c>
      <c r="S236">
        <v>7.1090621399999998</v>
      </c>
      <c r="T236">
        <v>7.7057128199999996</v>
      </c>
      <c r="U236">
        <v>6.9421567099999999</v>
      </c>
      <c r="V236">
        <v>7.7939990899999998</v>
      </c>
      <c r="W236">
        <v>8.8454892399999991</v>
      </c>
      <c r="Y236">
        <v>84.684805600000004</v>
      </c>
      <c r="Z236">
        <v>5.5053315400000002</v>
      </c>
      <c r="AA236">
        <v>5.3659760199999997</v>
      </c>
      <c r="AB236">
        <v>7.5347626600000002</v>
      </c>
      <c r="AC236">
        <v>8.0436633499999992</v>
      </c>
      <c r="AD236">
        <v>6.6846117300000003</v>
      </c>
      <c r="AE236">
        <v>6.3801225400000003</v>
      </c>
    </row>
    <row r="237" spans="1:31" x14ac:dyDescent="0.2">
      <c r="A237">
        <v>85.049833300000003</v>
      </c>
      <c r="B237">
        <v>7.9620673100000001</v>
      </c>
      <c r="C237">
        <v>7.0457765800000001</v>
      </c>
      <c r="D237">
        <v>7.7706452300000004</v>
      </c>
      <c r="E237">
        <v>5.9026333299999996</v>
      </c>
      <c r="F237">
        <v>7.8042513800000002</v>
      </c>
      <c r="G237">
        <v>8.6112298299999992</v>
      </c>
      <c r="I237">
        <v>85.049833300000003</v>
      </c>
      <c r="J237">
        <v>7.8701659499999996</v>
      </c>
      <c r="K237">
        <v>7.2861917099999998</v>
      </c>
      <c r="L237">
        <v>7.8111633899999999</v>
      </c>
      <c r="M237">
        <v>5.8230459000000003</v>
      </c>
      <c r="N237">
        <v>7.8139956799999997</v>
      </c>
      <c r="O237">
        <v>8.5416906600000004</v>
      </c>
      <c r="Q237">
        <v>85.049833300000003</v>
      </c>
      <c r="R237">
        <v>7.8075100400000004</v>
      </c>
      <c r="S237">
        <v>7.1098794600000002</v>
      </c>
      <c r="T237">
        <v>7.7052624700000001</v>
      </c>
      <c r="U237">
        <v>6.9411900600000003</v>
      </c>
      <c r="V237">
        <v>7.79482315</v>
      </c>
      <c r="W237">
        <v>8.84879645</v>
      </c>
      <c r="Y237">
        <v>85.049833300000003</v>
      </c>
      <c r="Z237">
        <v>5.5093883400000001</v>
      </c>
      <c r="AA237">
        <v>5.4249500199999998</v>
      </c>
      <c r="AB237">
        <v>7.5406215300000001</v>
      </c>
      <c r="AC237">
        <v>8.0407689900000001</v>
      </c>
      <c r="AD237">
        <v>6.7262333999999999</v>
      </c>
      <c r="AE237">
        <v>6.4536249999999997</v>
      </c>
    </row>
    <row r="238" spans="1:31" x14ac:dyDescent="0.2">
      <c r="A238">
        <v>85.414833299999998</v>
      </c>
      <c r="B238">
        <v>7.9613702000000002</v>
      </c>
      <c r="C238">
        <v>7.0414116599999996</v>
      </c>
      <c r="D238">
        <v>7.7655690799999997</v>
      </c>
      <c r="E238">
        <v>5.8664680599999999</v>
      </c>
      <c r="F238">
        <v>7.81075812</v>
      </c>
      <c r="G238">
        <v>8.6083127800000003</v>
      </c>
      <c r="I238">
        <v>85.414833299999998</v>
      </c>
      <c r="J238">
        <v>7.88570539</v>
      </c>
      <c r="K238">
        <v>7.2449415500000001</v>
      </c>
      <c r="L238">
        <v>7.8075100400000004</v>
      </c>
      <c r="M238">
        <v>5.8111409900000002</v>
      </c>
      <c r="N238">
        <v>7.82404601</v>
      </c>
      <c r="O238">
        <v>8.5377798299999998</v>
      </c>
      <c r="Q238">
        <v>85.414833299999998</v>
      </c>
      <c r="R238">
        <v>7.80506704</v>
      </c>
      <c r="S238">
        <v>7.1098794600000002</v>
      </c>
      <c r="T238">
        <v>7.70210434</v>
      </c>
      <c r="U238">
        <v>6.9304947700000001</v>
      </c>
      <c r="V238">
        <v>7.79852305</v>
      </c>
      <c r="W238">
        <v>8.8463530400000003</v>
      </c>
      <c r="Y238">
        <v>85.414833299999998</v>
      </c>
      <c r="Z238">
        <v>5.4971682299999998</v>
      </c>
      <c r="AA238">
        <v>5.3844950599999999</v>
      </c>
      <c r="AB238">
        <v>7.5315523799999999</v>
      </c>
      <c r="AC238">
        <v>8.0410909999999998</v>
      </c>
      <c r="AD238">
        <v>6.7452363499999999</v>
      </c>
      <c r="AE238">
        <v>6.4876840199999997</v>
      </c>
    </row>
    <row r="239" spans="1:31" x14ac:dyDescent="0.2">
      <c r="A239">
        <v>85.779861100000005</v>
      </c>
      <c r="B239">
        <v>7.9693577400000004</v>
      </c>
      <c r="C239">
        <v>7.0501225200000004</v>
      </c>
      <c r="D239">
        <v>7.7647205399999999</v>
      </c>
      <c r="E239">
        <v>5.88332239</v>
      </c>
      <c r="F239">
        <v>7.7952349300000003</v>
      </c>
      <c r="G239">
        <v>8.6163142799999992</v>
      </c>
      <c r="I239">
        <v>85.779861100000005</v>
      </c>
      <c r="J239">
        <v>7.8972964699999997</v>
      </c>
      <c r="K239">
        <v>7.2605225999999998</v>
      </c>
      <c r="L239">
        <v>7.80547463</v>
      </c>
      <c r="M239">
        <v>5.8111409900000002</v>
      </c>
      <c r="N239">
        <v>7.8188324400000004</v>
      </c>
      <c r="O239">
        <v>8.5442245299999993</v>
      </c>
      <c r="Q239">
        <v>85.779861100000005</v>
      </c>
      <c r="R239">
        <v>7.7972912699999997</v>
      </c>
      <c r="S239">
        <v>7.1155821299999999</v>
      </c>
      <c r="T239">
        <v>7.6989362000000003</v>
      </c>
      <c r="U239">
        <v>6.9392539500000003</v>
      </c>
      <c r="V239">
        <v>7.7960579699999997</v>
      </c>
      <c r="W239">
        <v>8.84879645</v>
      </c>
      <c r="Y239">
        <v>85.779861100000005</v>
      </c>
      <c r="Z239">
        <v>5.5012582099999996</v>
      </c>
      <c r="AA239">
        <v>5.4161004000000004</v>
      </c>
      <c r="AB239">
        <v>7.5304799999999998</v>
      </c>
      <c r="AC239">
        <v>8.0481490999999998</v>
      </c>
      <c r="AD239">
        <v>6.7900972399999997</v>
      </c>
      <c r="AE239">
        <v>6.5366916000000002</v>
      </c>
    </row>
    <row r="240" spans="1:31" x14ac:dyDescent="0.2">
      <c r="A240">
        <v>86.1448611</v>
      </c>
      <c r="B240">
        <v>7.9662397800000004</v>
      </c>
      <c r="C240">
        <v>7.04838641</v>
      </c>
      <c r="D240">
        <v>7.7630213100000001</v>
      </c>
      <c r="E240">
        <v>5.8664680599999999</v>
      </c>
      <c r="F240">
        <v>7.8030266399999997</v>
      </c>
      <c r="G240">
        <v>8.6145013699999993</v>
      </c>
      <c r="I240">
        <v>86.1448611</v>
      </c>
      <c r="J240">
        <v>7.89618061</v>
      </c>
      <c r="K240">
        <v>7.2463680799999999</v>
      </c>
      <c r="L240">
        <v>7.8091353999999997</v>
      </c>
      <c r="M240">
        <v>5.79301361</v>
      </c>
      <c r="N240">
        <v>7.8228452900000001</v>
      </c>
      <c r="O240">
        <v>8.5373879000000006</v>
      </c>
      <c r="Q240">
        <v>86.1448611</v>
      </c>
      <c r="R240">
        <v>7.8018004000000003</v>
      </c>
      <c r="S240">
        <v>7.1180161999999996</v>
      </c>
      <c r="T240">
        <v>7.7016523599999998</v>
      </c>
      <c r="U240">
        <v>6.9353704499999997</v>
      </c>
      <c r="V240">
        <v>7.7981126300000003</v>
      </c>
      <c r="W240">
        <v>8.8440478999999996</v>
      </c>
      <c r="Y240">
        <v>86.1448611</v>
      </c>
      <c r="Z240">
        <v>5.5093883400000001</v>
      </c>
      <c r="AA240">
        <v>5.3798973500000002</v>
      </c>
      <c r="AB240">
        <v>7.5294064599999997</v>
      </c>
      <c r="AC240">
        <v>8.0420564100000007</v>
      </c>
      <c r="AD240">
        <v>6.8437499500000003</v>
      </c>
      <c r="AE240">
        <v>6.5998704999999998</v>
      </c>
    </row>
    <row r="241" spans="1:31" x14ac:dyDescent="0.2">
      <c r="A241">
        <v>86.509888900000007</v>
      </c>
      <c r="B241">
        <v>7.9648508900000001</v>
      </c>
      <c r="C241">
        <v>7.0405363899999998</v>
      </c>
      <c r="D241">
        <v>7.7731736800000002</v>
      </c>
      <c r="E241">
        <v>5.87493073</v>
      </c>
      <c r="F241">
        <v>7.8062892899999996</v>
      </c>
      <c r="G241">
        <v>8.6121396699999995</v>
      </c>
      <c r="I241">
        <v>86.509888900000007</v>
      </c>
      <c r="J241">
        <v>7.9065472300000001</v>
      </c>
      <c r="K241">
        <v>7.2399325899999996</v>
      </c>
      <c r="L241">
        <v>7.8079166300000002</v>
      </c>
      <c r="M241">
        <v>5.7899601699999996</v>
      </c>
      <c r="N241">
        <v>7.8172227899999998</v>
      </c>
      <c r="O241">
        <v>8.5356223300000007</v>
      </c>
      <c r="Q241">
        <v>86.509888900000007</v>
      </c>
      <c r="R241">
        <v>7.8005726500000003</v>
      </c>
      <c r="S241">
        <v>7.1115121200000004</v>
      </c>
      <c r="T241">
        <v>7.7043611700000003</v>
      </c>
      <c r="U241">
        <v>6.9295167700000002</v>
      </c>
      <c r="V241">
        <v>7.79482315</v>
      </c>
      <c r="W241">
        <v>8.8492270200000007</v>
      </c>
      <c r="Y241">
        <v>86.509888900000007</v>
      </c>
      <c r="Z241">
        <v>5.5053315400000002</v>
      </c>
      <c r="AA241">
        <v>5.3565862700000002</v>
      </c>
      <c r="AB241">
        <v>7.5299433699999998</v>
      </c>
      <c r="AC241">
        <v>8.0430208899999993</v>
      </c>
      <c r="AD241">
        <v>6.8731638300000002</v>
      </c>
      <c r="AE241">
        <v>6.6424868000000004</v>
      </c>
    </row>
    <row r="242" spans="1:31" x14ac:dyDescent="0.2">
      <c r="A242">
        <v>86.874888900000002</v>
      </c>
      <c r="B242">
        <v>7.9672801800000004</v>
      </c>
      <c r="C242">
        <v>7.0457765800000001</v>
      </c>
      <c r="D242">
        <v>7.7681103800000004</v>
      </c>
      <c r="E242">
        <v>5.8777357800000001</v>
      </c>
      <c r="F242">
        <v>7.8062892899999996</v>
      </c>
      <c r="G242">
        <v>8.6190274999999996</v>
      </c>
      <c r="I242">
        <v>86.874888900000002</v>
      </c>
      <c r="J242">
        <v>7.9098566699999999</v>
      </c>
      <c r="K242">
        <v>7.2298387799999997</v>
      </c>
      <c r="L242">
        <v>7.8075100400000004</v>
      </c>
      <c r="M242">
        <v>5.7990926500000004</v>
      </c>
      <c r="N242">
        <v>7.82164313</v>
      </c>
      <c r="O242">
        <v>8.5397371599999996</v>
      </c>
      <c r="Q242">
        <v>86.874888900000002</v>
      </c>
      <c r="R242">
        <v>7.8038432999999996</v>
      </c>
      <c r="S242">
        <v>7.1172054999999999</v>
      </c>
      <c r="T242">
        <v>7.6993894100000002</v>
      </c>
      <c r="U242">
        <v>6.9246124</v>
      </c>
      <c r="V242">
        <v>7.7964692400000004</v>
      </c>
      <c r="W242">
        <v>8.8519496699999998</v>
      </c>
      <c r="Y242">
        <v>86.874888900000002</v>
      </c>
      <c r="Z242">
        <v>5.5093883400000001</v>
      </c>
      <c r="AA242">
        <v>5.3844950599999999</v>
      </c>
      <c r="AB242">
        <v>7.5267175599999998</v>
      </c>
      <c r="AC242">
        <v>8.0491077200000003</v>
      </c>
      <c r="AD242">
        <v>6.9127428200000001</v>
      </c>
      <c r="AE242">
        <v>6.69084228</v>
      </c>
    </row>
    <row r="243" spans="1:31" x14ac:dyDescent="0.2">
      <c r="A243">
        <v>87.239916699999995</v>
      </c>
      <c r="B243">
        <v>7.9710857500000003</v>
      </c>
      <c r="C243">
        <v>7.0673198499999996</v>
      </c>
      <c r="D243">
        <v>7.7706452300000004</v>
      </c>
      <c r="E243">
        <v>5.94803499</v>
      </c>
      <c r="F243">
        <v>7.8103526800000003</v>
      </c>
      <c r="G243">
        <v>8.6134120500000009</v>
      </c>
      <c r="I243">
        <v>87.239916699999995</v>
      </c>
      <c r="J243">
        <v>7.9109573800000001</v>
      </c>
      <c r="K243">
        <v>7.2189097100000001</v>
      </c>
      <c r="L243">
        <v>7.8135915499999999</v>
      </c>
      <c r="M243">
        <v>5.77455155</v>
      </c>
      <c r="N243">
        <v>7.82404601</v>
      </c>
      <c r="O243">
        <v>8.5420809099999992</v>
      </c>
      <c r="Q243">
        <v>87.239916699999995</v>
      </c>
      <c r="R243">
        <v>7.80343506</v>
      </c>
      <c r="S243">
        <v>7.1467721800000001</v>
      </c>
      <c r="T243">
        <v>7.7016523599999998</v>
      </c>
      <c r="U243">
        <v>6.9555926100000001</v>
      </c>
      <c r="V243">
        <v>7.7968803400000004</v>
      </c>
      <c r="W243">
        <v>8.8436150900000001</v>
      </c>
      <c r="Y243">
        <v>87.239916699999995</v>
      </c>
      <c r="Z243">
        <v>5.52146092</v>
      </c>
      <c r="AA243">
        <v>5.3033049099999996</v>
      </c>
      <c r="AB243">
        <v>7.54433211</v>
      </c>
      <c r="AC243">
        <v>8.0475095099999994</v>
      </c>
      <c r="AD243">
        <v>6.9565454400000002</v>
      </c>
      <c r="AE243">
        <v>6.7405193600000004</v>
      </c>
    </row>
    <row r="244" spans="1:31" x14ac:dyDescent="0.2">
      <c r="A244">
        <v>87.604916700000004</v>
      </c>
      <c r="B244">
        <v>7.9683194999999998</v>
      </c>
      <c r="C244">
        <v>7.0387835399999998</v>
      </c>
      <c r="D244">
        <v>7.7719102600000003</v>
      </c>
      <c r="E244">
        <v>5.8692969100000001</v>
      </c>
      <c r="F244">
        <v>7.81075812</v>
      </c>
      <c r="G244">
        <v>8.6219134999999998</v>
      </c>
      <c r="I244">
        <v>87.604916700000004</v>
      </c>
      <c r="J244">
        <v>7.9157131999999999</v>
      </c>
      <c r="K244">
        <v>7.2225660200000004</v>
      </c>
      <c r="L244">
        <v>7.8095413200000001</v>
      </c>
      <c r="M244">
        <v>5.8021183799999996</v>
      </c>
      <c r="N244">
        <v>7.82244473</v>
      </c>
      <c r="O244">
        <v>8.5448083599999993</v>
      </c>
      <c r="Q244">
        <v>87.604916700000004</v>
      </c>
      <c r="R244">
        <v>7.8030266399999997</v>
      </c>
      <c r="S244">
        <v>7.1180161999999996</v>
      </c>
      <c r="T244">
        <v>7.70210434</v>
      </c>
      <c r="U244">
        <v>6.9265770299999998</v>
      </c>
      <c r="V244">
        <v>7.7993433999999997</v>
      </c>
      <c r="W244">
        <v>8.8467846699999999</v>
      </c>
      <c r="Y244">
        <v>87.604916700000004</v>
      </c>
      <c r="Z244">
        <v>5.5174529000000003</v>
      </c>
      <c r="AA244">
        <v>5.3936275499999997</v>
      </c>
      <c r="AB244">
        <v>7.5363639400000002</v>
      </c>
      <c r="AC244">
        <v>8.0465493600000002</v>
      </c>
      <c r="AD244">
        <v>7.0003344600000004</v>
      </c>
      <c r="AE244">
        <v>6.8090393100000002</v>
      </c>
    </row>
    <row r="245" spans="1:31" x14ac:dyDescent="0.2">
      <c r="A245">
        <v>87.969944400000003</v>
      </c>
      <c r="B245">
        <v>7.9738443800000001</v>
      </c>
      <c r="C245">
        <v>7.0501225200000004</v>
      </c>
      <c r="D245">
        <v>7.7756957499999997</v>
      </c>
      <c r="E245">
        <v>5.8916442099999999</v>
      </c>
      <c r="F245">
        <v>7.80547463</v>
      </c>
      <c r="G245">
        <v>8.6179430900000007</v>
      </c>
      <c r="I245">
        <v>87.969944400000003</v>
      </c>
      <c r="J245">
        <v>7.9131551900000003</v>
      </c>
      <c r="K245">
        <v>7.21450441</v>
      </c>
      <c r="L245">
        <v>7.8156105299999998</v>
      </c>
      <c r="M245">
        <v>5.8021183799999996</v>
      </c>
      <c r="N245">
        <v>7.8300280799999999</v>
      </c>
      <c r="O245">
        <v>8.5457806499999993</v>
      </c>
      <c r="Q245">
        <v>87.969944400000003</v>
      </c>
      <c r="R245">
        <v>7.7977020399999999</v>
      </c>
      <c r="S245">
        <v>7.1131421100000001</v>
      </c>
      <c r="T245">
        <v>7.7002952000000002</v>
      </c>
      <c r="U245">
        <v>6.9285378199999998</v>
      </c>
      <c r="V245">
        <v>7.8022093200000002</v>
      </c>
      <c r="W245">
        <v>8.8486528900000003</v>
      </c>
      <c r="Y245">
        <v>87.969944400000003</v>
      </c>
      <c r="Z245">
        <v>5.5053315400000002</v>
      </c>
      <c r="AA245">
        <v>5.3844950599999999</v>
      </c>
      <c r="AB245">
        <v>7.5331588099999998</v>
      </c>
      <c r="AC245">
        <v>8.0519780799999996</v>
      </c>
      <c r="AD245">
        <v>7.0527210499999997</v>
      </c>
      <c r="AE245">
        <v>6.8741985000000003</v>
      </c>
    </row>
    <row r="246" spans="1:31" x14ac:dyDescent="0.2">
      <c r="A246">
        <v>88.334944399999998</v>
      </c>
      <c r="B246">
        <v>7.9741886700000002</v>
      </c>
      <c r="C246">
        <v>7.0422861699999997</v>
      </c>
      <c r="D246">
        <v>7.7685332999999996</v>
      </c>
      <c r="E246">
        <v>5.8861040300000003</v>
      </c>
      <c r="F246">
        <v>7.8079166300000002</v>
      </c>
      <c r="G246">
        <v>8.6190274999999996</v>
      </c>
      <c r="I246">
        <v>88.334944399999998</v>
      </c>
      <c r="J246">
        <v>7.9240723199999996</v>
      </c>
      <c r="K246">
        <v>7.2137683099999999</v>
      </c>
      <c r="L246">
        <v>7.8139956799999997</v>
      </c>
      <c r="M246">
        <v>5.8141305299999999</v>
      </c>
      <c r="N246">
        <v>7.82404601</v>
      </c>
      <c r="O246">
        <v>8.5395415999999997</v>
      </c>
      <c r="Q246">
        <v>88.334944399999998</v>
      </c>
      <c r="R246">
        <v>7.80016307</v>
      </c>
      <c r="S246">
        <v>7.1180161999999996</v>
      </c>
      <c r="T246">
        <v>7.6998424099999996</v>
      </c>
      <c r="U246">
        <v>6.9226438899999998</v>
      </c>
      <c r="V246">
        <v>7.79852305</v>
      </c>
      <c r="W246">
        <v>8.85380827</v>
      </c>
      <c r="Y246">
        <v>88.334944399999998</v>
      </c>
      <c r="Z246">
        <v>5.5093883400000001</v>
      </c>
      <c r="AA246">
        <v>5.37527841</v>
      </c>
      <c r="AB246">
        <v>7.5342283300000004</v>
      </c>
      <c r="AC246">
        <v>8.0507033799999999</v>
      </c>
      <c r="AD246">
        <v>7.08840878</v>
      </c>
      <c r="AE246">
        <v>6.9334230300000002</v>
      </c>
    </row>
    <row r="247" spans="1:31" x14ac:dyDescent="0.2">
      <c r="A247">
        <v>88.699944400000007</v>
      </c>
      <c r="B247">
        <v>7.9707403899999996</v>
      </c>
      <c r="C247">
        <v>7.0352686000000002</v>
      </c>
      <c r="D247">
        <v>7.7698010000000002</v>
      </c>
      <c r="E247">
        <v>5.8777357800000001</v>
      </c>
      <c r="F247">
        <v>7.8103526800000003</v>
      </c>
      <c r="G247">
        <v>8.6174004499999999</v>
      </c>
      <c r="I247">
        <v>88.699944400000007</v>
      </c>
      <c r="J247">
        <v>7.9179005900000003</v>
      </c>
      <c r="K247">
        <v>7.2086003400000003</v>
      </c>
      <c r="L247">
        <v>7.8123782100000003</v>
      </c>
      <c r="M247">
        <v>5.8021183799999996</v>
      </c>
      <c r="N247">
        <v>7.8320141799999998</v>
      </c>
      <c r="O247">
        <v>8.5481102900000003</v>
      </c>
      <c r="Q247">
        <v>88.699944400000007</v>
      </c>
      <c r="R247">
        <v>7.7989333099999998</v>
      </c>
      <c r="S247">
        <v>7.1139561100000002</v>
      </c>
      <c r="T247">
        <v>7.6975753500000001</v>
      </c>
      <c r="U247">
        <v>6.9246124</v>
      </c>
      <c r="V247">
        <v>7.7997533199999998</v>
      </c>
      <c r="W247">
        <v>8.8580842200000003</v>
      </c>
      <c r="Y247">
        <v>88.699944400000007</v>
      </c>
      <c r="Z247">
        <v>5.5174529000000003</v>
      </c>
      <c r="AA247">
        <v>5.3706380300000003</v>
      </c>
      <c r="AB247">
        <v>7.5326236199999999</v>
      </c>
      <c r="AC247">
        <v>8.0513409300000003</v>
      </c>
      <c r="AD247">
        <v>7.1412451199999998</v>
      </c>
      <c r="AE247">
        <v>6.9966814900000003</v>
      </c>
    </row>
    <row r="248" spans="1:31" x14ac:dyDescent="0.2">
      <c r="A248">
        <v>89.064944400000002</v>
      </c>
      <c r="B248">
        <v>7.9679731800000004</v>
      </c>
      <c r="C248">
        <v>7.0509894500000003</v>
      </c>
      <c r="D248">
        <v>7.7748557700000003</v>
      </c>
      <c r="E248">
        <v>5.8916442099999999</v>
      </c>
      <c r="F248">
        <v>7.8111633899999999</v>
      </c>
      <c r="G248">
        <v>8.62299361</v>
      </c>
      <c r="I248">
        <v>89.064944400000002</v>
      </c>
      <c r="J248">
        <v>7.9168074900000001</v>
      </c>
      <c r="K248">
        <v>7.2137683099999999</v>
      </c>
      <c r="L248">
        <v>7.8176254399999996</v>
      </c>
      <c r="M248">
        <v>5.8377304499999996</v>
      </c>
      <c r="N248">
        <v>7.8347881099999999</v>
      </c>
      <c r="O248">
        <v>8.5481102900000003</v>
      </c>
      <c r="Q248">
        <v>89.064944400000002</v>
      </c>
      <c r="R248">
        <v>7.7968803400000004</v>
      </c>
      <c r="S248">
        <v>7.1212524500000001</v>
      </c>
      <c r="T248">
        <v>7.6975753500000001</v>
      </c>
      <c r="U248">
        <v>6.9392539500000003</v>
      </c>
      <c r="V248">
        <v>7.7964692400000004</v>
      </c>
      <c r="W248">
        <v>8.8560910600000007</v>
      </c>
      <c r="Y248">
        <v>89.064944400000002</v>
      </c>
      <c r="Z248">
        <v>5.5093883400000001</v>
      </c>
      <c r="AA248">
        <v>5.4337220000000004</v>
      </c>
      <c r="AB248">
        <v>7.5331588099999998</v>
      </c>
      <c r="AC248">
        <v>8.06085575</v>
      </c>
      <c r="AD248">
        <v>7.2004248899999999</v>
      </c>
      <c r="AE248">
        <v>7.07749805</v>
      </c>
    </row>
    <row r="249" spans="1:31" x14ac:dyDescent="0.2">
      <c r="A249">
        <v>89.43</v>
      </c>
      <c r="B249">
        <v>7.9738443800000001</v>
      </c>
      <c r="C249">
        <v>7.0422861699999997</v>
      </c>
      <c r="D249">
        <v>7.7681103800000004</v>
      </c>
      <c r="E249">
        <v>5.8888779600000003</v>
      </c>
      <c r="F249">
        <v>7.8103526800000003</v>
      </c>
      <c r="G249">
        <v>8.6130486800000003</v>
      </c>
      <c r="I249">
        <v>89.43</v>
      </c>
      <c r="J249">
        <v>7.9208096799999996</v>
      </c>
      <c r="K249">
        <v>7.2026611999999997</v>
      </c>
      <c r="L249">
        <v>7.8143996299999996</v>
      </c>
      <c r="M249">
        <v>5.8111409900000002</v>
      </c>
      <c r="N249">
        <v>7.8264431400000003</v>
      </c>
      <c r="O249">
        <v>8.54149548</v>
      </c>
      <c r="Q249">
        <v>89.43</v>
      </c>
      <c r="R249">
        <v>7.8018004000000003</v>
      </c>
      <c r="S249">
        <v>7.1180161999999996</v>
      </c>
      <c r="T249">
        <v>7.6930257500000003</v>
      </c>
      <c r="U249">
        <v>6.9255952000000001</v>
      </c>
      <c r="V249">
        <v>7.8005726500000003</v>
      </c>
      <c r="W249">
        <v>8.8480784200000002</v>
      </c>
      <c r="Y249">
        <v>89.43</v>
      </c>
      <c r="Z249">
        <v>5.5174529000000003</v>
      </c>
      <c r="AA249">
        <v>5.3936275499999997</v>
      </c>
      <c r="AB249">
        <v>7.5326236199999999</v>
      </c>
      <c r="AC249">
        <v>8.0494270599999993</v>
      </c>
      <c r="AD249">
        <v>7.2377781900000002</v>
      </c>
      <c r="AE249">
        <v>7.1388670000000003</v>
      </c>
    </row>
    <row r="250" spans="1:31" x14ac:dyDescent="0.2">
      <c r="A250">
        <v>89.795000000000002</v>
      </c>
      <c r="B250">
        <v>7.9648508900000001</v>
      </c>
      <c r="C250">
        <v>7.0492548399999997</v>
      </c>
      <c r="D250">
        <v>7.7655690799999997</v>
      </c>
      <c r="E250">
        <v>5.9026333299999996</v>
      </c>
      <c r="F250">
        <v>7.8079166300000002</v>
      </c>
      <c r="G250">
        <v>8.6174004499999999</v>
      </c>
      <c r="I250">
        <v>89.795000000000002</v>
      </c>
      <c r="J250">
        <v>7.9273243600000001</v>
      </c>
      <c r="K250">
        <v>7.2100796300000001</v>
      </c>
      <c r="L250">
        <v>7.8172227899999998</v>
      </c>
      <c r="M250">
        <v>5.83481074</v>
      </c>
      <c r="N250">
        <v>7.8252452899999998</v>
      </c>
      <c r="O250">
        <v>8.5446137899999997</v>
      </c>
      <c r="Q250">
        <v>89.795000000000002</v>
      </c>
      <c r="R250">
        <v>7.7968803400000004</v>
      </c>
      <c r="S250">
        <v>7.1236727899999996</v>
      </c>
      <c r="T250">
        <v>7.6957579899999997</v>
      </c>
      <c r="U250">
        <v>6.9255952000000001</v>
      </c>
      <c r="V250">
        <v>7.7894545700000002</v>
      </c>
      <c r="W250">
        <v>8.8460651899999991</v>
      </c>
      <c r="Y250">
        <v>89.795000000000002</v>
      </c>
      <c r="Z250">
        <v>5.5053315400000002</v>
      </c>
      <c r="AA250">
        <v>5.4205350000000001</v>
      </c>
      <c r="AB250">
        <v>7.5283317700000003</v>
      </c>
      <c r="AC250">
        <v>8.0484687400000006</v>
      </c>
      <c r="AD250">
        <v>7.29029288</v>
      </c>
      <c r="AE250">
        <v>7.2196420400000001</v>
      </c>
    </row>
    <row r="251" spans="1:31" x14ac:dyDescent="0.2">
      <c r="A251">
        <v>90.160027799999995</v>
      </c>
      <c r="B251">
        <v>7.9627639300000004</v>
      </c>
      <c r="C251">
        <v>7.0414116599999996</v>
      </c>
      <c r="D251">
        <v>7.7561953399999997</v>
      </c>
      <c r="E251">
        <v>5.8916442099999999</v>
      </c>
      <c r="F251">
        <v>7.8018004000000003</v>
      </c>
      <c r="G251">
        <v>8.6112298299999992</v>
      </c>
      <c r="I251">
        <v>90.160027799999995</v>
      </c>
      <c r="J251">
        <v>7.9102237100000004</v>
      </c>
      <c r="K251">
        <v>7.1989312400000003</v>
      </c>
      <c r="L251">
        <v>7.8095413200000001</v>
      </c>
      <c r="M251">
        <v>5.8111409900000002</v>
      </c>
      <c r="N251">
        <v>7.82164313</v>
      </c>
      <c r="O251">
        <v>8.5346401099999998</v>
      </c>
      <c r="Q251">
        <v>90.160027799999995</v>
      </c>
      <c r="R251">
        <v>7.7960579699999997</v>
      </c>
      <c r="S251">
        <v>7.1098794600000002</v>
      </c>
      <c r="T251">
        <v>7.6902860200000003</v>
      </c>
      <c r="U251">
        <v>6.9087547799999998</v>
      </c>
      <c r="V251">
        <v>7.7939990899999998</v>
      </c>
      <c r="W251">
        <v>8.8440478999999996</v>
      </c>
      <c r="Y251">
        <v>90.160027799999995</v>
      </c>
      <c r="Z251">
        <v>5.5093883400000001</v>
      </c>
      <c r="AA251">
        <v>5.3890717300000004</v>
      </c>
      <c r="AB251">
        <v>7.5245612299999998</v>
      </c>
      <c r="AC251">
        <v>8.0433421700000007</v>
      </c>
      <c r="AD251">
        <v>7.3323692100000004</v>
      </c>
      <c r="AE251">
        <v>7.2779385699999999</v>
      </c>
    </row>
    <row r="252" spans="1:31" x14ac:dyDescent="0.2">
      <c r="A252">
        <v>90.525027800000004</v>
      </c>
      <c r="B252">
        <v>7.9641557199999999</v>
      </c>
      <c r="C252">
        <v>7.0431599199999999</v>
      </c>
      <c r="D252">
        <v>7.7583334700000002</v>
      </c>
      <c r="E252">
        <v>5.8944028299999998</v>
      </c>
      <c r="F252">
        <v>7.80016307</v>
      </c>
      <c r="G252">
        <v>8.6145013699999993</v>
      </c>
      <c r="I252">
        <v>90.525027800000004</v>
      </c>
      <c r="J252">
        <v>7.9054416500000002</v>
      </c>
      <c r="K252">
        <v>7.1981835800000002</v>
      </c>
      <c r="L252">
        <v>7.8119734300000001</v>
      </c>
      <c r="M252">
        <v>5.8111409900000002</v>
      </c>
      <c r="N252">
        <v>7.8236459299999996</v>
      </c>
      <c r="O252">
        <v>8.5387589699999999</v>
      </c>
      <c r="Q252">
        <v>90.525027800000004</v>
      </c>
      <c r="R252">
        <v>7.7848892999999997</v>
      </c>
      <c r="S252">
        <v>7.1147694499999998</v>
      </c>
      <c r="T252">
        <v>7.6866213300000004</v>
      </c>
      <c r="U252">
        <v>6.9167150199999998</v>
      </c>
      <c r="V252">
        <v>7.79193596</v>
      </c>
      <c r="W252">
        <v>8.8430377199999999</v>
      </c>
      <c r="Y252">
        <v>90.525027800000004</v>
      </c>
      <c r="Z252">
        <v>5.5134287500000001</v>
      </c>
      <c r="AA252">
        <v>5.3844950599999999</v>
      </c>
      <c r="AB252">
        <v>7.52510075</v>
      </c>
      <c r="AC252">
        <v>8.0436633499999992</v>
      </c>
      <c r="AD252">
        <v>7.38274645</v>
      </c>
      <c r="AE252">
        <v>7.3588309000000001</v>
      </c>
    </row>
    <row r="253" spans="1:31" x14ac:dyDescent="0.2">
      <c r="A253">
        <v>90.890027799999999</v>
      </c>
      <c r="B253">
        <v>7.9638079499999996</v>
      </c>
      <c r="C253">
        <v>7.06133437</v>
      </c>
      <c r="D253">
        <v>7.7570511399999997</v>
      </c>
      <c r="E253">
        <v>5.9558373700000002</v>
      </c>
      <c r="F253">
        <v>7.8030266399999997</v>
      </c>
      <c r="G253">
        <v>8.6075821900000005</v>
      </c>
      <c r="I253">
        <v>90.890027799999999</v>
      </c>
      <c r="J253">
        <v>7.9065472300000001</v>
      </c>
      <c r="K253">
        <v>7.1891677400000003</v>
      </c>
      <c r="L253">
        <v>7.8091353999999997</v>
      </c>
      <c r="M253">
        <v>5.79301361</v>
      </c>
      <c r="N253">
        <v>7.82164313</v>
      </c>
      <c r="O253">
        <v>8.5364074100000007</v>
      </c>
      <c r="Q253">
        <v>90.890027799999999</v>
      </c>
      <c r="R253">
        <v>7.7815559600000004</v>
      </c>
      <c r="S253">
        <v>7.1372784400000002</v>
      </c>
      <c r="T253">
        <v>7.6801756399999999</v>
      </c>
      <c r="U253">
        <v>6.9382844800000001</v>
      </c>
      <c r="V253">
        <v>7.79193596</v>
      </c>
      <c r="W253">
        <v>8.8350649400000005</v>
      </c>
      <c r="Y253">
        <v>90.890027799999999</v>
      </c>
      <c r="Z253">
        <v>5.5254529400000001</v>
      </c>
      <c r="AA253">
        <v>5.3471075299999997</v>
      </c>
      <c r="AB253">
        <v>7.5153445699999999</v>
      </c>
      <c r="AC253">
        <v>8.0320353099999995</v>
      </c>
      <c r="AD253">
        <v>7.4336665399999999</v>
      </c>
      <c r="AE253">
        <v>7.4324838099999999</v>
      </c>
    </row>
    <row r="254" spans="1:31" x14ac:dyDescent="0.2">
      <c r="A254">
        <v>91.255055600000006</v>
      </c>
      <c r="B254">
        <v>7.9599745300000002</v>
      </c>
      <c r="C254">
        <v>7.0273145100000001</v>
      </c>
      <c r="D254">
        <v>7.7557671700000004</v>
      </c>
      <c r="E254">
        <v>5.87493073</v>
      </c>
      <c r="F254">
        <v>7.7989333099999998</v>
      </c>
      <c r="G254">
        <v>8.6041045599999997</v>
      </c>
      <c r="I254">
        <v>91.255055600000006</v>
      </c>
      <c r="J254">
        <v>7.9035962900000003</v>
      </c>
      <c r="K254">
        <v>7.2004248899999999</v>
      </c>
      <c r="L254">
        <v>7.80506704</v>
      </c>
      <c r="M254">
        <v>5.8111409900000002</v>
      </c>
      <c r="N254">
        <v>7.8176254399999996</v>
      </c>
      <c r="O254">
        <v>8.5352295500000004</v>
      </c>
      <c r="Q254">
        <v>91.255055600000006</v>
      </c>
      <c r="R254">
        <v>7.7790486400000001</v>
      </c>
      <c r="S254">
        <v>7.1163941399999997</v>
      </c>
      <c r="T254">
        <v>7.6829431699999997</v>
      </c>
      <c r="U254">
        <v>6.9017372100000003</v>
      </c>
      <c r="V254">
        <v>7.8005726500000003</v>
      </c>
      <c r="W254">
        <v>8.8389867899999999</v>
      </c>
      <c r="Y254">
        <v>91.255055600000006</v>
      </c>
      <c r="Z254">
        <v>5.5254529400000001</v>
      </c>
      <c r="AA254">
        <v>5.3936275499999997</v>
      </c>
      <c r="AB254">
        <v>7.52510075</v>
      </c>
      <c r="AC254">
        <v>8.0362499399999994</v>
      </c>
      <c r="AD254">
        <v>7.4866133100000001</v>
      </c>
      <c r="AE254">
        <v>7.5234813100000002</v>
      </c>
    </row>
    <row r="255" spans="1:31" x14ac:dyDescent="0.2">
      <c r="A255">
        <v>91.620055600000001</v>
      </c>
      <c r="B255">
        <v>7.9655455699999997</v>
      </c>
      <c r="C255">
        <v>7.0317412600000004</v>
      </c>
      <c r="D255">
        <v>7.7544815500000004</v>
      </c>
      <c r="E255">
        <v>5.87493073</v>
      </c>
      <c r="F255">
        <v>7.8066963700000001</v>
      </c>
      <c r="G255">
        <v>8.6099546700000005</v>
      </c>
      <c r="I255">
        <v>91.620055600000001</v>
      </c>
      <c r="J255">
        <v>7.9054416500000002</v>
      </c>
      <c r="K255">
        <v>7.1914293300000001</v>
      </c>
      <c r="L255">
        <v>7.8058820400000002</v>
      </c>
      <c r="M255">
        <v>5.8141305299999999</v>
      </c>
      <c r="N255">
        <v>7.8188324400000004</v>
      </c>
      <c r="O255">
        <v>8.5391503600000007</v>
      </c>
      <c r="Q255">
        <v>91.620055600000001</v>
      </c>
      <c r="R255">
        <v>7.7803030900000003</v>
      </c>
      <c r="S255">
        <v>7.1155821299999999</v>
      </c>
      <c r="T255">
        <v>7.68478394</v>
      </c>
      <c r="U255">
        <v>6.90675478</v>
      </c>
      <c r="V255">
        <v>7.79482315</v>
      </c>
      <c r="W255">
        <v>8.8433264499999993</v>
      </c>
      <c r="Y255">
        <v>91.620055600000001</v>
      </c>
      <c r="Z255">
        <v>5.5093883400000001</v>
      </c>
      <c r="AA255">
        <v>5.3981627000000003</v>
      </c>
      <c r="AB255">
        <v>7.5153445699999999</v>
      </c>
      <c r="AC255">
        <v>8.04141291</v>
      </c>
      <c r="AD255">
        <v>7.5422134600000001</v>
      </c>
      <c r="AE255">
        <v>7.6148053600000001</v>
      </c>
    </row>
    <row r="256" spans="1:31" x14ac:dyDescent="0.2">
      <c r="A256">
        <v>91.985083299999999</v>
      </c>
      <c r="B256">
        <v>7.9603236300000004</v>
      </c>
      <c r="C256">
        <v>7.0326242600000004</v>
      </c>
      <c r="D256">
        <v>7.7621706100000001</v>
      </c>
      <c r="E256">
        <v>5.8777357800000001</v>
      </c>
      <c r="F256">
        <v>7.7952349300000003</v>
      </c>
      <c r="G256">
        <v>8.6095900400000005</v>
      </c>
      <c r="I256">
        <v>91.985083299999999</v>
      </c>
      <c r="J256">
        <v>7.9024874399999998</v>
      </c>
      <c r="K256">
        <v>7.1951873199999996</v>
      </c>
      <c r="L256">
        <v>7.8058820400000002</v>
      </c>
      <c r="M256">
        <v>5.8111409900000002</v>
      </c>
      <c r="N256">
        <v>7.8196363</v>
      </c>
      <c r="O256">
        <v>8.5338536299999994</v>
      </c>
      <c r="Q256">
        <v>91.985083299999999</v>
      </c>
      <c r="R256">
        <v>7.7840569999999998</v>
      </c>
      <c r="S256">
        <v>7.1204443700000004</v>
      </c>
      <c r="T256">
        <v>7.6820215100000002</v>
      </c>
      <c r="U256">
        <v>6.8936563499999997</v>
      </c>
      <c r="V256">
        <v>7.7844732399999996</v>
      </c>
      <c r="W256">
        <v>8.8417374300000002</v>
      </c>
      <c r="Y256">
        <v>91.985083299999999</v>
      </c>
      <c r="Z256">
        <v>5.5373342699999997</v>
      </c>
      <c r="AA256">
        <v>5.3844950599999999</v>
      </c>
      <c r="AB256">
        <v>7.5229409199999999</v>
      </c>
      <c r="AC256">
        <v>8.0317103799999998</v>
      </c>
      <c r="AD256">
        <v>7.5883236800000002</v>
      </c>
      <c r="AE256">
        <v>7.7057128199999996</v>
      </c>
    </row>
    <row r="257" spans="1:31" x14ac:dyDescent="0.2">
      <c r="A257">
        <v>92.350083299999994</v>
      </c>
      <c r="B257">
        <v>7.9606726099999996</v>
      </c>
      <c r="C257">
        <v>7.0352686000000002</v>
      </c>
      <c r="D257">
        <v>7.7536235500000004</v>
      </c>
      <c r="E257">
        <v>5.8944028299999998</v>
      </c>
      <c r="F257">
        <v>7.80506704</v>
      </c>
      <c r="G257">
        <v>8.61286694</v>
      </c>
      <c r="I257">
        <v>92.350083299999994</v>
      </c>
      <c r="J257">
        <v>7.8998953199999997</v>
      </c>
      <c r="K257">
        <v>7.1974353500000001</v>
      </c>
      <c r="L257">
        <v>7.8119734300000001</v>
      </c>
      <c r="M257">
        <v>5.8230459000000003</v>
      </c>
      <c r="N257">
        <v>7.8168199700000001</v>
      </c>
      <c r="O257">
        <v>8.53424695</v>
      </c>
      <c r="Q257">
        <v>92.350083299999994</v>
      </c>
      <c r="R257">
        <v>7.7777926300000004</v>
      </c>
      <c r="S257">
        <v>7.1139561100000002</v>
      </c>
      <c r="T257">
        <v>7.6722924600000004</v>
      </c>
      <c r="U257">
        <v>6.8946700400000003</v>
      </c>
      <c r="V257">
        <v>7.7828072600000002</v>
      </c>
      <c r="W257">
        <v>8.8417374300000002</v>
      </c>
      <c r="Y257">
        <v>92.350083299999994</v>
      </c>
      <c r="Z257">
        <v>5.5134287500000001</v>
      </c>
      <c r="AA257">
        <v>5.4071717699999997</v>
      </c>
      <c r="AB257">
        <v>7.5093352700000002</v>
      </c>
      <c r="AC257">
        <v>8.0326848799999997</v>
      </c>
      <c r="AD257">
        <v>7.6381982400000004</v>
      </c>
      <c r="AE257">
        <v>7.7993433999999997</v>
      </c>
    </row>
    <row r="258" spans="1:31" x14ac:dyDescent="0.2">
      <c r="A258">
        <v>92.715083300000003</v>
      </c>
      <c r="B258">
        <v>7.9606726099999996</v>
      </c>
      <c r="C258">
        <v>7.0299729099999997</v>
      </c>
      <c r="D258">
        <v>7.7480285200000001</v>
      </c>
      <c r="E258">
        <v>5.8861040300000003</v>
      </c>
      <c r="F258">
        <v>7.80016307</v>
      </c>
      <c r="G258">
        <v>8.6099546700000005</v>
      </c>
      <c r="I258">
        <v>92.715083300000003</v>
      </c>
      <c r="J258">
        <v>7.89618061</v>
      </c>
      <c r="K258">
        <v>7.1929342199999997</v>
      </c>
      <c r="L258">
        <v>7.8095413200000001</v>
      </c>
      <c r="M258">
        <v>5.8141305299999999</v>
      </c>
      <c r="N258">
        <v>7.8164169799999996</v>
      </c>
      <c r="O258">
        <v>8.5332633700000002</v>
      </c>
      <c r="Q258">
        <v>92.715083300000003</v>
      </c>
      <c r="R258">
        <v>7.7807208899999996</v>
      </c>
      <c r="S258">
        <v>7.1204443700000004</v>
      </c>
      <c r="T258">
        <v>7.6736881300000004</v>
      </c>
      <c r="U258">
        <v>6.9017372100000003</v>
      </c>
      <c r="V258">
        <v>7.7873820299999998</v>
      </c>
      <c r="W258">
        <v>8.8378263599999993</v>
      </c>
      <c r="Y258">
        <v>92.715083300000003</v>
      </c>
      <c r="Z258">
        <v>5.5174529000000003</v>
      </c>
      <c r="AA258">
        <v>5.3890717300000004</v>
      </c>
      <c r="AB258">
        <v>7.5093352700000002</v>
      </c>
      <c r="AC258">
        <v>8.0287811599999994</v>
      </c>
      <c r="AD258">
        <v>7.6797136400000001</v>
      </c>
      <c r="AE258">
        <v>7.8984110899999997</v>
      </c>
    </row>
    <row r="259" spans="1:31" x14ac:dyDescent="0.2">
      <c r="A259">
        <v>93.080083299999998</v>
      </c>
      <c r="B259">
        <v>7.9610214700000004</v>
      </c>
      <c r="C259">
        <v>7.0299729099999997</v>
      </c>
      <c r="D259">
        <v>7.7544815500000004</v>
      </c>
      <c r="E259">
        <v>5.87493073</v>
      </c>
      <c r="F259">
        <v>7.7989333099999998</v>
      </c>
      <c r="G259">
        <v>8.6033708900000008</v>
      </c>
      <c r="I259">
        <v>93.080083299999998</v>
      </c>
      <c r="J259">
        <v>7.8935720700000003</v>
      </c>
      <c r="K259">
        <v>7.1951873199999996</v>
      </c>
      <c r="L259">
        <v>7.80547463</v>
      </c>
      <c r="M259">
        <v>5.8141305299999999</v>
      </c>
      <c r="N259">
        <v>7.82164313</v>
      </c>
      <c r="O259">
        <v>8.5326727600000005</v>
      </c>
      <c r="Q259">
        <v>93.080083299999998</v>
      </c>
      <c r="R259">
        <v>7.7761154799999996</v>
      </c>
      <c r="S259">
        <v>7.1115121200000004</v>
      </c>
      <c r="T259">
        <v>7.6801756399999999</v>
      </c>
      <c r="U259">
        <v>6.8926416399999999</v>
      </c>
      <c r="V259">
        <v>7.7848892999999997</v>
      </c>
      <c r="W259">
        <v>8.8453452000000006</v>
      </c>
      <c r="Y259">
        <v>93.080083299999998</v>
      </c>
      <c r="Z259">
        <v>5.5254529400000001</v>
      </c>
      <c r="AA259">
        <v>5.3936275499999997</v>
      </c>
      <c r="AB259">
        <v>7.5115246500000001</v>
      </c>
      <c r="AC259">
        <v>8.0261701900000002</v>
      </c>
      <c r="AD259">
        <v>7.7301748000000003</v>
      </c>
      <c r="AE259">
        <v>7.9983354000000002</v>
      </c>
    </row>
    <row r="260" spans="1:31" x14ac:dyDescent="0.2">
      <c r="A260">
        <v>93.445111100000005</v>
      </c>
      <c r="B260">
        <v>7.9592759600000003</v>
      </c>
      <c r="C260">
        <v>7.0282014300000002</v>
      </c>
      <c r="D260">
        <v>7.7484600199999996</v>
      </c>
      <c r="E260">
        <v>5.8777357800000001</v>
      </c>
      <c r="F260">
        <v>7.7911095100000001</v>
      </c>
      <c r="G260">
        <v>8.6075821900000005</v>
      </c>
      <c r="I260">
        <v>93.445111100000005</v>
      </c>
      <c r="J260">
        <v>7.8943180599999998</v>
      </c>
      <c r="K260">
        <v>7.2019163199999996</v>
      </c>
      <c r="L260">
        <v>7.8095413200000001</v>
      </c>
      <c r="M260">
        <v>5.8141305299999999</v>
      </c>
      <c r="N260">
        <v>7.8176254399999996</v>
      </c>
      <c r="O260">
        <v>8.5318847400000006</v>
      </c>
      <c r="Q260">
        <v>93.445111100000005</v>
      </c>
      <c r="R260">
        <v>7.7740150799999999</v>
      </c>
      <c r="S260">
        <v>7.1115121200000004</v>
      </c>
      <c r="T260">
        <v>7.6685611099999997</v>
      </c>
      <c r="U260">
        <v>6.8895913100000001</v>
      </c>
      <c r="V260">
        <v>7.7890404000000002</v>
      </c>
      <c r="W260">
        <v>8.8352104600000008</v>
      </c>
      <c r="Y260">
        <v>93.445111100000005</v>
      </c>
      <c r="Z260">
        <v>5.52146092</v>
      </c>
      <c r="AA260">
        <v>5.4026773800000001</v>
      </c>
      <c r="AB260">
        <v>7.51207125</v>
      </c>
      <c r="AC260">
        <v>8.0264969399999995</v>
      </c>
      <c r="AD260">
        <v>7.7664169000000003</v>
      </c>
      <c r="AE260">
        <v>8.0965129200000003</v>
      </c>
    </row>
    <row r="261" spans="1:31" x14ac:dyDescent="0.2">
      <c r="A261">
        <v>93.8101111</v>
      </c>
      <c r="B261">
        <v>7.9522633100000002</v>
      </c>
      <c r="C261">
        <v>7.0335064799999998</v>
      </c>
      <c r="D261">
        <v>7.7467329100000004</v>
      </c>
      <c r="E261">
        <v>5.8777357800000001</v>
      </c>
      <c r="F261">
        <v>7.7989333099999998</v>
      </c>
      <c r="G261">
        <v>8.6066681999999997</v>
      </c>
      <c r="I261">
        <v>93.8101111</v>
      </c>
      <c r="J261">
        <v>7.8958083800000001</v>
      </c>
      <c r="K261">
        <v>7.1906760299999997</v>
      </c>
      <c r="L261">
        <v>7.8018004000000003</v>
      </c>
      <c r="M261">
        <v>5.8200829299999999</v>
      </c>
      <c r="N261">
        <v>7.8152070599999997</v>
      </c>
      <c r="O261">
        <v>8.5366035799999995</v>
      </c>
      <c r="Q261">
        <v>93.8101111</v>
      </c>
      <c r="R261">
        <v>7.7714887600000004</v>
      </c>
      <c r="S261">
        <v>7.1172054999999999</v>
      </c>
      <c r="T261">
        <v>7.6601143199999999</v>
      </c>
      <c r="U261">
        <v>6.9017372100000003</v>
      </c>
      <c r="V261">
        <v>7.7853051799999999</v>
      </c>
      <c r="W261">
        <v>8.8366645899999998</v>
      </c>
      <c r="Y261">
        <v>93.8101111</v>
      </c>
      <c r="Z261">
        <v>5.5294290899999998</v>
      </c>
      <c r="AA261">
        <v>5.3936275499999997</v>
      </c>
      <c r="AB261">
        <v>7.5153445699999999</v>
      </c>
      <c r="AC261">
        <v>8.0248621500000006</v>
      </c>
      <c r="AD261">
        <v>7.7989333099999998</v>
      </c>
      <c r="AE261">
        <v>8.1931237200000009</v>
      </c>
    </row>
    <row r="262" spans="1:31" x14ac:dyDescent="0.2">
      <c r="A262">
        <v>94.175138899999993</v>
      </c>
      <c r="B262">
        <v>7.9599745300000002</v>
      </c>
      <c r="C262">
        <v>7.0352686000000002</v>
      </c>
      <c r="D262">
        <v>7.7445698099999998</v>
      </c>
      <c r="E262">
        <v>5.87493073</v>
      </c>
      <c r="F262">
        <v>7.8038432999999996</v>
      </c>
      <c r="G262">
        <v>8.6050208999999995</v>
      </c>
      <c r="I262">
        <v>94.175138899999993</v>
      </c>
      <c r="J262">
        <v>7.8898337500000002</v>
      </c>
      <c r="K262">
        <v>7.2041492900000001</v>
      </c>
      <c r="L262">
        <v>7.8026180600000004</v>
      </c>
      <c r="M262">
        <v>5.8171111599999996</v>
      </c>
      <c r="N262">
        <v>7.8164169799999996</v>
      </c>
      <c r="O262">
        <v>8.5352295500000004</v>
      </c>
      <c r="Q262">
        <v>94.175138899999993</v>
      </c>
      <c r="R262">
        <v>7.7790486400000001</v>
      </c>
      <c r="S262">
        <v>7.1106961200000001</v>
      </c>
      <c r="T262">
        <v>7.6732231200000003</v>
      </c>
      <c r="U262">
        <v>6.8946700400000003</v>
      </c>
      <c r="V262">
        <v>7.7844732399999996</v>
      </c>
      <c r="W262">
        <v>8.8386968100000001</v>
      </c>
      <c r="Y262">
        <v>94.175138899999993</v>
      </c>
      <c r="Z262">
        <v>5.5294290899999998</v>
      </c>
      <c r="AA262">
        <v>5.4026773800000001</v>
      </c>
      <c r="AB262">
        <v>7.5065917799999999</v>
      </c>
      <c r="AC262">
        <v>8.0310601800000008</v>
      </c>
      <c r="AD262">
        <v>7.8328075200000002</v>
      </c>
      <c r="AE262">
        <v>8.2952988600000008</v>
      </c>
    </row>
    <row r="263" spans="1:31" x14ac:dyDescent="0.2">
      <c r="A263">
        <v>94.540138900000002</v>
      </c>
      <c r="B263">
        <v>7.9547233300000002</v>
      </c>
      <c r="C263">
        <v>7.0282014300000002</v>
      </c>
      <c r="D263">
        <v>7.7514753199999999</v>
      </c>
      <c r="E263">
        <v>5.8777357800000001</v>
      </c>
      <c r="F263">
        <v>7.8013913199999996</v>
      </c>
      <c r="G263">
        <v>8.6072166899999996</v>
      </c>
      <c r="I263">
        <v>94.540138900000002</v>
      </c>
      <c r="J263">
        <v>7.8868330000000002</v>
      </c>
      <c r="K263">
        <v>7.2026611999999997</v>
      </c>
      <c r="L263">
        <v>7.8038432999999996</v>
      </c>
      <c r="M263">
        <v>5.8051349700000001</v>
      </c>
      <c r="N263">
        <v>7.8127828199999998</v>
      </c>
      <c r="O263">
        <v>8.5326727600000005</v>
      </c>
      <c r="Q263">
        <v>94.540138900000002</v>
      </c>
      <c r="R263">
        <v>7.76895604</v>
      </c>
      <c r="S263">
        <v>7.10824414</v>
      </c>
      <c r="T263">
        <v>7.6685611099999997</v>
      </c>
      <c r="U263">
        <v>6.8865316400000003</v>
      </c>
      <c r="V263">
        <v>7.7906960300000003</v>
      </c>
      <c r="W263">
        <v>8.8373908599999993</v>
      </c>
      <c r="Y263">
        <v>94.540138900000002</v>
      </c>
      <c r="Z263">
        <v>5.5490760799999999</v>
      </c>
      <c r="AA263">
        <v>5.3936275499999997</v>
      </c>
      <c r="AB263">
        <v>7.5137092499999998</v>
      </c>
      <c r="AC263">
        <v>8.0182961400000003</v>
      </c>
      <c r="AD263">
        <v>7.8690193800000001</v>
      </c>
      <c r="AE263">
        <v>8.3861729300000007</v>
      </c>
    </row>
    <row r="264" spans="1:31" x14ac:dyDescent="0.2">
      <c r="A264">
        <v>94.905166699999995</v>
      </c>
      <c r="B264">
        <v>7.9610214700000004</v>
      </c>
      <c r="C264">
        <v>7.0587581500000001</v>
      </c>
      <c r="D264">
        <v>7.7450028</v>
      </c>
      <c r="E264">
        <v>5.9532433300000003</v>
      </c>
      <c r="F264">
        <v>7.7968803400000004</v>
      </c>
      <c r="G264">
        <v>8.6050208999999995</v>
      </c>
      <c r="I264">
        <v>94.905166699999995</v>
      </c>
      <c r="J264">
        <v>7.87929149</v>
      </c>
      <c r="K264">
        <v>7.1891677400000003</v>
      </c>
      <c r="L264">
        <v>7.8042513800000002</v>
      </c>
      <c r="M264">
        <v>5.7868973800000001</v>
      </c>
      <c r="N264">
        <v>7.8160138400000001</v>
      </c>
      <c r="O264">
        <v>8.52971447</v>
      </c>
      <c r="Q264">
        <v>94.905166699999995</v>
      </c>
      <c r="R264">
        <v>7.7735944699999999</v>
      </c>
      <c r="S264">
        <v>7.1372784400000002</v>
      </c>
      <c r="T264">
        <v>7.6662219299999999</v>
      </c>
      <c r="U264">
        <v>6.91869522</v>
      </c>
      <c r="V264">
        <v>7.7873820299999998</v>
      </c>
      <c r="W264">
        <v>8.8282010900000003</v>
      </c>
      <c r="Y264">
        <v>94.905166699999995</v>
      </c>
      <c r="Z264">
        <v>5.5294290899999998</v>
      </c>
      <c r="AA264">
        <v>5.3565862700000002</v>
      </c>
      <c r="AB264">
        <v>7.5010821200000004</v>
      </c>
      <c r="AC264">
        <v>8.0136741399999991</v>
      </c>
      <c r="AD264">
        <v>7.9010070499999996</v>
      </c>
      <c r="AE264">
        <v>8.4823946899999996</v>
      </c>
    </row>
    <row r="265" spans="1:31" x14ac:dyDescent="0.2">
      <c r="A265">
        <v>95.270166700000004</v>
      </c>
      <c r="B265">
        <v>7.9512071600000001</v>
      </c>
      <c r="C265">
        <v>7.0326242600000004</v>
      </c>
      <c r="D265">
        <v>7.7475968399999999</v>
      </c>
      <c r="E265">
        <v>5.8805329899999998</v>
      </c>
      <c r="F265">
        <v>7.79482315</v>
      </c>
      <c r="G265">
        <v>8.6070338999999993</v>
      </c>
      <c r="I265">
        <v>95.270166700000004</v>
      </c>
      <c r="J265">
        <v>7.8808043400000001</v>
      </c>
      <c r="K265">
        <v>7.1951873199999996</v>
      </c>
      <c r="L265">
        <v>7.8058820400000002</v>
      </c>
      <c r="M265">
        <v>5.8111409900000002</v>
      </c>
      <c r="N265">
        <v>7.8244459300000004</v>
      </c>
      <c r="O265">
        <v>8.5277374100000003</v>
      </c>
      <c r="Q265">
        <v>95.270166700000004</v>
      </c>
      <c r="R265">
        <v>7.7710670899999998</v>
      </c>
      <c r="S265">
        <v>7.1115121200000004</v>
      </c>
      <c r="T265">
        <v>7.6624678199999998</v>
      </c>
      <c r="U265">
        <v>6.8865316400000003</v>
      </c>
      <c r="V265">
        <v>7.7786301499999997</v>
      </c>
      <c r="W265">
        <v>8.8373908599999993</v>
      </c>
      <c r="Y265">
        <v>95.270166700000004</v>
      </c>
      <c r="Z265">
        <v>5.5333894900000002</v>
      </c>
      <c r="AA265">
        <v>5.3798973500000002</v>
      </c>
      <c r="AB265">
        <v>7.5027382100000004</v>
      </c>
      <c r="AC265">
        <v>8.0116867299999992</v>
      </c>
      <c r="AD265">
        <v>7.9366601599999997</v>
      </c>
      <c r="AE265">
        <v>8.5844779399999993</v>
      </c>
    </row>
    <row r="266" spans="1:31" x14ac:dyDescent="0.2">
      <c r="A266">
        <v>95.635194400000003</v>
      </c>
      <c r="B266">
        <v>7.9585768999999997</v>
      </c>
      <c r="C266">
        <v>7.0282014300000002</v>
      </c>
      <c r="D266">
        <v>7.7493224600000001</v>
      </c>
      <c r="E266">
        <v>5.8861040300000003</v>
      </c>
      <c r="F266">
        <v>7.7952349300000003</v>
      </c>
      <c r="G266">
        <v>8.6022693599999993</v>
      </c>
      <c r="I266">
        <v>95.635194400000003</v>
      </c>
      <c r="J266">
        <v>7.8834463499999998</v>
      </c>
      <c r="K266">
        <v>7.1981835800000002</v>
      </c>
      <c r="L266">
        <v>7.8026180600000004</v>
      </c>
      <c r="M266">
        <v>5.8435444199999997</v>
      </c>
      <c r="N266">
        <v>7.8164169799999996</v>
      </c>
      <c r="O266">
        <v>8.5354259599999995</v>
      </c>
      <c r="Q266">
        <v>95.635194400000003</v>
      </c>
      <c r="R266">
        <v>7.7756957499999997</v>
      </c>
      <c r="S266">
        <v>7.1131421100000001</v>
      </c>
      <c r="T266">
        <v>7.6558640200000001</v>
      </c>
      <c r="U266">
        <v>6.8885724599999998</v>
      </c>
      <c r="V266">
        <v>7.7777926300000004</v>
      </c>
      <c r="W266">
        <v>8.8356469200000003</v>
      </c>
      <c r="Y266">
        <v>95.635194400000003</v>
      </c>
      <c r="Z266">
        <v>5.5294290899999998</v>
      </c>
      <c r="AA266">
        <v>5.4026773800000001</v>
      </c>
      <c r="AB266">
        <v>7.5054922700000004</v>
      </c>
      <c r="AC266">
        <v>8.0205991500000007</v>
      </c>
      <c r="AD266">
        <v>7.9624156800000003</v>
      </c>
      <c r="AE266">
        <v>8.6693991199999996</v>
      </c>
    </row>
    <row r="267" spans="1:31" x14ac:dyDescent="0.2">
      <c r="A267">
        <v>96.000194399999998</v>
      </c>
      <c r="B267">
        <v>7.9505024300000002</v>
      </c>
      <c r="C267">
        <v>7.0387835399999998</v>
      </c>
      <c r="D267">
        <v>7.7454356100000004</v>
      </c>
      <c r="E267">
        <v>5.9242558000000001</v>
      </c>
      <c r="F267">
        <v>7.79152282</v>
      </c>
      <c r="G267">
        <v>8.6079475500000004</v>
      </c>
      <c r="I267">
        <v>96.000194399999998</v>
      </c>
      <c r="J267">
        <v>7.8845765099999996</v>
      </c>
      <c r="K267">
        <v>7.2108184499999997</v>
      </c>
      <c r="L267">
        <v>7.8026180600000004</v>
      </c>
      <c r="M267">
        <v>5.8493247799999999</v>
      </c>
      <c r="N267">
        <v>7.8131872700000002</v>
      </c>
      <c r="O267">
        <v>8.5314905000000003</v>
      </c>
      <c r="Q267">
        <v>96.000194399999998</v>
      </c>
      <c r="R267">
        <v>7.7630213100000001</v>
      </c>
      <c r="S267">
        <v>7.1188262499999997</v>
      </c>
      <c r="T267">
        <v>7.6629378499999996</v>
      </c>
      <c r="U267">
        <v>6.8966943299999999</v>
      </c>
      <c r="V267">
        <v>7.7807208899999996</v>
      </c>
      <c r="W267">
        <v>8.8413036199999997</v>
      </c>
      <c r="Y267">
        <v>96.000194399999998</v>
      </c>
      <c r="Z267">
        <v>5.5451774399999998</v>
      </c>
      <c r="AA267">
        <v>5.4510384500000004</v>
      </c>
      <c r="AB267">
        <v>7.5082387700000002</v>
      </c>
      <c r="AC267">
        <v>8.0235523900000008</v>
      </c>
      <c r="AD267">
        <v>7.9789963699999999</v>
      </c>
      <c r="AE267">
        <v>8.7562100899999997</v>
      </c>
    </row>
    <row r="268" spans="1:31" x14ac:dyDescent="0.2">
      <c r="A268">
        <v>96.365222200000005</v>
      </c>
      <c r="B268">
        <v>7.9557757799999997</v>
      </c>
      <c r="C268">
        <v>7.0449051200000001</v>
      </c>
      <c r="D268">
        <v>7.7458682300000001</v>
      </c>
      <c r="E268">
        <v>5.9188938499999999</v>
      </c>
      <c r="F268">
        <v>7.79482315</v>
      </c>
      <c r="G268">
        <v>8.6115938700000001</v>
      </c>
      <c r="I268">
        <v>96.365222200000005</v>
      </c>
      <c r="J268">
        <v>7.8830693500000004</v>
      </c>
      <c r="K268">
        <v>7.2130316600000004</v>
      </c>
      <c r="L268">
        <v>7.8062892899999996</v>
      </c>
      <c r="M268">
        <v>5.8464387799999997</v>
      </c>
      <c r="N268">
        <v>7.8196363</v>
      </c>
      <c r="O268">
        <v>8.5350331100000005</v>
      </c>
      <c r="Q268">
        <v>96.365222200000005</v>
      </c>
      <c r="R268">
        <v>7.7710670899999998</v>
      </c>
      <c r="S268">
        <v>7.1163941399999997</v>
      </c>
      <c r="T268">
        <v>7.6671582599999999</v>
      </c>
      <c r="U268">
        <v>6.89972311</v>
      </c>
      <c r="V268">
        <v>7.7807208899999996</v>
      </c>
      <c r="W268">
        <v>8.8311276400000001</v>
      </c>
      <c r="Y268">
        <v>96.365222200000005</v>
      </c>
      <c r="Z268">
        <v>5.54126355</v>
      </c>
      <c r="AA268">
        <v>5.4680601400000004</v>
      </c>
      <c r="AB268">
        <v>7.5153445699999999</v>
      </c>
      <c r="AC268">
        <v>8.0163179000000007</v>
      </c>
      <c r="AD268">
        <v>8.0060341800000003</v>
      </c>
      <c r="AE268">
        <v>8.7919419899999998</v>
      </c>
    </row>
    <row r="269" spans="1:31" x14ac:dyDescent="0.2">
      <c r="A269">
        <v>96.7302222</v>
      </c>
      <c r="B269">
        <v>7.9585768999999997</v>
      </c>
      <c r="C269">
        <v>7.0396603500000001</v>
      </c>
      <c r="D269">
        <v>7.7376162800000001</v>
      </c>
      <c r="E269">
        <v>5.91079664</v>
      </c>
      <c r="F269">
        <v>7.7952349300000003</v>
      </c>
      <c r="G269">
        <v>8.6052040699999992</v>
      </c>
      <c r="I269">
        <v>96.7302222</v>
      </c>
      <c r="J269">
        <v>7.8834463499999998</v>
      </c>
      <c r="K269">
        <v>7.2041492900000001</v>
      </c>
      <c r="L269">
        <v>7.8095413200000001</v>
      </c>
      <c r="M269">
        <v>5.83481074</v>
      </c>
      <c r="N269">
        <v>7.8184302700000003</v>
      </c>
      <c r="O269">
        <v>8.5375838799999997</v>
      </c>
      <c r="Q269">
        <v>96.7302222</v>
      </c>
      <c r="R269">
        <v>7.7693786100000004</v>
      </c>
      <c r="S269">
        <v>7.1236727899999996</v>
      </c>
      <c r="T269">
        <v>7.6596429500000003</v>
      </c>
      <c r="U269">
        <v>6.9047507699999997</v>
      </c>
      <c r="V269">
        <v>7.7790486400000001</v>
      </c>
      <c r="W269">
        <v>8.8385517900000004</v>
      </c>
      <c r="Y269">
        <v>96.7302222</v>
      </c>
      <c r="Z269">
        <v>5.5529595799999996</v>
      </c>
      <c r="AA269">
        <v>5.4553211199999998</v>
      </c>
      <c r="AB269">
        <v>7.5093352700000002</v>
      </c>
      <c r="AC269">
        <v>8.0163179000000007</v>
      </c>
      <c r="AD269">
        <v>8.0297585199999997</v>
      </c>
      <c r="AE269">
        <v>8.8098628100000003</v>
      </c>
    </row>
    <row r="270" spans="1:31" x14ac:dyDescent="0.2">
      <c r="A270">
        <v>97.095222199999995</v>
      </c>
      <c r="B270">
        <v>7.9515593300000003</v>
      </c>
      <c r="C270">
        <v>7.0299729099999997</v>
      </c>
      <c r="D270">
        <v>7.7393592</v>
      </c>
      <c r="E270">
        <v>5.9026333299999996</v>
      </c>
      <c r="F270">
        <v>7.7968803400000004</v>
      </c>
      <c r="G270">
        <v>8.6106835299999993</v>
      </c>
      <c r="I270">
        <v>97.095222199999995</v>
      </c>
      <c r="J270">
        <v>7.87473913</v>
      </c>
      <c r="K270">
        <v>7.2108184499999997</v>
      </c>
      <c r="L270">
        <v>7.8071032899999997</v>
      </c>
      <c r="M270">
        <v>5.8522024799999999</v>
      </c>
      <c r="N270">
        <v>7.8164169799999996</v>
      </c>
      <c r="O270">
        <v>8.5375838799999997</v>
      </c>
      <c r="Q270">
        <v>97.095222199999995</v>
      </c>
      <c r="R270">
        <v>7.76895604</v>
      </c>
      <c r="S270">
        <v>7.1180161999999996</v>
      </c>
      <c r="T270">
        <v>7.6596429500000003</v>
      </c>
      <c r="U270">
        <v>6.8895913100000001</v>
      </c>
      <c r="V270">
        <v>7.7823903400000001</v>
      </c>
      <c r="W270">
        <v>8.8410143100000003</v>
      </c>
      <c r="Y270">
        <v>97.095222199999995</v>
      </c>
      <c r="Z270">
        <v>5.5721540300000001</v>
      </c>
      <c r="AA270">
        <v>5.4510384500000004</v>
      </c>
      <c r="AB270">
        <v>7.5027382100000004</v>
      </c>
      <c r="AC270">
        <v>8.0176371599999996</v>
      </c>
      <c r="AD270">
        <v>8.0287811599999994</v>
      </c>
      <c r="AE270">
        <v>8.8137358900000002</v>
      </c>
    </row>
    <row r="271" spans="1:31" x14ac:dyDescent="0.2">
      <c r="A271">
        <v>97.460250000000002</v>
      </c>
      <c r="B271">
        <v>7.9571773200000004</v>
      </c>
      <c r="C271">
        <v>7.0273145100000001</v>
      </c>
      <c r="D271">
        <v>7.7463006600000002</v>
      </c>
      <c r="E271">
        <v>5.8861040300000003</v>
      </c>
      <c r="F271">
        <v>7.7906960300000003</v>
      </c>
      <c r="G271">
        <v>8.6084953500000001</v>
      </c>
      <c r="I271">
        <v>97.460250000000002</v>
      </c>
      <c r="J271">
        <v>7.8777763299999997</v>
      </c>
      <c r="K271">
        <v>7.1981835800000002</v>
      </c>
      <c r="L271">
        <v>7.80547463</v>
      </c>
      <c r="M271">
        <v>5.83481074</v>
      </c>
      <c r="N271">
        <v>7.81156849</v>
      </c>
      <c r="O271">
        <v>8.5346401099999998</v>
      </c>
      <c r="Q271">
        <v>97.460250000000002</v>
      </c>
      <c r="R271">
        <v>7.76259605</v>
      </c>
      <c r="S271">
        <v>7.1024993600000004</v>
      </c>
      <c r="T271">
        <v>7.6586995599999996</v>
      </c>
      <c r="U271">
        <v>6.8741985000000003</v>
      </c>
      <c r="V271">
        <v>7.7807208899999996</v>
      </c>
      <c r="W271">
        <v>8.8357923700000001</v>
      </c>
      <c r="Y271">
        <v>97.460250000000002</v>
      </c>
      <c r="Z271">
        <v>5.5373342699999997</v>
      </c>
      <c r="AA271">
        <v>5.4116460499999999</v>
      </c>
      <c r="AB271">
        <v>7.5027382100000004</v>
      </c>
      <c r="AC271">
        <v>8.0090306899999995</v>
      </c>
      <c r="AD271">
        <v>8.0149968900000008</v>
      </c>
      <c r="AE271">
        <v>8.8208470299999995</v>
      </c>
    </row>
    <row r="272" spans="1:31" x14ac:dyDescent="0.2">
      <c r="A272">
        <v>97.825249999999997</v>
      </c>
      <c r="B272">
        <v>7.9547233300000002</v>
      </c>
      <c r="C272">
        <v>7.0273145100000001</v>
      </c>
      <c r="D272">
        <v>7.7363071000000003</v>
      </c>
      <c r="E272">
        <v>5.8664680599999999</v>
      </c>
      <c r="F272">
        <v>7.7956465399999999</v>
      </c>
      <c r="G272">
        <v>8.6022693599999993</v>
      </c>
      <c r="I272">
        <v>97.825249999999997</v>
      </c>
      <c r="J272">
        <v>7.8789129100000004</v>
      </c>
      <c r="K272">
        <v>7.1989312400000003</v>
      </c>
      <c r="L272">
        <v>7.8087293100000004</v>
      </c>
      <c r="M272">
        <v>5.8200829299999999</v>
      </c>
      <c r="N272">
        <v>7.8135915499999999</v>
      </c>
      <c r="O272">
        <v>8.5318847400000006</v>
      </c>
      <c r="Q272">
        <v>97.825249999999997</v>
      </c>
      <c r="R272">
        <v>7.7549102699999999</v>
      </c>
      <c r="S272">
        <v>7.10824414</v>
      </c>
      <c r="T272">
        <v>7.6530204099999999</v>
      </c>
      <c r="U272">
        <v>6.8710912899999999</v>
      </c>
      <c r="V272">
        <v>7.7794669699999996</v>
      </c>
      <c r="W272">
        <v>8.8303968000000008</v>
      </c>
      <c r="Y272">
        <v>97.825249999999997</v>
      </c>
      <c r="Z272">
        <v>5.5451774399999998</v>
      </c>
      <c r="AA272">
        <v>5.4161004000000004</v>
      </c>
      <c r="AB272">
        <v>7.4983158699999999</v>
      </c>
      <c r="AC272">
        <v>8.0123496400000001</v>
      </c>
      <c r="AD272">
        <v>8.0156576099999999</v>
      </c>
      <c r="AE272">
        <v>8.8336084800000005</v>
      </c>
    </row>
    <row r="273" spans="1:31" x14ac:dyDescent="0.2">
      <c r="A273">
        <v>98.190277800000004</v>
      </c>
      <c r="B273">
        <v>7.9557757799999997</v>
      </c>
      <c r="C273">
        <v>7.0228680900000002</v>
      </c>
      <c r="D273">
        <v>7.7389237599999996</v>
      </c>
      <c r="E273">
        <v>5.9053618500000002</v>
      </c>
      <c r="F273">
        <v>7.79193596</v>
      </c>
      <c r="G273">
        <v>8.6039211899999994</v>
      </c>
      <c r="I273">
        <v>98.190277800000004</v>
      </c>
      <c r="J273">
        <v>7.8804263399999996</v>
      </c>
      <c r="K273">
        <v>7.2026611999999997</v>
      </c>
      <c r="L273">
        <v>7.8075100400000004</v>
      </c>
      <c r="M273">
        <v>5.8230459000000003</v>
      </c>
      <c r="N273">
        <v>7.8119734300000001</v>
      </c>
      <c r="O273">
        <v>8.5299119599999997</v>
      </c>
      <c r="Q273">
        <v>98.190277800000004</v>
      </c>
      <c r="R273">
        <v>7.7710670899999998</v>
      </c>
      <c r="S273">
        <v>7.1139561100000002</v>
      </c>
      <c r="T273">
        <v>7.6515955699999996</v>
      </c>
      <c r="U273">
        <v>6.8772960699999999</v>
      </c>
      <c r="V273">
        <v>7.7773735999999998</v>
      </c>
      <c r="W273">
        <v>8.8337542199999994</v>
      </c>
      <c r="Y273">
        <v>98.190277800000004</v>
      </c>
      <c r="Z273">
        <v>5.5606816300000004</v>
      </c>
      <c r="AA273">
        <v>5.4337220000000004</v>
      </c>
      <c r="AB273">
        <v>7.4999765399999996</v>
      </c>
      <c r="AC273">
        <v>8.0067008499999996</v>
      </c>
      <c r="AD273">
        <v>7.9976631300000003</v>
      </c>
      <c r="AE273">
        <v>8.8418819899999992</v>
      </c>
    </row>
    <row r="274" spans="1:31" x14ac:dyDescent="0.2">
      <c r="A274">
        <v>98.555277799999999</v>
      </c>
      <c r="B274">
        <v>7.9582271899999997</v>
      </c>
      <c r="C274">
        <v>7.0210839600000003</v>
      </c>
      <c r="D274">
        <v>7.7389237599999996</v>
      </c>
      <c r="E274">
        <v>5.91079664</v>
      </c>
      <c r="F274">
        <v>7.7989333099999998</v>
      </c>
      <c r="G274">
        <v>8.6061194000000008</v>
      </c>
      <c r="I274">
        <v>98.555277799999999</v>
      </c>
      <c r="J274">
        <v>7.8773971899999999</v>
      </c>
      <c r="K274">
        <v>7.2056351799999998</v>
      </c>
      <c r="L274">
        <v>7.8119734300000001</v>
      </c>
      <c r="M274">
        <v>5.8377304499999996</v>
      </c>
      <c r="N274">
        <v>7.82164313</v>
      </c>
      <c r="O274">
        <v>8.5358186600000003</v>
      </c>
      <c r="Q274">
        <v>98.555277799999999</v>
      </c>
      <c r="R274">
        <v>7.7613191800000001</v>
      </c>
      <c r="S274">
        <v>7.1016759699999996</v>
      </c>
      <c r="T274">
        <v>7.6473088300000001</v>
      </c>
      <c r="U274">
        <v>6.8783264700000002</v>
      </c>
      <c r="V274">
        <v>7.7869669999999998</v>
      </c>
      <c r="W274">
        <v>8.8315658799999994</v>
      </c>
      <c r="Y274">
        <v>98.555277799999999</v>
      </c>
      <c r="Z274">
        <v>5.55682806</v>
      </c>
      <c r="AA274">
        <v>5.4205350000000001</v>
      </c>
      <c r="AB274">
        <v>7.5027382100000004</v>
      </c>
      <c r="AC274">
        <v>8.0090306899999995</v>
      </c>
      <c r="AD274">
        <v>8.0030286700000008</v>
      </c>
      <c r="AE274">
        <v>8.8573728299999992</v>
      </c>
    </row>
    <row r="275" spans="1:31" x14ac:dyDescent="0.2">
      <c r="A275">
        <v>98.920305600000006</v>
      </c>
      <c r="B275">
        <v>7.9508548599999997</v>
      </c>
      <c r="C275">
        <v>7.0326242600000004</v>
      </c>
      <c r="D275">
        <v>7.7349961900000004</v>
      </c>
      <c r="E275">
        <v>5.88332239</v>
      </c>
      <c r="F275">
        <v>7.7944112099999998</v>
      </c>
      <c r="G275">
        <v>8.6079475500000004</v>
      </c>
      <c r="I275">
        <v>98.920305600000006</v>
      </c>
      <c r="J275">
        <v>7.8800482000000001</v>
      </c>
      <c r="K275">
        <v>7.2019163199999996</v>
      </c>
      <c r="L275">
        <v>7.8066963700000001</v>
      </c>
      <c r="M275">
        <v>5.83481074</v>
      </c>
      <c r="N275">
        <v>7.8111633899999999</v>
      </c>
      <c r="O275">
        <v>8.5299119599999997</v>
      </c>
      <c r="Q275">
        <v>98.920305600000006</v>
      </c>
      <c r="R275">
        <v>7.76259605</v>
      </c>
      <c r="S275">
        <v>7.1106961200000001</v>
      </c>
      <c r="T275">
        <v>7.6568100899999996</v>
      </c>
      <c r="U275">
        <v>6.8731638300000002</v>
      </c>
      <c r="V275">
        <v>7.7794669699999996</v>
      </c>
      <c r="W275">
        <v>8.8356469200000003</v>
      </c>
      <c r="Y275">
        <v>98.920305600000006</v>
      </c>
      <c r="Z275">
        <v>5.5645204100000001</v>
      </c>
      <c r="AA275">
        <v>5.4116460499999999</v>
      </c>
      <c r="AB275">
        <v>7.5010821200000004</v>
      </c>
      <c r="AC275">
        <v>8.0100275300000003</v>
      </c>
      <c r="AD275">
        <v>7.99361999</v>
      </c>
      <c r="AE275">
        <v>8.8668636599999999</v>
      </c>
    </row>
    <row r="276" spans="1:31" x14ac:dyDescent="0.2">
      <c r="A276">
        <v>99.285305600000001</v>
      </c>
      <c r="B276">
        <v>7.9589264899999996</v>
      </c>
      <c r="C276">
        <v>7.0308574799999999</v>
      </c>
      <c r="D276">
        <v>7.7419678999999997</v>
      </c>
      <c r="E276">
        <v>5.91079664</v>
      </c>
      <c r="F276">
        <v>7.7993433999999997</v>
      </c>
      <c r="G276">
        <v>8.6079475500000004</v>
      </c>
      <c r="I276">
        <v>99.285305600000001</v>
      </c>
      <c r="J276">
        <v>7.8781553400000002</v>
      </c>
      <c r="K276">
        <v>7.2159750000000003</v>
      </c>
      <c r="L276">
        <v>7.81156849</v>
      </c>
      <c r="M276">
        <v>5.8550719200000003</v>
      </c>
      <c r="N276">
        <v>7.8196363</v>
      </c>
      <c r="O276">
        <v>8.5375838799999997</v>
      </c>
      <c r="Q276">
        <v>99.285305600000001</v>
      </c>
      <c r="R276">
        <v>7.76259605</v>
      </c>
      <c r="S276">
        <v>7.1172054999999999</v>
      </c>
      <c r="T276">
        <v>7.6582275299999996</v>
      </c>
      <c r="U276">
        <v>6.8906091199999997</v>
      </c>
      <c r="V276">
        <v>7.7773735999999998</v>
      </c>
      <c r="W276">
        <v>8.8298117499999993</v>
      </c>
      <c r="Y276">
        <v>99.285305600000001</v>
      </c>
      <c r="Z276">
        <v>5.5683445000000003</v>
      </c>
      <c r="AA276">
        <v>5.4722706700000003</v>
      </c>
      <c r="AB276">
        <v>7.4983158699999999</v>
      </c>
      <c r="AC276">
        <v>8.0146663700000005</v>
      </c>
      <c r="AD276">
        <v>7.9959804700000001</v>
      </c>
      <c r="AE276">
        <v>8.8816974099999992</v>
      </c>
    </row>
    <row r="277" spans="1:31" x14ac:dyDescent="0.2">
      <c r="A277">
        <v>99.650305599999996</v>
      </c>
      <c r="B277">
        <v>7.9529667899999996</v>
      </c>
      <c r="C277">
        <v>7.02553831</v>
      </c>
      <c r="D277">
        <v>7.7358703200000001</v>
      </c>
      <c r="E277">
        <v>5.87493073</v>
      </c>
      <c r="F277">
        <v>7.7939990899999998</v>
      </c>
      <c r="G277">
        <v>8.6030038500000003</v>
      </c>
      <c r="I277">
        <v>99.650305599999996</v>
      </c>
      <c r="J277">
        <v>7.8781553400000002</v>
      </c>
      <c r="K277">
        <v>7.2034055199999996</v>
      </c>
      <c r="L277">
        <v>7.8005726500000003</v>
      </c>
      <c r="M277">
        <v>5.83481074</v>
      </c>
      <c r="N277">
        <v>7.8152070599999997</v>
      </c>
      <c r="O277">
        <v>8.5263511300000001</v>
      </c>
      <c r="Q277">
        <v>99.650305599999996</v>
      </c>
      <c r="R277">
        <v>7.7685332999999996</v>
      </c>
      <c r="S277">
        <v>7.1098794600000002</v>
      </c>
      <c r="T277">
        <v>7.6511201800000004</v>
      </c>
      <c r="U277">
        <v>6.8721281000000003</v>
      </c>
      <c r="V277">
        <v>7.7769544000000002</v>
      </c>
      <c r="W277">
        <v>8.8305430099999995</v>
      </c>
      <c r="Y277">
        <v>99.650305599999996</v>
      </c>
      <c r="Z277">
        <v>5.5606816300000004</v>
      </c>
      <c r="AA277">
        <v>5.4337220000000004</v>
      </c>
      <c r="AB277">
        <v>7.4983158699999999</v>
      </c>
      <c r="AC277">
        <v>8.0057006800000003</v>
      </c>
      <c r="AD277">
        <v>7.9996785800000003</v>
      </c>
      <c r="AE277">
        <v>8.8798899700000007</v>
      </c>
    </row>
    <row r="278" spans="1:31" x14ac:dyDescent="0.2">
      <c r="A278">
        <v>100.015333</v>
      </c>
      <c r="B278">
        <v>7.9540210900000003</v>
      </c>
      <c r="C278">
        <v>7.02553831</v>
      </c>
      <c r="D278">
        <v>7.7314920300000001</v>
      </c>
      <c r="E278">
        <v>5.8971538700000004</v>
      </c>
      <c r="F278">
        <v>7.7993433999999997</v>
      </c>
      <c r="G278">
        <v>8.6061194000000008</v>
      </c>
      <c r="I278">
        <v>100.015333</v>
      </c>
      <c r="J278">
        <v>7.8735977899999998</v>
      </c>
      <c r="K278">
        <v>7.2026611999999997</v>
      </c>
      <c r="L278">
        <v>7.8075100400000004</v>
      </c>
      <c r="M278">
        <v>5.8522024799999999</v>
      </c>
      <c r="N278">
        <v>7.8135915499999999</v>
      </c>
      <c r="O278">
        <v>8.5328696700000002</v>
      </c>
      <c r="Q278">
        <v>100.015333</v>
      </c>
      <c r="R278">
        <v>7.7642960099999998</v>
      </c>
      <c r="S278">
        <v>7.1098794600000002</v>
      </c>
      <c r="T278">
        <v>7.6511201800000004</v>
      </c>
      <c r="U278">
        <v>6.8762646099999998</v>
      </c>
      <c r="V278">
        <v>7.7786301499999997</v>
      </c>
      <c r="W278">
        <v>8.83171192</v>
      </c>
      <c r="Y278">
        <v>100.015333</v>
      </c>
      <c r="Z278">
        <v>5.5645204100000001</v>
      </c>
      <c r="AA278">
        <v>5.4467373700000001</v>
      </c>
      <c r="AB278">
        <v>7.5010821200000004</v>
      </c>
      <c r="AC278">
        <v>8.0036973400000004</v>
      </c>
      <c r="AD278">
        <v>7.9946323100000001</v>
      </c>
      <c r="AE278">
        <v>8.8985022100000002</v>
      </c>
    </row>
    <row r="279" spans="1:31" x14ac:dyDescent="0.2">
      <c r="A279">
        <v>100.38036099999999</v>
      </c>
      <c r="B279">
        <v>7.9585768999999997</v>
      </c>
      <c r="C279">
        <v>6.9893352699999998</v>
      </c>
      <c r="D279">
        <v>7.7354333500000001</v>
      </c>
      <c r="E279">
        <v>5.7960577500000001</v>
      </c>
      <c r="F279">
        <v>7.8046593</v>
      </c>
      <c r="G279">
        <v>8.6026366700000008</v>
      </c>
      <c r="I279">
        <v>100.38036099999999</v>
      </c>
      <c r="J279">
        <v>7.8781553400000002</v>
      </c>
      <c r="K279">
        <v>7.1951873199999996</v>
      </c>
      <c r="L279">
        <v>7.8066963700000001</v>
      </c>
      <c r="M279">
        <v>5.8260001099999998</v>
      </c>
      <c r="N279">
        <v>7.8172227899999998</v>
      </c>
      <c r="O279">
        <v>8.5346401099999998</v>
      </c>
      <c r="Q279">
        <v>100.38036099999999</v>
      </c>
      <c r="R279">
        <v>7.7642960099999998</v>
      </c>
      <c r="S279">
        <v>7.0766538199999998</v>
      </c>
      <c r="T279">
        <v>7.6477860499999997</v>
      </c>
      <c r="U279">
        <v>6.8287120699999999</v>
      </c>
      <c r="V279">
        <v>7.77443551</v>
      </c>
      <c r="W279">
        <v>8.83302531</v>
      </c>
      <c r="Y279">
        <v>100.38036099999999</v>
      </c>
      <c r="Z279">
        <v>5.5683445000000003</v>
      </c>
      <c r="AA279">
        <v>5.4205350000000001</v>
      </c>
      <c r="AB279">
        <v>7.50163446</v>
      </c>
      <c r="AC279">
        <v>8.0003495000000004</v>
      </c>
      <c r="AD279">
        <v>7.9871847499999999</v>
      </c>
      <c r="AE279">
        <v>8.9054443200000009</v>
      </c>
    </row>
    <row r="280" spans="1:31" x14ac:dyDescent="0.2">
      <c r="A280">
        <v>100.745333</v>
      </c>
      <c r="B280">
        <v>7.9494444199999998</v>
      </c>
      <c r="C280">
        <v>7.0201907099999996</v>
      </c>
      <c r="D280">
        <v>7.7332456499999997</v>
      </c>
      <c r="E280">
        <v>5.8861040300000003</v>
      </c>
      <c r="F280">
        <v>7.7911095100000001</v>
      </c>
      <c r="G280">
        <v>8.6004307900000008</v>
      </c>
      <c r="I280">
        <v>100.745333</v>
      </c>
      <c r="J280">
        <v>7.8751192799999998</v>
      </c>
      <c r="K280">
        <v>7.1981835800000002</v>
      </c>
      <c r="L280">
        <v>7.8103526800000003</v>
      </c>
      <c r="M280">
        <v>5.8377304499999996</v>
      </c>
      <c r="N280">
        <v>7.8208408800000004</v>
      </c>
      <c r="O280">
        <v>8.5295169400000006</v>
      </c>
      <c r="Q280">
        <v>100.745333</v>
      </c>
      <c r="R280">
        <v>7.7613191800000001</v>
      </c>
      <c r="S280">
        <v>7.10824414</v>
      </c>
      <c r="T280">
        <v>7.6430036399999999</v>
      </c>
      <c r="U280">
        <v>6.8690144499999999</v>
      </c>
      <c r="V280">
        <v>7.7844732399999996</v>
      </c>
      <c r="W280">
        <v>8.8271747699999992</v>
      </c>
      <c r="Y280">
        <v>100.745333</v>
      </c>
      <c r="Z280">
        <v>5.5683445000000003</v>
      </c>
      <c r="AA280">
        <v>5.4553211199999998</v>
      </c>
      <c r="AB280">
        <v>7.5038407500000002</v>
      </c>
      <c r="AC280">
        <v>8.0040315100000008</v>
      </c>
      <c r="AD280">
        <v>7.9898993699999998</v>
      </c>
      <c r="AE280">
        <v>8.9111253799999997</v>
      </c>
    </row>
    <row r="281" spans="1:31" x14ac:dyDescent="0.2">
      <c r="A281">
        <v>101.110361</v>
      </c>
      <c r="B281">
        <v>7.9522633100000002</v>
      </c>
      <c r="C281">
        <v>7.0264268100000002</v>
      </c>
      <c r="D281">
        <v>7.7328075299999997</v>
      </c>
      <c r="E281">
        <v>5.9162020599999998</v>
      </c>
      <c r="F281">
        <v>7.80016307</v>
      </c>
      <c r="G281">
        <v>8.6066681999999997</v>
      </c>
      <c r="I281">
        <v>101.110361</v>
      </c>
      <c r="J281">
        <v>7.8766384599999997</v>
      </c>
      <c r="K281">
        <v>7.2056351799999998</v>
      </c>
      <c r="L281">
        <v>7.8103526800000003</v>
      </c>
      <c r="M281">
        <v>5.8522024799999999</v>
      </c>
      <c r="N281">
        <v>7.8188324400000004</v>
      </c>
      <c r="O281">
        <v>8.5303068300000007</v>
      </c>
      <c r="Q281">
        <v>101.110361</v>
      </c>
      <c r="R281">
        <v>7.76046703</v>
      </c>
      <c r="S281">
        <v>7.1147694499999998</v>
      </c>
      <c r="T281">
        <v>7.6434829100000004</v>
      </c>
      <c r="U281">
        <v>6.8772960699999999</v>
      </c>
      <c r="V281">
        <v>7.7819732300000002</v>
      </c>
      <c r="W281">
        <v>8.8311276400000001</v>
      </c>
      <c r="Y281">
        <v>101.110361</v>
      </c>
      <c r="Z281">
        <v>5.5759490999999999</v>
      </c>
      <c r="AA281">
        <v>5.4764635500000001</v>
      </c>
      <c r="AB281">
        <v>7.4994232900000002</v>
      </c>
      <c r="AC281">
        <v>8.00936308</v>
      </c>
      <c r="AD281">
        <v>7.9841219600000004</v>
      </c>
      <c r="AE281">
        <v>8.87290767</v>
      </c>
    </row>
    <row r="282" spans="1:31" x14ac:dyDescent="0.2">
      <c r="A282">
        <v>101.47536100000001</v>
      </c>
      <c r="B282">
        <v>7.9501498899999996</v>
      </c>
      <c r="C282">
        <v>7.0228680900000002</v>
      </c>
      <c r="D282">
        <v>7.7310531400000002</v>
      </c>
      <c r="E282">
        <v>5.8916442099999999</v>
      </c>
      <c r="F282">
        <v>7.7964692400000004</v>
      </c>
      <c r="G282">
        <v>8.6048376999999991</v>
      </c>
      <c r="I282">
        <v>101.47536100000001</v>
      </c>
      <c r="J282">
        <v>7.8758791600000002</v>
      </c>
      <c r="K282">
        <v>7.2063772899999998</v>
      </c>
      <c r="L282">
        <v>7.8139956799999997</v>
      </c>
      <c r="M282">
        <v>5.8435444199999997</v>
      </c>
      <c r="N282">
        <v>7.8176254399999996</v>
      </c>
      <c r="O282">
        <v>8.5312933199999996</v>
      </c>
      <c r="Q282">
        <v>101.47536100000001</v>
      </c>
      <c r="R282">
        <v>7.7591874399999998</v>
      </c>
      <c r="S282">
        <v>7.1016759699999996</v>
      </c>
      <c r="T282">
        <v>7.6453977000000002</v>
      </c>
      <c r="U282">
        <v>6.8648477799999998</v>
      </c>
      <c r="V282">
        <v>7.7823903400000001</v>
      </c>
      <c r="W282">
        <v>8.8271747699999992</v>
      </c>
      <c r="Y282">
        <v>101.47536100000001</v>
      </c>
      <c r="Z282">
        <v>5.5797298299999998</v>
      </c>
      <c r="AA282">
        <v>5.44241771</v>
      </c>
      <c r="AB282">
        <v>7.49886973</v>
      </c>
      <c r="AC282">
        <v>8.0020248200000008</v>
      </c>
      <c r="AD282">
        <v>7.9765954099999998</v>
      </c>
      <c r="AE282">
        <v>8.8454892399999991</v>
      </c>
    </row>
    <row r="283" spans="1:31" x14ac:dyDescent="0.2">
      <c r="A283">
        <v>101.840389</v>
      </c>
      <c r="B283">
        <v>7.9512071600000001</v>
      </c>
      <c r="C283">
        <v>7.02553831</v>
      </c>
      <c r="D283">
        <v>7.7257714399999999</v>
      </c>
      <c r="E283">
        <v>5.8998973499999998</v>
      </c>
      <c r="F283">
        <v>7.7964692400000004</v>
      </c>
      <c r="G283">
        <v>8.6070338999999993</v>
      </c>
      <c r="I283">
        <v>101.840389</v>
      </c>
      <c r="J283">
        <v>7.8766384599999997</v>
      </c>
      <c r="K283">
        <v>7.2078598700000001</v>
      </c>
      <c r="L283">
        <v>7.8135915499999999</v>
      </c>
      <c r="M283">
        <v>5.8260001099999998</v>
      </c>
      <c r="N283">
        <v>7.8212420800000002</v>
      </c>
      <c r="O283">
        <v>8.53424695</v>
      </c>
      <c r="Q283">
        <v>101.840389</v>
      </c>
      <c r="R283">
        <v>7.76259605</v>
      </c>
      <c r="S283">
        <v>7.1074254699999999</v>
      </c>
      <c r="T283">
        <v>7.6401231699999999</v>
      </c>
      <c r="U283">
        <v>6.8606636700000001</v>
      </c>
      <c r="V283">
        <v>7.7882115599999997</v>
      </c>
      <c r="W283">
        <v>8.8217323800000003</v>
      </c>
      <c r="Y283">
        <v>101.840389</v>
      </c>
      <c r="Z283">
        <v>5.5759490999999999</v>
      </c>
      <c r="AA283">
        <v>5.4510384500000004</v>
      </c>
      <c r="AB283">
        <v>7.4983158699999999</v>
      </c>
      <c r="AC283">
        <v>7.99530662</v>
      </c>
      <c r="AD283">
        <v>7.97590836</v>
      </c>
      <c r="AE283">
        <v>8.8375360500000006</v>
      </c>
    </row>
    <row r="284" spans="1:31" x14ac:dyDescent="0.2">
      <c r="A284">
        <v>102.205389</v>
      </c>
      <c r="B284">
        <v>7.9515593300000003</v>
      </c>
      <c r="C284">
        <v>7.02553831</v>
      </c>
      <c r="D284">
        <v>7.7301748000000003</v>
      </c>
      <c r="E284">
        <v>5.8805329899999998</v>
      </c>
      <c r="F284">
        <v>7.7981126300000003</v>
      </c>
      <c r="G284">
        <v>8.6035543600000004</v>
      </c>
      <c r="I284">
        <v>102.205389</v>
      </c>
      <c r="J284">
        <v>7.8732170500000001</v>
      </c>
      <c r="K284">
        <v>7.2011708800000003</v>
      </c>
      <c r="L284">
        <v>7.8143996299999996</v>
      </c>
      <c r="M284">
        <v>5.8377304499999996</v>
      </c>
      <c r="N284">
        <v>7.8232456900000003</v>
      </c>
      <c r="O284">
        <v>8.5332633700000002</v>
      </c>
      <c r="Q284">
        <v>102.205389</v>
      </c>
      <c r="R284">
        <v>7.75662333</v>
      </c>
      <c r="S284">
        <v>7.1074254699999999</v>
      </c>
      <c r="T284">
        <v>7.6434829100000004</v>
      </c>
      <c r="U284">
        <v>6.8617113400000003</v>
      </c>
      <c r="V284">
        <v>7.7861364399999999</v>
      </c>
      <c r="W284">
        <v>8.8301043200000002</v>
      </c>
      <c r="Y284">
        <v>102.205389</v>
      </c>
      <c r="Z284">
        <v>5.5645204100000001</v>
      </c>
      <c r="AA284">
        <v>5.44241771</v>
      </c>
      <c r="AB284">
        <v>7.4944302199999999</v>
      </c>
      <c r="AC284">
        <v>7.99530662</v>
      </c>
      <c r="AD284">
        <v>7.9752208400000004</v>
      </c>
      <c r="AE284">
        <v>8.8255598600000003</v>
      </c>
    </row>
    <row r="285" spans="1:31" x14ac:dyDescent="0.2">
      <c r="A285">
        <v>102.57041700000001</v>
      </c>
      <c r="B285">
        <v>7.94732503</v>
      </c>
      <c r="C285">
        <v>7.0003344600000004</v>
      </c>
      <c r="D285">
        <v>7.7284157799999997</v>
      </c>
      <c r="E285">
        <v>5.8406416600000002</v>
      </c>
      <c r="F285">
        <v>7.80016307</v>
      </c>
      <c r="G285">
        <v>8.6033708900000008</v>
      </c>
      <c r="I285">
        <v>102.57041700000001</v>
      </c>
      <c r="J285">
        <v>7.8709296000000002</v>
      </c>
      <c r="K285">
        <v>7.18992217</v>
      </c>
      <c r="L285">
        <v>7.8164169799999996</v>
      </c>
      <c r="M285">
        <v>5.7776523199999996</v>
      </c>
      <c r="N285">
        <v>7.8260440100000004</v>
      </c>
      <c r="O285">
        <v>8.5237715099999996</v>
      </c>
      <c r="Q285">
        <v>102.57041700000001</v>
      </c>
      <c r="R285">
        <v>7.7651449000000001</v>
      </c>
      <c r="S285">
        <v>7.0800264999999998</v>
      </c>
      <c r="T285">
        <v>7.6449193400000004</v>
      </c>
      <c r="U285">
        <v>6.8480052699999998</v>
      </c>
      <c r="V285">
        <v>7.7857209000000003</v>
      </c>
      <c r="W285">
        <v>8.8202563699999992</v>
      </c>
      <c r="Y285">
        <v>102.57041700000001</v>
      </c>
      <c r="Z285">
        <v>5.5759490999999999</v>
      </c>
      <c r="AA285">
        <v>5.3375380799999999</v>
      </c>
      <c r="AB285">
        <v>7.5076900799999997</v>
      </c>
      <c r="AC285">
        <v>7.9868449000000004</v>
      </c>
      <c r="AD285">
        <v>7.9820748799999999</v>
      </c>
      <c r="AE285">
        <v>8.8125457699999998</v>
      </c>
    </row>
    <row r="286" spans="1:31" x14ac:dyDescent="0.2">
      <c r="A286">
        <v>102.935417</v>
      </c>
      <c r="B286">
        <v>7.9557757799999997</v>
      </c>
      <c r="C286">
        <v>7.0228680900000002</v>
      </c>
      <c r="D286">
        <v>7.7354333500000001</v>
      </c>
      <c r="E286">
        <v>5.9242558000000001</v>
      </c>
      <c r="F286">
        <v>7.8071032899999997</v>
      </c>
      <c r="G286">
        <v>8.6084953500000001</v>
      </c>
      <c r="I286">
        <v>102.935417</v>
      </c>
      <c r="J286">
        <v>7.8823149199999998</v>
      </c>
      <c r="K286">
        <v>7.2167094900000004</v>
      </c>
      <c r="L286">
        <v>7.8160138400000001</v>
      </c>
      <c r="M286">
        <v>5.8664680599999999</v>
      </c>
      <c r="N286">
        <v>7.8260440100000004</v>
      </c>
      <c r="O286">
        <v>8.5393460000000001</v>
      </c>
      <c r="Q286">
        <v>102.935417</v>
      </c>
      <c r="R286">
        <v>7.7630213100000001</v>
      </c>
      <c r="S286">
        <v>7.1123274399999996</v>
      </c>
      <c r="T286">
        <v>7.6458758299999996</v>
      </c>
      <c r="U286">
        <v>6.8783264700000002</v>
      </c>
      <c r="V286">
        <v>7.7828072600000002</v>
      </c>
      <c r="W286">
        <v>8.8400010699999996</v>
      </c>
      <c r="Y286">
        <v>102.935417</v>
      </c>
      <c r="Z286">
        <v>5.5721540300000001</v>
      </c>
      <c r="AA286">
        <v>5.48893773</v>
      </c>
      <c r="AB286">
        <v>7.5027382100000004</v>
      </c>
      <c r="AC286">
        <v>8.0123496400000001</v>
      </c>
      <c r="AD286">
        <v>7.9724660199999997</v>
      </c>
      <c r="AE286">
        <v>8.8205517400000009</v>
      </c>
    </row>
    <row r="287" spans="1:31" x14ac:dyDescent="0.2">
      <c r="A287">
        <v>103.300417</v>
      </c>
      <c r="B287">
        <v>7.9512071600000001</v>
      </c>
      <c r="C287">
        <v>7.0192966500000002</v>
      </c>
      <c r="D287">
        <v>7.7253300400000002</v>
      </c>
      <c r="E287">
        <v>5.9026333299999996</v>
      </c>
      <c r="F287">
        <v>7.7952349300000003</v>
      </c>
      <c r="G287">
        <v>8.6059363999999992</v>
      </c>
      <c r="I287">
        <v>103.300417</v>
      </c>
      <c r="J287">
        <v>7.8830693500000004</v>
      </c>
      <c r="K287">
        <v>7.21450441</v>
      </c>
      <c r="L287">
        <v>7.8188324400000004</v>
      </c>
      <c r="M287">
        <v>5.8522024799999999</v>
      </c>
      <c r="N287">
        <v>7.8328075200000002</v>
      </c>
      <c r="O287">
        <v>8.5352295500000004</v>
      </c>
      <c r="Q287">
        <v>103.300417</v>
      </c>
      <c r="R287">
        <v>7.7583334700000002</v>
      </c>
      <c r="S287">
        <v>7.0975488499999999</v>
      </c>
      <c r="T287">
        <v>7.6430036399999999</v>
      </c>
      <c r="U287">
        <v>6.86589107</v>
      </c>
      <c r="V287">
        <v>7.7898685600000004</v>
      </c>
      <c r="W287">
        <v>8.8296654300000004</v>
      </c>
      <c r="Y287">
        <v>103.300417</v>
      </c>
      <c r="Z287">
        <v>5.5759490999999999</v>
      </c>
      <c r="AA287">
        <v>5.4638318100000003</v>
      </c>
      <c r="AB287">
        <v>7.5093352700000002</v>
      </c>
      <c r="AC287">
        <v>8.0016899800000001</v>
      </c>
      <c r="AD287">
        <v>7.9776251</v>
      </c>
      <c r="AE287">
        <v>8.8120991100000001</v>
      </c>
    </row>
    <row r="288" spans="1:31" x14ac:dyDescent="0.2">
      <c r="A288">
        <v>103.66544399999999</v>
      </c>
      <c r="B288">
        <v>7.9554250900000003</v>
      </c>
      <c r="C288">
        <v>6.97914528</v>
      </c>
      <c r="D288">
        <v>7.7240046600000003</v>
      </c>
      <c r="E288">
        <v>5.7990926500000004</v>
      </c>
      <c r="F288">
        <v>7.8062892899999996</v>
      </c>
      <c r="G288">
        <v>8.6064852999999992</v>
      </c>
      <c r="I288">
        <v>103.66544399999999</v>
      </c>
      <c r="J288">
        <v>7.8773971899999999</v>
      </c>
      <c r="K288">
        <v>7.2048925099999996</v>
      </c>
      <c r="L288">
        <v>7.8188324400000004</v>
      </c>
      <c r="M288">
        <v>5.83481074</v>
      </c>
      <c r="N288">
        <v>7.8300280799999999</v>
      </c>
      <c r="O288">
        <v>8.5320818000000003</v>
      </c>
      <c r="Q288">
        <v>103.66544399999999</v>
      </c>
      <c r="R288">
        <v>7.7579062099999998</v>
      </c>
      <c r="S288">
        <v>7.0690234299999997</v>
      </c>
      <c r="T288">
        <v>7.6372343899999997</v>
      </c>
      <c r="U288">
        <v>6.8134446000000004</v>
      </c>
      <c r="V288">
        <v>7.7836406</v>
      </c>
      <c r="W288">
        <v>8.8293727400000002</v>
      </c>
      <c r="Y288">
        <v>103.66544399999999</v>
      </c>
      <c r="Z288">
        <v>5.5721540300000001</v>
      </c>
      <c r="AA288">
        <v>5.4680601400000004</v>
      </c>
      <c r="AB288">
        <v>7.5027382100000004</v>
      </c>
      <c r="AC288">
        <v>7.99934295</v>
      </c>
      <c r="AD288">
        <v>7.96519829</v>
      </c>
      <c r="AE288">
        <v>8.8086680600000005</v>
      </c>
    </row>
    <row r="289" spans="1:31" x14ac:dyDescent="0.2">
      <c r="A289">
        <v>104.030444</v>
      </c>
      <c r="B289">
        <v>7.9494444199999998</v>
      </c>
      <c r="C289">
        <v>7.0112139899999999</v>
      </c>
      <c r="D289">
        <v>7.72488844</v>
      </c>
      <c r="E289">
        <v>5.9053618500000002</v>
      </c>
      <c r="F289">
        <v>7.7989333099999998</v>
      </c>
      <c r="G289">
        <v>8.6037377900000003</v>
      </c>
      <c r="I289">
        <v>104.030444</v>
      </c>
      <c r="J289">
        <v>7.8751192799999998</v>
      </c>
      <c r="K289">
        <v>7.2071188599999996</v>
      </c>
      <c r="L289">
        <v>7.8228452900000001</v>
      </c>
      <c r="M289">
        <v>5.8406416600000002</v>
      </c>
      <c r="N289">
        <v>7.8280380300000001</v>
      </c>
      <c r="O289">
        <v>8.53719188</v>
      </c>
      <c r="Q289">
        <v>104.030444</v>
      </c>
      <c r="R289">
        <v>7.7613191800000001</v>
      </c>
      <c r="S289">
        <v>7.1008519100000003</v>
      </c>
      <c r="T289">
        <v>7.6391611700000004</v>
      </c>
      <c r="U289">
        <v>6.86275791</v>
      </c>
      <c r="V289">
        <v>7.7911095100000001</v>
      </c>
      <c r="W289">
        <v>8.8243837299999992</v>
      </c>
      <c r="Y289">
        <v>104.030444</v>
      </c>
      <c r="Z289">
        <v>5.5797298299999998</v>
      </c>
      <c r="AA289">
        <v>5.4510384500000004</v>
      </c>
      <c r="AB289">
        <v>7.50163446</v>
      </c>
      <c r="AC289">
        <v>7.9966538800000002</v>
      </c>
      <c r="AD289">
        <v>7.9714309999999999</v>
      </c>
      <c r="AE289">
        <v>8.8053751400000007</v>
      </c>
    </row>
    <row r="290" spans="1:31" x14ac:dyDescent="0.2">
      <c r="A290">
        <v>104.395444</v>
      </c>
      <c r="B290">
        <v>7.9550742699999999</v>
      </c>
      <c r="C290">
        <v>7.0166096800000002</v>
      </c>
      <c r="D290">
        <v>7.7235624700000001</v>
      </c>
      <c r="E290">
        <v>5.9080829399999999</v>
      </c>
      <c r="F290">
        <v>7.8087293100000004</v>
      </c>
      <c r="G290">
        <v>8.6072166899999996</v>
      </c>
      <c r="I290">
        <v>104.395444</v>
      </c>
      <c r="J290">
        <v>7.8808043400000001</v>
      </c>
      <c r="K290">
        <v>7.2034055199999996</v>
      </c>
      <c r="L290">
        <v>7.8208408800000004</v>
      </c>
      <c r="M290">
        <v>5.8406416600000002</v>
      </c>
      <c r="N290">
        <v>7.8264431400000003</v>
      </c>
      <c r="O290">
        <v>8.5332633700000002</v>
      </c>
      <c r="Q290">
        <v>104.395444</v>
      </c>
      <c r="R290">
        <v>7.7693786100000004</v>
      </c>
      <c r="S290">
        <v>7.1000271699999997</v>
      </c>
      <c r="T290">
        <v>7.6477860499999997</v>
      </c>
      <c r="U290">
        <v>6.8575140599999997</v>
      </c>
      <c r="V290">
        <v>7.7794669699999996</v>
      </c>
      <c r="W290">
        <v>8.8315658799999994</v>
      </c>
      <c r="Y290">
        <v>104.395444</v>
      </c>
      <c r="Z290">
        <v>5.5947113799999997</v>
      </c>
      <c r="AA290">
        <v>5.4722706700000003</v>
      </c>
      <c r="AB290">
        <v>7.5010821200000004</v>
      </c>
      <c r="AC290">
        <v>8.0010199600000007</v>
      </c>
      <c r="AD290">
        <v>7.9631120600000003</v>
      </c>
      <c r="AE290">
        <v>8.8070229599999994</v>
      </c>
    </row>
    <row r="291" spans="1:31" x14ac:dyDescent="0.2">
      <c r="A291">
        <v>104.76047199999999</v>
      </c>
      <c r="B291">
        <v>7.9540210900000003</v>
      </c>
      <c r="C291">
        <v>7.0210839600000003</v>
      </c>
      <c r="D291">
        <v>7.7270944799999999</v>
      </c>
      <c r="E291">
        <v>5.91079664</v>
      </c>
      <c r="F291">
        <v>7.8026180600000004</v>
      </c>
      <c r="G291">
        <v>8.6048376999999991</v>
      </c>
      <c r="I291">
        <v>104.76047199999999</v>
      </c>
      <c r="J291">
        <v>7.88570539</v>
      </c>
      <c r="K291">
        <v>7.2071188599999996</v>
      </c>
      <c r="L291">
        <v>7.8200379900000003</v>
      </c>
      <c r="M291">
        <v>5.8377304499999996</v>
      </c>
      <c r="N291">
        <v>7.8363697600000002</v>
      </c>
      <c r="O291">
        <v>8.5326727600000005</v>
      </c>
      <c r="Q291">
        <v>104.76047199999999</v>
      </c>
      <c r="R291">
        <v>7.7591874399999998</v>
      </c>
      <c r="S291">
        <v>7.1024993600000004</v>
      </c>
      <c r="T291">
        <v>7.6391611700000004</v>
      </c>
      <c r="U291">
        <v>6.8585650300000003</v>
      </c>
      <c r="V291">
        <v>7.7927617199999997</v>
      </c>
      <c r="W291">
        <v>8.8340456399999994</v>
      </c>
      <c r="Y291">
        <v>104.76047199999999</v>
      </c>
      <c r="Z291">
        <v>5.5947113799999997</v>
      </c>
      <c r="AA291">
        <v>5.4680601400000004</v>
      </c>
      <c r="AB291">
        <v>7.5082387700000002</v>
      </c>
      <c r="AC291">
        <v>7.9990072100000003</v>
      </c>
      <c r="AD291">
        <v>7.9571773200000004</v>
      </c>
      <c r="AE291">
        <v>8.8149245999999994</v>
      </c>
    </row>
    <row r="292" spans="1:31" x14ac:dyDescent="0.2">
      <c r="A292">
        <v>105.1255</v>
      </c>
      <c r="B292">
        <v>7.9441374900000001</v>
      </c>
      <c r="C292">
        <v>7.0112139899999999</v>
      </c>
      <c r="D292">
        <v>7.7253300400000002</v>
      </c>
      <c r="E292">
        <v>5.8971538700000004</v>
      </c>
      <c r="F292">
        <v>7.8062892899999996</v>
      </c>
      <c r="G292">
        <v>8.6048376999999991</v>
      </c>
      <c r="I292">
        <v>105.1255</v>
      </c>
      <c r="J292">
        <v>7.8766384599999997</v>
      </c>
      <c r="K292">
        <v>7.2048925099999996</v>
      </c>
      <c r="L292">
        <v>7.8196363</v>
      </c>
      <c r="M292">
        <v>5.8493247799999999</v>
      </c>
      <c r="N292">
        <v>7.8316172799999997</v>
      </c>
      <c r="O292">
        <v>8.5352295500000004</v>
      </c>
      <c r="Q292">
        <v>105.1255</v>
      </c>
      <c r="R292">
        <v>7.75961415</v>
      </c>
      <c r="S292">
        <v>7.0983756400000004</v>
      </c>
      <c r="T292">
        <v>7.6338535600000004</v>
      </c>
      <c r="U292">
        <v>6.8543545000000003</v>
      </c>
      <c r="V292">
        <v>7.7848892999999997</v>
      </c>
      <c r="W292">
        <v>8.8273214499999995</v>
      </c>
      <c r="Y292">
        <v>105.1255</v>
      </c>
      <c r="Z292">
        <v>5.6021188200000003</v>
      </c>
      <c r="AA292">
        <v>5.4806389199999996</v>
      </c>
      <c r="AB292">
        <v>7.5049420700000002</v>
      </c>
      <c r="AC292">
        <v>7.9949695199999997</v>
      </c>
      <c r="AD292">
        <v>7.9679731800000004</v>
      </c>
      <c r="AE292">
        <v>8.8172977800000005</v>
      </c>
    </row>
    <row r="293" spans="1:31" x14ac:dyDescent="0.2">
      <c r="A293">
        <v>105.4905</v>
      </c>
      <c r="B293">
        <v>7.95331835</v>
      </c>
      <c r="C293">
        <v>7.0282014300000002</v>
      </c>
      <c r="D293">
        <v>7.7213486099999997</v>
      </c>
      <c r="E293">
        <v>5.9348941999999996</v>
      </c>
      <c r="F293">
        <v>7.81075812</v>
      </c>
      <c r="G293">
        <v>8.6112298299999992</v>
      </c>
      <c r="I293">
        <v>105.4905</v>
      </c>
      <c r="J293">
        <v>7.8826922100000001</v>
      </c>
      <c r="K293">
        <v>7.2130316600000004</v>
      </c>
      <c r="L293">
        <v>7.8176254399999996</v>
      </c>
      <c r="M293">
        <v>5.8636311799999996</v>
      </c>
      <c r="N293">
        <v>7.8332039499999997</v>
      </c>
      <c r="O293">
        <v>8.5389546799999998</v>
      </c>
      <c r="Q293">
        <v>105.4905</v>
      </c>
      <c r="R293">
        <v>7.7608931999999999</v>
      </c>
      <c r="S293">
        <v>7.1106961200000001</v>
      </c>
      <c r="T293">
        <v>7.6348206799999998</v>
      </c>
      <c r="U293">
        <v>6.8669332799999996</v>
      </c>
      <c r="V293">
        <v>7.7898685600000004</v>
      </c>
      <c r="W293">
        <v>8.8356469200000003</v>
      </c>
      <c r="Y293">
        <v>105.4905</v>
      </c>
      <c r="Z293">
        <v>5.5947113799999997</v>
      </c>
      <c r="AA293">
        <v>5.5333894900000002</v>
      </c>
      <c r="AB293">
        <v>7.5082387700000002</v>
      </c>
      <c r="AC293">
        <v>8.0063675700000001</v>
      </c>
      <c r="AD293">
        <v>7.9589264899999996</v>
      </c>
      <c r="AE293">
        <v>8.8195175399999997</v>
      </c>
    </row>
    <row r="294" spans="1:31" x14ac:dyDescent="0.2">
      <c r="A294">
        <v>105.85550000000001</v>
      </c>
      <c r="B294">
        <v>7.9540210900000003</v>
      </c>
      <c r="C294">
        <v>7.0361484900000004</v>
      </c>
      <c r="D294">
        <v>7.7275351099999998</v>
      </c>
      <c r="E294">
        <v>5.9712618400000004</v>
      </c>
      <c r="F294">
        <v>7.8212420800000002</v>
      </c>
      <c r="G294">
        <v>8.6075821900000005</v>
      </c>
      <c r="I294">
        <v>105.85550000000001</v>
      </c>
      <c r="J294">
        <v>7.8853292399999999</v>
      </c>
      <c r="K294">
        <v>7.1959372300000002</v>
      </c>
      <c r="L294">
        <v>7.8268421000000004</v>
      </c>
      <c r="M294">
        <v>5.8200829299999999</v>
      </c>
      <c r="N294">
        <v>7.8363697600000002</v>
      </c>
      <c r="O294">
        <v>8.5267473999999996</v>
      </c>
      <c r="Q294">
        <v>105.85550000000001</v>
      </c>
      <c r="R294">
        <v>7.76259605</v>
      </c>
      <c r="S294">
        <v>7.1244782600000001</v>
      </c>
      <c r="T294">
        <v>7.6333696499999997</v>
      </c>
      <c r="U294">
        <v>6.8865316400000003</v>
      </c>
      <c r="V294">
        <v>7.7898685600000004</v>
      </c>
      <c r="W294">
        <v>8.8251189700000001</v>
      </c>
      <c r="Y294">
        <v>105.85550000000001</v>
      </c>
      <c r="Z294">
        <v>5.6058020700000002</v>
      </c>
      <c r="AA294">
        <v>5.4205350000000001</v>
      </c>
      <c r="AB294">
        <v>7.5087871699999997</v>
      </c>
      <c r="AC294">
        <v>7.9956436000000002</v>
      </c>
      <c r="AD294">
        <v>7.9592759600000003</v>
      </c>
      <c r="AE294">
        <v>8.8172977800000005</v>
      </c>
    </row>
    <row r="295" spans="1:31" x14ac:dyDescent="0.2">
      <c r="A295">
        <v>106.220528</v>
      </c>
      <c r="B295">
        <v>7.9536697800000002</v>
      </c>
      <c r="C295">
        <v>7.0112139899999999</v>
      </c>
      <c r="D295">
        <v>7.72444665</v>
      </c>
      <c r="E295">
        <v>5.9026333299999996</v>
      </c>
      <c r="F295">
        <v>7.8103526800000003</v>
      </c>
      <c r="G295">
        <v>8.6048376999999991</v>
      </c>
      <c r="I295">
        <v>106.220528</v>
      </c>
      <c r="J295">
        <v>7.88570539</v>
      </c>
      <c r="K295">
        <v>7.2048925099999996</v>
      </c>
      <c r="L295">
        <v>7.8256447299999996</v>
      </c>
      <c r="M295">
        <v>5.8377304499999996</v>
      </c>
      <c r="N295">
        <v>7.8391316499999997</v>
      </c>
      <c r="O295">
        <v>8.5416906600000004</v>
      </c>
      <c r="Q295">
        <v>106.220528</v>
      </c>
      <c r="R295">
        <v>7.7676872799999996</v>
      </c>
      <c r="S295">
        <v>7.0950643800000002</v>
      </c>
      <c r="T295">
        <v>7.6328855100000004</v>
      </c>
      <c r="U295">
        <v>6.8437499500000003</v>
      </c>
      <c r="V295">
        <v>7.79482315</v>
      </c>
      <c r="W295">
        <v>8.83214991</v>
      </c>
      <c r="Y295">
        <v>106.220528</v>
      </c>
      <c r="Z295">
        <v>5.6058020700000002</v>
      </c>
      <c r="AA295">
        <v>5.5012582099999996</v>
      </c>
      <c r="AB295">
        <v>7.5104305599999996</v>
      </c>
      <c r="AC295">
        <v>8.0006847800000003</v>
      </c>
      <c r="AD295">
        <v>7.9571773200000004</v>
      </c>
      <c r="AE295">
        <v>8.8280545400000001</v>
      </c>
    </row>
    <row r="296" spans="1:31" x14ac:dyDescent="0.2">
      <c r="A296">
        <v>106.585528</v>
      </c>
      <c r="B296">
        <v>7.9512071600000001</v>
      </c>
      <c r="C296">
        <v>7.0130157899999999</v>
      </c>
      <c r="D296">
        <v>7.72001794</v>
      </c>
      <c r="E296">
        <v>5.9269260299999997</v>
      </c>
      <c r="F296">
        <v>7.8099470899999996</v>
      </c>
      <c r="G296">
        <v>8.6086778800000001</v>
      </c>
      <c r="I296">
        <v>106.585528</v>
      </c>
      <c r="J296">
        <v>7.8894591500000004</v>
      </c>
      <c r="K296">
        <v>7.2100796300000001</v>
      </c>
      <c r="L296">
        <v>7.8252452899999998</v>
      </c>
      <c r="M296">
        <v>5.8607862199999996</v>
      </c>
      <c r="N296">
        <v>7.8410997699999996</v>
      </c>
      <c r="O296">
        <v>8.54305585</v>
      </c>
      <c r="Q296">
        <v>106.585528</v>
      </c>
      <c r="R296">
        <v>7.7570511399999997</v>
      </c>
      <c r="S296">
        <v>7.1016759699999996</v>
      </c>
      <c r="T296">
        <v>7.6319165099999999</v>
      </c>
      <c r="U296">
        <v>6.8554088000000002</v>
      </c>
      <c r="V296">
        <v>7.7873820299999998</v>
      </c>
      <c r="W296">
        <v>8.83346272</v>
      </c>
      <c r="Y296">
        <v>106.585528</v>
      </c>
      <c r="Z296">
        <v>5.6204008700000001</v>
      </c>
      <c r="AA296">
        <v>5.5174529000000003</v>
      </c>
      <c r="AB296">
        <v>7.5137092499999998</v>
      </c>
      <c r="AC296">
        <v>8.0006847800000003</v>
      </c>
      <c r="AD296">
        <v>7.9515593300000003</v>
      </c>
      <c r="AE296">
        <v>8.8264410400000006</v>
      </c>
    </row>
    <row r="297" spans="1:31" x14ac:dyDescent="0.2">
      <c r="A297">
        <v>106.95055600000001</v>
      </c>
      <c r="B297">
        <v>7.9519113800000003</v>
      </c>
      <c r="C297">
        <v>7.0076006099999999</v>
      </c>
      <c r="D297">
        <v>7.7222347400000002</v>
      </c>
      <c r="E297">
        <v>5.8998973499999998</v>
      </c>
      <c r="F297">
        <v>7.8099470899999996</v>
      </c>
      <c r="G297">
        <v>8.6081301900000007</v>
      </c>
      <c r="I297">
        <v>106.95055600000001</v>
      </c>
      <c r="J297">
        <v>7.8920784199999998</v>
      </c>
      <c r="K297">
        <v>7.2034055199999996</v>
      </c>
      <c r="L297">
        <v>7.8296303900000002</v>
      </c>
      <c r="M297">
        <v>5.8464387799999997</v>
      </c>
      <c r="N297">
        <v>7.8383433199999999</v>
      </c>
      <c r="O297">
        <v>8.5354259599999995</v>
      </c>
      <c r="Q297">
        <v>106.95055600000001</v>
      </c>
      <c r="R297">
        <v>7.7591874399999998</v>
      </c>
      <c r="S297">
        <v>7.0942348500000003</v>
      </c>
      <c r="T297">
        <v>7.6357868599999996</v>
      </c>
      <c r="U297">
        <v>6.8511849299999996</v>
      </c>
      <c r="V297">
        <v>7.79193596</v>
      </c>
      <c r="W297">
        <v>8.8315658799999994</v>
      </c>
      <c r="Y297">
        <v>106.95055600000001</v>
      </c>
      <c r="Z297">
        <v>5.6204008700000001</v>
      </c>
      <c r="AA297">
        <v>5.5012582099999996</v>
      </c>
      <c r="AB297">
        <v>7.4999765399999996</v>
      </c>
      <c r="AC297">
        <v>8.0026941600000008</v>
      </c>
      <c r="AD297">
        <v>7.9434277700000004</v>
      </c>
      <c r="AE297">
        <v>8.8155184200000001</v>
      </c>
    </row>
    <row r="298" spans="1:31" x14ac:dyDescent="0.2">
      <c r="A298">
        <v>107.315556</v>
      </c>
      <c r="B298">
        <v>7.94661756</v>
      </c>
      <c r="C298">
        <v>7.0066952300000001</v>
      </c>
      <c r="D298">
        <v>7.7182409500000002</v>
      </c>
      <c r="E298">
        <v>5.9053618500000002</v>
      </c>
      <c r="F298">
        <v>7.8139956799999997</v>
      </c>
      <c r="G298">
        <v>8.6079475500000004</v>
      </c>
      <c r="I298">
        <v>107.315556</v>
      </c>
      <c r="J298">
        <v>7.8879593400000001</v>
      </c>
      <c r="K298">
        <v>7.2056351799999998</v>
      </c>
      <c r="L298">
        <v>7.8248456900000001</v>
      </c>
      <c r="M298">
        <v>5.8522024799999999</v>
      </c>
      <c r="N298">
        <v>7.8347881099999999</v>
      </c>
      <c r="O298">
        <v>8.5330665400000001</v>
      </c>
      <c r="Q298">
        <v>107.315556</v>
      </c>
      <c r="R298">
        <v>7.75961415</v>
      </c>
      <c r="S298">
        <v>7.0917421200000001</v>
      </c>
      <c r="T298">
        <v>7.6285176300000002</v>
      </c>
      <c r="U298">
        <v>6.8490662799999997</v>
      </c>
      <c r="V298">
        <v>7.7873820299999998</v>
      </c>
      <c r="W298">
        <v>8.8303968000000008</v>
      </c>
      <c r="Y298">
        <v>107.315556</v>
      </c>
      <c r="Z298">
        <v>5.6131281099999999</v>
      </c>
      <c r="AA298">
        <v>5.5053315400000002</v>
      </c>
      <c r="AB298">
        <v>7.5065917799999999</v>
      </c>
      <c r="AC298">
        <v>7.99530662</v>
      </c>
      <c r="AD298">
        <v>7.9497972199999998</v>
      </c>
      <c r="AE298">
        <v>8.8190739800000006</v>
      </c>
    </row>
    <row r="299" spans="1:31" x14ac:dyDescent="0.2">
      <c r="A299">
        <v>107.680583</v>
      </c>
      <c r="B299">
        <v>7.9543722700000004</v>
      </c>
      <c r="C299">
        <v>7.0157124199999998</v>
      </c>
      <c r="D299">
        <v>7.7151236000000001</v>
      </c>
      <c r="E299">
        <v>5.9135030100000003</v>
      </c>
      <c r="F299">
        <v>7.8135915499999999</v>
      </c>
      <c r="G299">
        <v>8.6106835299999993</v>
      </c>
      <c r="I299">
        <v>107.680583</v>
      </c>
      <c r="J299">
        <v>7.8917046600000003</v>
      </c>
      <c r="K299">
        <v>7.2078598700000001</v>
      </c>
      <c r="L299">
        <v>7.8316172799999997</v>
      </c>
      <c r="M299">
        <v>5.8377304499999996</v>
      </c>
      <c r="N299">
        <v>7.8355792500000003</v>
      </c>
      <c r="O299">
        <v>8.5275394799999997</v>
      </c>
      <c r="Q299">
        <v>107.680583</v>
      </c>
      <c r="R299">
        <v>7.75961415</v>
      </c>
      <c r="S299">
        <v>7.0942348500000003</v>
      </c>
      <c r="T299">
        <v>7.6202147699999996</v>
      </c>
      <c r="U299">
        <v>6.8480052699999998</v>
      </c>
      <c r="V299">
        <v>7.7898685600000004</v>
      </c>
      <c r="W299">
        <v>8.8280545400000001</v>
      </c>
      <c r="Y299">
        <v>107.680583</v>
      </c>
      <c r="Z299">
        <v>5.6204008700000001</v>
      </c>
      <c r="AA299">
        <v>5.5053315400000002</v>
      </c>
      <c r="AB299">
        <v>7.5126175399999999</v>
      </c>
      <c r="AC299">
        <v>7.9932823300000004</v>
      </c>
      <c r="AD299">
        <v>7.9505024300000002</v>
      </c>
      <c r="AE299">
        <v>8.8242366200000006</v>
      </c>
    </row>
    <row r="300" spans="1:31" x14ac:dyDescent="0.2">
      <c r="A300">
        <v>108.04558299999999</v>
      </c>
      <c r="B300">
        <v>7.9490914999999998</v>
      </c>
      <c r="C300">
        <v>7.0139154699999997</v>
      </c>
      <c r="D300">
        <v>7.7137846200000002</v>
      </c>
      <c r="E300">
        <v>5.9322451899999997</v>
      </c>
      <c r="F300">
        <v>7.8148034300000004</v>
      </c>
      <c r="G300">
        <v>8.6053871999999991</v>
      </c>
      <c r="I300">
        <v>108.04558299999999</v>
      </c>
      <c r="J300">
        <v>7.8841999300000003</v>
      </c>
      <c r="K300">
        <v>7.2041492900000001</v>
      </c>
      <c r="L300">
        <v>7.8292325399999996</v>
      </c>
      <c r="M300">
        <v>5.88332239</v>
      </c>
      <c r="N300">
        <v>7.8332039499999997</v>
      </c>
      <c r="O300">
        <v>8.5354259599999995</v>
      </c>
      <c r="Q300">
        <v>108.04558299999999</v>
      </c>
      <c r="R300">
        <v>7.75662333</v>
      </c>
      <c r="S300">
        <v>7.1024993600000004</v>
      </c>
      <c r="T300">
        <v>7.6211951600000001</v>
      </c>
      <c r="U300">
        <v>6.8490662799999997</v>
      </c>
      <c r="V300">
        <v>7.7894545700000002</v>
      </c>
      <c r="W300">
        <v>8.8318579400000008</v>
      </c>
      <c r="Y300">
        <v>108.04558299999999</v>
      </c>
      <c r="Z300">
        <v>5.6240175099999998</v>
      </c>
      <c r="AA300">
        <v>5.55682806</v>
      </c>
      <c r="AB300">
        <v>7.4999765399999996</v>
      </c>
      <c r="AC300">
        <v>7.99530662</v>
      </c>
      <c r="AD300">
        <v>7.9416512499999996</v>
      </c>
      <c r="AE300">
        <v>8.8280545400000001</v>
      </c>
    </row>
    <row r="301" spans="1:31" x14ac:dyDescent="0.2">
      <c r="A301">
        <v>108.410611</v>
      </c>
      <c r="B301">
        <v>7.9455554299999998</v>
      </c>
      <c r="C301">
        <v>7.0112139899999999</v>
      </c>
      <c r="D301">
        <v>7.71735127</v>
      </c>
      <c r="E301">
        <v>5.9322451899999997</v>
      </c>
      <c r="F301">
        <v>7.80343506</v>
      </c>
      <c r="G301">
        <v>8.6103191700000004</v>
      </c>
      <c r="I301">
        <v>108.410611</v>
      </c>
      <c r="J301">
        <v>7.8868330000000002</v>
      </c>
      <c r="K301">
        <v>7.2071188599999996</v>
      </c>
      <c r="L301">
        <v>7.8276395499999998</v>
      </c>
      <c r="M301">
        <v>5.8692969100000001</v>
      </c>
      <c r="N301">
        <v>7.8395255800000001</v>
      </c>
      <c r="O301">
        <v>8.5405190199999996</v>
      </c>
      <c r="Q301">
        <v>108.410611</v>
      </c>
      <c r="R301">
        <v>7.7523351600000003</v>
      </c>
      <c r="S301">
        <v>7.0950643800000002</v>
      </c>
      <c r="T301">
        <v>7.6226639499999997</v>
      </c>
      <c r="U301">
        <v>6.8554088000000002</v>
      </c>
      <c r="V301">
        <v>7.7873820299999998</v>
      </c>
      <c r="W301">
        <v>8.8324417900000007</v>
      </c>
      <c r="Y301">
        <v>108.410611</v>
      </c>
      <c r="Z301">
        <v>5.6204008700000001</v>
      </c>
      <c r="AA301">
        <v>5.5606816300000004</v>
      </c>
      <c r="AB301">
        <v>7.5010821200000004</v>
      </c>
      <c r="AC301">
        <v>8.0013550299999991</v>
      </c>
      <c r="AD301">
        <v>7.9420068099999996</v>
      </c>
      <c r="AE301">
        <v>8.8217323800000003</v>
      </c>
    </row>
    <row r="302" spans="1:31" x14ac:dyDescent="0.2">
      <c r="A302">
        <v>108.775611</v>
      </c>
      <c r="B302">
        <v>7.9444921600000002</v>
      </c>
      <c r="C302">
        <v>6.99850964</v>
      </c>
      <c r="D302">
        <v>7.7119965099999996</v>
      </c>
      <c r="E302">
        <v>5.8971538700000004</v>
      </c>
      <c r="F302">
        <v>7.8087293100000004</v>
      </c>
      <c r="G302">
        <v>8.6075821900000005</v>
      </c>
      <c r="I302">
        <v>108.775611</v>
      </c>
      <c r="J302">
        <v>7.8838232100000001</v>
      </c>
      <c r="K302">
        <v>7.1936858199999998</v>
      </c>
      <c r="L302">
        <v>7.8212420800000002</v>
      </c>
      <c r="M302">
        <v>5.8550719200000003</v>
      </c>
      <c r="N302">
        <v>7.8351837599999996</v>
      </c>
      <c r="O302">
        <v>8.5358186600000003</v>
      </c>
      <c r="Q302">
        <v>108.775611</v>
      </c>
      <c r="R302">
        <v>7.76046703</v>
      </c>
      <c r="S302">
        <v>7.0909098200000003</v>
      </c>
      <c r="T302">
        <v>7.6162835600000003</v>
      </c>
      <c r="U302">
        <v>6.8426832800000001</v>
      </c>
      <c r="V302">
        <v>7.7902823799999998</v>
      </c>
      <c r="W302">
        <v>8.8328794599999991</v>
      </c>
      <c r="Y302">
        <v>108.775611</v>
      </c>
      <c r="Z302">
        <v>5.6276211099999998</v>
      </c>
      <c r="AA302">
        <v>5.5294290899999998</v>
      </c>
      <c r="AB302">
        <v>7.5027382100000004</v>
      </c>
      <c r="AC302">
        <v>7.99361999</v>
      </c>
      <c r="AD302">
        <v>7.9363026899999998</v>
      </c>
      <c r="AE302">
        <v>8.8242366200000006</v>
      </c>
    </row>
    <row r="303" spans="1:31" x14ac:dyDescent="0.2">
      <c r="A303">
        <v>109.14063899999999</v>
      </c>
      <c r="B303">
        <v>7.94838529</v>
      </c>
      <c r="C303">
        <v>7.0237589500000004</v>
      </c>
      <c r="D303">
        <v>7.7124438299999998</v>
      </c>
      <c r="E303">
        <v>5.9864520099999998</v>
      </c>
      <c r="F303">
        <v>7.8123782100000003</v>
      </c>
      <c r="G303">
        <v>8.6095900400000005</v>
      </c>
      <c r="I303">
        <v>109.14063899999999</v>
      </c>
      <c r="J303">
        <v>7.8917046600000003</v>
      </c>
      <c r="K303">
        <v>7.1929342199999997</v>
      </c>
      <c r="L303">
        <v>7.8276395499999998</v>
      </c>
      <c r="M303">
        <v>5.8200829299999999</v>
      </c>
      <c r="N303">
        <v>7.84267147</v>
      </c>
      <c r="O303">
        <v>8.5257564200000004</v>
      </c>
      <c r="Q303">
        <v>109.14063899999999</v>
      </c>
      <c r="R303">
        <v>7.7574787699999996</v>
      </c>
      <c r="S303">
        <v>7.1098794600000002</v>
      </c>
      <c r="T303">
        <v>7.6231530699999999</v>
      </c>
      <c r="U303">
        <v>6.8762646099999998</v>
      </c>
      <c r="V303">
        <v>7.7989333099999998</v>
      </c>
      <c r="W303">
        <v>8.8268813399999999</v>
      </c>
      <c r="Y303">
        <v>109.14063899999999</v>
      </c>
      <c r="Z303">
        <v>5.6204008700000001</v>
      </c>
      <c r="AA303">
        <v>5.4806389199999996</v>
      </c>
      <c r="AB303">
        <v>7.5021864899999997</v>
      </c>
      <c r="AC303">
        <v>7.9834400600000004</v>
      </c>
      <c r="AD303">
        <v>7.9370174899999997</v>
      </c>
      <c r="AE303">
        <v>8.8177421299999992</v>
      </c>
    </row>
    <row r="304" spans="1:31" x14ac:dyDescent="0.2">
      <c r="A304">
        <v>109.505639</v>
      </c>
      <c r="B304">
        <v>7.9434277700000004</v>
      </c>
      <c r="C304">
        <v>7.0003344600000004</v>
      </c>
      <c r="D304">
        <v>7.7155695299999998</v>
      </c>
      <c r="E304">
        <v>5.9322451899999997</v>
      </c>
      <c r="F304">
        <v>7.8139956799999997</v>
      </c>
      <c r="G304">
        <v>8.6077648900000003</v>
      </c>
      <c r="I304">
        <v>109.505639</v>
      </c>
      <c r="J304">
        <v>7.8815599199999999</v>
      </c>
      <c r="K304">
        <v>7.2019163199999996</v>
      </c>
      <c r="L304">
        <v>7.8276395499999998</v>
      </c>
      <c r="M304">
        <v>5.8664680599999999</v>
      </c>
      <c r="N304">
        <v>7.8418859300000001</v>
      </c>
      <c r="O304">
        <v>8.5373879000000006</v>
      </c>
      <c r="Q304">
        <v>109.505639</v>
      </c>
      <c r="R304">
        <v>7.7587605399999999</v>
      </c>
      <c r="S304">
        <v>7.08506429</v>
      </c>
      <c r="T304">
        <v>7.6162835600000003</v>
      </c>
      <c r="U304">
        <v>6.8511849299999996</v>
      </c>
      <c r="V304">
        <v>7.79482315</v>
      </c>
      <c r="W304">
        <v>8.8271747699999992</v>
      </c>
      <c r="Y304">
        <v>109.505639</v>
      </c>
      <c r="Z304">
        <v>5.6524891799999999</v>
      </c>
      <c r="AA304">
        <v>5.5721540300000001</v>
      </c>
      <c r="AB304">
        <v>7.5087871699999997</v>
      </c>
      <c r="AC304">
        <v>7.99934295</v>
      </c>
      <c r="AD304">
        <v>7.9352295399999999</v>
      </c>
      <c r="AE304">
        <v>8.8183342800000002</v>
      </c>
    </row>
    <row r="305" spans="1:31" x14ac:dyDescent="0.2">
      <c r="A305">
        <v>109.870639</v>
      </c>
      <c r="B305">
        <v>7.94732503</v>
      </c>
      <c r="C305">
        <v>7.0057890199999999</v>
      </c>
      <c r="D305">
        <v>7.7115489799999999</v>
      </c>
      <c r="E305">
        <v>5.9322451899999997</v>
      </c>
      <c r="F305">
        <v>7.8204395199999999</v>
      </c>
      <c r="G305">
        <v>8.6083127800000003</v>
      </c>
      <c r="I305">
        <v>109.870639</v>
      </c>
      <c r="J305">
        <v>7.8808043400000001</v>
      </c>
      <c r="K305">
        <v>7.2011708800000003</v>
      </c>
      <c r="L305">
        <v>7.8308229999999996</v>
      </c>
      <c r="M305">
        <v>5.88332239</v>
      </c>
      <c r="N305">
        <v>7.8379489199999997</v>
      </c>
      <c r="O305">
        <v>8.5324758099999993</v>
      </c>
      <c r="Q305">
        <v>109.870639</v>
      </c>
      <c r="R305">
        <v>7.7527648100000004</v>
      </c>
      <c r="S305">
        <v>7.0942348500000003</v>
      </c>
      <c r="T305">
        <v>7.6123368400000002</v>
      </c>
      <c r="U305">
        <v>6.8373328100000004</v>
      </c>
      <c r="V305">
        <v>7.7927617199999997</v>
      </c>
      <c r="W305">
        <v>8.8355014599999997</v>
      </c>
      <c r="Y305">
        <v>109.870639</v>
      </c>
      <c r="Z305">
        <v>5.6489742400000003</v>
      </c>
      <c r="AA305">
        <v>5.5645204100000001</v>
      </c>
      <c r="AB305">
        <v>7.5049420700000002</v>
      </c>
      <c r="AC305">
        <v>7.9996785800000003</v>
      </c>
      <c r="AD305">
        <v>7.9280455999999999</v>
      </c>
      <c r="AE305">
        <v>8.8186302300000001</v>
      </c>
    </row>
    <row r="306" spans="1:31" x14ac:dyDescent="0.2">
      <c r="A306">
        <v>110.23563900000001</v>
      </c>
      <c r="B306">
        <v>7.9366601599999997</v>
      </c>
      <c r="C306">
        <v>6.9874902499999996</v>
      </c>
      <c r="D306">
        <v>7.7052624700000001</v>
      </c>
      <c r="E306">
        <v>5.9026333299999996</v>
      </c>
      <c r="F306">
        <v>7.8111633899999999</v>
      </c>
      <c r="G306">
        <v>8.6092252800000004</v>
      </c>
      <c r="I306">
        <v>110.23563900000001</v>
      </c>
      <c r="J306">
        <v>7.8875840300000002</v>
      </c>
      <c r="K306">
        <v>7.1944368499999998</v>
      </c>
      <c r="L306">
        <v>7.8264431400000003</v>
      </c>
      <c r="M306">
        <v>5.8607862199999996</v>
      </c>
      <c r="N306">
        <v>7.8363697600000002</v>
      </c>
      <c r="O306">
        <v>8.5320818000000003</v>
      </c>
      <c r="Q306">
        <v>110.23563900000001</v>
      </c>
      <c r="R306">
        <v>7.7463006600000002</v>
      </c>
      <c r="S306">
        <v>7.0808679000000003</v>
      </c>
      <c r="T306">
        <v>7.6068845300000003</v>
      </c>
      <c r="U306">
        <v>6.8297937400000004</v>
      </c>
      <c r="V306">
        <v>7.7857209000000003</v>
      </c>
      <c r="W306">
        <v>8.8251189700000001</v>
      </c>
      <c r="Y306">
        <v>110.23563900000001</v>
      </c>
      <c r="Z306">
        <v>5.6524891799999999</v>
      </c>
      <c r="AA306">
        <v>5.54126355</v>
      </c>
      <c r="AB306">
        <v>7.4955419399999998</v>
      </c>
      <c r="AC306">
        <v>7.9892214099999999</v>
      </c>
      <c r="AD306">
        <v>7.9258803200000001</v>
      </c>
      <c r="AE306">
        <v>8.8159635600000001</v>
      </c>
    </row>
    <row r="307" spans="1:31" x14ac:dyDescent="0.2">
      <c r="A307">
        <v>110.600667</v>
      </c>
      <c r="B307">
        <v>7.9405838299999996</v>
      </c>
      <c r="C307">
        <v>6.9884131800000002</v>
      </c>
      <c r="D307">
        <v>7.70481192</v>
      </c>
      <c r="E307">
        <v>5.8916442099999999</v>
      </c>
      <c r="F307">
        <v>7.8131872700000002</v>
      </c>
      <c r="G307">
        <v>8.6105013699999997</v>
      </c>
      <c r="I307">
        <v>110.600667</v>
      </c>
      <c r="J307">
        <v>7.8875840300000002</v>
      </c>
      <c r="K307">
        <v>7.1959372300000002</v>
      </c>
      <c r="L307">
        <v>7.8296303900000002</v>
      </c>
      <c r="M307">
        <v>5.8493247799999999</v>
      </c>
      <c r="N307">
        <v>7.8403129800000002</v>
      </c>
      <c r="O307">
        <v>8.5332633700000002</v>
      </c>
      <c r="Q307">
        <v>110.600667</v>
      </c>
      <c r="R307">
        <v>7.7510451199999997</v>
      </c>
      <c r="S307">
        <v>7.0808679000000003</v>
      </c>
      <c r="T307">
        <v>7.6029004599999999</v>
      </c>
      <c r="U307">
        <v>6.8319535699999996</v>
      </c>
      <c r="V307">
        <v>7.7869669999999998</v>
      </c>
      <c r="W307">
        <v>8.8292263500000008</v>
      </c>
      <c r="Y307">
        <v>110.600667</v>
      </c>
      <c r="Z307">
        <v>5.6489742400000003</v>
      </c>
      <c r="AA307">
        <v>5.5529595799999996</v>
      </c>
      <c r="AB307">
        <v>7.49886973</v>
      </c>
      <c r="AC307">
        <v>7.9898993699999998</v>
      </c>
      <c r="AD307">
        <v>7.9233482100000003</v>
      </c>
      <c r="AE307">
        <v>8.8177421299999992</v>
      </c>
    </row>
    <row r="308" spans="1:31" x14ac:dyDescent="0.2">
      <c r="A308">
        <v>110.965694</v>
      </c>
      <c r="B308">
        <v>7.9603236300000004</v>
      </c>
      <c r="C308">
        <v>7.0094089300000002</v>
      </c>
      <c r="D308">
        <v>7.6980291699999999</v>
      </c>
      <c r="E308">
        <v>5.9135030100000003</v>
      </c>
      <c r="F308">
        <v>7.8119734300000001</v>
      </c>
      <c r="G308">
        <v>8.6064852999999992</v>
      </c>
      <c r="I308">
        <v>110.965694</v>
      </c>
      <c r="J308">
        <v>7.8883345</v>
      </c>
      <c r="K308">
        <v>7.1981835800000002</v>
      </c>
      <c r="L308">
        <v>7.8347881099999999</v>
      </c>
      <c r="M308">
        <v>5.8664680599999999</v>
      </c>
      <c r="N308">
        <v>7.84227878</v>
      </c>
      <c r="O308">
        <v>8.5303068300000007</v>
      </c>
      <c r="Q308">
        <v>110.965694</v>
      </c>
      <c r="R308">
        <v>7.7437032600000002</v>
      </c>
      <c r="S308">
        <v>7.0758088600000004</v>
      </c>
      <c r="T308">
        <v>7.6138186799999996</v>
      </c>
      <c r="U308">
        <v>6.8221973900000004</v>
      </c>
      <c r="V308">
        <v>7.7790486400000001</v>
      </c>
      <c r="W308">
        <v>8.8255598600000003</v>
      </c>
      <c r="Y308">
        <v>110.965694</v>
      </c>
      <c r="Z308">
        <v>5.6629604799999997</v>
      </c>
      <c r="AA308">
        <v>5.5606816300000004</v>
      </c>
      <c r="AB308">
        <v>7.4966524400000001</v>
      </c>
      <c r="AC308">
        <v>7.9854843600000001</v>
      </c>
      <c r="AD308">
        <v>7.9237103299999996</v>
      </c>
      <c r="AE308">
        <v>8.8094149399999999</v>
      </c>
    </row>
    <row r="309" spans="1:31" x14ac:dyDescent="0.2">
      <c r="A309">
        <v>111.33069399999999</v>
      </c>
      <c r="B309">
        <v>7.9309253699999998</v>
      </c>
      <c r="C309">
        <v>6.9819346800000002</v>
      </c>
      <c r="D309">
        <v>7.6980291699999999</v>
      </c>
      <c r="E309">
        <v>5.8998973499999998</v>
      </c>
      <c r="F309">
        <v>7.80506704</v>
      </c>
      <c r="G309">
        <v>8.6048376999999991</v>
      </c>
      <c r="I309">
        <v>111.33069399999999</v>
      </c>
      <c r="J309">
        <v>7.8905825299999997</v>
      </c>
      <c r="K309">
        <v>7.1989312400000003</v>
      </c>
      <c r="L309">
        <v>7.8272408999999996</v>
      </c>
      <c r="M309">
        <v>5.8550719200000003</v>
      </c>
      <c r="N309">
        <v>7.8391316499999997</v>
      </c>
      <c r="O309">
        <v>8.5338536299999994</v>
      </c>
      <c r="Q309">
        <v>111.33069399999999</v>
      </c>
      <c r="R309">
        <v>7.7415335900000004</v>
      </c>
      <c r="S309">
        <v>7.07834158</v>
      </c>
      <c r="T309">
        <v>7.6048944799999996</v>
      </c>
      <c r="U309">
        <v>6.8232861199999997</v>
      </c>
      <c r="V309">
        <v>7.7981126300000003</v>
      </c>
      <c r="W309">
        <v>8.8252659500000004</v>
      </c>
      <c r="Y309">
        <v>111.33069399999999</v>
      </c>
      <c r="Z309">
        <v>5.6767538000000002</v>
      </c>
      <c r="AA309">
        <v>5.5683445000000003</v>
      </c>
      <c r="AB309">
        <v>7.5038407500000002</v>
      </c>
      <c r="AC309">
        <v>7.9871847499999999</v>
      </c>
      <c r="AD309">
        <v>7.9186286499999996</v>
      </c>
      <c r="AE309">
        <v>8.8041750200000006</v>
      </c>
    </row>
    <row r="310" spans="1:31" x14ac:dyDescent="0.2">
      <c r="A310">
        <v>111.695722</v>
      </c>
      <c r="B310">
        <v>7.9366601599999997</v>
      </c>
      <c r="C310">
        <v>7.0048819900000003</v>
      </c>
      <c r="D310">
        <v>7.6989362000000003</v>
      </c>
      <c r="E310">
        <v>5.9135030100000003</v>
      </c>
      <c r="F310">
        <v>7.8127828199999998</v>
      </c>
      <c r="G310">
        <v>8.6094076800000003</v>
      </c>
      <c r="I310">
        <v>111.695722</v>
      </c>
      <c r="J310">
        <v>7.8875840300000002</v>
      </c>
      <c r="K310">
        <v>7.1981835800000002</v>
      </c>
      <c r="L310">
        <v>7.8280380300000001</v>
      </c>
      <c r="M310">
        <v>5.8777357800000001</v>
      </c>
      <c r="N310">
        <v>7.8414929200000003</v>
      </c>
      <c r="O310">
        <v>8.5328696700000002</v>
      </c>
      <c r="Q310">
        <v>111.695722</v>
      </c>
      <c r="R310">
        <v>7.74716497</v>
      </c>
      <c r="S310">
        <v>7.0800264999999998</v>
      </c>
      <c r="T310">
        <v>7.6073814300000002</v>
      </c>
      <c r="U310">
        <v>6.8341087399999996</v>
      </c>
      <c r="V310">
        <v>7.7972912699999997</v>
      </c>
      <c r="W310">
        <v>8.8302505700000005</v>
      </c>
      <c r="Y310">
        <v>111.695722</v>
      </c>
      <c r="Z310">
        <v>5.6869753599999999</v>
      </c>
      <c r="AA310">
        <v>5.5909869800000003</v>
      </c>
      <c r="AB310">
        <v>7.5060421799999997</v>
      </c>
      <c r="AC310">
        <v>7.9854843600000001</v>
      </c>
      <c r="AD310">
        <v>7.92696354</v>
      </c>
      <c r="AE310">
        <v>8.81016127</v>
      </c>
    </row>
    <row r="311" spans="1:31" x14ac:dyDescent="0.2">
      <c r="A311">
        <v>112.060722</v>
      </c>
      <c r="B311">
        <v>7.9316440200000002</v>
      </c>
      <c r="C311">
        <v>6.9911768900000002</v>
      </c>
      <c r="D311">
        <v>7.6984827899999999</v>
      </c>
      <c r="E311">
        <v>5.9215784200000003</v>
      </c>
      <c r="F311">
        <v>7.8184302700000003</v>
      </c>
      <c r="G311">
        <v>8.6125033700000007</v>
      </c>
      <c r="I311">
        <v>112.060722</v>
      </c>
      <c r="J311">
        <v>7.8819374900000003</v>
      </c>
      <c r="K311">
        <v>7.2108184499999997</v>
      </c>
      <c r="L311">
        <v>7.8371596500000003</v>
      </c>
      <c r="M311">
        <v>5.88332239</v>
      </c>
      <c r="N311">
        <v>7.8434564</v>
      </c>
      <c r="O311">
        <v>8.5358186600000003</v>
      </c>
      <c r="Q311">
        <v>112.060722</v>
      </c>
      <c r="R311">
        <v>7.7424020200000001</v>
      </c>
      <c r="S311">
        <v>7.0833878500000003</v>
      </c>
      <c r="T311">
        <v>7.6024013400000001</v>
      </c>
      <c r="U311">
        <v>6.8265452199999999</v>
      </c>
      <c r="V311">
        <v>7.7956465399999999</v>
      </c>
      <c r="W311">
        <v>8.8302505700000005</v>
      </c>
      <c r="Y311">
        <v>112.060722</v>
      </c>
      <c r="Z311">
        <v>5.6801726099999996</v>
      </c>
      <c r="AA311">
        <v>5.6347896000000004</v>
      </c>
      <c r="AB311">
        <v>7.4927602999999996</v>
      </c>
      <c r="AC311">
        <v>7.9854843600000001</v>
      </c>
      <c r="AD311">
        <v>7.9247959100000003</v>
      </c>
      <c r="AE311">
        <v>8.8115032499999995</v>
      </c>
    </row>
    <row r="312" spans="1:31" x14ac:dyDescent="0.2">
      <c r="A312">
        <v>112.42574999999999</v>
      </c>
      <c r="B312">
        <v>7.9316440200000002</v>
      </c>
      <c r="C312">
        <v>6.9810057399999996</v>
      </c>
      <c r="D312">
        <v>7.6975753500000001</v>
      </c>
      <c r="E312">
        <v>5.9242558000000001</v>
      </c>
      <c r="F312">
        <v>7.8123782100000003</v>
      </c>
      <c r="G312">
        <v>8.6083127800000003</v>
      </c>
      <c r="I312">
        <v>112.42574999999999</v>
      </c>
      <c r="J312">
        <v>7.88570539</v>
      </c>
      <c r="K312">
        <v>7.1974353500000001</v>
      </c>
      <c r="L312">
        <v>7.8383433199999999</v>
      </c>
      <c r="M312">
        <v>5.8464387799999997</v>
      </c>
      <c r="N312">
        <v>7.8410997699999996</v>
      </c>
      <c r="O312">
        <v>8.5308988400000008</v>
      </c>
      <c r="Q312">
        <v>112.42574999999999</v>
      </c>
      <c r="R312">
        <v>7.7393592</v>
      </c>
      <c r="S312">
        <v>7.0690234299999997</v>
      </c>
      <c r="T312">
        <v>7.5983993300000003</v>
      </c>
      <c r="U312">
        <v>6.8189240699999996</v>
      </c>
      <c r="V312">
        <v>7.7964692400000004</v>
      </c>
      <c r="W312">
        <v>8.8273214499999995</v>
      </c>
      <c r="Y312">
        <v>112.42574999999999</v>
      </c>
      <c r="Z312">
        <v>5.6835797699999997</v>
      </c>
      <c r="AA312">
        <v>5.5984219599999996</v>
      </c>
      <c r="AB312">
        <v>7.5065917799999999</v>
      </c>
      <c r="AC312">
        <v>7.9882036000000003</v>
      </c>
      <c r="AD312">
        <v>7.9197197600000004</v>
      </c>
      <c r="AE312">
        <v>8.8011683999999999</v>
      </c>
    </row>
    <row r="313" spans="1:31" x14ac:dyDescent="0.2">
      <c r="A313">
        <v>112.79075</v>
      </c>
      <c r="B313">
        <v>7.9294865200000002</v>
      </c>
      <c r="C313">
        <v>6.9800759399999999</v>
      </c>
      <c r="D313">
        <v>7.6966670800000001</v>
      </c>
      <c r="E313">
        <v>5.9026333299999996</v>
      </c>
      <c r="F313">
        <v>7.8164169799999996</v>
      </c>
      <c r="G313">
        <v>8.6039211899999994</v>
      </c>
      <c r="I313">
        <v>112.79075</v>
      </c>
      <c r="J313">
        <v>7.8872085900000002</v>
      </c>
      <c r="K313">
        <v>7.1959372300000002</v>
      </c>
      <c r="L313">
        <v>7.8332039499999997</v>
      </c>
      <c r="M313">
        <v>5.8664680599999999</v>
      </c>
      <c r="N313">
        <v>7.8387375600000002</v>
      </c>
      <c r="O313">
        <v>8.5324758099999993</v>
      </c>
      <c r="Q313">
        <v>112.79075</v>
      </c>
      <c r="R313">
        <v>7.7393592</v>
      </c>
      <c r="S313">
        <v>7.0698741299999996</v>
      </c>
      <c r="T313">
        <v>7.5958899200000003</v>
      </c>
      <c r="U313">
        <v>6.8221973900000004</v>
      </c>
      <c r="V313">
        <v>7.7906960300000003</v>
      </c>
      <c r="W313">
        <v>8.8252659500000004</v>
      </c>
      <c r="Y313">
        <v>112.79075</v>
      </c>
      <c r="Z313">
        <v>5.6970934900000003</v>
      </c>
      <c r="AA313">
        <v>5.5872486600000002</v>
      </c>
      <c r="AB313">
        <v>7.5082387700000002</v>
      </c>
      <c r="AC313">
        <v>7.9848033899999997</v>
      </c>
      <c r="AD313">
        <v>7.9197197600000004</v>
      </c>
      <c r="AE313">
        <v>8.8011683999999999</v>
      </c>
    </row>
    <row r="314" spans="1:31" x14ac:dyDescent="0.2">
      <c r="A314">
        <v>113.155778</v>
      </c>
      <c r="B314">
        <v>7.9352295399999999</v>
      </c>
      <c r="C314">
        <v>6.9744789100000002</v>
      </c>
      <c r="D314">
        <v>7.6980291699999999</v>
      </c>
      <c r="E314">
        <v>5.8998973499999998</v>
      </c>
      <c r="F314">
        <v>7.8131872700000002</v>
      </c>
      <c r="G314">
        <v>8.6090428499999998</v>
      </c>
      <c r="I314">
        <v>113.155778</v>
      </c>
      <c r="J314">
        <v>7.8879593400000001</v>
      </c>
      <c r="K314">
        <v>7.1921820600000004</v>
      </c>
      <c r="L314">
        <v>7.8387375600000002</v>
      </c>
      <c r="M314">
        <v>5.8805329899999998</v>
      </c>
      <c r="N314">
        <v>7.8430640199999999</v>
      </c>
      <c r="O314">
        <v>8.5318847400000006</v>
      </c>
      <c r="Q314">
        <v>113.155778</v>
      </c>
      <c r="R314">
        <v>7.7475968399999999</v>
      </c>
      <c r="S314">
        <v>7.0724219000000002</v>
      </c>
      <c r="T314">
        <v>7.5989004600000003</v>
      </c>
      <c r="U314">
        <v>6.81234509</v>
      </c>
      <c r="V314">
        <v>7.79482315</v>
      </c>
      <c r="W314">
        <v>8.8233534900000006</v>
      </c>
      <c r="Y314">
        <v>113.155778</v>
      </c>
      <c r="Z314">
        <v>5.6937321399999998</v>
      </c>
      <c r="AA314">
        <v>5.6094717999999997</v>
      </c>
      <c r="AB314">
        <v>7.4960973500000003</v>
      </c>
      <c r="AC314">
        <v>7.9865049399999997</v>
      </c>
      <c r="AD314">
        <v>7.9200831999999997</v>
      </c>
      <c r="AE314">
        <v>8.7986056500000007</v>
      </c>
    </row>
    <row r="315" spans="1:31" x14ac:dyDescent="0.2">
      <c r="A315">
        <v>113.52077800000001</v>
      </c>
      <c r="B315">
        <v>7.9302062099999997</v>
      </c>
      <c r="C315">
        <v>6.9810057399999996</v>
      </c>
      <c r="D315">
        <v>7.6966670800000001</v>
      </c>
      <c r="E315">
        <v>5.9162020599999998</v>
      </c>
      <c r="F315">
        <v>7.8087293100000004</v>
      </c>
      <c r="G315">
        <v>8.6075821900000005</v>
      </c>
      <c r="I315">
        <v>113.52077800000001</v>
      </c>
      <c r="J315">
        <v>7.8924520400000002</v>
      </c>
      <c r="K315">
        <v>7.2071188599999996</v>
      </c>
      <c r="L315">
        <v>7.8375543600000004</v>
      </c>
      <c r="M315">
        <v>5.87493073</v>
      </c>
      <c r="N315">
        <v>7.8399193599999997</v>
      </c>
      <c r="O315">
        <v>8.5348366299999991</v>
      </c>
      <c r="Q315">
        <v>113.52077800000001</v>
      </c>
      <c r="R315">
        <v>7.7445698099999998</v>
      </c>
      <c r="S315">
        <v>7.0724219000000002</v>
      </c>
      <c r="T315">
        <v>7.5928702899999996</v>
      </c>
      <c r="U315">
        <v>6.8112443799999998</v>
      </c>
      <c r="V315">
        <v>7.7911095100000001</v>
      </c>
      <c r="W315">
        <v>8.8282010900000003</v>
      </c>
      <c r="Y315">
        <v>113.52077800000001</v>
      </c>
      <c r="Z315">
        <v>5.70044357</v>
      </c>
      <c r="AA315">
        <v>5.6454468999999996</v>
      </c>
      <c r="AB315">
        <v>7.4983158699999999</v>
      </c>
      <c r="AC315">
        <v>7.9919305200000004</v>
      </c>
      <c r="AD315">
        <v>7.9160781</v>
      </c>
      <c r="AE315">
        <v>8.7972462399999998</v>
      </c>
    </row>
    <row r="316" spans="1:31" x14ac:dyDescent="0.2">
      <c r="A316">
        <v>113.885806</v>
      </c>
      <c r="B316">
        <v>7.9226235699999998</v>
      </c>
      <c r="C316">
        <v>7.0012456199999997</v>
      </c>
      <c r="D316">
        <v>7.6861623000000003</v>
      </c>
      <c r="E316">
        <v>5.98393628</v>
      </c>
      <c r="F316">
        <v>7.81075812</v>
      </c>
      <c r="G316">
        <v>8.6044712000000008</v>
      </c>
      <c r="I316">
        <v>113.885806</v>
      </c>
      <c r="J316">
        <v>7.8879593400000001</v>
      </c>
      <c r="K316">
        <v>7.1815919399999997</v>
      </c>
      <c r="L316">
        <v>7.8359745800000002</v>
      </c>
      <c r="M316">
        <v>5.8377304499999996</v>
      </c>
      <c r="N316">
        <v>7.8450244199999997</v>
      </c>
      <c r="O316">
        <v>8.5314905000000003</v>
      </c>
      <c r="Q316">
        <v>113.885806</v>
      </c>
      <c r="R316">
        <v>7.73455884</v>
      </c>
      <c r="S316">
        <v>7.0917421200000001</v>
      </c>
      <c r="T316">
        <v>7.5913570500000001</v>
      </c>
      <c r="U316">
        <v>6.8437499500000003</v>
      </c>
      <c r="V316">
        <v>7.7935867999999999</v>
      </c>
      <c r="W316">
        <v>8.8201086400000008</v>
      </c>
      <c r="Y316">
        <v>113.885806</v>
      </c>
      <c r="Z316">
        <v>5.7268477500000001</v>
      </c>
      <c r="AA316">
        <v>5.5909869800000003</v>
      </c>
      <c r="AB316">
        <v>7.5054922700000004</v>
      </c>
      <c r="AC316">
        <v>7.9724660199999997</v>
      </c>
      <c r="AD316">
        <v>7.9168074900000001</v>
      </c>
      <c r="AE316">
        <v>8.7904213099999993</v>
      </c>
    </row>
    <row r="317" spans="1:31" x14ac:dyDescent="0.2">
      <c r="A317">
        <v>114.250806</v>
      </c>
      <c r="B317">
        <v>7.9262415199999996</v>
      </c>
      <c r="C317">
        <v>6.9707300800000001</v>
      </c>
      <c r="D317">
        <v>7.6893711099999997</v>
      </c>
      <c r="E317">
        <v>5.9135030100000003</v>
      </c>
      <c r="F317">
        <v>7.8087293100000004</v>
      </c>
      <c r="G317">
        <v>8.6072166899999996</v>
      </c>
      <c r="I317">
        <v>114.250806</v>
      </c>
      <c r="J317">
        <v>7.8909567200000001</v>
      </c>
      <c r="K317">
        <v>7.1974353500000001</v>
      </c>
      <c r="L317">
        <v>7.8320141799999998</v>
      </c>
      <c r="M317">
        <v>5.8692969100000001</v>
      </c>
      <c r="N317">
        <v>7.8473718400000001</v>
      </c>
      <c r="O317">
        <v>8.5338536299999994</v>
      </c>
      <c r="Q317">
        <v>114.250806</v>
      </c>
      <c r="R317">
        <v>7.7406644</v>
      </c>
      <c r="S317">
        <v>7.0664669699999996</v>
      </c>
      <c r="T317">
        <v>7.5898415100000003</v>
      </c>
      <c r="U317">
        <v>6.8035052599999997</v>
      </c>
      <c r="V317">
        <v>7.79482315</v>
      </c>
      <c r="W317">
        <v>8.8270280700000008</v>
      </c>
      <c r="Y317">
        <v>114.250806</v>
      </c>
      <c r="Z317">
        <v>5.7235851000000002</v>
      </c>
      <c r="AA317">
        <v>5.6594822200000001</v>
      </c>
      <c r="AB317">
        <v>7.5043915600000002</v>
      </c>
      <c r="AC317">
        <v>7.9807078200000001</v>
      </c>
      <c r="AD317">
        <v>7.91826469</v>
      </c>
      <c r="AE317">
        <v>8.7910298600000001</v>
      </c>
    </row>
    <row r="318" spans="1:31" x14ac:dyDescent="0.2">
      <c r="A318">
        <v>114.61583299999999</v>
      </c>
      <c r="B318">
        <v>7.92515751</v>
      </c>
      <c r="C318">
        <v>6.9421567099999999</v>
      </c>
      <c r="D318">
        <v>7.6930257500000003</v>
      </c>
      <c r="E318">
        <v>5.8464387799999997</v>
      </c>
      <c r="F318">
        <v>7.8168199700000001</v>
      </c>
      <c r="G318">
        <v>8.5980355799999995</v>
      </c>
      <c r="I318">
        <v>114.61583299999999</v>
      </c>
      <c r="J318">
        <v>7.8917046600000003</v>
      </c>
      <c r="K318">
        <v>7.1724245800000004</v>
      </c>
      <c r="L318">
        <v>7.8399193599999997</v>
      </c>
      <c r="M318">
        <v>5.7960577500000001</v>
      </c>
      <c r="N318">
        <v>7.8407064499999999</v>
      </c>
      <c r="O318">
        <v>8.5259546999999998</v>
      </c>
      <c r="Q318">
        <v>114.61583299999999</v>
      </c>
      <c r="R318">
        <v>7.7384881200000004</v>
      </c>
      <c r="S318">
        <v>7.0379059599999998</v>
      </c>
      <c r="T318">
        <v>7.5812098299999997</v>
      </c>
      <c r="U318">
        <v>6.7776465899999998</v>
      </c>
      <c r="V318">
        <v>7.7877968800000001</v>
      </c>
      <c r="W318">
        <v>8.8193697100000001</v>
      </c>
      <c r="Y318">
        <v>114.61583299999999</v>
      </c>
      <c r="Z318">
        <v>5.7235851000000002</v>
      </c>
      <c r="AA318">
        <v>5.5606816300000004</v>
      </c>
      <c r="AB318">
        <v>7.5049420700000002</v>
      </c>
      <c r="AC318">
        <v>7.9690117799999998</v>
      </c>
      <c r="AD318">
        <v>7.9109573800000001</v>
      </c>
      <c r="AE318">
        <v>8.7823228600000007</v>
      </c>
    </row>
    <row r="319" spans="1:31" x14ac:dyDescent="0.2">
      <c r="A319">
        <v>114.980833</v>
      </c>
      <c r="B319">
        <v>7.9215356300000002</v>
      </c>
      <c r="C319">
        <v>6.9707300800000001</v>
      </c>
      <c r="D319">
        <v>7.6907431600000002</v>
      </c>
      <c r="E319">
        <v>5.9080829399999999</v>
      </c>
      <c r="F319">
        <v>7.8200379900000003</v>
      </c>
      <c r="G319">
        <v>8.6037377900000003</v>
      </c>
      <c r="I319">
        <v>114.980833</v>
      </c>
      <c r="J319">
        <v>7.8954360100000001</v>
      </c>
      <c r="K319">
        <v>7.1974353500000001</v>
      </c>
      <c r="L319">
        <v>7.8371596500000003</v>
      </c>
      <c r="M319">
        <v>5.8607862199999996</v>
      </c>
      <c r="N319">
        <v>7.8465899800000001</v>
      </c>
      <c r="O319">
        <v>8.5275394799999997</v>
      </c>
      <c r="Q319">
        <v>114.980833</v>
      </c>
      <c r="R319">
        <v>7.7415335900000004</v>
      </c>
      <c r="S319">
        <v>7.0578979400000001</v>
      </c>
      <c r="T319">
        <v>7.5862963099999998</v>
      </c>
      <c r="U319">
        <v>6.8001700700000001</v>
      </c>
      <c r="V319">
        <v>7.7972912699999997</v>
      </c>
      <c r="W319">
        <v>8.8258536700000008</v>
      </c>
      <c r="Y319">
        <v>114.980833</v>
      </c>
      <c r="Z319">
        <v>5.7333412800000003</v>
      </c>
      <c r="AA319">
        <v>5.6767538000000002</v>
      </c>
      <c r="AB319">
        <v>7.5021864899999997</v>
      </c>
      <c r="AC319">
        <v>7.9820748799999999</v>
      </c>
      <c r="AD319">
        <v>7.9135210200000001</v>
      </c>
      <c r="AE319">
        <v>8.7890507099999997</v>
      </c>
    </row>
    <row r="320" spans="1:31" x14ac:dyDescent="0.2">
      <c r="A320">
        <v>115.345833</v>
      </c>
      <c r="B320">
        <v>7.9208096799999996</v>
      </c>
      <c r="C320">
        <v>6.9612960499999996</v>
      </c>
      <c r="D320">
        <v>7.6838639799999999</v>
      </c>
      <c r="E320">
        <v>5.8971538700000004</v>
      </c>
      <c r="F320">
        <v>7.8079166300000002</v>
      </c>
      <c r="G320">
        <v>8.6123215399999999</v>
      </c>
      <c r="I320">
        <v>115.345833</v>
      </c>
      <c r="J320">
        <v>7.8920784199999998</v>
      </c>
      <c r="K320">
        <v>7.2004248899999999</v>
      </c>
      <c r="L320">
        <v>7.8339963399999997</v>
      </c>
      <c r="M320">
        <v>5.8607862199999996</v>
      </c>
      <c r="N320">
        <v>7.8469809799999997</v>
      </c>
      <c r="O320">
        <v>8.5326727600000005</v>
      </c>
      <c r="Q320">
        <v>115.345833</v>
      </c>
      <c r="R320">
        <v>7.7363071000000003</v>
      </c>
      <c r="S320">
        <v>7.0414116599999996</v>
      </c>
      <c r="T320">
        <v>7.5842648199999996</v>
      </c>
      <c r="U320">
        <v>6.7979404099999998</v>
      </c>
      <c r="V320">
        <v>7.7906960300000003</v>
      </c>
      <c r="W320">
        <v>8.8265878299999994</v>
      </c>
      <c r="Y320">
        <v>115.345833</v>
      </c>
      <c r="Z320">
        <v>5.7397929100000002</v>
      </c>
      <c r="AA320">
        <v>5.6835797699999997</v>
      </c>
      <c r="AB320">
        <v>7.4949862300000003</v>
      </c>
      <c r="AC320">
        <v>7.9752208400000004</v>
      </c>
      <c r="AD320">
        <v>7.9083871600000002</v>
      </c>
      <c r="AE320">
        <v>8.7827830200000001</v>
      </c>
    </row>
    <row r="321" spans="1:31" x14ac:dyDescent="0.2">
      <c r="A321">
        <v>115.71086099999999</v>
      </c>
      <c r="B321">
        <v>7.92768505</v>
      </c>
      <c r="C321">
        <v>6.9593985099999998</v>
      </c>
      <c r="D321">
        <v>7.6861623000000003</v>
      </c>
      <c r="E321">
        <v>5.9026333299999996</v>
      </c>
      <c r="F321">
        <v>7.8131872700000002</v>
      </c>
      <c r="G321">
        <v>8.6055703000000001</v>
      </c>
      <c r="I321">
        <v>115.71086099999999</v>
      </c>
      <c r="J321">
        <v>7.8853292399999999</v>
      </c>
      <c r="K321">
        <v>7.1936858199999998</v>
      </c>
      <c r="L321">
        <v>7.8359745800000002</v>
      </c>
      <c r="M321">
        <v>5.8550719200000003</v>
      </c>
      <c r="N321">
        <v>7.8407064499999999</v>
      </c>
      <c r="O321">
        <v>8.5293193699999996</v>
      </c>
      <c r="Q321">
        <v>115.71086099999999</v>
      </c>
      <c r="R321">
        <v>7.7432696999999999</v>
      </c>
      <c r="S321">
        <v>7.0578979400000001</v>
      </c>
      <c r="T321">
        <v>7.58069975</v>
      </c>
      <c r="U321">
        <v>6.7957057799999996</v>
      </c>
      <c r="V321">
        <v>7.7890404000000002</v>
      </c>
      <c r="W321">
        <v>8.8260005499999998</v>
      </c>
      <c r="Y321">
        <v>115.71086099999999</v>
      </c>
      <c r="Z321">
        <v>5.7365722999999997</v>
      </c>
      <c r="AA321">
        <v>5.71042702</v>
      </c>
      <c r="AB321">
        <v>7.4933172499999996</v>
      </c>
      <c r="AC321">
        <v>7.9776251</v>
      </c>
      <c r="AD321">
        <v>7.9076515900000004</v>
      </c>
      <c r="AE321">
        <v>8.7829363600000008</v>
      </c>
    </row>
    <row r="322" spans="1:31" x14ac:dyDescent="0.2">
      <c r="A322">
        <v>116.075861</v>
      </c>
      <c r="B322">
        <v>7.9160781</v>
      </c>
      <c r="C322">
        <v>6.96508035</v>
      </c>
      <c r="D322">
        <v>7.6769371499999997</v>
      </c>
      <c r="E322">
        <v>5.9053618500000002</v>
      </c>
      <c r="F322">
        <v>7.8176254399999996</v>
      </c>
      <c r="G322">
        <v>8.6072166899999996</v>
      </c>
      <c r="I322">
        <v>116.075861</v>
      </c>
      <c r="J322">
        <v>7.8939451399999996</v>
      </c>
      <c r="K322">
        <v>7.1891677400000003</v>
      </c>
      <c r="L322">
        <v>7.8387375600000002</v>
      </c>
      <c r="M322">
        <v>5.8607862199999996</v>
      </c>
      <c r="N322">
        <v>7.8328075200000002</v>
      </c>
      <c r="O322">
        <v>8.5281331300000005</v>
      </c>
      <c r="Q322">
        <v>116.075861</v>
      </c>
      <c r="R322">
        <v>7.7306140699999997</v>
      </c>
      <c r="S322">
        <v>7.0431599199999999</v>
      </c>
      <c r="T322">
        <v>7.5771219299999997</v>
      </c>
      <c r="U322">
        <v>6.7900972399999997</v>
      </c>
      <c r="V322">
        <v>7.7898685600000004</v>
      </c>
      <c r="W322">
        <v>8.8189260899999997</v>
      </c>
      <c r="Y322">
        <v>116.075861</v>
      </c>
      <c r="Z322">
        <v>5.7493929899999996</v>
      </c>
      <c r="AA322">
        <v>5.7365722999999997</v>
      </c>
      <c r="AB322">
        <v>7.5060421799999997</v>
      </c>
      <c r="AC322">
        <v>7.97590836</v>
      </c>
      <c r="AD322">
        <v>7.9105906099999999</v>
      </c>
      <c r="AE322">
        <v>8.7795574599999995</v>
      </c>
    </row>
    <row r="323" spans="1:31" x14ac:dyDescent="0.2">
      <c r="A323">
        <v>116.440889</v>
      </c>
      <c r="B323">
        <v>7.9157131999999999</v>
      </c>
      <c r="C323">
        <v>6.9660241899999997</v>
      </c>
      <c r="D323">
        <v>7.6764736500000001</v>
      </c>
      <c r="E323">
        <v>5.9322451899999997</v>
      </c>
      <c r="F323">
        <v>7.8095413200000001</v>
      </c>
      <c r="G323">
        <v>8.6057533700000004</v>
      </c>
      <c r="I323">
        <v>116.440889</v>
      </c>
      <c r="J323">
        <v>7.8920784199999998</v>
      </c>
      <c r="K323">
        <v>7.1944368499999998</v>
      </c>
      <c r="L323">
        <v>7.8383433199999999</v>
      </c>
      <c r="M323">
        <v>5.88332239</v>
      </c>
      <c r="N323">
        <v>7.8520502099999998</v>
      </c>
      <c r="O323">
        <v>8.5318847400000006</v>
      </c>
      <c r="Q323">
        <v>116.440889</v>
      </c>
      <c r="R323">
        <v>7.7332456499999997</v>
      </c>
      <c r="S323">
        <v>7.0570369800000003</v>
      </c>
      <c r="T323">
        <v>7.5699276600000003</v>
      </c>
      <c r="U323">
        <v>6.7968237199999999</v>
      </c>
      <c r="V323">
        <v>7.7865518099999997</v>
      </c>
      <c r="W323">
        <v>8.8267346</v>
      </c>
      <c r="Y323">
        <v>116.440889</v>
      </c>
      <c r="Z323">
        <v>5.7589017699999996</v>
      </c>
      <c r="AA323">
        <v>5.7714411200000004</v>
      </c>
      <c r="AB323">
        <v>7.5010821200000004</v>
      </c>
      <c r="AC323">
        <v>7.9817332900000002</v>
      </c>
      <c r="AD323">
        <v>7.8995244700000002</v>
      </c>
      <c r="AE323">
        <v>8.7795574599999995</v>
      </c>
    </row>
    <row r="324" spans="1:31" x14ac:dyDescent="0.2">
      <c r="A324">
        <v>116.80588899999999</v>
      </c>
      <c r="B324">
        <v>7.9157131999999999</v>
      </c>
      <c r="C324">
        <v>6.95081477</v>
      </c>
      <c r="D324">
        <v>7.6755459999999998</v>
      </c>
      <c r="E324">
        <v>5.9080829399999999</v>
      </c>
      <c r="F324">
        <v>7.8152070599999997</v>
      </c>
      <c r="G324">
        <v>8.6090428499999998</v>
      </c>
      <c r="I324">
        <v>116.80588899999999</v>
      </c>
      <c r="J324">
        <v>7.8920784199999998</v>
      </c>
      <c r="K324">
        <v>7.1869010199999996</v>
      </c>
      <c r="L324">
        <v>7.8320141799999998</v>
      </c>
      <c r="M324">
        <v>5.8636311799999996</v>
      </c>
      <c r="N324">
        <v>7.8450244199999997</v>
      </c>
      <c r="O324">
        <v>8.5265492900000002</v>
      </c>
      <c r="Q324">
        <v>116.80588899999999</v>
      </c>
      <c r="R324">
        <v>7.7336835700000002</v>
      </c>
      <c r="S324">
        <v>7.04838641</v>
      </c>
      <c r="T324">
        <v>7.5719884500000001</v>
      </c>
      <c r="U324">
        <v>6.7844570600000003</v>
      </c>
      <c r="V324">
        <v>7.7935867999999999</v>
      </c>
      <c r="W324">
        <v>8.8177421299999992</v>
      </c>
      <c r="Y324">
        <v>116.80588899999999</v>
      </c>
      <c r="Z324">
        <v>5.7683210000000003</v>
      </c>
      <c r="AA324">
        <v>5.7589017699999996</v>
      </c>
      <c r="AB324">
        <v>7.4933172499999996</v>
      </c>
      <c r="AC324">
        <v>7.9741886700000002</v>
      </c>
      <c r="AD324">
        <v>7.9072836100000004</v>
      </c>
      <c r="AE324">
        <v>8.78186249</v>
      </c>
    </row>
    <row r="325" spans="1:31" x14ac:dyDescent="0.2">
      <c r="A325">
        <v>117.170889</v>
      </c>
      <c r="B325">
        <v>7.9113240200000003</v>
      </c>
      <c r="C325">
        <v>6.9304947700000001</v>
      </c>
      <c r="D325">
        <v>7.6699619999999999</v>
      </c>
      <c r="E325">
        <v>5.8607862199999996</v>
      </c>
      <c r="F325">
        <v>7.8095413200000001</v>
      </c>
      <c r="G325">
        <v>8.5998785600000005</v>
      </c>
      <c r="I325">
        <v>117.170889</v>
      </c>
      <c r="J325">
        <v>7.88570539</v>
      </c>
      <c r="K325">
        <v>7.1777824199999998</v>
      </c>
      <c r="L325">
        <v>7.8351837599999996</v>
      </c>
      <c r="M325">
        <v>5.8377304499999996</v>
      </c>
      <c r="N325">
        <v>7.8375543600000004</v>
      </c>
      <c r="O325">
        <v>8.5197898199999997</v>
      </c>
      <c r="Q325">
        <v>117.170889</v>
      </c>
      <c r="R325">
        <v>7.72929567</v>
      </c>
      <c r="S325">
        <v>7.0264268100000002</v>
      </c>
      <c r="T325">
        <v>7.5663110099999997</v>
      </c>
      <c r="U325">
        <v>6.7604146900000002</v>
      </c>
      <c r="V325">
        <v>7.80016307</v>
      </c>
      <c r="W325">
        <v>8.8172977800000005</v>
      </c>
      <c r="Y325">
        <v>117.170889</v>
      </c>
      <c r="Z325">
        <v>5.7807435199999997</v>
      </c>
      <c r="AA325">
        <v>5.7300997799999998</v>
      </c>
      <c r="AB325">
        <v>7.4922030399999997</v>
      </c>
      <c r="AC325">
        <v>7.9648508900000001</v>
      </c>
      <c r="AD325">
        <v>7.9010070499999996</v>
      </c>
      <c r="AE325">
        <v>8.7685742799999993</v>
      </c>
    </row>
    <row r="326" spans="1:31" x14ac:dyDescent="0.2">
      <c r="A326">
        <v>117.535917</v>
      </c>
      <c r="B326">
        <v>7.9116905199999996</v>
      </c>
      <c r="C326">
        <v>6.9469759900000003</v>
      </c>
      <c r="D326">
        <v>7.6671582599999999</v>
      </c>
      <c r="E326">
        <v>5.8888779600000003</v>
      </c>
      <c r="F326">
        <v>7.8066963700000001</v>
      </c>
      <c r="G326">
        <v>8.60171815</v>
      </c>
      <c r="I326">
        <v>117.535917</v>
      </c>
      <c r="J326">
        <v>7.8853292399999999</v>
      </c>
      <c r="K326">
        <v>7.1936858199999998</v>
      </c>
      <c r="L326">
        <v>7.8316172799999997</v>
      </c>
      <c r="M326">
        <v>5.8607862199999996</v>
      </c>
      <c r="N326">
        <v>7.8430640199999999</v>
      </c>
      <c r="O326">
        <v>8.52833094</v>
      </c>
      <c r="Q326">
        <v>117.535917</v>
      </c>
      <c r="R326">
        <v>7.7284157799999997</v>
      </c>
      <c r="S326">
        <v>7.0440329000000004</v>
      </c>
      <c r="T326">
        <v>7.5564279699999997</v>
      </c>
      <c r="U326">
        <v>6.7821920599999999</v>
      </c>
      <c r="V326">
        <v>7.7840569999999998</v>
      </c>
      <c r="W326">
        <v>8.8167050200000006</v>
      </c>
      <c r="Y326">
        <v>117.535917</v>
      </c>
      <c r="Z326">
        <v>5.7868973800000001</v>
      </c>
      <c r="AA326">
        <v>5.7990926500000004</v>
      </c>
      <c r="AB326">
        <v>7.4933172499999996</v>
      </c>
      <c r="AC326">
        <v>7.9752208400000004</v>
      </c>
      <c r="AD326">
        <v>7.8991534799999998</v>
      </c>
      <c r="AE326">
        <v>8.7784799499999995</v>
      </c>
    </row>
    <row r="327" spans="1:31" x14ac:dyDescent="0.2">
      <c r="A327">
        <v>117.90091700000001</v>
      </c>
      <c r="B327">
        <v>7.9094894900000003</v>
      </c>
      <c r="C327">
        <v>6.9421567099999999</v>
      </c>
      <c r="D327">
        <v>7.6760099300000002</v>
      </c>
      <c r="E327">
        <v>5.8971538700000004</v>
      </c>
      <c r="F327">
        <v>7.8111633899999999</v>
      </c>
      <c r="G327">
        <v>8.6084953500000001</v>
      </c>
      <c r="I327">
        <v>117.90091700000001</v>
      </c>
      <c r="J327">
        <v>7.8987823600000002</v>
      </c>
      <c r="K327">
        <v>7.1929342199999997</v>
      </c>
      <c r="L327">
        <v>7.8252452899999998</v>
      </c>
      <c r="M327">
        <v>5.8692969100000001</v>
      </c>
      <c r="N327">
        <v>7.8465899800000001</v>
      </c>
      <c r="O327">
        <v>8.5267473999999996</v>
      </c>
      <c r="Q327">
        <v>117.90091700000001</v>
      </c>
      <c r="R327">
        <v>7.7253300400000002</v>
      </c>
      <c r="S327">
        <v>7.0475172199999996</v>
      </c>
      <c r="T327">
        <v>7.5632005900000001</v>
      </c>
      <c r="U327">
        <v>6.7765069899999997</v>
      </c>
      <c r="V327">
        <v>7.7931743500000001</v>
      </c>
      <c r="W327">
        <v>8.8248249399999992</v>
      </c>
      <c r="Y327">
        <v>117.90091700000001</v>
      </c>
      <c r="Z327">
        <v>5.79301361</v>
      </c>
      <c r="AA327">
        <v>5.8377304499999996</v>
      </c>
      <c r="AB327">
        <v>7.4922030399999997</v>
      </c>
      <c r="AC327">
        <v>7.9683194999999998</v>
      </c>
      <c r="AD327">
        <v>7.8872085900000002</v>
      </c>
      <c r="AE327">
        <v>8.7733846</v>
      </c>
    </row>
    <row r="328" spans="1:31" x14ac:dyDescent="0.2">
      <c r="A328">
        <v>118.265944</v>
      </c>
      <c r="B328">
        <v>7.9109573800000001</v>
      </c>
      <c r="C328">
        <v>6.9772813400000002</v>
      </c>
      <c r="D328">
        <v>7.6638772599999996</v>
      </c>
      <c r="E328">
        <v>5.9864520099999998</v>
      </c>
      <c r="F328">
        <v>7.8103526800000003</v>
      </c>
      <c r="G328">
        <v>8.5939690300000002</v>
      </c>
      <c r="I328">
        <v>118.265944</v>
      </c>
      <c r="J328">
        <v>7.8913307599999998</v>
      </c>
      <c r="K328">
        <v>7.1815919399999997</v>
      </c>
      <c r="L328">
        <v>7.8343923000000002</v>
      </c>
      <c r="M328">
        <v>5.8435444199999997</v>
      </c>
      <c r="N328">
        <v>7.8395255800000001</v>
      </c>
      <c r="O328">
        <v>8.5243673999999992</v>
      </c>
      <c r="Q328">
        <v>118.265944</v>
      </c>
      <c r="R328">
        <v>7.72444665</v>
      </c>
      <c r="S328">
        <v>7.0673198499999996</v>
      </c>
      <c r="T328">
        <v>7.5600804699999999</v>
      </c>
      <c r="U328">
        <v>6.8145429000000002</v>
      </c>
      <c r="V328">
        <v>7.7832240199999996</v>
      </c>
      <c r="W328">
        <v>8.8167050200000006</v>
      </c>
      <c r="Y328">
        <v>118.265944</v>
      </c>
      <c r="Z328">
        <v>5.79301361</v>
      </c>
      <c r="AA328">
        <v>5.8289456199999998</v>
      </c>
      <c r="AB328">
        <v>7.4999765399999996</v>
      </c>
      <c r="AC328">
        <v>7.96346007</v>
      </c>
      <c r="AD328">
        <v>7.89618061</v>
      </c>
      <c r="AE328">
        <v>8.76170677</v>
      </c>
    </row>
    <row r="329" spans="1:31" x14ac:dyDescent="0.2">
      <c r="A329">
        <v>118.630944</v>
      </c>
      <c r="B329">
        <v>7.9135210200000001</v>
      </c>
      <c r="C329">
        <v>6.9440872100000002</v>
      </c>
      <c r="D329">
        <v>7.6652847199999998</v>
      </c>
      <c r="E329">
        <v>5.8971538700000004</v>
      </c>
      <c r="F329">
        <v>7.8188324400000004</v>
      </c>
      <c r="G329">
        <v>8.6020856600000002</v>
      </c>
      <c r="I329">
        <v>118.630944</v>
      </c>
      <c r="J329">
        <v>7.8875840300000002</v>
      </c>
      <c r="K329">
        <v>7.18992217</v>
      </c>
      <c r="L329">
        <v>7.8292325399999996</v>
      </c>
      <c r="M329">
        <v>5.85793315</v>
      </c>
      <c r="N329">
        <v>7.8430640199999999</v>
      </c>
      <c r="O329">
        <v>8.5255581100000004</v>
      </c>
      <c r="Q329">
        <v>118.630944</v>
      </c>
      <c r="R329">
        <v>7.7279755400000001</v>
      </c>
      <c r="S329">
        <v>7.0326242600000004</v>
      </c>
      <c r="T329">
        <v>7.55851674</v>
      </c>
      <c r="U329">
        <v>6.7787848999999998</v>
      </c>
      <c r="V329">
        <v>7.7828072600000002</v>
      </c>
      <c r="W329">
        <v>8.8261474</v>
      </c>
      <c r="Y329">
        <v>118.630944</v>
      </c>
      <c r="Z329">
        <v>5.8081424899999998</v>
      </c>
      <c r="AA329">
        <v>5.8777357800000001</v>
      </c>
      <c r="AB329">
        <v>7.49886973</v>
      </c>
      <c r="AC329">
        <v>7.9741886700000002</v>
      </c>
      <c r="AD329">
        <v>7.8976681500000003</v>
      </c>
      <c r="AE329">
        <v>8.7642095100000006</v>
      </c>
    </row>
    <row r="330" spans="1:31" x14ac:dyDescent="0.2">
      <c r="A330">
        <v>118.99594399999999</v>
      </c>
      <c r="B330">
        <v>7.9080194400000003</v>
      </c>
      <c r="C330">
        <v>6.9450510599999999</v>
      </c>
      <c r="D330">
        <v>7.6596429500000003</v>
      </c>
      <c r="E330">
        <v>5.9135030100000003</v>
      </c>
      <c r="F330">
        <v>7.8038432999999996</v>
      </c>
      <c r="G330">
        <v>8.6086778800000001</v>
      </c>
      <c r="I330">
        <v>118.99594399999999</v>
      </c>
      <c r="J330">
        <v>7.8943180599999998</v>
      </c>
      <c r="K330">
        <v>7.1906760299999997</v>
      </c>
      <c r="L330">
        <v>7.8383433199999999</v>
      </c>
      <c r="M330">
        <v>5.8777357800000001</v>
      </c>
      <c r="N330">
        <v>7.8450244199999997</v>
      </c>
      <c r="O330">
        <v>8.5289241100000002</v>
      </c>
      <c r="Q330">
        <v>118.99594399999999</v>
      </c>
      <c r="R330">
        <v>7.72001794</v>
      </c>
      <c r="S330">
        <v>7.0326242600000004</v>
      </c>
      <c r="T330">
        <v>7.5538108499999996</v>
      </c>
      <c r="U330">
        <v>6.7810576300000003</v>
      </c>
      <c r="V330">
        <v>7.79152282</v>
      </c>
      <c r="W330">
        <v>8.8211422400000004</v>
      </c>
      <c r="Y330">
        <v>118.99594399999999</v>
      </c>
      <c r="Z330">
        <v>5.8200829299999999</v>
      </c>
      <c r="AA330">
        <v>5.9242558000000001</v>
      </c>
      <c r="AB330">
        <v>7.4966524400000001</v>
      </c>
      <c r="AC330">
        <v>7.96970358</v>
      </c>
      <c r="AD330">
        <v>7.89319887</v>
      </c>
      <c r="AE330">
        <v>8.7688853299999998</v>
      </c>
    </row>
    <row r="331" spans="1:31" x14ac:dyDescent="0.2">
      <c r="A331">
        <v>119.360972</v>
      </c>
      <c r="B331">
        <v>7.9010070499999996</v>
      </c>
      <c r="C331">
        <v>6.94601399</v>
      </c>
      <c r="D331">
        <v>7.65775527</v>
      </c>
      <c r="E331">
        <v>5.91079664</v>
      </c>
      <c r="F331">
        <v>7.8062892899999996</v>
      </c>
      <c r="G331">
        <v>8.6068510600000003</v>
      </c>
      <c r="I331">
        <v>119.360972</v>
      </c>
      <c r="J331">
        <v>7.8987823600000002</v>
      </c>
      <c r="K331">
        <v>7.1891677400000003</v>
      </c>
      <c r="L331">
        <v>7.8391316499999997</v>
      </c>
      <c r="M331">
        <v>5.88332239</v>
      </c>
      <c r="N331">
        <v>7.8465899800000001</v>
      </c>
      <c r="O331">
        <v>8.5257564200000004</v>
      </c>
      <c r="Q331">
        <v>119.360972</v>
      </c>
      <c r="R331">
        <v>7.7177962100000004</v>
      </c>
      <c r="S331">
        <v>7.03702761</v>
      </c>
      <c r="T331">
        <v>7.5490827100000004</v>
      </c>
      <c r="U331">
        <v>6.7719355600000002</v>
      </c>
      <c r="V331">
        <v>7.79852305</v>
      </c>
      <c r="W331">
        <v>8.82497197</v>
      </c>
      <c r="Y331">
        <v>119.360972</v>
      </c>
      <c r="Z331">
        <v>5.83188248</v>
      </c>
      <c r="AA331">
        <v>5.9322451899999997</v>
      </c>
      <c r="AB331">
        <v>7.4983158699999999</v>
      </c>
      <c r="AC331">
        <v>7.9714309999999999</v>
      </c>
      <c r="AD331">
        <v>7.8887095199999999</v>
      </c>
      <c r="AE331">
        <v>8.7701285299999991</v>
      </c>
    </row>
    <row r="332" spans="1:31" x14ac:dyDescent="0.2">
      <c r="A332">
        <v>119.725972</v>
      </c>
      <c r="B332">
        <v>7.9065472300000001</v>
      </c>
      <c r="C332">
        <v>6.9421567099999999</v>
      </c>
      <c r="D332">
        <v>7.6568100899999996</v>
      </c>
      <c r="E332">
        <v>5.8998973499999998</v>
      </c>
      <c r="F332">
        <v>7.80506704</v>
      </c>
      <c r="G332">
        <v>8.6024530400000003</v>
      </c>
      <c r="I332">
        <v>119.725972</v>
      </c>
      <c r="J332">
        <v>7.8917046600000003</v>
      </c>
      <c r="K332">
        <v>7.1921820600000004</v>
      </c>
      <c r="L332">
        <v>7.8387375600000002</v>
      </c>
      <c r="M332">
        <v>5.8692969100000001</v>
      </c>
      <c r="N332">
        <v>7.8418859300000001</v>
      </c>
      <c r="O332">
        <v>8.5209859899999998</v>
      </c>
      <c r="Q332">
        <v>119.725972</v>
      </c>
      <c r="R332">
        <v>7.7217917800000002</v>
      </c>
      <c r="S332">
        <v>7.0335064799999998</v>
      </c>
      <c r="T332">
        <v>7.5511868700000004</v>
      </c>
      <c r="U332">
        <v>6.7719355600000002</v>
      </c>
      <c r="V332">
        <v>7.7873820299999998</v>
      </c>
      <c r="W332">
        <v>8.8264410400000006</v>
      </c>
      <c r="Y332">
        <v>119.725972</v>
      </c>
      <c r="Z332">
        <v>5.8377304499999996</v>
      </c>
      <c r="AA332">
        <v>5.9914645499999999</v>
      </c>
      <c r="AB332">
        <v>7.4999765399999996</v>
      </c>
      <c r="AC332">
        <v>7.9703949100000004</v>
      </c>
      <c r="AD332">
        <v>7.8838232100000001</v>
      </c>
      <c r="AE332">
        <v>8.7726103000000002</v>
      </c>
    </row>
    <row r="333" spans="1:31" x14ac:dyDescent="0.2">
      <c r="A333">
        <v>120.09097199999999</v>
      </c>
      <c r="B333">
        <v>7.8987823600000002</v>
      </c>
      <c r="C333">
        <v>6.9363427399999997</v>
      </c>
      <c r="D333">
        <v>7.6568100899999996</v>
      </c>
      <c r="E333">
        <v>5.9026333299999996</v>
      </c>
      <c r="F333">
        <v>7.8139956799999997</v>
      </c>
      <c r="G333">
        <v>8.6083127800000003</v>
      </c>
      <c r="I333">
        <v>120.09097199999999</v>
      </c>
      <c r="J333">
        <v>7.8943180599999998</v>
      </c>
      <c r="K333">
        <v>7.1853870200000003</v>
      </c>
      <c r="L333">
        <v>7.8363697600000002</v>
      </c>
      <c r="M333">
        <v>5.8636311799999996</v>
      </c>
      <c r="N333">
        <v>7.8454160399999999</v>
      </c>
      <c r="O333">
        <v>8.5299119599999997</v>
      </c>
      <c r="Q333">
        <v>120.09097199999999</v>
      </c>
      <c r="R333">
        <v>7.7155695299999998</v>
      </c>
      <c r="S333">
        <v>7.0326242600000004</v>
      </c>
      <c r="T333">
        <v>7.5480289699999998</v>
      </c>
      <c r="U333">
        <v>6.7673431300000004</v>
      </c>
      <c r="V333">
        <v>7.7902823799999998</v>
      </c>
      <c r="W333">
        <v>8.8211422400000004</v>
      </c>
      <c r="Y333">
        <v>120.09097199999999</v>
      </c>
      <c r="Z333">
        <v>5.8406416600000002</v>
      </c>
      <c r="AA333">
        <v>6.0038870700000002</v>
      </c>
      <c r="AB333">
        <v>7.4905293999999998</v>
      </c>
      <c r="AC333">
        <v>7.9683194999999998</v>
      </c>
      <c r="AD333">
        <v>7.8845765099999996</v>
      </c>
      <c r="AE333">
        <v>8.7596686699999999</v>
      </c>
    </row>
    <row r="334" spans="1:31" x14ac:dyDescent="0.2">
      <c r="A334">
        <v>120.456</v>
      </c>
      <c r="B334">
        <v>7.8972964699999997</v>
      </c>
      <c r="C334">
        <v>6.9255952000000001</v>
      </c>
      <c r="D334">
        <v>7.6558640200000001</v>
      </c>
      <c r="E334">
        <v>5.8998973499999998</v>
      </c>
      <c r="F334">
        <v>7.8083230500000003</v>
      </c>
      <c r="G334">
        <v>8.6057533700000004</v>
      </c>
      <c r="I334">
        <v>120.456</v>
      </c>
      <c r="J334">
        <v>7.8969246599999998</v>
      </c>
      <c r="K334">
        <v>7.1861442999999996</v>
      </c>
      <c r="L334">
        <v>7.8450244199999997</v>
      </c>
      <c r="M334">
        <v>5.8721177899999999</v>
      </c>
      <c r="N334">
        <v>7.8446326400000004</v>
      </c>
      <c r="O334">
        <v>8.5295169400000006</v>
      </c>
      <c r="Q334">
        <v>120.456</v>
      </c>
      <c r="R334">
        <v>7.7177962100000004</v>
      </c>
      <c r="S334">
        <v>7.0273145100000001</v>
      </c>
      <c r="T334">
        <v>7.5480289699999998</v>
      </c>
      <c r="U334">
        <v>6.7592552699999997</v>
      </c>
      <c r="V334">
        <v>7.7894545700000002</v>
      </c>
      <c r="W334">
        <v>8.8211422400000004</v>
      </c>
      <c r="Y334">
        <v>120.456</v>
      </c>
      <c r="Z334">
        <v>5.8692969100000001</v>
      </c>
      <c r="AA334">
        <v>6.0306852600000003</v>
      </c>
      <c r="AB334">
        <v>7.48829352</v>
      </c>
      <c r="AC334">
        <v>7.96519829</v>
      </c>
      <c r="AD334">
        <v>7.8890844099999997</v>
      </c>
      <c r="AE334">
        <v>8.7634280699999998</v>
      </c>
    </row>
    <row r="335" spans="1:31" x14ac:dyDescent="0.2">
      <c r="A335">
        <v>120.821028</v>
      </c>
      <c r="B335">
        <v>7.8972964699999997</v>
      </c>
      <c r="C335">
        <v>6.9440872100000002</v>
      </c>
      <c r="D335">
        <v>7.6515955699999996</v>
      </c>
      <c r="E335">
        <v>5.9215784200000003</v>
      </c>
      <c r="F335">
        <v>7.8091353999999997</v>
      </c>
      <c r="G335">
        <v>8.6059363999999992</v>
      </c>
      <c r="I335">
        <v>120.821028</v>
      </c>
      <c r="J335">
        <v>7.8872085900000002</v>
      </c>
      <c r="K335">
        <v>7.1914293300000001</v>
      </c>
      <c r="L335">
        <v>7.8383433199999999</v>
      </c>
      <c r="M335">
        <v>5.88332239</v>
      </c>
      <c r="N335">
        <v>7.8450244199999997</v>
      </c>
      <c r="O335">
        <v>8.5279352900000003</v>
      </c>
      <c r="Q335">
        <v>120.821028</v>
      </c>
      <c r="R335">
        <v>7.7102051899999999</v>
      </c>
      <c r="S335">
        <v>7.0405363899999998</v>
      </c>
      <c r="T335">
        <v>7.54274355</v>
      </c>
      <c r="U335">
        <v>6.7787848999999998</v>
      </c>
      <c r="V335">
        <v>7.7865518099999997</v>
      </c>
      <c r="W335">
        <v>8.8270280700000008</v>
      </c>
      <c r="Y335">
        <v>120.821028</v>
      </c>
      <c r="Z335">
        <v>5.8777357800000001</v>
      </c>
      <c r="AA335">
        <v>6.0935697700000002</v>
      </c>
      <c r="AB335">
        <v>7.4972072199999999</v>
      </c>
      <c r="AC335">
        <v>7.9669334999999997</v>
      </c>
      <c r="AD335">
        <v>7.8841999300000003</v>
      </c>
      <c r="AE335">
        <v>8.7681075400000008</v>
      </c>
    </row>
    <row r="336" spans="1:31" x14ac:dyDescent="0.2">
      <c r="A336">
        <v>121.18605599999999</v>
      </c>
      <c r="B336">
        <v>7.8976681500000003</v>
      </c>
      <c r="C336">
        <v>6.9324478899999997</v>
      </c>
      <c r="D336">
        <v>7.65349491</v>
      </c>
      <c r="E336">
        <v>5.8916442099999999</v>
      </c>
      <c r="F336">
        <v>7.80547463</v>
      </c>
      <c r="G336">
        <v>8.6030038500000003</v>
      </c>
      <c r="I336">
        <v>121.18605599999999</v>
      </c>
      <c r="J336">
        <v>7.8939451399999996</v>
      </c>
      <c r="K336">
        <v>7.1800698699999996</v>
      </c>
      <c r="L336">
        <v>7.8414929200000003</v>
      </c>
      <c r="M336">
        <v>5.8692969100000001</v>
      </c>
      <c r="N336">
        <v>7.84384864</v>
      </c>
      <c r="O336">
        <v>8.5243673999999992</v>
      </c>
      <c r="Q336">
        <v>121.18605599999999</v>
      </c>
      <c r="R336">
        <v>7.7115489799999999</v>
      </c>
      <c r="S336">
        <v>7.02464903</v>
      </c>
      <c r="T336">
        <v>7.5459181500000003</v>
      </c>
      <c r="U336">
        <v>6.7684932099999999</v>
      </c>
      <c r="V336">
        <v>7.7857209000000003</v>
      </c>
      <c r="W336">
        <v>8.8237951500000005</v>
      </c>
      <c r="Y336">
        <v>121.18605599999999</v>
      </c>
      <c r="Z336">
        <v>5.8888779600000003</v>
      </c>
      <c r="AA336">
        <v>6.1180972000000002</v>
      </c>
      <c r="AB336">
        <v>7.4916454699999999</v>
      </c>
      <c r="AC336">
        <v>7.9624156800000003</v>
      </c>
      <c r="AD336">
        <v>7.8841999300000003</v>
      </c>
      <c r="AE336">
        <v>8.7571545299999993</v>
      </c>
    </row>
    <row r="337" spans="1:31" x14ac:dyDescent="0.2">
      <c r="A337">
        <v>121.551056</v>
      </c>
      <c r="B337">
        <v>7.8935720700000003</v>
      </c>
      <c r="C337">
        <v>6.9353704499999997</v>
      </c>
      <c r="D337">
        <v>7.6439619499999996</v>
      </c>
      <c r="E337">
        <v>5.8944028299999998</v>
      </c>
      <c r="F337">
        <v>7.8058820400000002</v>
      </c>
      <c r="G337">
        <v>8.6075821900000005</v>
      </c>
      <c r="I337">
        <v>121.551056</v>
      </c>
      <c r="J337">
        <v>7.88570539</v>
      </c>
      <c r="K337">
        <v>7.1869010199999996</v>
      </c>
      <c r="L337">
        <v>7.8367647800000002</v>
      </c>
      <c r="M337">
        <v>5.87493073</v>
      </c>
      <c r="N337">
        <v>7.8391316499999997</v>
      </c>
      <c r="O337">
        <v>8.5259546999999998</v>
      </c>
      <c r="Q337">
        <v>121.551056</v>
      </c>
      <c r="R337">
        <v>7.7075121900000001</v>
      </c>
      <c r="S337">
        <v>7.0228680900000002</v>
      </c>
      <c r="T337">
        <v>7.5331588099999998</v>
      </c>
      <c r="U337">
        <v>6.7615727699999999</v>
      </c>
      <c r="V337">
        <v>7.7890404000000002</v>
      </c>
      <c r="W337">
        <v>8.8199608999999999</v>
      </c>
      <c r="Y337">
        <v>121.551056</v>
      </c>
      <c r="Z337">
        <v>5.8971538700000004</v>
      </c>
      <c r="AA337">
        <v>6.1758672700000004</v>
      </c>
      <c r="AB337">
        <v>7.5010821200000004</v>
      </c>
      <c r="AC337">
        <v>7.96762674</v>
      </c>
      <c r="AD337">
        <v>7.8815599199999999</v>
      </c>
      <c r="AE337">
        <v>8.7618633700000004</v>
      </c>
    </row>
    <row r="338" spans="1:31" x14ac:dyDescent="0.2">
      <c r="A338">
        <v>121.916861</v>
      </c>
      <c r="B338">
        <v>7.8954360100000001</v>
      </c>
      <c r="C338">
        <v>6.9255952000000001</v>
      </c>
      <c r="D338">
        <v>7.65349491</v>
      </c>
      <c r="E338">
        <v>5.9269260299999997</v>
      </c>
      <c r="F338">
        <v>7.8026180600000004</v>
      </c>
      <c r="G338">
        <v>8.6084953500000001</v>
      </c>
      <c r="I338">
        <v>121.916861</v>
      </c>
      <c r="J338">
        <v>7.8898337500000002</v>
      </c>
      <c r="K338">
        <v>7.1831117000000004</v>
      </c>
      <c r="L338">
        <v>7.83241093</v>
      </c>
      <c r="M338">
        <v>5.8944028299999998</v>
      </c>
      <c r="N338">
        <v>7.8442407200000002</v>
      </c>
      <c r="O338">
        <v>8.5299119599999997</v>
      </c>
      <c r="Q338">
        <v>121.916861</v>
      </c>
      <c r="R338">
        <v>7.7151236000000001</v>
      </c>
      <c r="S338">
        <v>7.0299729099999997</v>
      </c>
      <c r="T338">
        <v>7.5331588099999998</v>
      </c>
      <c r="U338">
        <v>6.7650389799999999</v>
      </c>
      <c r="V338">
        <v>7.7869669999999998</v>
      </c>
      <c r="W338">
        <v>8.8303968000000008</v>
      </c>
      <c r="Y338">
        <v>121.916861</v>
      </c>
      <c r="Z338">
        <v>5.91079664</v>
      </c>
      <c r="AA338">
        <v>6.2304814500000001</v>
      </c>
      <c r="AB338">
        <v>7.4927602999999996</v>
      </c>
      <c r="AC338">
        <v>7.96519829</v>
      </c>
      <c r="AD338">
        <v>7.8830693500000004</v>
      </c>
      <c r="AE338">
        <v>8.76170677</v>
      </c>
    </row>
    <row r="339" spans="1:31" x14ac:dyDescent="0.2">
      <c r="A339">
        <v>122.28175</v>
      </c>
      <c r="B339">
        <v>7.8887095199999999</v>
      </c>
      <c r="C339">
        <v>6.9343972100000002</v>
      </c>
      <c r="D339">
        <v>7.6458758299999996</v>
      </c>
      <c r="E339">
        <v>5.92958914</v>
      </c>
      <c r="F339">
        <v>7.8087293100000004</v>
      </c>
      <c r="G339">
        <v>8.6055703000000001</v>
      </c>
      <c r="I339">
        <v>122.28175</v>
      </c>
      <c r="J339">
        <v>7.8946908499999999</v>
      </c>
      <c r="K339">
        <v>7.1944368499999998</v>
      </c>
      <c r="L339">
        <v>7.8403129800000002</v>
      </c>
      <c r="M339">
        <v>5.8944028299999998</v>
      </c>
      <c r="N339">
        <v>7.84267147</v>
      </c>
      <c r="O339">
        <v>8.5303068300000007</v>
      </c>
      <c r="Q339">
        <v>122.28175</v>
      </c>
      <c r="R339">
        <v>7.7066129099999996</v>
      </c>
      <c r="S339">
        <v>7.0264268100000002</v>
      </c>
      <c r="T339">
        <v>7.5294064599999997</v>
      </c>
      <c r="U339">
        <v>6.7604146900000002</v>
      </c>
      <c r="V339">
        <v>7.7861364399999999</v>
      </c>
      <c r="W339">
        <v>8.8237951500000005</v>
      </c>
      <c r="Y339">
        <v>122.28175</v>
      </c>
      <c r="Z339">
        <v>5.9242558000000001</v>
      </c>
      <c r="AA339">
        <v>6.2803958399999997</v>
      </c>
      <c r="AB339">
        <v>7.4972072199999999</v>
      </c>
      <c r="AC339">
        <v>7.96346007</v>
      </c>
      <c r="AD339">
        <v>7.87473913</v>
      </c>
      <c r="AE339">
        <v>8.7604530500000006</v>
      </c>
    </row>
    <row r="340" spans="1:31" x14ac:dyDescent="0.2">
      <c r="A340">
        <v>122.64675</v>
      </c>
      <c r="B340">
        <v>7.8902082099999999</v>
      </c>
      <c r="C340">
        <v>6.9196838500000002</v>
      </c>
      <c r="D340">
        <v>7.6415644399999998</v>
      </c>
      <c r="E340">
        <v>5.8944028299999998</v>
      </c>
      <c r="F340">
        <v>7.8131872700000002</v>
      </c>
      <c r="G340">
        <v>8.6020856600000002</v>
      </c>
      <c r="I340">
        <v>122.64675</v>
      </c>
      <c r="J340">
        <v>7.8879593400000001</v>
      </c>
      <c r="K340">
        <v>7.1823521100000001</v>
      </c>
      <c r="L340">
        <v>7.8359745800000002</v>
      </c>
      <c r="M340">
        <v>5.8777357800000001</v>
      </c>
      <c r="N340">
        <v>7.8461988199999997</v>
      </c>
      <c r="O340">
        <v>8.5275394799999997</v>
      </c>
      <c r="Q340">
        <v>122.64675</v>
      </c>
      <c r="R340">
        <v>7.7043611700000003</v>
      </c>
      <c r="S340">
        <v>7.01481435</v>
      </c>
      <c r="T340">
        <v>7.5261789099999996</v>
      </c>
      <c r="U340">
        <v>6.7452363499999999</v>
      </c>
      <c r="V340">
        <v>7.7815559600000004</v>
      </c>
      <c r="W340">
        <v>8.8175940399999995</v>
      </c>
      <c r="Y340">
        <v>122.64675</v>
      </c>
      <c r="Z340">
        <v>5.9454206100000002</v>
      </c>
      <c r="AA340">
        <v>6.2897155700000003</v>
      </c>
      <c r="AB340">
        <v>7.4849302800000004</v>
      </c>
      <c r="AC340">
        <v>7.9610214700000004</v>
      </c>
      <c r="AD340">
        <v>7.8754992899999996</v>
      </c>
      <c r="AE340">
        <v>8.7549494600000006</v>
      </c>
    </row>
    <row r="341" spans="1:31" x14ac:dyDescent="0.2">
      <c r="A341">
        <v>123.01177800000001</v>
      </c>
      <c r="B341">
        <v>7.8826922100000001</v>
      </c>
      <c r="C341">
        <v>6.9177056099999996</v>
      </c>
      <c r="D341">
        <v>7.6434829100000004</v>
      </c>
      <c r="E341">
        <v>5.9053618500000002</v>
      </c>
      <c r="F341">
        <v>7.8058820400000002</v>
      </c>
      <c r="G341">
        <v>8.6057533700000004</v>
      </c>
      <c r="I341">
        <v>123.01177800000001</v>
      </c>
      <c r="J341">
        <v>7.8883345</v>
      </c>
      <c r="K341">
        <v>7.1800698699999996</v>
      </c>
      <c r="L341">
        <v>7.8296303900000002</v>
      </c>
      <c r="M341">
        <v>5.8721177899999999</v>
      </c>
      <c r="N341">
        <v>7.8454160399999999</v>
      </c>
      <c r="O341">
        <v>8.5211852100000005</v>
      </c>
      <c r="Q341">
        <v>123.01177800000001</v>
      </c>
      <c r="R341">
        <v>7.6980291699999999</v>
      </c>
      <c r="S341">
        <v>7.0166096800000002</v>
      </c>
      <c r="T341">
        <v>7.5304799999999998</v>
      </c>
      <c r="U341">
        <v>6.7475865300000004</v>
      </c>
      <c r="V341">
        <v>7.7811385099999999</v>
      </c>
      <c r="W341">
        <v>8.8221747599999993</v>
      </c>
      <c r="Y341">
        <v>123.01177800000001</v>
      </c>
      <c r="Z341">
        <v>5.9558373700000002</v>
      </c>
      <c r="AA341">
        <v>6.3491389900000001</v>
      </c>
      <c r="AB341">
        <v>7.4927602999999996</v>
      </c>
      <c r="AC341">
        <v>7.9627639300000004</v>
      </c>
      <c r="AD341">
        <v>7.8674885699999999</v>
      </c>
      <c r="AE341">
        <v>8.7532134799999994</v>
      </c>
    </row>
    <row r="342" spans="1:31" x14ac:dyDescent="0.2">
      <c r="A342">
        <v>123.376778</v>
      </c>
      <c r="B342">
        <v>7.8777763299999997</v>
      </c>
      <c r="C342">
        <v>6.9216581799999997</v>
      </c>
      <c r="D342">
        <v>7.6236419499999997</v>
      </c>
      <c r="E342">
        <v>5.9053618500000002</v>
      </c>
      <c r="F342">
        <v>7.8079166300000002</v>
      </c>
      <c r="G342">
        <v>8.6024530400000003</v>
      </c>
      <c r="I342">
        <v>123.376778</v>
      </c>
      <c r="J342">
        <v>7.8984110899999997</v>
      </c>
      <c r="K342">
        <v>7.17930797</v>
      </c>
      <c r="L342">
        <v>7.8387375600000002</v>
      </c>
      <c r="M342">
        <v>5.8805329899999998</v>
      </c>
      <c r="N342">
        <v>7.8458075000000003</v>
      </c>
      <c r="O342">
        <v>8.5207867299999993</v>
      </c>
      <c r="Q342">
        <v>123.376778</v>
      </c>
      <c r="R342">
        <v>7.70210434</v>
      </c>
      <c r="S342">
        <v>7.0112139899999999</v>
      </c>
      <c r="T342">
        <v>7.5202345599999996</v>
      </c>
      <c r="U342">
        <v>6.73578001</v>
      </c>
      <c r="V342">
        <v>7.7836406</v>
      </c>
      <c r="W342">
        <v>8.8172977800000005</v>
      </c>
      <c r="Y342">
        <v>123.376778</v>
      </c>
      <c r="Z342">
        <v>5.9687075600000004</v>
      </c>
      <c r="AA342">
        <v>6.3919171099999996</v>
      </c>
      <c r="AB342">
        <v>7.4843686399999996</v>
      </c>
      <c r="AC342">
        <v>7.9568271199999998</v>
      </c>
      <c r="AD342">
        <v>7.8766384599999997</v>
      </c>
      <c r="AE342">
        <v>8.7492568399999993</v>
      </c>
    </row>
    <row r="343" spans="1:31" x14ac:dyDescent="0.2">
      <c r="A343">
        <v>123.741778</v>
      </c>
      <c r="B343">
        <v>7.8872085900000002</v>
      </c>
      <c r="C343">
        <v>6.92755791</v>
      </c>
      <c r="D343">
        <v>7.6294899200000001</v>
      </c>
      <c r="E343">
        <v>5.9215784200000003</v>
      </c>
      <c r="F343">
        <v>7.8075100400000004</v>
      </c>
      <c r="G343">
        <v>8.61286694</v>
      </c>
      <c r="I343">
        <v>123.741778</v>
      </c>
      <c r="J343">
        <v>7.8883345</v>
      </c>
      <c r="K343">
        <v>7.1869010199999996</v>
      </c>
      <c r="L343">
        <v>7.8347881099999999</v>
      </c>
      <c r="M343">
        <v>5.8888779600000003</v>
      </c>
      <c r="N343">
        <v>7.8387375600000002</v>
      </c>
      <c r="O343">
        <v>8.5239701799999992</v>
      </c>
      <c r="Q343">
        <v>123.741778</v>
      </c>
      <c r="R343">
        <v>7.7016523599999998</v>
      </c>
      <c r="S343">
        <v>7.0210839600000003</v>
      </c>
      <c r="T343">
        <v>7.5202345599999996</v>
      </c>
      <c r="U343">
        <v>6.75110147</v>
      </c>
      <c r="V343">
        <v>7.7894545700000002</v>
      </c>
      <c r="W343">
        <v>8.8237951500000005</v>
      </c>
      <c r="Y343">
        <v>123.741778</v>
      </c>
      <c r="Z343">
        <v>5.9788857599999998</v>
      </c>
      <c r="AA343">
        <v>6.4754327199999997</v>
      </c>
      <c r="AB343">
        <v>7.4843686399999996</v>
      </c>
      <c r="AC343">
        <v>7.9596253099999998</v>
      </c>
      <c r="AD343">
        <v>7.87625888</v>
      </c>
      <c r="AE343">
        <v>8.7620199499999991</v>
      </c>
    </row>
    <row r="344" spans="1:31" x14ac:dyDescent="0.2">
      <c r="A344">
        <v>124.10677800000001</v>
      </c>
      <c r="B344">
        <v>7.8777763299999997</v>
      </c>
      <c r="C344">
        <v>6.9077552799999999</v>
      </c>
      <c r="D344">
        <v>7.6299757100000001</v>
      </c>
      <c r="E344">
        <v>5.8944028299999998</v>
      </c>
      <c r="F344">
        <v>7.80547463</v>
      </c>
      <c r="G344">
        <v>8.6073994599999999</v>
      </c>
      <c r="I344">
        <v>124.10677800000001</v>
      </c>
      <c r="J344">
        <v>7.8920784199999998</v>
      </c>
      <c r="K344">
        <v>7.1846291500000001</v>
      </c>
      <c r="L344">
        <v>7.8442407200000002</v>
      </c>
      <c r="M344">
        <v>5.88332239</v>
      </c>
      <c r="N344">
        <v>7.8481530900000003</v>
      </c>
      <c r="O344">
        <v>8.5197898199999997</v>
      </c>
      <c r="Q344">
        <v>124.10677800000001</v>
      </c>
      <c r="R344">
        <v>7.6948480699999999</v>
      </c>
      <c r="S344">
        <v>7.0012456199999997</v>
      </c>
      <c r="T344">
        <v>7.5202345599999996</v>
      </c>
      <c r="U344">
        <v>6.7417006900000001</v>
      </c>
      <c r="V344">
        <v>7.7836406</v>
      </c>
      <c r="W344">
        <v>8.8230589300000002</v>
      </c>
      <c r="Y344">
        <v>124.10677800000001</v>
      </c>
      <c r="Z344">
        <v>6.0038870700000002</v>
      </c>
      <c r="AA344">
        <v>6.5147126899999996</v>
      </c>
      <c r="AB344">
        <v>7.4933172499999996</v>
      </c>
      <c r="AC344">
        <v>7.9547233300000002</v>
      </c>
      <c r="AD344">
        <v>7.8739783799999996</v>
      </c>
      <c r="AE344">
        <v>8.7498909600000001</v>
      </c>
    </row>
    <row r="345" spans="1:31" x14ac:dyDescent="0.2">
      <c r="A345">
        <v>124.471806</v>
      </c>
      <c r="B345">
        <v>7.8838232100000001</v>
      </c>
      <c r="C345">
        <v>6.9147308900000004</v>
      </c>
      <c r="D345">
        <v>7.6338535600000004</v>
      </c>
      <c r="E345">
        <v>5.8998973499999998</v>
      </c>
      <c r="F345">
        <v>7.8160138400000001</v>
      </c>
      <c r="G345">
        <v>8.6075821900000005</v>
      </c>
      <c r="I345">
        <v>124.471806</v>
      </c>
      <c r="J345">
        <v>7.8928255299999996</v>
      </c>
      <c r="K345">
        <v>7.1846291500000001</v>
      </c>
      <c r="L345">
        <v>7.8359745800000002</v>
      </c>
      <c r="M345">
        <v>5.8692969100000001</v>
      </c>
      <c r="N345">
        <v>7.8477625399999997</v>
      </c>
      <c r="O345">
        <v>8.5227775700000006</v>
      </c>
      <c r="Q345">
        <v>124.471806</v>
      </c>
      <c r="R345">
        <v>7.6953031300000001</v>
      </c>
      <c r="S345">
        <v>7.0021559499999997</v>
      </c>
      <c r="T345">
        <v>7.5202345599999996</v>
      </c>
      <c r="U345">
        <v>6.7405193600000004</v>
      </c>
      <c r="V345">
        <v>7.7828072600000002</v>
      </c>
      <c r="W345">
        <v>8.8251189700000001</v>
      </c>
      <c r="Y345">
        <v>124.471806</v>
      </c>
      <c r="Z345">
        <v>6.0137151600000003</v>
      </c>
      <c r="AA345">
        <v>6.5750758400000002</v>
      </c>
      <c r="AB345">
        <v>7.4916454699999999</v>
      </c>
      <c r="AC345">
        <v>7.9582271899999997</v>
      </c>
      <c r="AD345">
        <v>7.8720739799999997</v>
      </c>
      <c r="AE345">
        <v>8.7551071199999999</v>
      </c>
    </row>
    <row r="346" spans="1:31" x14ac:dyDescent="0.2">
      <c r="A346">
        <v>124.836833</v>
      </c>
      <c r="B346">
        <v>7.8785341999999998</v>
      </c>
      <c r="C346">
        <v>6.9087547799999998</v>
      </c>
      <c r="D346">
        <v>7.6324011299999999</v>
      </c>
      <c r="E346">
        <v>5.9080829399999999</v>
      </c>
      <c r="F346">
        <v>7.80547463</v>
      </c>
      <c r="G346">
        <v>8.6048376999999991</v>
      </c>
      <c r="I346">
        <v>124.836833</v>
      </c>
      <c r="J346">
        <v>7.8939451399999996</v>
      </c>
      <c r="K346">
        <v>7.1815919399999997</v>
      </c>
      <c r="L346">
        <v>7.8387375600000002</v>
      </c>
      <c r="M346">
        <v>5.8805329899999998</v>
      </c>
      <c r="N346">
        <v>7.8516611799999998</v>
      </c>
      <c r="O346">
        <v>8.5255581100000004</v>
      </c>
      <c r="Q346">
        <v>124.836833</v>
      </c>
      <c r="R346">
        <v>7.6902860200000003</v>
      </c>
      <c r="S346">
        <v>7.0085051800000002</v>
      </c>
      <c r="T346">
        <v>7.5169772200000002</v>
      </c>
      <c r="U346">
        <v>6.73815249</v>
      </c>
      <c r="V346">
        <v>7.7840569999999998</v>
      </c>
      <c r="W346">
        <v>8.8315658799999994</v>
      </c>
      <c r="Y346">
        <v>124.836833</v>
      </c>
      <c r="Z346">
        <v>6.0378709199999996</v>
      </c>
      <c r="AA346">
        <v>6.6240652300000002</v>
      </c>
      <c r="AB346">
        <v>7.4894120800000001</v>
      </c>
      <c r="AC346">
        <v>7.9617188199999998</v>
      </c>
      <c r="AD346">
        <v>7.8743588200000003</v>
      </c>
      <c r="AE346">
        <v>8.7557375400000002</v>
      </c>
    </row>
    <row r="347" spans="1:31" x14ac:dyDescent="0.2">
      <c r="A347">
        <v>125.20183299999999</v>
      </c>
      <c r="B347">
        <v>7.8758791600000002</v>
      </c>
      <c r="C347">
        <v>6.9127428200000001</v>
      </c>
      <c r="D347">
        <v>7.6255950700000001</v>
      </c>
      <c r="E347">
        <v>5.8998973499999998</v>
      </c>
      <c r="F347">
        <v>7.81156849</v>
      </c>
      <c r="G347">
        <v>8.6063023699999999</v>
      </c>
      <c r="I347">
        <v>125.20183299999999</v>
      </c>
      <c r="J347">
        <v>7.8980396900000001</v>
      </c>
      <c r="K347">
        <v>7.1944368499999998</v>
      </c>
      <c r="L347">
        <v>7.8442407200000002</v>
      </c>
      <c r="M347">
        <v>5.8888779600000003</v>
      </c>
      <c r="N347">
        <v>7.8442407200000002</v>
      </c>
      <c r="O347">
        <v>8.5251613600000002</v>
      </c>
      <c r="Q347">
        <v>125.20183299999999</v>
      </c>
      <c r="R347">
        <v>7.6898286699999998</v>
      </c>
      <c r="S347">
        <v>7.0057890199999999</v>
      </c>
      <c r="T347">
        <v>7.5093352700000002</v>
      </c>
      <c r="U347">
        <v>6.7214257000000002</v>
      </c>
      <c r="V347">
        <v>7.7906960300000003</v>
      </c>
      <c r="W347">
        <v>8.8224695700000009</v>
      </c>
      <c r="Y347">
        <v>125.20183299999999</v>
      </c>
      <c r="Z347">
        <v>6.0637852099999998</v>
      </c>
      <c r="AA347">
        <v>6.6982680500000003</v>
      </c>
      <c r="AB347">
        <v>7.4938738899999997</v>
      </c>
      <c r="AC347">
        <v>7.95331835</v>
      </c>
      <c r="AD347">
        <v>7.87473913</v>
      </c>
      <c r="AE347">
        <v>8.7587266100000001</v>
      </c>
    </row>
    <row r="348" spans="1:31" x14ac:dyDescent="0.2">
      <c r="A348">
        <v>125.566833</v>
      </c>
      <c r="B348">
        <v>7.8823149199999998</v>
      </c>
      <c r="C348">
        <v>6.9027427399999999</v>
      </c>
      <c r="D348">
        <v>7.6265702099999997</v>
      </c>
      <c r="E348">
        <v>5.91079664</v>
      </c>
      <c r="F348">
        <v>7.8204395199999999</v>
      </c>
      <c r="G348">
        <v>8.6033708900000008</v>
      </c>
      <c r="I348">
        <v>125.566833</v>
      </c>
      <c r="J348">
        <v>7.8984110899999997</v>
      </c>
      <c r="K348">
        <v>7.17930797</v>
      </c>
      <c r="L348">
        <v>7.8458075000000003</v>
      </c>
      <c r="M348">
        <v>5.8861040300000003</v>
      </c>
      <c r="N348">
        <v>7.85049318</v>
      </c>
      <c r="O348">
        <v>8.5207867299999993</v>
      </c>
      <c r="Q348">
        <v>125.566833</v>
      </c>
      <c r="R348">
        <v>7.6934816399999999</v>
      </c>
      <c r="S348">
        <v>7.0048819900000003</v>
      </c>
      <c r="T348">
        <v>7.5224002299999997</v>
      </c>
      <c r="U348">
        <v>6.7345916600000004</v>
      </c>
      <c r="V348">
        <v>7.7911095100000001</v>
      </c>
      <c r="W348">
        <v>8.8260005499999998</v>
      </c>
      <c r="Y348">
        <v>125.566833</v>
      </c>
      <c r="Z348">
        <v>6.0822189099999999</v>
      </c>
      <c r="AA348">
        <v>6.7417006900000001</v>
      </c>
      <c r="AB348">
        <v>7.4944302199999999</v>
      </c>
      <c r="AC348">
        <v>7.9575274</v>
      </c>
      <c r="AD348">
        <v>7.8686368900000003</v>
      </c>
      <c r="AE348">
        <v>8.7484636299999998</v>
      </c>
    </row>
    <row r="349" spans="1:31" x14ac:dyDescent="0.2">
      <c r="A349">
        <v>125.931861</v>
      </c>
      <c r="B349">
        <v>7.8853292399999999</v>
      </c>
      <c r="C349">
        <v>6.9077552799999999</v>
      </c>
      <c r="D349">
        <v>7.6265702099999997</v>
      </c>
      <c r="E349">
        <v>5.8998973499999998</v>
      </c>
      <c r="F349">
        <v>7.8075100400000004</v>
      </c>
      <c r="G349">
        <v>8.60977237</v>
      </c>
      <c r="I349">
        <v>125.931861</v>
      </c>
      <c r="J349">
        <v>7.8965527</v>
      </c>
      <c r="K349">
        <v>7.1884127400000004</v>
      </c>
      <c r="L349">
        <v>7.8446326400000004</v>
      </c>
      <c r="M349">
        <v>5.8721177899999999</v>
      </c>
      <c r="N349">
        <v>7.8555446800000004</v>
      </c>
      <c r="O349">
        <v>8.5285287000000007</v>
      </c>
      <c r="Q349">
        <v>125.931861</v>
      </c>
      <c r="R349">
        <v>7.6902860200000003</v>
      </c>
      <c r="S349">
        <v>6.99850964</v>
      </c>
      <c r="T349">
        <v>7.50163446</v>
      </c>
      <c r="U349">
        <v>6.7298240700000003</v>
      </c>
      <c r="V349">
        <v>7.7865518099999997</v>
      </c>
      <c r="W349">
        <v>8.8246778900000002</v>
      </c>
      <c r="Y349">
        <v>125.931861</v>
      </c>
      <c r="Z349">
        <v>6.1114673399999999</v>
      </c>
      <c r="AA349">
        <v>6.8023947600000003</v>
      </c>
      <c r="AB349">
        <v>7.4866133100000001</v>
      </c>
      <c r="AC349">
        <v>7.95331835</v>
      </c>
      <c r="AD349">
        <v>7.8735977899999998</v>
      </c>
      <c r="AE349">
        <v>8.7544763099999994</v>
      </c>
    </row>
    <row r="350" spans="1:31" x14ac:dyDescent="0.2">
      <c r="A350">
        <v>126.29688899999999</v>
      </c>
      <c r="B350">
        <v>7.8716926599999999</v>
      </c>
      <c r="C350">
        <v>6.8783264700000002</v>
      </c>
      <c r="D350">
        <v>7.6207050900000004</v>
      </c>
      <c r="E350">
        <v>5.83188248</v>
      </c>
      <c r="F350">
        <v>7.8075100400000004</v>
      </c>
      <c r="G350">
        <v>8.5950797300000001</v>
      </c>
      <c r="I350">
        <v>126.29688899999999</v>
      </c>
      <c r="J350">
        <v>7.8946908499999999</v>
      </c>
      <c r="K350">
        <v>7.1670378799999996</v>
      </c>
      <c r="L350">
        <v>7.84854348</v>
      </c>
      <c r="M350">
        <v>5.8200829299999999</v>
      </c>
      <c r="N350">
        <v>7.8536048100000002</v>
      </c>
      <c r="O350">
        <v>8.5137874</v>
      </c>
      <c r="Q350">
        <v>126.29688899999999</v>
      </c>
      <c r="R350">
        <v>7.6843240699999997</v>
      </c>
      <c r="S350">
        <v>6.9744789100000002</v>
      </c>
      <c r="T350">
        <v>7.49886973</v>
      </c>
      <c r="U350">
        <v>6.69084228</v>
      </c>
      <c r="V350">
        <v>7.79152282</v>
      </c>
      <c r="W350">
        <v>8.8129922300000008</v>
      </c>
      <c r="Y350">
        <v>126.29688899999999</v>
      </c>
      <c r="Z350">
        <v>6.1312264900000004</v>
      </c>
      <c r="AA350">
        <v>6.8254600400000003</v>
      </c>
      <c r="AB350">
        <v>7.4927602999999996</v>
      </c>
      <c r="AC350">
        <v>7.9416512499999996</v>
      </c>
      <c r="AD350">
        <v>7.8705478400000004</v>
      </c>
      <c r="AE350">
        <v>8.7428934700000003</v>
      </c>
    </row>
    <row r="351" spans="1:31" x14ac:dyDescent="0.2">
      <c r="A351">
        <v>126.661889</v>
      </c>
      <c r="B351">
        <v>7.8701659499999996</v>
      </c>
      <c r="C351">
        <v>6.8987145300000003</v>
      </c>
      <c r="D351">
        <v>7.6182511000000002</v>
      </c>
      <c r="E351">
        <v>5.9026333299999996</v>
      </c>
      <c r="F351">
        <v>7.8075100400000004</v>
      </c>
      <c r="G351">
        <v>8.6135936900000001</v>
      </c>
      <c r="I351">
        <v>126.661889</v>
      </c>
      <c r="J351">
        <v>7.9006366100000003</v>
      </c>
      <c r="K351">
        <v>7.1846291500000001</v>
      </c>
      <c r="L351">
        <v>7.8481530900000003</v>
      </c>
      <c r="M351">
        <v>5.8721177899999999</v>
      </c>
      <c r="N351">
        <v>7.8536048100000002</v>
      </c>
      <c r="O351">
        <v>8.5255581100000004</v>
      </c>
      <c r="Q351">
        <v>126.661889</v>
      </c>
      <c r="R351">
        <v>7.6866213300000004</v>
      </c>
      <c r="S351">
        <v>6.9911768900000002</v>
      </c>
      <c r="T351">
        <v>7.5043915600000002</v>
      </c>
      <c r="U351">
        <v>6.7238324399999998</v>
      </c>
      <c r="V351">
        <v>7.7911095100000001</v>
      </c>
      <c r="W351">
        <v>8.8290799500000006</v>
      </c>
      <c r="Y351">
        <v>126.661889</v>
      </c>
      <c r="Z351">
        <v>6.1377270499999996</v>
      </c>
      <c r="AA351">
        <v>6.9127428200000001</v>
      </c>
      <c r="AB351">
        <v>7.4871736899999997</v>
      </c>
      <c r="AC351">
        <v>7.9550742699999999</v>
      </c>
      <c r="AD351">
        <v>7.8720739799999997</v>
      </c>
      <c r="AE351">
        <v>8.7495739500000003</v>
      </c>
    </row>
    <row r="352" spans="1:31" x14ac:dyDescent="0.2">
      <c r="A352">
        <v>127.026889</v>
      </c>
      <c r="B352">
        <v>7.8728361800000002</v>
      </c>
      <c r="C352">
        <v>6.8865316400000003</v>
      </c>
      <c r="D352">
        <v>7.6216850000000003</v>
      </c>
      <c r="E352">
        <v>5.88332239</v>
      </c>
      <c r="F352">
        <v>7.8091353999999997</v>
      </c>
      <c r="G352">
        <v>8.6088603799999994</v>
      </c>
      <c r="I352">
        <v>127.026889</v>
      </c>
      <c r="J352">
        <v>7.9017475199999998</v>
      </c>
      <c r="K352">
        <v>7.1838707199999998</v>
      </c>
      <c r="L352">
        <v>7.8450244199999997</v>
      </c>
      <c r="M352">
        <v>5.8805329899999998</v>
      </c>
      <c r="N352">
        <v>7.85709386</v>
      </c>
      <c r="O352">
        <v>8.5271435199999992</v>
      </c>
      <c r="Q352">
        <v>127.026889</v>
      </c>
      <c r="R352">
        <v>7.6870801599999998</v>
      </c>
      <c r="S352">
        <v>6.9847163200000004</v>
      </c>
      <c r="T352">
        <v>7.4949862300000003</v>
      </c>
      <c r="U352">
        <v>6.7214257000000002</v>
      </c>
      <c r="V352">
        <v>7.7944112099999998</v>
      </c>
      <c r="W352">
        <v>8.8287870799999997</v>
      </c>
      <c r="Y352">
        <v>127.026889</v>
      </c>
      <c r="Z352">
        <v>6.1717006000000003</v>
      </c>
      <c r="AA352">
        <v>6.9622434599999998</v>
      </c>
      <c r="AB352">
        <v>7.48885296</v>
      </c>
      <c r="AC352">
        <v>7.9550742699999999</v>
      </c>
      <c r="AD352">
        <v>7.8636512700000001</v>
      </c>
      <c r="AE352">
        <v>8.7459211200000002</v>
      </c>
    </row>
    <row r="353" spans="1:31" x14ac:dyDescent="0.2">
      <c r="A353">
        <v>127.39191700000001</v>
      </c>
      <c r="B353">
        <v>7.86940171</v>
      </c>
      <c r="C353">
        <v>6.9087547799999998</v>
      </c>
      <c r="D353">
        <v>7.6143121499999999</v>
      </c>
      <c r="E353">
        <v>5.91079664</v>
      </c>
      <c r="F353">
        <v>7.8066963700000001</v>
      </c>
      <c r="G353">
        <v>8.6117758299999991</v>
      </c>
      <c r="I353">
        <v>127.39191700000001</v>
      </c>
      <c r="J353">
        <v>7.8972964699999997</v>
      </c>
      <c r="K353">
        <v>7.18992217</v>
      </c>
      <c r="L353">
        <v>7.8450244199999997</v>
      </c>
      <c r="M353">
        <v>5.9080829399999999</v>
      </c>
      <c r="N353">
        <v>7.8547691799999999</v>
      </c>
      <c r="O353">
        <v>8.5303068300000007</v>
      </c>
      <c r="Q353">
        <v>127.39191700000001</v>
      </c>
      <c r="R353">
        <v>7.6870801599999998</v>
      </c>
      <c r="S353">
        <v>6.9893352699999998</v>
      </c>
      <c r="T353">
        <v>7.4922030399999997</v>
      </c>
      <c r="U353">
        <v>6.7238324399999998</v>
      </c>
      <c r="V353">
        <v>7.7894545700000002</v>
      </c>
      <c r="W353">
        <v>8.8322958600000003</v>
      </c>
      <c r="Y353">
        <v>127.39191700000001</v>
      </c>
      <c r="Z353">
        <v>6.2065759299999996</v>
      </c>
      <c r="AA353">
        <v>7.0290875599999998</v>
      </c>
      <c r="AB353">
        <v>7.4972072199999999</v>
      </c>
      <c r="AC353">
        <v>7.9589264899999996</v>
      </c>
      <c r="AD353">
        <v>7.8617270799999996</v>
      </c>
      <c r="AE353">
        <v>8.7525814700000009</v>
      </c>
    </row>
    <row r="354" spans="1:31" x14ac:dyDescent="0.2">
      <c r="A354">
        <v>127.756917</v>
      </c>
      <c r="B354">
        <v>7.8640356599999999</v>
      </c>
      <c r="C354">
        <v>6.8906091199999997</v>
      </c>
      <c r="D354">
        <v>7.6207050900000004</v>
      </c>
      <c r="E354">
        <v>5.8888779600000003</v>
      </c>
      <c r="F354">
        <v>7.8095413200000001</v>
      </c>
      <c r="G354">
        <v>8.6073994599999999</v>
      </c>
      <c r="I354">
        <v>127.756917</v>
      </c>
      <c r="J354">
        <v>7.9054416500000002</v>
      </c>
      <c r="K354">
        <v>7.1831117000000004</v>
      </c>
      <c r="L354">
        <v>7.8461988199999997</v>
      </c>
      <c r="M354">
        <v>5.8805329899999998</v>
      </c>
      <c r="N354">
        <v>7.8516611799999998</v>
      </c>
      <c r="O354">
        <v>8.5255581100000004</v>
      </c>
      <c r="Q354">
        <v>127.756917</v>
      </c>
      <c r="R354">
        <v>7.6764736500000001</v>
      </c>
      <c r="S354">
        <v>6.9856418199999997</v>
      </c>
      <c r="T354">
        <v>7.4972072199999999</v>
      </c>
      <c r="U354">
        <v>6.7202201600000002</v>
      </c>
      <c r="V354">
        <v>7.7944112099999998</v>
      </c>
      <c r="W354">
        <v>8.8273214499999995</v>
      </c>
      <c r="Y354">
        <v>127.756917</v>
      </c>
      <c r="Z354">
        <v>6.2324480199999996</v>
      </c>
      <c r="AA354">
        <v>7.0741168200000004</v>
      </c>
      <c r="AB354">
        <v>7.4944302199999999</v>
      </c>
      <c r="AC354">
        <v>7.94732503</v>
      </c>
      <c r="AD354">
        <v>7.8632667200000004</v>
      </c>
      <c r="AE354">
        <v>8.7524233999999996</v>
      </c>
    </row>
    <row r="355" spans="1:31" x14ac:dyDescent="0.2">
      <c r="A355">
        <v>128.12194400000001</v>
      </c>
      <c r="B355">
        <v>7.8601850600000001</v>
      </c>
      <c r="C355">
        <v>6.8916259000000002</v>
      </c>
      <c r="D355">
        <v>7.6123368400000002</v>
      </c>
      <c r="E355">
        <v>5.9242558000000001</v>
      </c>
      <c r="F355">
        <v>7.8135915499999999</v>
      </c>
      <c r="G355">
        <v>8.6174004499999999</v>
      </c>
      <c r="I355">
        <v>128.12194400000001</v>
      </c>
      <c r="J355">
        <v>7.8995244700000002</v>
      </c>
      <c r="K355">
        <v>7.1906760299999997</v>
      </c>
      <c r="L355">
        <v>7.8493238200000004</v>
      </c>
      <c r="M355">
        <v>5.9080829399999999</v>
      </c>
      <c r="N355">
        <v>7.84854348</v>
      </c>
      <c r="O355">
        <v>8.5269454800000002</v>
      </c>
      <c r="Q355">
        <v>128.12194400000001</v>
      </c>
      <c r="R355">
        <v>7.6815603599999998</v>
      </c>
      <c r="S355">
        <v>6.9902565000000001</v>
      </c>
      <c r="T355">
        <v>7.4877337600000002</v>
      </c>
      <c r="U355">
        <v>6.7190131500000003</v>
      </c>
      <c r="V355">
        <v>7.7931743500000001</v>
      </c>
      <c r="W355">
        <v>8.83171192</v>
      </c>
      <c r="Y355">
        <v>128.12194400000001</v>
      </c>
      <c r="Z355">
        <v>6.2499752400000004</v>
      </c>
      <c r="AA355">
        <v>7.1284959499999996</v>
      </c>
      <c r="AB355">
        <v>7.49886973</v>
      </c>
      <c r="AC355">
        <v>7.9550742699999999</v>
      </c>
      <c r="AD355">
        <v>7.8667222900000002</v>
      </c>
      <c r="AE355">
        <v>8.7521071999999993</v>
      </c>
    </row>
    <row r="356" spans="1:31" x14ac:dyDescent="0.2">
      <c r="A356">
        <v>128.48694399999999</v>
      </c>
      <c r="B356">
        <v>7.8582541800000003</v>
      </c>
      <c r="C356">
        <v>6.8834625899999997</v>
      </c>
      <c r="D356">
        <v>7.6098622000000002</v>
      </c>
      <c r="E356">
        <v>5.8971538700000004</v>
      </c>
      <c r="F356">
        <v>7.8103526800000003</v>
      </c>
      <c r="G356">
        <v>8.6148642199999994</v>
      </c>
      <c r="I356">
        <v>128.48694399999999</v>
      </c>
      <c r="J356">
        <v>7.9006366100000003</v>
      </c>
      <c r="K356">
        <v>7.1823521100000001</v>
      </c>
      <c r="L356">
        <v>7.8536048100000002</v>
      </c>
      <c r="M356">
        <v>5.8916442099999999</v>
      </c>
      <c r="N356">
        <v>7.85709386</v>
      </c>
      <c r="O356">
        <v>8.5289241100000002</v>
      </c>
      <c r="Q356">
        <v>128.48694399999999</v>
      </c>
      <c r="R356">
        <v>7.6801756399999999</v>
      </c>
      <c r="S356">
        <v>6.9847163200000004</v>
      </c>
      <c r="T356">
        <v>7.4854916100000004</v>
      </c>
      <c r="U356">
        <v>6.7105231099999996</v>
      </c>
      <c r="V356">
        <v>7.7890404000000002</v>
      </c>
      <c r="W356">
        <v>8.8268813399999999</v>
      </c>
      <c r="Y356">
        <v>128.48694399999999</v>
      </c>
      <c r="Z356">
        <v>6.2859980899999996</v>
      </c>
      <c r="AA356">
        <v>7.17930797</v>
      </c>
      <c r="AB356">
        <v>7.49886973</v>
      </c>
      <c r="AC356">
        <v>7.9501498899999996</v>
      </c>
      <c r="AD356">
        <v>7.86940171</v>
      </c>
      <c r="AE356">
        <v>8.7497324600000006</v>
      </c>
    </row>
    <row r="357" spans="1:31" x14ac:dyDescent="0.2">
      <c r="A357">
        <v>128.85197199999999</v>
      </c>
      <c r="B357">
        <v>7.8559321999999998</v>
      </c>
      <c r="C357">
        <v>6.8865316400000003</v>
      </c>
      <c r="D357">
        <v>7.60439635</v>
      </c>
      <c r="E357">
        <v>5.8888779600000003</v>
      </c>
      <c r="F357">
        <v>7.8168199700000001</v>
      </c>
      <c r="G357">
        <v>8.61395686</v>
      </c>
      <c r="I357">
        <v>128.85197199999999</v>
      </c>
      <c r="J357">
        <v>7.9013773499999997</v>
      </c>
      <c r="K357">
        <v>7.1869010199999996</v>
      </c>
      <c r="L357">
        <v>7.8493238200000004</v>
      </c>
      <c r="M357">
        <v>5.8805329899999998</v>
      </c>
      <c r="N357">
        <v>7.8574807900000003</v>
      </c>
      <c r="O357">
        <v>8.5279352900000003</v>
      </c>
      <c r="Q357">
        <v>128.85197199999999</v>
      </c>
      <c r="R357">
        <v>7.66809371</v>
      </c>
      <c r="S357">
        <v>6.9810057399999996</v>
      </c>
      <c r="T357">
        <v>7.4843686399999996</v>
      </c>
      <c r="U357">
        <v>6.7117404000000001</v>
      </c>
      <c r="V357">
        <v>7.7956465399999999</v>
      </c>
      <c r="W357">
        <v>8.8264410400000006</v>
      </c>
      <c r="Y357">
        <v>128.85197199999999</v>
      </c>
      <c r="Z357">
        <v>6.3080984400000002</v>
      </c>
      <c r="AA357">
        <v>7.2276625000000001</v>
      </c>
      <c r="AB357">
        <v>7.4972072199999999</v>
      </c>
      <c r="AC357">
        <v>7.9543722700000004</v>
      </c>
      <c r="AD357">
        <v>7.8605707899999997</v>
      </c>
      <c r="AE357">
        <v>8.7490982499999994</v>
      </c>
    </row>
    <row r="358" spans="1:31" x14ac:dyDescent="0.2">
      <c r="A358">
        <v>129.216972</v>
      </c>
      <c r="B358">
        <v>7.85709386</v>
      </c>
      <c r="C358">
        <v>6.8926416399999999</v>
      </c>
      <c r="D358">
        <v>7.6088706300000002</v>
      </c>
      <c r="E358">
        <v>5.9188938499999999</v>
      </c>
      <c r="F358">
        <v>7.8127828199999998</v>
      </c>
      <c r="G358">
        <v>8.6106835299999993</v>
      </c>
      <c r="I358">
        <v>129.216972</v>
      </c>
      <c r="J358">
        <v>7.9021175499999998</v>
      </c>
      <c r="K358">
        <v>7.1944368499999998</v>
      </c>
      <c r="L358">
        <v>7.8473718400000001</v>
      </c>
      <c r="M358">
        <v>5.9053618500000002</v>
      </c>
      <c r="N358">
        <v>7.8586406599999998</v>
      </c>
      <c r="O358">
        <v>8.5257564200000004</v>
      </c>
      <c r="Q358">
        <v>129.216972</v>
      </c>
      <c r="R358">
        <v>7.6764736500000001</v>
      </c>
      <c r="S358">
        <v>6.9893352699999998</v>
      </c>
      <c r="T358">
        <v>7.4843686399999996</v>
      </c>
      <c r="U358">
        <v>6.7178047000000003</v>
      </c>
      <c r="V358">
        <v>7.7964692400000004</v>
      </c>
      <c r="W358">
        <v>8.83171192</v>
      </c>
      <c r="Y358">
        <v>129.216972</v>
      </c>
      <c r="Z358">
        <v>6.3543700400000001</v>
      </c>
      <c r="AA358">
        <v>7.2896105200000001</v>
      </c>
      <c r="AB358">
        <v>7.4960973500000003</v>
      </c>
      <c r="AC358">
        <v>7.9557757799999997</v>
      </c>
      <c r="AD358">
        <v>7.8609563600000003</v>
      </c>
      <c r="AE358">
        <v>8.7527395099999996</v>
      </c>
    </row>
    <row r="359" spans="1:31" x14ac:dyDescent="0.2">
      <c r="A359">
        <v>129.58199999999999</v>
      </c>
      <c r="B359">
        <v>7.8539930900000003</v>
      </c>
      <c r="C359">
        <v>6.8885724599999998</v>
      </c>
      <c r="D359">
        <v>7.6068845300000003</v>
      </c>
      <c r="E359">
        <v>5.9269260299999997</v>
      </c>
      <c r="F359">
        <v>7.8127828199999998</v>
      </c>
      <c r="G359">
        <v>8.6157707499999994</v>
      </c>
      <c r="I359">
        <v>129.58199999999999</v>
      </c>
      <c r="J359">
        <v>7.9065472300000001</v>
      </c>
      <c r="K359">
        <v>7.1951873199999996</v>
      </c>
      <c r="L359">
        <v>7.85282781</v>
      </c>
      <c r="M359">
        <v>5.9135030100000003</v>
      </c>
      <c r="N359">
        <v>7.8547691799999999</v>
      </c>
      <c r="O359">
        <v>8.5289241100000002</v>
      </c>
      <c r="Q359">
        <v>129.58199999999999</v>
      </c>
      <c r="R359">
        <v>7.6732231200000003</v>
      </c>
      <c r="S359">
        <v>6.9837899700000001</v>
      </c>
      <c r="T359">
        <v>7.4798641300000002</v>
      </c>
      <c r="U359">
        <v>6.7214257000000002</v>
      </c>
      <c r="V359">
        <v>7.7939990899999998</v>
      </c>
      <c r="W359">
        <v>8.8388418099999999</v>
      </c>
      <c r="Y359">
        <v>129.58199999999999</v>
      </c>
      <c r="Z359">
        <v>6.3952616000000004</v>
      </c>
      <c r="AA359">
        <v>7.3440728499999999</v>
      </c>
      <c r="AB359">
        <v>7.4983158699999999</v>
      </c>
      <c r="AC359">
        <v>7.9519113800000003</v>
      </c>
      <c r="AD359">
        <v>7.8567067899999996</v>
      </c>
      <c r="AE359">
        <v>8.7487809900000002</v>
      </c>
    </row>
    <row r="360" spans="1:31" x14ac:dyDescent="0.2">
      <c r="A360">
        <v>129.947</v>
      </c>
      <c r="B360">
        <v>7.8586406599999998</v>
      </c>
      <c r="C360">
        <v>6.8772960699999999</v>
      </c>
      <c r="D360">
        <v>7.60140233</v>
      </c>
      <c r="E360">
        <v>5.8861040300000003</v>
      </c>
      <c r="F360">
        <v>7.8131872700000002</v>
      </c>
      <c r="G360">
        <v>8.6110477700000008</v>
      </c>
      <c r="I360">
        <v>129.947</v>
      </c>
      <c r="J360">
        <v>7.9061788399999999</v>
      </c>
      <c r="K360">
        <v>7.1861442999999996</v>
      </c>
      <c r="L360">
        <v>7.8454160399999999</v>
      </c>
      <c r="M360">
        <v>5.9026333299999996</v>
      </c>
      <c r="N360">
        <v>7.8520502099999998</v>
      </c>
      <c r="O360">
        <v>8.5255581100000004</v>
      </c>
      <c r="Q360">
        <v>129.947</v>
      </c>
      <c r="R360">
        <v>7.6648157899999996</v>
      </c>
      <c r="S360">
        <v>6.9641356099999996</v>
      </c>
      <c r="T360">
        <v>7.4690838800000003</v>
      </c>
      <c r="U360">
        <v>6.7019603700000001</v>
      </c>
      <c r="V360">
        <v>7.7923489200000002</v>
      </c>
      <c r="W360">
        <v>8.8274681099999999</v>
      </c>
      <c r="Y360">
        <v>129.947</v>
      </c>
      <c r="Z360">
        <v>6.41836494</v>
      </c>
      <c r="AA360">
        <v>7.3765081300000004</v>
      </c>
      <c r="AB360">
        <v>7.4972072199999999</v>
      </c>
      <c r="AC360">
        <v>7.9490914999999998</v>
      </c>
      <c r="AD360">
        <v>7.8613417999999999</v>
      </c>
      <c r="AE360">
        <v>8.7497324600000006</v>
      </c>
    </row>
    <row r="361" spans="1:31" x14ac:dyDescent="0.2">
      <c r="A361">
        <v>130.31200000000001</v>
      </c>
      <c r="B361">
        <v>7.85049318</v>
      </c>
      <c r="C361">
        <v>6.8783264700000002</v>
      </c>
      <c r="D361">
        <v>7.5999019600000004</v>
      </c>
      <c r="E361">
        <v>5.8998973499999998</v>
      </c>
      <c r="F361">
        <v>7.8172227899999998</v>
      </c>
      <c r="G361">
        <v>8.6075821900000005</v>
      </c>
      <c r="I361">
        <v>130.31200000000001</v>
      </c>
      <c r="J361">
        <v>7.9076515900000004</v>
      </c>
      <c r="K361">
        <v>7.1876571599999997</v>
      </c>
      <c r="L361">
        <v>7.85049318</v>
      </c>
      <c r="M361">
        <v>5.8916442099999999</v>
      </c>
      <c r="N361">
        <v>7.85049318</v>
      </c>
      <c r="O361">
        <v>8.5303068300000007</v>
      </c>
      <c r="Q361">
        <v>130.31200000000001</v>
      </c>
      <c r="R361">
        <v>7.6732231200000003</v>
      </c>
      <c r="S361">
        <v>6.9622434599999998</v>
      </c>
      <c r="T361">
        <v>7.47022414</v>
      </c>
      <c r="U361">
        <v>6.6933236699999998</v>
      </c>
      <c r="V361">
        <v>7.7927617199999997</v>
      </c>
      <c r="W361">
        <v>8.8298117499999993</v>
      </c>
      <c r="Y361">
        <v>130.31200000000001</v>
      </c>
      <c r="Z361">
        <v>6.4583382800000004</v>
      </c>
      <c r="AA361">
        <v>7.4389715900000004</v>
      </c>
      <c r="AB361">
        <v>7.4966524400000001</v>
      </c>
      <c r="AC361">
        <v>7.94661756</v>
      </c>
      <c r="AD361">
        <v>7.8605707899999997</v>
      </c>
      <c r="AE361">
        <v>8.7500494199999999</v>
      </c>
    </row>
    <row r="362" spans="1:31" x14ac:dyDescent="0.2">
      <c r="A362">
        <v>130.67702800000001</v>
      </c>
      <c r="B362">
        <v>7.8458075000000003</v>
      </c>
      <c r="C362">
        <v>6.8752320899999999</v>
      </c>
      <c r="D362">
        <v>7.5938778400000002</v>
      </c>
      <c r="E362">
        <v>5.8916442099999999</v>
      </c>
      <c r="F362">
        <v>7.8103526800000003</v>
      </c>
      <c r="G362">
        <v>8.61286694</v>
      </c>
      <c r="I362">
        <v>130.67702800000001</v>
      </c>
      <c r="J362">
        <v>7.9006366100000003</v>
      </c>
      <c r="K362">
        <v>7.1861442999999996</v>
      </c>
      <c r="L362">
        <v>7.84854348</v>
      </c>
      <c r="M362">
        <v>5.8998973499999998</v>
      </c>
      <c r="N362">
        <v>7.85709386</v>
      </c>
      <c r="O362">
        <v>8.5265492900000002</v>
      </c>
      <c r="Q362">
        <v>130.67702800000001</v>
      </c>
      <c r="R362">
        <v>7.6657534299999996</v>
      </c>
      <c r="S362">
        <v>6.9641356099999996</v>
      </c>
      <c r="T362">
        <v>7.4667994799999997</v>
      </c>
      <c r="U362">
        <v>6.6995003400000002</v>
      </c>
      <c r="V362">
        <v>7.7902823799999998</v>
      </c>
      <c r="W362">
        <v>8.8232062199999994</v>
      </c>
      <c r="Y362">
        <v>130.67702800000001</v>
      </c>
      <c r="Z362">
        <v>6.51025834</v>
      </c>
      <c r="AA362">
        <v>7.4933172499999996</v>
      </c>
      <c r="AB362">
        <v>7.4894120800000001</v>
      </c>
      <c r="AC362">
        <v>7.9480319899999996</v>
      </c>
      <c r="AD362">
        <v>7.8644198999999997</v>
      </c>
      <c r="AE362">
        <v>8.7465573499999998</v>
      </c>
    </row>
    <row r="363" spans="1:31" x14ac:dyDescent="0.2">
      <c r="A363">
        <v>131.04202799999999</v>
      </c>
      <c r="B363">
        <v>7.8481530900000003</v>
      </c>
      <c r="C363">
        <v>6.8824374700000002</v>
      </c>
      <c r="D363">
        <v>7.5918617099999999</v>
      </c>
      <c r="E363">
        <v>5.9188938499999999</v>
      </c>
      <c r="F363">
        <v>7.8176254399999996</v>
      </c>
      <c r="G363">
        <v>8.6119577700000001</v>
      </c>
      <c r="I363">
        <v>131.04202799999999</v>
      </c>
      <c r="J363">
        <v>7.9127892199999996</v>
      </c>
      <c r="K363">
        <v>7.18992217</v>
      </c>
      <c r="L363">
        <v>7.8563195700000001</v>
      </c>
      <c r="M363">
        <v>5.9080829399999999</v>
      </c>
      <c r="N363">
        <v>7.85321639</v>
      </c>
      <c r="O363">
        <v>8.5287264300000007</v>
      </c>
      <c r="Q363">
        <v>131.04202799999999</v>
      </c>
      <c r="R363">
        <v>7.6643466299999998</v>
      </c>
      <c r="S363">
        <v>6.9744789100000002</v>
      </c>
      <c r="T363">
        <v>7.46221494</v>
      </c>
      <c r="U363">
        <v>6.6982680500000003</v>
      </c>
      <c r="V363">
        <v>7.7923489200000002</v>
      </c>
      <c r="W363">
        <v>8.8204040700000004</v>
      </c>
      <c r="Y363">
        <v>131.04202799999999</v>
      </c>
      <c r="Z363">
        <v>6.5510803400000004</v>
      </c>
      <c r="AA363">
        <v>7.5363639400000002</v>
      </c>
      <c r="AB363">
        <v>7.4933172499999996</v>
      </c>
      <c r="AC363">
        <v>7.9519113800000003</v>
      </c>
      <c r="AD363">
        <v>7.85709386</v>
      </c>
      <c r="AE363">
        <v>8.7457619999999991</v>
      </c>
    </row>
    <row r="364" spans="1:31" x14ac:dyDescent="0.2">
      <c r="A364">
        <v>131.40705600000001</v>
      </c>
      <c r="B364">
        <v>7.8477625399999997</v>
      </c>
      <c r="C364">
        <v>6.8679744100000004</v>
      </c>
      <c r="D364">
        <v>7.5994013300000001</v>
      </c>
      <c r="E364">
        <v>5.8805329899999998</v>
      </c>
      <c r="F364">
        <v>7.8103526800000003</v>
      </c>
      <c r="G364">
        <v>8.6086778800000001</v>
      </c>
      <c r="I364">
        <v>131.40705600000001</v>
      </c>
      <c r="J364">
        <v>7.9043348399999998</v>
      </c>
      <c r="K364">
        <v>7.1800698699999996</v>
      </c>
      <c r="L364">
        <v>7.8493238200000004</v>
      </c>
      <c r="M364">
        <v>5.8998973499999998</v>
      </c>
      <c r="N364">
        <v>7.8547691799999999</v>
      </c>
      <c r="O364">
        <v>8.5273415200000002</v>
      </c>
      <c r="Q364">
        <v>131.40705600000001</v>
      </c>
      <c r="R364">
        <v>7.65728279</v>
      </c>
      <c r="S364">
        <v>6.9603477299999996</v>
      </c>
      <c r="T364">
        <v>7.4627891599999998</v>
      </c>
      <c r="U364">
        <v>6.6883547099999996</v>
      </c>
      <c r="V364">
        <v>7.7939990899999998</v>
      </c>
      <c r="W364">
        <v>8.8268813399999999</v>
      </c>
      <c r="Y364">
        <v>131.40705600000001</v>
      </c>
      <c r="Z364">
        <v>6.5889264799999996</v>
      </c>
      <c r="AA364">
        <v>7.5878172199999998</v>
      </c>
      <c r="AB364">
        <v>7.4938738899999997</v>
      </c>
      <c r="AC364">
        <v>7.9437826899999999</v>
      </c>
      <c r="AD364">
        <v>7.8624972</v>
      </c>
      <c r="AE364">
        <v>8.7460802199999996</v>
      </c>
    </row>
    <row r="365" spans="1:31" x14ac:dyDescent="0.2">
      <c r="A365">
        <v>131.77205599999999</v>
      </c>
      <c r="B365">
        <v>7.8434564</v>
      </c>
      <c r="C365">
        <v>6.86275791</v>
      </c>
      <c r="D365">
        <v>7.5812098299999997</v>
      </c>
      <c r="E365">
        <v>5.8805329899999998</v>
      </c>
      <c r="F365">
        <v>7.8152070599999997</v>
      </c>
      <c r="G365">
        <v>8.6070338999999993</v>
      </c>
      <c r="I365">
        <v>131.77205599999999</v>
      </c>
      <c r="J365">
        <v>7.8991534799999998</v>
      </c>
      <c r="K365">
        <v>7.1823521100000001</v>
      </c>
      <c r="L365">
        <v>7.8446326400000004</v>
      </c>
      <c r="M365">
        <v>5.88332239</v>
      </c>
      <c r="N365">
        <v>7.8640356599999999</v>
      </c>
      <c r="O365">
        <v>8.5213844000000005</v>
      </c>
      <c r="Q365">
        <v>131.77205599999999</v>
      </c>
      <c r="R365">
        <v>7.6591713700000001</v>
      </c>
      <c r="S365">
        <v>6.9574973699999996</v>
      </c>
      <c r="T365">
        <v>7.4650827399999997</v>
      </c>
      <c r="U365">
        <v>6.6895992700000004</v>
      </c>
      <c r="V365">
        <v>7.7803030900000003</v>
      </c>
      <c r="W365">
        <v>8.82497197</v>
      </c>
      <c r="Y365">
        <v>131.77205599999999</v>
      </c>
      <c r="Z365">
        <v>6.6240652300000002</v>
      </c>
      <c r="AA365">
        <v>7.6353038900000003</v>
      </c>
      <c r="AB365">
        <v>7.4854916100000004</v>
      </c>
      <c r="AC365">
        <v>7.9427175400000003</v>
      </c>
      <c r="AD365">
        <v>7.8555446800000004</v>
      </c>
      <c r="AE365">
        <v>8.7457619999999991</v>
      </c>
    </row>
    <row r="366" spans="1:31" x14ac:dyDescent="0.2">
      <c r="A366">
        <v>132.13708299999999</v>
      </c>
      <c r="B366">
        <v>7.8399193599999997</v>
      </c>
      <c r="C366">
        <v>6.86589107</v>
      </c>
      <c r="D366">
        <v>7.5878172199999998</v>
      </c>
      <c r="E366">
        <v>5.88332239</v>
      </c>
      <c r="F366">
        <v>7.8139956799999997</v>
      </c>
      <c r="G366">
        <v>8.6137752899999995</v>
      </c>
      <c r="I366">
        <v>132.13708299999999</v>
      </c>
      <c r="J366">
        <v>7.9024874399999998</v>
      </c>
      <c r="K366">
        <v>7.1884127400000004</v>
      </c>
      <c r="L366">
        <v>7.8547691799999999</v>
      </c>
      <c r="M366">
        <v>5.9026333299999996</v>
      </c>
      <c r="N366">
        <v>7.8559321999999998</v>
      </c>
      <c r="O366">
        <v>8.5275394799999997</v>
      </c>
      <c r="Q366">
        <v>132.13708299999999</v>
      </c>
      <c r="R366">
        <v>7.6553906400000002</v>
      </c>
      <c r="S366">
        <v>6.95844839</v>
      </c>
      <c r="T366">
        <v>7.4552984899999997</v>
      </c>
      <c r="U366">
        <v>6.69084228</v>
      </c>
      <c r="V366">
        <v>7.7873820299999998</v>
      </c>
      <c r="W366">
        <v>8.8268813399999999</v>
      </c>
      <c r="Y366">
        <v>132.13708299999999</v>
      </c>
      <c r="Z366">
        <v>6.6618547399999999</v>
      </c>
      <c r="AA366">
        <v>7.6893711099999997</v>
      </c>
      <c r="AB366">
        <v>7.4871736899999997</v>
      </c>
      <c r="AC366">
        <v>7.9434277700000004</v>
      </c>
      <c r="AD366">
        <v>7.8574807900000003</v>
      </c>
      <c r="AE366">
        <v>8.7513162500000004</v>
      </c>
    </row>
    <row r="367" spans="1:31" x14ac:dyDescent="0.2">
      <c r="A367">
        <v>132.502083</v>
      </c>
      <c r="B367">
        <v>7.8414929200000003</v>
      </c>
      <c r="C367">
        <v>6.8575140599999997</v>
      </c>
      <c r="D367">
        <v>7.5888298799999996</v>
      </c>
      <c r="E367">
        <v>5.88332239</v>
      </c>
      <c r="F367">
        <v>7.8127828199999998</v>
      </c>
      <c r="G367">
        <v>8.6117758299999991</v>
      </c>
      <c r="I367">
        <v>132.502083</v>
      </c>
      <c r="J367">
        <v>7.9021175499999998</v>
      </c>
      <c r="K367">
        <v>7.1876571599999997</v>
      </c>
      <c r="L367">
        <v>7.8508826599999999</v>
      </c>
      <c r="M367">
        <v>5.8861040300000003</v>
      </c>
      <c r="N367">
        <v>7.85049318</v>
      </c>
      <c r="O367">
        <v>8.5277374100000003</v>
      </c>
      <c r="Q367">
        <v>132.502083</v>
      </c>
      <c r="R367">
        <v>7.6492163199999998</v>
      </c>
      <c r="S367">
        <v>6.95177216</v>
      </c>
      <c r="T367">
        <v>7.4599147700000001</v>
      </c>
      <c r="U367">
        <v>6.6808546800000004</v>
      </c>
      <c r="V367">
        <v>7.7977020399999999</v>
      </c>
      <c r="W367">
        <v>8.8239423299999995</v>
      </c>
      <c r="Y367">
        <v>132.502083</v>
      </c>
      <c r="Z367">
        <v>6.6933236699999998</v>
      </c>
      <c r="AA367">
        <v>7.7363071000000003</v>
      </c>
      <c r="AB367">
        <v>7.4849302800000004</v>
      </c>
      <c r="AC367">
        <v>7.94093976</v>
      </c>
      <c r="AD367">
        <v>7.8539930900000003</v>
      </c>
      <c r="AE367">
        <v>8.7494154099999992</v>
      </c>
    </row>
    <row r="368" spans="1:31" x14ac:dyDescent="0.2">
      <c r="A368">
        <v>132.86711099999999</v>
      </c>
      <c r="B368">
        <v>7.8383433199999999</v>
      </c>
      <c r="C368">
        <v>6.8543545000000003</v>
      </c>
      <c r="D368">
        <v>7.5781454699999999</v>
      </c>
      <c r="E368">
        <v>5.9053618500000002</v>
      </c>
      <c r="F368">
        <v>7.8131872700000002</v>
      </c>
      <c r="G368">
        <v>8.6190274999999996</v>
      </c>
      <c r="I368">
        <v>132.86711099999999</v>
      </c>
      <c r="J368">
        <v>7.9091221799999998</v>
      </c>
      <c r="K368">
        <v>7.1906760299999997</v>
      </c>
      <c r="L368">
        <v>7.8543812099999997</v>
      </c>
      <c r="M368">
        <v>5.8971538700000004</v>
      </c>
      <c r="N368">
        <v>7.8547691799999999</v>
      </c>
      <c r="O368">
        <v>8.5281331300000005</v>
      </c>
      <c r="Q368">
        <v>132.86711099999999</v>
      </c>
      <c r="R368">
        <v>7.64683139</v>
      </c>
      <c r="S368">
        <v>6.95177216</v>
      </c>
      <c r="T368">
        <v>7.4524024500000001</v>
      </c>
      <c r="U368">
        <v>6.6846117300000003</v>
      </c>
      <c r="V368">
        <v>7.79152282</v>
      </c>
      <c r="W368">
        <v>8.8287870799999997</v>
      </c>
      <c r="Y368">
        <v>132.86711099999999</v>
      </c>
      <c r="Z368">
        <v>6.7405193600000004</v>
      </c>
      <c r="AA368">
        <v>7.7853051799999999</v>
      </c>
      <c r="AB368">
        <v>7.4944302199999999</v>
      </c>
      <c r="AC368">
        <v>7.94093976</v>
      </c>
      <c r="AD368">
        <v>7.8567067899999996</v>
      </c>
      <c r="AE368">
        <v>8.7475109500000006</v>
      </c>
    </row>
    <row r="369" spans="1:31" x14ac:dyDescent="0.2">
      <c r="A369">
        <v>133.232111</v>
      </c>
      <c r="B369">
        <v>7.8359745800000002</v>
      </c>
      <c r="C369">
        <v>6.8243736699999999</v>
      </c>
      <c r="D369">
        <v>7.58069975</v>
      </c>
      <c r="E369">
        <v>5.83188248</v>
      </c>
      <c r="F369">
        <v>7.8152070599999997</v>
      </c>
      <c r="G369">
        <v>8.6057533700000004</v>
      </c>
      <c r="I369">
        <v>133.232111</v>
      </c>
      <c r="J369">
        <v>7.9098566699999999</v>
      </c>
      <c r="K369">
        <v>7.1708884800000003</v>
      </c>
      <c r="L369">
        <v>7.8605707899999997</v>
      </c>
      <c r="M369">
        <v>5.8435444199999997</v>
      </c>
      <c r="N369">
        <v>7.8547691799999999</v>
      </c>
      <c r="O369">
        <v>8.51298435</v>
      </c>
      <c r="Q369">
        <v>133.232111</v>
      </c>
      <c r="R369">
        <v>7.6458758299999996</v>
      </c>
      <c r="S369">
        <v>6.9226438899999998</v>
      </c>
      <c r="T369">
        <v>7.4413203899999996</v>
      </c>
      <c r="U369">
        <v>6.64768837</v>
      </c>
      <c r="V369">
        <v>7.7977020399999999</v>
      </c>
      <c r="W369">
        <v>8.8186302300000001</v>
      </c>
      <c r="Y369">
        <v>133.232111</v>
      </c>
      <c r="Z369">
        <v>6.7957057799999996</v>
      </c>
      <c r="AA369">
        <v>7.8160138400000001</v>
      </c>
      <c r="AB369">
        <v>7.48885296</v>
      </c>
      <c r="AC369">
        <v>7.9337968700000001</v>
      </c>
      <c r="AD369">
        <v>7.8559321999999998</v>
      </c>
      <c r="AE369">
        <v>8.7364893499999994</v>
      </c>
    </row>
    <row r="370" spans="1:31" x14ac:dyDescent="0.2">
      <c r="A370">
        <v>133.59711100000001</v>
      </c>
      <c r="B370">
        <v>7.8320141799999998</v>
      </c>
      <c r="C370">
        <v>6.8731638300000002</v>
      </c>
      <c r="D370">
        <v>7.5852810799999997</v>
      </c>
      <c r="E370">
        <v>5.9188938499999999</v>
      </c>
      <c r="F370">
        <v>7.8180279400000003</v>
      </c>
      <c r="G370">
        <v>8.6204715400000005</v>
      </c>
      <c r="I370">
        <v>133.59711100000001</v>
      </c>
      <c r="J370">
        <v>7.9127892199999996</v>
      </c>
      <c r="K370">
        <v>7.2004248899999999</v>
      </c>
      <c r="L370">
        <v>7.8632667200000004</v>
      </c>
      <c r="M370">
        <v>5.9188938499999999</v>
      </c>
      <c r="N370">
        <v>7.8555446800000004</v>
      </c>
      <c r="O370">
        <v>8.5338536299999994</v>
      </c>
      <c r="Q370">
        <v>133.59711100000001</v>
      </c>
      <c r="R370">
        <v>7.64252413</v>
      </c>
      <c r="S370">
        <v>6.9593985099999998</v>
      </c>
      <c r="T370">
        <v>7.44716836</v>
      </c>
      <c r="U370">
        <v>6.6871086100000001</v>
      </c>
      <c r="V370">
        <v>7.7898685600000004</v>
      </c>
      <c r="W370">
        <v>8.8301043200000002</v>
      </c>
      <c r="Y370">
        <v>133.59711100000001</v>
      </c>
      <c r="Z370">
        <v>6.8448154800000003</v>
      </c>
      <c r="AA370">
        <v>7.87625888</v>
      </c>
      <c r="AB370">
        <v>7.4877337600000002</v>
      </c>
      <c r="AC370">
        <v>7.94732503</v>
      </c>
      <c r="AD370">
        <v>7.8508826599999999</v>
      </c>
      <c r="AE370">
        <v>8.7468753199999991</v>
      </c>
    </row>
    <row r="371" spans="1:31" x14ac:dyDescent="0.2">
      <c r="A371">
        <v>133.96213900000001</v>
      </c>
      <c r="B371">
        <v>7.8220440099999999</v>
      </c>
      <c r="C371">
        <v>6.8426832800000001</v>
      </c>
      <c r="D371">
        <v>7.5725029900000003</v>
      </c>
      <c r="E371">
        <v>5.8971538700000004</v>
      </c>
      <c r="F371">
        <v>7.8156105299999998</v>
      </c>
      <c r="G371">
        <v>8.6134120500000009</v>
      </c>
      <c r="I371">
        <v>133.96213900000001</v>
      </c>
      <c r="J371">
        <v>7.90875474</v>
      </c>
      <c r="K371">
        <v>7.1944368499999998</v>
      </c>
      <c r="L371">
        <v>7.8543812099999997</v>
      </c>
      <c r="M371">
        <v>5.9053618500000002</v>
      </c>
      <c r="N371">
        <v>7.8578675599999999</v>
      </c>
      <c r="O371">
        <v>8.5265492900000002</v>
      </c>
      <c r="Q371">
        <v>133.96213900000001</v>
      </c>
      <c r="R371">
        <v>7.6386798200000001</v>
      </c>
      <c r="S371">
        <v>6.9488972200000001</v>
      </c>
      <c r="T371">
        <v>7.4436636800000002</v>
      </c>
      <c r="U371">
        <v>6.6682282500000003</v>
      </c>
      <c r="V371">
        <v>7.7911095100000001</v>
      </c>
      <c r="W371">
        <v>8.8282010900000003</v>
      </c>
      <c r="Y371">
        <v>133.96213900000001</v>
      </c>
      <c r="Z371">
        <v>6.8916259000000002</v>
      </c>
      <c r="AA371">
        <v>7.9208096799999996</v>
      </c>
      <c r="AB371">
        <v>7.4866133100000001</v>
      </c>
      <c r="AC371">
        <v>7.9405838299999996</v>
      </c>
      <c r="AD371">
        <v>7.8524390899999998</v>
      </c>
      <c r="AE371">
        <v>8.7438505600000003</v>
      </c>
    </row>
    <row r="372" spans="1:31" x14ac:dyDescent="0.2">
      <c r="A372">
        <v>134.32713899999999</v>
      </c>
      <c r="B372">
        <v>7.8276395499999998</v>
      </c>
      <c r="C372">
        <v>6.8384052000000004</v>
      </c>
      <c r="D372">
        <v>7.5755846499999997</v>
      </c>
      <c r="E372">
        <v>5.8971538700000004</v>
      </c>
      <c r="F372">
        <v>7.8135915499999999</v>
      </c>
      <c r="G372">
        <v>8.6179430900000007</v>
      </c>
      <c r="I372">
        <v>134.32713899999999</v>
      </c>
      <c r="J372">
        <v>7.9157131999999999</v>
      </c>
      <c r="K372">
        <v>7.1981835800000002</v>
      </c>
      <c r="L372">
        <v>7.85941315</v>
      </c>
      <c r="M372">
        <v>5.9026333299999996</v>
      </c>
      <c r="N372">
        <v>7.8559321999999998</v>
      </c>
      <c r="O372">
        <v>8.5307015400000008</v>
      </c>
      <c r="Q372">
        <v>134.32713899999999</v>
      </c>
      <c r="R372">
        <v>7.6343372399999998</v>
      </c>
      <c r="S372">
        <v>6.9431224199999999</v>
      </c>
      <c r="T372">
        <v>7.4372063700000002</v>
      </c>
      <c r="U372">
        <v>6.6656837199999996</v>
      </c>
      <c r="V372">
        <v>7.7931743500000001</v>
      </c>
      <c r="W372">
        <v>8.8299580399999993</v>
      </c>
      <c r="Y372">
        <v>134.32713899999999</v>
      </c>
      <c r="Z372">
        <v>6.9363427399999997</v>
      </c>
      <c r="AA372">
        <v>7.9613702000000002</v>
      </c>
      <c r="AB372">
        <v>7.4866133100000001</v>
      </c>
      <c r="AC372">
        <v>7.93844555</v>
      </c>
      <c r="AD372">
        <v>7.8551570100000001</v>
      </c>
      <c r="AE372">
        <v>8.7463983299999999</v>
      </c>
    </row>
    <row r="373" spans="1:31" x14ac:dyDescent="0.2">
      <c r="A373">
        <v>134.69216700000001</v>
      </c>
      <c r="B373">
        <v>7.8304256199999998</v>
      </c>
      <c r="C373">
        <v>6.8469431399999996</v>
      </c>
      <c r="D373">
        <v>7.5730172600000003</v>
      </c>
      <c r="E373">
        <v>5.9053618500000002</v>
      </c>
      <c r="F373">
        <v>7.8152070599999997</v>
      </c>
      <c r="G373">
        <v>8.6161331400000005</v>
      </c>
      <c r="I373">
        <v>134.69216700000001</v>
      </c>
      <c r="J373">
        <v>7.9135210200000001</v>
      </c>
      <c r="K373">
        <v>7.1891677400000003</v>
      </c>
      <c r="L373">
        <v>7.8617270799999996</v>
      </c>
      <c r="M373">
        <v>5.8944028299999998</v>
      </c>
      <c r="N373">
        <v>7.8609563600000003</v>
      </c>
      <c r="O373">
        <v>8.5295169400000006</v>
      </c>
      <c r="Q373">
        <v>134.69216700000001</v>
      </c>
      <c r="R373">
        <v>7.6348206799999998</v>
      </c>
      <c r="S373">
        <v>6.9450510599999999</v>
      </c>
      <c r="T373">
        <v>7.4330753500000002</v>
      </c>
      <c r="U373">
        <v>6.6618547399999999</v>
      </c>
      <c r="V373">
        <v>7.7906960300000003</v>
      </c>
      <c r="W373">
        <v>8.8298117499999993</v>
      </c>
      <c r="Y373">
        <v>134.69216700000001</v>
      </c>
      <c r="Z373">
        <v>6.9957661599999996</v>
      </c>
      <c r="AA373">
        <v>7.9976631300000003</v>
      </c>
      <c r="AB373">
        <v>7.4916454699999999</v>
      </c>
      <c r="AC373">
        <v>7.9398715800000002</v>
      </c>
      <c r="AD373">
        <v>7.85049318</v>
      </c>
      <c r="AE373">
        <v>8.7473520800000006</v>
      </c>
    </row>
    <row r="374" spans="1:31" x14ac:dyDescent="0.2">
      <c r="A374">
        <v>135.05716699999999</v>
      </c>
      <c r="B374">
        <v>7.8232456900000003</v>
      </c>
      <c r="C374">
        <v>6.8394764400000003</v>
      </c>
      <c r="D374">
        <v>7.5766097700000001</v>
      </c>
      <c r="E374">
        <v>5.8888779600000003</v>
      </c>
      <c r="F374">
        <v>7.8176254399999996</v>
      </c>
      <c r="G374">
        <v>8.6152269300000004</v>
      </c>
      <c r="I374">
        <v>135.05716699999999</v>
      </c>
      <c r="J374">
        <v>7.9105906099999999</v>
      </c>
      <c r="K374">
        <v>7.1914293300000001</v>
      </c>
      <c r="L374">
        <v>7.8555446800000004</v>
      </c>
      <c r="M374">
        <v>5.8916442099999999</v>
      </c>
      <c r="N374">
        <v>7.8605707899999997</v>
      </c>
      <c r="O374">
        <v>8.5285287000000007</v>
      </c>
      <c r="Q374">
        <v>135.05716699999999</v>
      </c>
      <c r="R374">
        <v>7.6319165099999999</v>
      </c>
      <c r="S374">
        <v>6.9382844800000001</v>
      </c>
      <c r="T374">
        <v>7.4301141399999997</v>
      </c>
      <c r="U374">
        <v>6.6528630299999998</v>
      </c>
      <c r="V374">
        <v>7.7931743500000001</v>
      </c>
      <c r="W374">
        <v>8.8305430099999995</v>
      </c>
      <c r="Y374">
        <v>135.05716699999999</v>
      </c>
      <c r="Z374">
        <v>7.0405363899999998</v>
      </c>
      <c r="AA374">
        <v>8.0385120200000006</v>
      </c>
      <c r="AB374">
        <v>7.4916454699999999</v>
      </c>
      <c r="AC374">
        <v>7.9402277699999999</v>
      </c>
      <c r="AD374">
        <v>7.8559321999999998</v>
      </c>
      <c r="AE374">
        <v>8.7495739500000003</v>
      </c>
    </row>
    <row r="375" spans="1:31" x14ac:dyDescent="0.2">
      <c r="A375">
        <v>135.422167</v>
      </c>
      <c r="B375">
        <v>7.8172227899999998</v>
      </c>
      <c r="C375">
        <v>6.8330317300000001</v>
      </c>
      <c r="D375">
        <v>7.5683792700000003</v>
      </c>
      <c r="E375">
        <v>5.9026333299999996</v>
      </c>
      <c r="F375">
        <v>7.8168199700000001</v>
      </c>
      <c r="G375">
        <v>8.6202911499999999</v>
      </c>
      <c r="I375">
        <v>135.422167</v>
      </c>
      <c r="J375">
        <v>7.9135210200000001</v>
      </c>
      <c r="K375">
        <v>7.1936858199999998</v>
      </c>
      <c r="L375">
        <v>7.85941315</v>
      </c>
      <c r="M375">
        <v>5.8998973499999998</v>
      </c>
      <c r="N375">
        <v>7.8640356599999999</v>
      </c>
      <c r="O375">
        <v>8.5263511300000001</v>
      </c>
      <c r="Q375">
        <v>135.422167</v>
      </c>
      <c r="R375">
        <v>7.6338535600000004</v>
      </c>
      <c r="S375">
        <v>6.9373140800000002</v>
      </c>
      <c r="T375">
        <v>7.4253578899999999</v>
      </c>
      <c r="U375">
        <v>6.6618547399999999</v>
      </c>
      <c r="V375">
        <v>7.7890404000000002</v>
      </c>
      <c r="W375">
        <v>8.8327335900000001</v>
      </c>
      <c r="Y375">
        <v>135.422167</v>
      </c>
      <c r="Z375">
        <v>7.0950643800000002</v>
      </c>
      <c r="AA375">
        <v>8.0696553099999999</v>
      </c>
      <c r="AB375">
        <v>7.4899709000000003</v>
      </c>
      <c r="AC375">
        <v>7.9380887299999996</v>
      </c>
      <c r="AD375">
        <v>7.8508826599999999</v>
      </c>
      <c r="AE375">
        <v>8.7494154099999992</v>
      </c>
    </row>
    <row r="376" spans="1:31" x14ac:dyDescent="0.2">
      <c r="A376">
        <v>135.78716700000001</v>
      </c>
      <c r="B376">
        <v>7.8168199700000001</v>
      </c>
      <c r="C376">
        <v>6.8405465300000001</v>
      </c>
      <c r="D376">
        <v>7.5652752799999998</v>
      </c>
      <c r="E376">
        <v>5.8888779600000003</v>
      </c>
      <c r="F376">
        <v>7.8192344499999997</v>
      </c>
      <c r="G376">
        <v>8.6233533900000001</v>
      </c>
      <c r="I376">
        <v>135.78716700000001</v>
      </c>
      <c r="J376">
        <v>7.9208096799999996</v>
      </c>
      <c r="K376">
        <v>7.1974353500000001</v>
      </c>
      <c r="L376">
        <v>7.8651879500000001</v>
      </c>
      <c r="M376">
        <v>5.8998973499999998</v>
      </c>
      <c r="N376">
        <v>7.8651879500000001</v>
      </c>
      <c r="O376">
        <v>8.5253597499999998</v>
      </c>
      <c r="Q376">
        <v>135.78716700000001</v>
      </c>
      <c r="R376">
        <v>7.6275443899999997</v>
      </c>
      <c r="S376">
        <v>6.9295167700000002</v>
      </c>
      <c r="T376">
        <v>7.4211775299999996</v>
      </c>
      <c r="U376">
        <v>6.64768837</v>
      </c>
      <c r="V376">
        <v>7.7894545700000002</v>
      </c>
      <c r="W376">
        <v>8.8324417900000007</v>
      </c>
      <c r="Y376">
        <v>135.78716700000001</v>
      </c>
      <c r="Z376">
        <v>7.1372784400000002</v>
      </c>
      <c r="AA376">
        <v>8.1122279600000002</v>
      </c>
      <c r="AB376">
        <v>7.4894120800000001</v>
      </c>
      <c r="AC376">
        <v>7.9380887299999996</v>
      </c>
      <c r="AD376">
        <v>7.8559321999999998</v>
      </c>
      <c r="AE376">
        <v>8.7467163499999998</v>
      </c>
    </row>
    <row r="377" spans="1:31" x14ac:dyDescent="0.2">
      <c r="A377">
        <v>136.15219400000001</v>
      </c>
      <c r="B377">
        <v>7.8148034300000004</v>
      </c>
      <c r="C377">
        <v>6.8341087399999996</v>
      </c>
      <c r="D377">
        <v>7.5569505699999997</v>
      </c>
      <c r="E377">
        <v>5.8888779600000003</v>
      </c>
      <c r="F377">
        <v>7.8127828199999998</v>
      </c>
      <c r="G377">
        <v>8.6197497799999994</v>
      </c>
      <c r="I377">
        <v>136.15219400000001</v>
      </c>
      <c r="J377">
        <v>7.9157131999999999</v>
      </c>
      <c r="K377">
        <v>7.1996783500000001</v>
      </c>
      <c r="L377">
        <v>7.8597991800000004</v>
      </c>
      <c r="M377">
        <v>5.9053618500000002</v>
      </c>
      <c r="N377">
        <v>7.8559321999999998</v>
      </c>
      <c r="O377">
        <v>8.5263511300000001</v>
      </c>
      <c r="Q377">
        <v>136.15219400000001</v>
      </c>
      <c r="R377">
        <v>7.6265702099999997</v>
      </c>
      <c r="S377">
        <v>6.9343972100000002</v>
      </c>
      <c r="T377">
        <v>7.4211775299999996</v>
      </c>
      <c r="U377">
        <v>6.6554403500000001</v>
      </c>
      <c r="V377">
        <v>7.80016307</v>
      </c>
      <c r="W377">
        <v>8.8311276400000001</v>
      </c>
      <c r="Y377">
        <v>136.15219400000001</v>
      </c>
      <c r="Z377">
        <v>7.1906760299999997</v>
      </c>
      <c r="AA377">
        <v>8.1350539099999999</v>
      </c>
      <c r="AB377">
        <v>7.4849302800000004</v>
      </c>
      <c r="AC377">
        <v>7.9441374900000001</v>
      </c>
      <c r="AD377">
        <v>7.85049318</v>
      </c>
      <c r="AE377">
        <v>8.7476697899999998</v>
      </c>
    </row>
    <row r="378" spans="1:31" x14ac:dyDescent="0.2">
      <c r="A378">
        <v>136.51719399999999</v>
      </c>
      <c r="B378">
        <v>7.8196363</v>
      </c>
      <c r="C378">
        <v>6.8330317300000001</v>
      </c>
      <c r="D378">
        <v>7.5616417499999997</v>
      </c>
      <c r="E378">
        <v>5.9162020599999998</v>
      </c>
      <c r="F378">
        <v>7.8111633899999999</v>
      </c>
      <c r="G378">
        <v>8.6244319399999991</v>
      </c>
      <c r="I378">
        <v>136.51719399999999</v>
      </c>
      <c r="J378">
        <v>7.9124231199999997</v>
      </c>
      <c r="K378">
        <v>7.2130316600000004</v>
      </c>
      <c r="L378">
        <v>7.8659554099999998</v>
      </c>
      <c r="M378">
        <v>5.9375362100000002</v>
      </c>
      <c r="N378">
        <v>7.8605707899999997</v>
      </c>
      <c r="O378">
        <v>8.5310960999999992</v>
      </c>
      <c r="Q378">
        <v>136.51719399999999</v>
      </c>
      <c r="R378">
        <v>7.6270574199999999</v>
      </c>
      <c r="S378">
        <v>6.9363427399999997</v>
      </c>
      <c r="T378">
        <v>7.4097419499999999</v>
      </c>
      <c r="U378">
        <v>6.6541525200000002</v>
      </c>
      <c r="V378">
        <v>7.7939990899999998</v>
      </c>
      <c r="W378">
        <v>8.8369551600000005</v>
      </c>
      <c r="Y378">
        <v>136.51719399999999</v>
      </c>
      <c r="Z378">
        <v>7.2262090099999998</v>
      </c>
      <c r="AA378">
        <v>8.1639409500000006</v>
      </c>
      <c r="AB378">
        <v>7.4905293999999998</v>
      </c>
      <c r="AC378">
        <v>7.9434277700000004</v>
      </c>
      <c r="AD378">
        <v>7.8489337299999997</v>
      </c>
      <c r="AE378">
        <v>8.7532134799999994</v>
      </c>
    </row>
    <row r="379" spans="1:31" x14ac:dyDescent="0.2">
      <c r="A379">
        <v>136.882194</v>
      </c>
      <c r="B379">
        <v>7.8119734300000001</v>
      </c>
      <c r="C379">
        <v>6.8341087399999996</v>
      </c>
      <c r="D379">
        <v>7.5621616300000003</v>
      </c>
      <c r="E379">
        <v>5.8805329899999998</v>
      </c>
      <c r="F379">
        <v>7.8143996299999996</v>
      </c>
      <c r="G379">
        <v>8.6204715400000005</v>
      </c>
      <c r="I379">
        <v>136.882194</v>
      </c>
      <c r="J379">
        <v>7.9208096799999996</v>
      </c>
      <c r="K379">
        <v>7.2011708800000003</v>
      </c>
      <c r="L379">
        <v>7.8605707899999997</v>
      </c>
      <c r="M379">
        <v>5.9080829399999999</v>
      </c>
      <c r="N379">
        <v>7.8609563600000003</v>
      </c>
      <c r="O379">
        <v>8.5281331300000005</v>
      </c>
      <c r="Q379">
        <v>136.882194</v>
      </c>
      <c r="R379">
        <v>7.6255950700000001</v>
      </c>
      <c r="S379">
        <v>6.9246124</v>
      </c>
      <c r="T379">
        <v>7.4241652800000004</v>
      </c>
      <c r="U379">
        <v>6.6528630299999998</v>
      </c>
      <c r="V379">
        <v>7.7911095100000001</v>
      </c>
      <c r="W379">
        <v>8.8318579400000008</v>
      </c>
      <c r="Y379">
        <v>136.882194</v>
      </c>
      <c r="Z379">
        <v>7.2758646000000002</v>
      </c>
      <c r="AA379">
        <v>8.1806009500000005</v>
      </c>
      <c r="AB379">
        <v>7.48885296</v>
      </c>
      <c r="AC379">
        <v>7.9444921600000002</v>
      </c>
      <c r="AD379">
        <v>7.8551570100000001</v>
      </c>
      <c r="AE379">
        <v>8.7481461700000001</v>
      </c>
    </row>
    <row r="380" spans="1:31" x14ac:dyDescent="0.2">
      <c r="A380">
        <v>137.24722199999999</v>
      </c>
      <c r="B380">
        <v>7.8095413200000001</v>
      </c>
      <c r="C380">
        <v>6.8480052699999998</v>
      </c>
      <c r="D380">
        <v>7.55851674</v>
      </c>
      <c r="E380">
        <v>5.9215784200000003</v>
      </c>
      <c r="F380">
        <v>7.8075100400000004</v>
      </c>
      <c r="G380">
        <v>8.6226336999999997</v>
      </c>
      <c r="I380">
        <v>137.24722199999999</v>
      </c>
      <c r="J380">
        <v>7.9135210200000001</v>
      </c>
      <c r="K380">
        <v>7.21450441</v>
      </c>
      <c r="L380">
        <v>7.86940171</v>
      </c>
      <c r="M380">
        <v>5.9188938499999999</v>
      </c>
      <c r="N380">
        <v>7.8621122100000003</v>
      </c>
      <c r="O380">
        <v>8.5328696700000002</v>
      </c>
      <c r="Q380">
        <v>137.24722199999999</v>
      </c>
      <c r="R380">
        <v>7.6202147699999996</v>
      </c>
      <c r="S380">
        <v>6.9314718099999997</v>
      </c>
      <c r="T380">
        <v>7.4024515199999996</v>
      </c>
      <c r="U380">
        <v>6.6541525200000002</v>
      </c>
      <c r="V380">
        <v>7.7952349300000003</v>
      </c>
      <c r="W380">
        <v>8.8337542199999994</v>
      </c>
      <c r="Y380">
        <v>137.24722199999999</v>
      </c>
      <c r="Z380">
        <v>7.3192024599999996</v>
      </c>
      <c r="AA380">
        <v>8.1864644299999991</v>
      </c>
      <c r="AB380">
        <v>7.4866133100000001</v>
      </c>
      <c r="AC380">
        <v>7.9437826899999999</v>
      </c>
      <c r="AD380">
        <v>7.8516611799999998</v>
      </c>
      <c r="AE380">
        <v>8.7489396300000006</v>
      </c>
    </row>
    <row r="381" spans="1:31" x14ac:dyDescent="0.2">
      <c r="A381">
        <v>137.61224999999999</v>
      </c>
      <c r="B381">
        <v>7.8030266399999997</v>
      </c>
      <c r="C381">
        <v>6.7957057799999996</v>
      </c>
      <c r="D381">
        <v>7.5485559799999997</v>
      </c>
      <c r="E381">
        <v>5.83481074</v>
      </c>
      <c r="F381">
        <v>7.8168199700000001</v>
      </c>
      <c r="G381">
        <v>8.6141383999999999</v>
      </c>
      <c r="I381">
        <v>137.61224999999999</v>
      </c>
      <c r="J381">
        <v>7.9146177099999999</v>
      </c>
      <c r="K381">
        <v>7.1808312000000001</v>
      </c>
      <c r="L381">
        <v>7.8605707899999997</v>
      </c>
      <c r="M381">
        <v>5.8522024799999999</v>
      </c>
      <c r="N381">
        <v>7.8617270799999996</v>
      </c>
      <c r="O381">
        <v>8.5243673999999992</v>
      </c>
      <c r="Q381">
        <v>137.61224999999999</v>
      </c>
      <c r="R381">
        <v>7.6138186799999996</v>
      </c>
      <c r="S381">
        <v>6.8916259000000002</v>
      </c>
      <c r="T381">
        <v>7.40427912</v>
      </c>
      <c r="U381">
        <v>6.6066501899999999</v>
      </c>
      <c r="V381">
        <v>7.7861364399999999</v>
      </c>
      <c r="W381">
        <v>8.8226169500000005</v>
      </c>
      <c r="Y381">
        <v>137.61224999999999</v>
      </c>
      <c r="Z381">
        <v>7.3421317300000002</v>
      </c>
      <c r="AA381">
        <v>8.1647947999999992</v>
      </c>
      <c r="AB381">
        <v>7.4877337600000002</v>
      </c>
      <c r="AC381">
        <v>7.9237103299999996</v>
      </c>
      <c r="AD381">
        <v>7.8497137600000002</v>
      </c>
      <c r="AE381">
        <v>8.7361680699999997</v>
      </c>
    </row>
    <row r="382" spans="1:31" x14ac:dyDescent="0.2">
      <c r="A382">
        <v>137.97725</v>
      </c>
      <c r="B382">
        <v>7.8042513800000002</v>
      </c>
      <c r="C382">
        <v>6.8254600400000003</v>
      </c>
      <c r="D382">
        <v>7.5496091700000001</v>
      </c>
      <c r="E382">
        <v>5.9080829399999999</v>
      </c>
      <c r="F382">
        <v>7.8135915499999999</v>
      </c>
      <c r="G382">
        <v>8.6134120500000009</v>
      </c>
      <c r="I382">
        <v>137.97725</v>
      </c>
      <c r="J382">
        <v>7.9157131999999999</v>
      </c>
      <c r="K382">
        <v>7.2137683099999999</v>
      </c>
      <c r="L382">
        <v>7.8601850600000001</v>
      </c>
      <c r="M382">
        <v>5.9162020599999998</v>
      </c>
      <c r="N382">
        <v>7.8551570100000001</v>
      </c>
      <c r="O382">
        <v>8.5316876399999995</v>
      </c>
      <c r="Q382">
        <v>137.97725</v>
      </c>
      <c r="R382">
        <v>7.6133249799999998</v>
      </c>
      <c r="S382">
        <v>6.9246124</v>
      </c>
      <c r="T382">
        <v>7.40367029</v>
      </c>
      <c r="U382">
        <v>6.64509097</v>
      </c>
      <c r="V382">
        <v>7.7939990899999998</v>
      </c>
      <c r="W382">
        <v>8.83214991</v>
      </c>
      <c r="Y382">
        <v>137.97725</v>
      </c>
      <c r="Z382">
        <v>7.3594676400000001</v>
      </c>
      <c r="AA382">
        <v>8.1659321400000007</v>
      </c>
      <c r="AB382">
        <v>7.4960973500000003</v>
      </c>
      <c r="AC382">
        <v>7.93415523</v>
      </c>
      <c r="AD382">
        <v>7.8512719999999998</v>
      </c>
      <c r="AE382">
        <v>8.7436911100000003</v>
      </c>
    </row>
    <row r="383" spans="1:31" x14ac:dyDescent="0.2">
      <c r="A383">
        <v>138.34227799999999</v>
      </c>
      <c r="B383">
        <v>7.7927617199999997</v>
      </c>
      <c r="C383">
        <v>6.8243736699999999</v>
      </c>
      <c r="D383">
        <v>7.5331588099999998</v>
      </c>
      <c r="E383">
        <v>5.91079664</v>
      </c>
      <c r="F383">
        <v>7.8172227899999998</v>
      </c>
      <c r="G383">
        <v>8.6287345700000007</v>
      </c>
      <c r="I383">
        <v>138.34227799999999</v>
      </c>
      <c r="J383">
        <v>7.9091221799999998</v>
      </c>
      <c r="K383">
        <v>7.2115567299999999</v>
      </c>
      <c r="L383">
        <v>7.8597991800000004</v>
      </c>
      <c r="M383">
        <v>5.9348941999999996</v>
      </c>
      <c r="N383">
        <v>7.8582541800000003</v>
      </c>
      <c r="O383">
        <v>8.5338536299999994</v>
      </c>
      <c r="Q383">
        <v>138.34227799999999</v>
      </c>
      <c r="R383">
        <v>7.6143121499999999</v>
      </c>
      <c r="S383">
        <v>6.9285378199999998</v>
      </c>
      <c r="T383">
        <v>7.3907985199999997</v>
      </c>
      <c r="U383">
        <v>6.6411821700000004</v>
      </c>
      <c r="V383">
        <v>7.7882115599999997</v>
      </c>
      <c r="W383">
        <v>8.8324417900000007</v>
      </c>
      <c r="Y383">
        <v>138.34227799999999</v>
      </c>
      <c r="Z383">
        <v>7.3639134999999998</v>
      </c>
      <c r="AA383">
        <v>8.1469986999999993</v>
      </c>
      <c r="AB383">
        <v>7.4905293999999998</v>
      </c>
      <c r="AC383">
        <v>7.9302062099999997</v>
      </c>
      <c r="AD383">
        <v>7.85010355</v>
      </c>
      <c r="AE383">
        <v>8.7489396300000006</v>
      </c>
    </row>
    <row r="384" spans="1:31" x14ac:dyDescent="0.2">
      <c r="A384">
        <v>138.70730599999999</v>
      </c>
      <c r="B384">
        <v>7.7956465399999999</v>
      </c>
      <c r="C384">
        <v>6.8221973900000004</v>
      </c>
      <c r="D384">
        <v>7.5406215300000001</v>
      </c>
      <c r="E384">
        <v>5.9026333299999996</v>
      </c>
      <c r="F384">
        <v>7.8143996299999996</v>
      </c>
      <c r="G384">
        <v>8.6184854400000006</v>
      </c>
      <c r="I384">
        <v>138.70730599999999</v>
      </c>
      <c r="J384">
        <v>7.90875474</v>
      </c>
      <c r="K384">
        <v>7.2056351799999998</v>
      </c>
      <c r="L384">
        <v>7.8597991800000004</v>
      </c>
      <c r="M384">
        <v>5.9215784200000003</v>
      </c>
      <c r="N384">
        <v>7.8582541800000003</v>
      </c>
      <c r="O384">
        <v>8.5307015400000008</v>
      </c>
      <c r="Q384">
        <v>138.70730599999999</v>
      </c>
      <c r="R384">
        <v>7.6073814300000002</v>
      </c>
      <c r="S384">
        <v>6.9147308900000004</v>
      </c>
      <c r="T384">
        <v>7.3877092400000004</v>
      </c>
      <c r="U384">
        <v>6.6372580299999999</v>
      </c>
      <c r="V384">
        <v>7.79152282</v>
      </c>
      <c r="W384">
        <v>8.8356469200000003</v>
      </c>
      <c r="Y384">
        <v>138.70730599999999</v>
      </c>
      <c r="Z384">
        <v>7.38274645</v>
      </c>
      <c r="AA384">
        <v>8.1268137199999995</v>
      </c>
      <c r="AB384">
        <v>7.4871736899999997</v>
      </c>
      <c r="AC384">
        <v>7.9359450999999996</v>
      </c>
      <c r="AD384">
        <v>7.8454160399999999</v>
      </c>
      <c r="AE384">
        <v>8.7425742399999997</v>
      </c>
    </row>
    <row r="385" spans="1:31" x14ac:dyDescent="0.2">
      <c r="A385">
        <v>139.072306</v>
      </c>
      <c r="B385">
        <v>7.7906960300000003</v>
      </c>
      <c r="C385">
        <v>6.8200163600000003</v>
      </c>
      <c r="D385">
        <v>7.5304799999999998</v>
      </c>
      <c r="E385">
        <v>5.9080829399999999</v>
      </c>
      <c r="F385">
        <v>7.81075812</v>
      </c>
      <c r="G385">
        <v>8.6188468500000006</v>
      </c>
      <c r="I385">
        <v>139.072306</v>
      </c>
      <c r="J385">
        <v>7.9138867099999999</v>
      </c>
      <c r="K385">
        <v>7.2041492900000001</v>
      </c>
      <c r="L385">
        <v>7.8597991800000004</v>
      </c>
      <c r="M385">
        <v>5.92958914</v>
      </c>
      <c r="N385">
        <v>7.8493238200000004</v>
      </c>
      <c r="O385">
        <v>8.5346401099999998</v>
      </c>
      <c r="Q385">
        <v>139.072306</v>
      </c>
      <c r="R385">
        <v>7.5989004600000003</v>
      </c>
      <c r="S385">
        <v>6.91869522</v>
      </c>
      <c r="T385">
        <v>7.3864708500000003</v>
      </c>
      <c r="U385">
        <v>6.6267177500000001</v>
      </c>
      <c r="V385">
        <v>7.7911095100000001</v>
      </c>
      <c r="W385">
        <v>8.8292263500000008</v>
      </c>
      <c r="Y385">
        <v>139.072306</v>
      </c>
      <c r="Z385">
        <v>7.3846103799999998</v>
      </c>
      <c r="AA385">
        <v>8.1037967099999992</v>
      </c>
      <c r="AB385">
        <v>7.4792996399999998</v>
      </c>
      <c r="AC385">
        <v>7.93773178</v>
      </c>
      <c r="AD385">
        <v>7.8414929200000003</v>
      </c>
      <c r="AE385">
        <v>8.7374525900000002</v>
      </c>
    </row>
    <row r="386" spans="1:31" x14ac:dyDescent="0.2">
      <c r="A386">
        <v>139.437333</v>
      </c>
      <c r="B386">
        <v>7.7902823799999998</v>
      </c>
      <c r="C386">
        <v>6.8254600400000003</v>
      </c>
      <c r="D386">
        <v>7.5315523799999999</v>
      </c>
      <c r="E386">
        <v>5.8998973499999998</v>
      </c>
      <c r="F386">
        <v>7.8046593</v>
      </c>
      <c r="G386">
        <v>8.6184854400000006</v>
      </c>
      <c r="I386">
        <v>139.437333</v>
      </c>
      <c r="J386">
        <v>7.9120568899999997</v>
      </c>
      <c r="K386">
        <v>7.2056351799999998</v>
      </c>
      <c r="L386">
        <v>7.8586406599999998</v>
      </c>
      <c r="M386">
        <v>5.9188938499999999</v>
      </c>
      <c r="N386">
        <v>7.8547691799999999</v>
      </c>
      <c r="O386">
        <v>8.5358186600000003</v>
      </c>
      <c r="Q386">
        <v>139.437333</v>
      </c>
      <c r="R386">
        <v>7.5978979500000001</v>
      </c>
      <c r="S386">
        <v>6.91869522</v>
      </c>
      <c r="T386">
        <v>7.3833681499999999</v>
      </c>
      <c r="U386">
        <v>6.6333184300000001</v>
      </c>
      <c r="V386">
        <v>7.7902823799999998</v>
      </c>
      <c r="W386">
        <v>8.8369551600000005</v>
      </c>
      <c r="Y386">
        <v>139.437333</v>
      </c>
      <c r="Z386">
        <v>7.3808790399999999</v>
      </c>
      <c r="AA386">
        <v>8.0934622699999998</v>
      </c>
      <c r="AB386">
        <v>7.4838066899999998</v>
      </c>
      <c r="AC386">
        <v>7.9352295399999999</v>
      </c>
      <c r="AD386">
        <v>7.84384864</v>
      </c>
      <c r="AE386">
        <v>8.7502078599999997</v>
      </c>
    </row>
    <row r="387" spans="1:31" x14ac:dyDescent="0.2">
      <c r="A387">
        <v>139.802333</v>
      </c>
      <c r="B387">
        <v>7.7902823799999998</v>
      </c>
      <c r="C387">
        <v>6.8090393100000002</v>
      </c>
      <c r="D387">
        <v>7.5315523799999999</v>
      </c>
      <c r="E387">
        <v>5.8777357800000001</v>
      </c>
      <c r="F387">
        <v>7.8091353999999997</v>
      </c>
      <c r="G387">
        <v>8.6217333699999994</v>
      </c>
      <c r="I387">
        <v>139.802333</v>
      </c>
      <c r="J387">
        <v>7.9164428600000001</v>
      </c>
      <c r="K387">
        <v>7.2019163199999996</v>
      </c>
      <c r="L387">
        <v>7.8613417999999999</v>
      </c>
      <c r="M387">
        <v>5.91079664</v>
      </c>
      <c r="N387">
        <v>7.8597991800000004</v>
      </c>
      <c r="O387">
        <v>8.5324758099999993</v>
      </c>
      <c r="Q387">
        <v>139.802333</v>
      </c>
      <c r="R387">
        <v>7.5989004600000003</v>
      </c>
      <c r="S387">
        <v>6.9017372100000003</v>
      </c>
      <c r="T387">
        <v>7.3833681499999999</v>
      </c>
      <c r="U387">
        <v>6.6093492400000002</v>
      </c>
      <c r="V387">
        <v>7.7944112099999998</v>
      </c>
      <c r="W387">
        <v>8.8347738099999997</v>
      </c>
      <c r="Y387">
        <v>139.802333</v>
      </c>
      <c r="Z387">
        <v>7.3833681499999999</v>
      </c>
      <c r="AA387">
        <v>8.0824022499999995</v>
      </c>
      <c r="AB387">
        <v>7.4821189199999996</v>
      </c>
      <c r="AC387">
        <v>7.9294865200000002</v>
      </c>
      <c r="AD387">
        <v>7.8458075000000003</v>
      </c>
      <c r="AE387">
        <v>8.7454436799999993</v>
      </c>
    </row>
    <row r="388" spans="1:31" x14ac:dyDescent="0.2">
      <c r="A388">
        <v>140.16733300000001</v>
      </c>
      <c r="B388">
        <v>7.7877968800000001</v>
      </c>
      <c r="C388">
        <v>6.7900972399999997</v>
      </c>
      <c r="D388">
        <v>7.52725592</v>
      </c>
      <c r="E388">
        <v>5.87493073</v>
      </c>
      <c r="F388">
        <v>7.8220440099999999</v>
      </c>
      <c r="G388">
        <v>8.6197497799999994</v>
      </c>
      <c r="I388">
        <v>140.16733300000001</v>
      </c>
      <c r="J388">
        <v>7.9229859600000001</v>
      </c>
      <c r="K388">
        <v>7.1966865699999998</v>
      </c>
      <c r="L388">
        <v>7.8659554099999998</v>
      </c>
      <c r="M388">
        <v>5.9162020599999998</v>
      </c>
      <c r="N388">
        <v>7.8582541800000003</v>
      </c>
      <c r="O388">
        <v>8.5301094200000005</v>
      </c>
      <c r="Q388">
        <v>140.16733300000001</v>
      </c>
      <c r="R388">
        <v>7.5973963199999996</v>
      </c>
      <c r="S388">
        <v>6.9007306599999998</v>
      </c>
      <c r="T388">
        <v>7.3771337099999998</v>
      </c>
      <c r="U388">
        <v>6.6106960399999997</v>
      </c>
      <c r="V388">
        <v>7.7931743500000001</v>
      </c>
      <c r="W388">
        <v>8.8333169399999996</v>
      </c>
      <c r="Y388">
        <v>140.16733300000001</v>
      </c>
      <c r="Z388">
        <v>7.3808790399999999</v>
      </c>
      <c r="AA388">
        <v>8.0897891800000004</v>
      </c>
      <c r="AB388">
        <v>7.4854916100000004</v>
      </c>
      <c r="AC388">
        <v>7.9258803200000001</v>
      </c>
      <c r="AD388">
        <v>7.8461988199999997</v>
      </c>
      <c r="AE388">
        <v>8.7509996900000004</v>
      </c>
    </row>
    <row r="389" spans="1:31" x14ac:dyDescent="0.2">
      <c r="A389">
        <v>140.53236100000001</v>
      </c>
      <c r="B389">
        <v>7.7882115599999997</v>
      </c>
      <c r="C389">
        <v>6.8046145200000003</v>
      </c>
      <c r="D389">
        <v>7.5240214200000004</v>
      </c>
      <c r="E389">
        <v>5.91079664</v>
      </c>
      <c r="F389">
        <v>7.8160138400000001</v>
      </c>
      <c r="G389">
        <v>8.6305218799999999</v>
      </c>
      <c r="I389">
        <v>140.53236100000001</v>
      </c>
      <c r="J389">
        <v>7.9189924899999999</v>
      </c>
      <c r="K389">
        <v>7.2034055199999996</v>
      </c>
      <c r="L389">
        <v>7.8613417999999999</v>
      </c>
      <c r="M389">
        <v>5.9401712499999997</v>
      </c>
      <c r="N389">
        <v>7.8640356599999999</v>
      </c>
      <c r="O389">
        <v>8.5307015400000008</v>
      </c>
      <c r="Q389">
        <v>140.53236100000001</v>
      </c>
      <c r="R389">
        <v>7.5958899200000003</v>
      </c>
      <c r="S389">
        <v>6.9107507899999998</v>
      </c>
      <c r="T389">
        <v>7.3746290200000004</v>
      </c>
      <c r="U389">
        <v>6.6240652300000002</v>
      </c>
      <c r="V389">
        <v>7.7923489200000002</v>
      </c>
      <c r="W389">
        <v>8.8437593799999998</v>
      </c>
      <c r="Y389">
        <v>140.53236100000001</v>
      </c>
      <c r="Z389">
        <v>7.3783837099999996</v>
      </c>
      <c r="AA389">
        <v>8.0808564199999999</v>
      </c>
      <c r="AB389">
        <v>7.4832444200000001</v>
      </c>
      <c r="AC389">
        <v>7.9323621500000003</v>
      </c>
      <c r="AD389">
        <v>7.8414929200000003</v>
      </c>
      <c r="AE389">
        <v>8.7503662799999997</v>
      </c>
    </row>
    <row r="390" spans="1:31" x14ac:dyDescent="0.2">
      <c r="A390">
        <v>140.89736099999999</v>
      </c>
      <c r="B390">
        <v>7.7823903400000001</v>
      </c>
      <c r="C390">
        <v>6.7934661299999997</v>
      </c>
      <c r="D390">
        <v>7.5234813100000002</v>
      </c>
      <c r="E390">
        <v>5.8861040300000003</v>
      </c>
      <c r="F390">
        <v>7.8164169799999996</v>
      </c>
      <c r="G390">
        <v>8.6249707799999999</v>
      </c>
      <c r="I390">
        <v>140.89736099999999</v>
      </c>
      <c r="J390">
        <v>7.9149830100000003</v>
      </c>
      <c r="K390">
        <v>7.1959372300000002</v>
      </c>
      <c r="L390">
        <v>7.8582541800000003</v>
      </c>
      <c r="M390">
        <v>5.9080829399999999</v>
      </c>
      <c r="N390">
        <v>7.8678714899999997</v>
      </c>
      <c r="O390">
        <v>8.5316876399999995</v>
      </c>
      <c r="Q390">
        <v>140.89736099999999</v>
      </c>
      <c r="R390">
        <v>7.5978979500000001</v>
      </c>
      <c r="S390">
        <v>6.8966943299999999</v>
      </c>
      <c r="T390">
        <v>7.3708601700000003</v>
      </c>
      <c r="U390">
        <v>6.6120410300000003</v>
      </c>
      <c r="V390">
        <v>7.7997533199999998</v>
      </c>
      <c r="W390">
        <v>8.8315658799999994</v>
      </c>
      <c r="Y390">
        <v>140.89736099999999</v>
      </c>
      <c r="Z390">
        <v>7.3758821499999998</v>
      </c>
      <c r="AA390">
        <v>8.0743376900000001</v>
      </c>
      <c r="AB390">
        <v>7.48885296</v>
      </c>
      <c r="AC390">
        <v>7.9284060299999997</v>
      </c>
      <c r="AD390">
        <v>7.8446326400000004</v>
      </c>
      <c r="AE390">
        <v>8.7490982499999994</v>
      </c>
    </row>
    <row r="391" spans="1:31" x14ac:dyDescent="0.2">
      <c r="A391">
        <v>141.262361</v>
      </c>
      <c r="B391">
        <v>7.7844732399999996</v>
      </c>
      <c r="C391">
        <v>6.8057225499999996</v>
      </c>
      <c r="D391">
        <v>7.5164333000000001</v>
      </c>
      <c r="E391">
        <v>5.9135030100000003</v>
      </c>
      <c r="F391">
        <v>7.8172227899999998</v>
      </c>
      <c r="G391">
        <v>8.6292710899999996</v>
      </c>
      <c r="I391">
        <v>141.262361</v>
      </c>
      <c r="J391">
        <v>7.9247959100000003</v>
      </c>
      <c r="K391">
        <v>7.2108184499999997</v>
      </c>
      <c r="L391">
        <v>7.8713112000000001</v>
      </c>
      <c r="M391">
        <v>5.92958914</v>
      </c>
      <c r="N391">
        <v>7.85941315</v>
      </c>
      <c r="O391">
        <v>8.5418857999999993</v>
      </c>
      <c r="Q391">
        <v>141.262361</v>
      </c>
      <c r="R391">
        <v>7.5968944399999998</v>
      </c>
      <c r="S391">
        <v>6.9027427399999999</v>
      </c>
      <c r="T391">
        <v>7.3658128400000003</v>
      </c>
      <c r="U391">
        <v>6.6174029799999996</v>
      </c>
      <c r="V391">
        <v>7.79482315</v>
      </c>
      <c r="W391">
        <v>8.8363739300000006</v>
      </c>
      <c r="Y391">
        <v>141.262361</v>
      </c>
      <c r="Z391">
        <v>7.3765081300000004</v>
      </c>
      <c r="AA391">
        <v>8.0808564199999999</v>
      </c>
      <c r="AB391">
        <v>7.4949862300000003</v>
      </c>
      <c r="AC391">
        <v>7.9287663200000003</v>
      </c>
      <c r="AD391">
        <v>7.8461988199999997</v>
      </c>
      <c r="AE391">
        <v>8.7527395099999996</v>
      </c>
    </row>
    <row r="392" spans="1:31" x14ac:dyDescent="0.2">
      <c r="A392">
        <v>141.62738899999999</v>
      </c>
      <c r="B392">
        <v>7.7823903400000001</v>
      </c>
      <c r="C392">
        <v>6.7990558600000002</v>
      </c>
      <c r="D392">
        <v>7.5153445699999999</v>
      </c>
      <c r="E392">
        <v>5.8805329899999998</v>
      </c>
      <c r="F392">
        <v>7.8172227899999998</v>
      </c>
      <c r="G392">
        <v>8.6238928099999992</v>
      </c>
      <c r="I392">
        <v>141.62738899999999</v>
      </c>
      <c r="J392">
        <v>7.9200831999999997</v>
      </c>
      <c r="K392">
        <v>7.1944368499999998</v>
      </c>
      <c r="L392">
        <v>7.8716926599999999</v>
      </c>
      <c r="M392">
        <v>5.8971538700000004</v>
      </c>
      <c r="N392">
        <v>7.8590269800000003</v>
      </c>
      <c r="O392">
        <v>8.5324758099999993</v>
      </c>
      <c r="Q392">
        <v>141.62738899999999</v>
      </c>
      <c r="R392">
        <v>7.5913570500000001</v>
      </c>
      <c r="S392">
        <v>6.8926416399999999</v>
      </c>
      <c r="T392">
        <v>7.3664451499999997</v>
      </c>
      <c r="U392">
        <v>6.5985090299999998</v>
      </c>
      <c r="V392">
        <v>7.7952349300000003</v>
      </c>
      <c r="W392">
        <v>8.8333169399999996</v>
      </c>
      <c r="Y392">
        <v>141.62738899999999</v>
      </c>
      <c r="Z392">
        <v>7.3821243699999997</v>
      </c>
      <c r="AA392">
        <v>8.0752715500000001</v>
      </c>
      <c r="AB392">
        <v>7.4843686399999996</v>
      </c>
      <c r="AC392">
        <v>7.9262415199999996</v>
      </c>
      <c r="AD392">
        <v>7.8481530900000003</v>
      </c>
      <c r="AE392">
        <v>8.7484636299999998</v>
      </c>
    </row>
    <row r="393" spans="1:31" x14ac:dyDescent="0.2">
      <c r="A393">
        <v>141.992389</v>
      </c>
      <c r="B393">
        <v>7.77443551</v>
      </c>
      <c r="C393">
        <v>6.7799219099999997</v>
      </c>
      <c r="D393">
        <v>7.5126175399999999</v>
      </c>
      <c r="E393">
        <v>5.87493073</v>
      </c>
      <c r="F393">
        <v>7.8143996299999996</v>
      </c>
      <c r="G393">
        <v>8.6228136699999993</v>
      </c>
      <c r="I393">
        <v>141.992389</v>
      </c>
      <c r="J393">
        <v>7.9168074900000001</v>
      </c>
      <c r="K393">
        <v>7.1989312400000003</v>
      </c>
      <c r="L393">
        <v>7.8651879500000001</v>
      </c>
      <c r="M393">
        <v>5.91079664</v>
      </c>
      <c r="N393">
        <v>7.8655717599999999</v>
      </c>
      <c r="O393">
        <v>8.5322788299999992</v>
      </c>
      <c r="Q393">
        <v>141.992389</v>
      </c>
      <c r="R393">
        <v>7.5857888200000003</v>
      </c>
      <c r="S393">
        <v>6.8814112999999999</v>
      </c>
      <c r="T393">
        <v>7.3556410999999997</v>
      </c>
      <c r="U393">
        <v>6.59578051</v>
      </c>
      <c r="V393">
        <v>7.7952349300000003</v>
      </c>
      <c r="W393">
        <v>8.8349193899999996</v>
      </c>
      <c r="Y393">
        <v>141.992389</v>
      </c>
      <c r="Z393">
        <v>7.3740018599999999</v>
      </c>
      <c r="AA393">
        <v>8.07246737</v>
      </c>
      <c r="AB393">
        <v>7.4849302800000004</v>
      </c>
      <c r="AC393">
        <v>7.9218984099999998</v>
      </c>
      <c r="AD393">
        <v>7.8520502099999998</v>
      </c>
      <c r="AE393">
        <v>8.7460802199999996</v>
      </c>
    </row>
    <row r="394" spans="1:31" x14ac:dyDescent="0.2">
      <c r="A394">
        <v>142.357417</v>
      </c>
      <c r="B394">
        <v>7.7752758499999999</v>
      </c>
      <c r="C394">
        <v>6.79234443</v>
      </c>
      <c r="D394">
        <v>7.5087871699999997</v>
      </c>
      <c r="E394">
        <v>5.8777357800000001</v>
      </c>
      <c r="F394">
        <v>7.8180279400000003</v>
      </c>
      <c r="G394">
        <v>8.6310574500000001</v>
      </c>
      <c r="I394">
        <v>142.357417</v>
      </c>
      <c r="J394">
        <v>7.92515751</v>
      </c>
      <c r="K394">
        <v>7.2026611999999997</v>
      </c>
      <c r="L394">
        <v>7.8713112000000001</v>
      </c>
      <c r="M394">
        <v>5.8998973499999998</v>
      </c>
      <c r="N394">
        <v>7.8663389199999996</v>
      </c>
      <c r="O394">
        <v>8.5336569200000003</v>
      </c>
      <c r="Q394">
        <v>142.357417</v>
      </c>
      <c r="R394">
        <v>7.5888298799999996</v>
      </c>
      <c r="S394">
        <v>6.8875525700000004</v>
      </c>
      <c r="T394">
        <v>7.3466551600000001</v>
      </c>
      <c r="U394">
        <v>6.6039438199999996</v>
      </c>
      <c r="V394">
        <v>7.7989333099999998</v>
      </c>
      <c r="W394">
        <v>8.8371004099999997</v>
      </c>
      <c r="Y394">
        <v>142.357417</v>
      </c>
      <c r="Z394">
        <v>7.36833969</v>
      </c>
      <c r="AA394">
        <v>8.0699681499999993</v>
      </c>
      <c r="AB394">
        <v>7.4854916100000004</v>
      </c>
      <c r="AC394">
        <v>7.9258803200000001</v>
      </c>
      <c r="AD394">
        <v>7.8473718400000001</v>
      </c>
      <c r="AE394">
        <v>8.7404967300000003</v>
      </c>
    </row>
    <row r="395" spans="1:31" x14ac:dyDescent="0.2">
      <c r="A395">
        <v>142.722444</v>
      </c>
      <c r="B395">
        <v>7.7706452300000004</v>
      </c>
      <c r="C395">
        <v>6.8189240699999996</v>
      </c>
      <c r="D395">
        <v>7.5131635499999998</v>
      </c>
      <c r="E395">
        <v>5.9427993800000003</v>
      </c>
      <c r="F395">
        <v>7.8180279400000003</v>
      </c>
      <c r="G395">
        <v>8.6226336999999997</v>
      </c>
      <c r="I395">
        <v>142.722444</v>
      </c>
      <c r="J395">
        <v>7.9200831999999997</v>
      </c>
      <c r="K395">
        <v>7.1785454800000004</v>
      </c>
      <c r="L395">
        <v>7.8667222900000002</v>
      </c>
      <c r="M395">
        <v>5.8636311799999996</v>
      </c>
      <c r="N395">
        <v>7.8617270799999996</v>
      </c>
      <c r="O395">
        <v>8.5303068300000007</v>
      </c>
      <c r="Q395">
        <v>142.722444</v>
      </c>
      <c r="R395">
        <v>7.58069975</v>
      </c>
      <c r="S395">
        <v>6.9177056099999996</v>
      </c>
      <c r="T395">
        <v>7.3447190500000001</v>
      </c>
      <c r="U395">
        <v>6.6267177500000001</v>
      </c>
      <c r="V395">
        <v>7.7972912699999997</v>
      </c>
      <c r="W395">
        <v>8.8333169399999996</v>
      </c>
      <c r="Y395">
        <v>142.722444</v>
      </c>
      <c r="Z395">
        <v>7.3721180300000002</v>
      </c>
      <c r="AA395">
        <v>8.0668353100000001</v>
      </c>
      <c r="AB395">
        <v>7.48829352</v>
      </c>
      <c r="AC395">
        <v>7.9146177099999999</v>
      </c>
      <c r="AD395">
        <v>7.8473718400000001</v>
      </c>
      <c r="AE395">
        <v>8.7416159199999992</v>
      </c>
    </row>
    <row r="396" spans="1:31" x14ac:dyDescent="0.2">
      <c r="A396">
        <v>143.087444</v>
      </c>
      <c r="B396">
        <v>7.7659930800000003</v>
      </c>
      <c r="C396">
        <v>6.7799219099999997</v>
      </c>
      <c r="D396">
        <v>7.5021864899999997</v>
      </c>
      <c r="E396">
        <v>5.8916442099999999</v>
      </c>
      <c r="F396">
        <v>7.8208408800000004</v>
      </c>
      <c r="G396">
        <v>8.6331968700000008</v>
      </c>
      <c r="I396">
        <v>143.087444</v>
      </c>
      <c r="J396">
        <v>7.9142522800000004</v>
      </c>
      <c r="K396">
        <v>7.1996783500000001</v>
      </c>
      <c r="L396">
        <v>7.8621122100000003</v>
      </c>
      <c r="M396">
        <v>5.9026333299999996</v>
      </c>
      <c r="N396">
        <v>7.8667222900000002</v>
      </c>
      <c r="O396">
        <v>8.5348366299999991</v>
      </c>
      <c r="Q396">
        <v>143.087444</v>
      </c>
      <c r="R396">
        <v>7.5735312600000002</v>
      </c>
      <c r="S396">
        <v>6.8793557999999999</v>
      </c>
      <c r="T396">
        <v>7.3382381499999996</v>
      </c>
      <c r="U396">
        <v>6.5847913900000004</v>
      </c>
      <c r="V396">
        <v>7.7977020399999999</v>
      </c>
      <c r="W396">
        <v>8.8324417900000007</v>
      </c>
      <c r="Y396">
        <v>143.087444</v>
      </c>
      <c r="Z396">
        <v>7.36833969</v>
      </c>
      <c r="AA396">
        <v>8.0777575600000002</v>
      </c>
      <c r="AB396">
        <v>7.4854916100000004</v>
      </c>
      <c r="AC396">
        <v>7.9233482100000003</v>
      </c>
      <c r="AD396">
        <v>7.8403129800000002</v>
      </c>
      <c r="AE396">
        <v>8.7438505600000003</v>
      </c>
    </row>
    <row r="397" spans="1:31" x14ac:dyDescent="0.2">
      <c r="A397">
        <v>143.45244400000001</v>
      </c>
      <c r="B397">
        <v>7.7655690799999997</v>
      </c>
      <c r="C397">
        <v>6.79234443</v>
      </c>
      <c r="D397">
        <v>7.5027382100000004</v>
      </c>
      <c r="E397">
        <v>5.9080829399999999</v>
      </c>
      <c r="F397">
        <v>7.8160138400000001</v>
      </c>
      <c r="G397">
        <v>8.6323059999999998</v>
      </c>
      <c r="I397">
        <v>143.45244400000001</v>
      </c>
      <c r="J397">
        <v>7.9197197600000004</v>
      </c>
      <c r="K397">
        <v>7.1989312400000003</v>
      </c>
      <c r="L397">
        <v>7.8690193800000001</v>
      </c>
      <c r="M397">
        <v>5.9269260299999997</v>
      </c>
      <c r="N397">
        <v>7.85941315</v>
      </c>
      <c r="O397">
        <v>8.5407143899999998</v>
      </c>
      <c r="Q397">
        <v>143.45244400000001</v>
      </c>
      <c r="R397">
        <v>7.5730172600000003</v>
      </c>
      <c r="S397">
        <v>6.8844866500000004</v>
      </c>
      <c r="T397">
        <v>7.3395377000000002</v>
      </c>
      <c r="U397">
        <v>6.5861716499999998</v>
      </c>
      <c r="V397">
        <v>7.7960579699999997</v>
      </c>
      <c r="W397">
        <v>8.8352104600000008</v>
      </c>
      <c r="Y397">
        <v>143.45244400000001</v>
      </c>
      <c r="Z397">
        <v>7.3607398999999996</v>
      </c>
      <c r="AA397">
        <v>8.0771366400000009</v>
      </c>
      <c r="AB397">
        <v>7.48885296</v>
      </c>
      <c r="AC397">
        <v>7.9229859600000001</v>
      </c>
      <c r="AD397">
        <v>7.8508826599999999</v>
      </c>
      <c r="AE397">
        <v>8.7486223200000008</v>
      </c>
    </row>
    <row r="398" spans="1:31" x14ac:dyDescent="0.2">
      <c r="A398">
        <v>143.81747200000001</v>
      </c>
      <c r="B398">
        <v>7.76387129</v>
      </c>
      <c r="C398">
        <v>6.7707894199999998</v>
      </c>
      <c r="D398">
        <v>7.4949862300000003</v>
      </c>
      <c r="E398">
        <v>5.8721177899999999</v>
      </c>
      <c r="F398">
        <v>7.81156849</v>
      </c>
      <c r="G398">
        <v>8.6280187500000007</v>
      </c>
      <c r="I398">
        <v>143.81747200000001</v>
      </c>
      <c r="J398">
        <v>7.9200831999999997</v>
      </c>
      <c r="K398">
        <v>7.1944368499999998</v>
      </c>
      <c r="L398">
        <v>7.8663389199999996</v>
      </c>
      <c r="M398">
        <v>5.9162020599999998</v>
      </c>
      <c r="N398">
        <v>7.8586406599999998</v>
      </c>
      <c r="O398">
        <v>8.5340503099999996</v>
      </c>
      <c r="Q398">
        <v>143.81747200000001</v>
      </c>
      <c r="R398">
        <v>7.5657932800000003</v>
      </c>
      <c r="S398">
        <v>6.8783264700000002</v>
      </c>
      <c r="T398">
        <v>7.3356339799999999</v>
      </c>
      <c r="U398">
        <v>6.5806391399999997</v>
      </c>
      <c r="V398">
        <v>7.7981126300000003</v>
      </c>
      <c r="W398">
        <v>8.8305430099999995</v>
      </c>
      <c r="Y398">
        <v>143.81747200000001</v>
      </c>
      <c r="Z398">
        <v>7.3664451499999997</v>
      </c>
      <c r="AA398">
        <v>8.0765153299999994</v>
      </c>
      <c r="AB398">
        <v>7.48885296</v>
      </c>
      <c r="AC398">
        <v>7.9186286499999996</v>
      </c>
      <c r="AD398">
        <v>7.8454160399999999</v>
      </c>
      <c r="AE398">
        <v>8.7398566300000002</v>
      </c>
    </row>
    <row r="399" spans="1:31" x14ac:dyDescent="0.2">
      <c r="A399">
        <v>144.18247199999999</v>
      </c>
      <c r="B399">
        <v>7.7672639999999999</v>
      </c>
      <c r="C399">
        <v>6.7810576300000003</v>
      </c>
      <c r="D399">
        <v>7.4955419399999998</v>
      </c>
      <c r="E399">
        <v>5.9135030100000003</v>
      </c>
      <c r="F399">
        <v>7.8188324400000004</v>
      </c>
      <c r="G399">
        <v>8.6383483099999996</v>
      </c>
      <c r="I399">
        <v>144.18247199999999</v>
      </c>
      <c r="J399">
        <v>7.9226235699999998</v>
      </c>
      <c r="K399">
        <v>7.1981835800000002</v>
      </c>
      <c r="L399">
        <v>7.8728361800000002</v>
      </c>
      <c r="M399">
        <v>5.9348941999999996</v>
      </c>
      <c r="N399">
        <v>7.8574807900000003</v>
      </c>
      <c r="O399">
        <v>8.5352295500000004</v>
      </c>
      <c r="Q399">
        <v>144.18247199999999</v>
      </c>
      <c r="R399">
        <v>7.5709585800000001</v>
      </c>
      <c r="S399">
        <v>6.8803840799999998</v>
      </c>
      <c r="T399">
        <v>7.3290937400000002</v>
      </c>
      <c r="U399">
        <v>6.5792512099999998</v>
      </c>
      <c r="V399">
        <v>7.8005726500000003</v>
      </c>
      <c r="W399">
        <v>8.84274892</v>
      </c>
      <c r="Y399">
        <v>144.18247199999999</v>
      </c>
      <c r="Z399">
        <v>7.3677085699999996</v>
      </c>
      <c r="AA399">
        <v>8.0854867699999993</v>
      </c>
      <c r="AB399">
        <v>7.4910875900000002</v>
      </c>
      <c r="AC399">
        <v>7.9258803200000001</v>
      </c>
      <c r="AD399">
        <v>7.8481530900000003</v>
      </c>
      <c r="AE399">
        <v>8.7506830299999994</v>
      </c>
    </row>
    <row r="400" spans="1:31" x14ac:dyDescent="0.2">
      <c r="A400">
        <v>144.547472</v>
      </c>
      <c r="B400">
        <v>7.7523351600000003</v>
      </c>
      <c r="C400">
        <v>6.77422389</v>
      </c>
      <c r="D400">
        <v>7.4899709000000003</v>
      </c>
      <c r="E400">
        <v>5.91079664</v>
      </c>
      <c r="F400">
        <v>7.8196363</v>
      </c>
      <c r="G400">
        <v>8.6330187600000006</v>
      </c>
      <c r="I400">
        <v>144.547472</v>
      </c>
      <c r="J400">
        <v>7.91826469</v>
      </c>
      <c r="K400">
        <v>7.2086003400000003</v>
      </c>
      <c r="L400">
        <v>7.8663389199999996</v>
      </c>
      <c r="M400">
        <v>5.92958914</v>
      </c>
      <c r="N400">
        <v>7.8586406599999998</v>
      </c>
      <c r="O400">
        <v>8.5375838799999997</v>
      </c>
      <c r="Q400">
        <v>144.547472</v>
      </c>
      <c r="R400">
        <v>7.5637196700000002</v>
      </c>
      <c r="S400">
        <v>6.8803840799999998</v>
      </c>
      <c r="T400">
        <v>7.3284373499999997</v>
      </c>
      <c r="U400">
        <v>6.5834092200000001</v>
      </c>
      <c r="V400">
        <v>7.7977020399999999</v>
      </c>
      <c r="W400">
        <v>8.8366645899999998</v>
      </c>
      <c r="Y400">
        <v>144.547472</v>
      </c>
      <c r="Z400">
        <v>7.3607398999999996</v>
      </c>
      <c r="AA400">
        <v>8.0833286100000006</v>
      </c>
      <c r="AB400">
        <v>7.4899709000000003</v>
      </c>
      <c r="AC400">
        <v>7.9179005900000003</v>
      </c>
      <c r="AD400">
        <v>7.84267147</v>
      </c>
      <c r="AE400">
        <v>8.7448067399999996</v>
      </c>
    </row>
    <row r="401" spans="1:31" x14ac:dyDescent="0.2">
      <c r="A401">
        <v>144.91249999999999</v>
      </c>
      <c r="B401">
        <v>7.7536235500000004</v>
      </c>
      <c r="C401">
        <v>6.7546040999999999</v>
      </c>
      <c r="D401">
        <v>7.4894120800000001</v>
      </c>
      <c r="E401">
        <v>5.8664680599999999</v>
      </c>
      <c r="F401">
        <v>7.8196363</v>
      </c>
      <c r="G401">
        <v>8.6273024100000004</v>
      </c>
      <c r="I401">
        <v>144.91249999999999</v>
      </c>
      <c r="J401">
        <v>7.9273243600000001</v>
      </c>
      <c r="K401">
        <v>7.1959372300000002</v>
      </c>
      <c r="L401">
        <v>7.8713112000000001</v>
      </c>
      <c r="M401">
        <v>5.9269260299999997</v>
      </c>
      <c r="N401">
        <v>7.8678714899999997</v>
      </c>
      <c r="O401">
        <v>8.53719188</v>
      </c>
      <c r="Q401">
        <v>144.91249999999999</v>
      </c>
      <c r="R401">
        <v>7.5611215899999999</v>
      </c>
      <c r="S401">
        <v>6.8575140599999997</v>
      </c>
      <c r="T401">
        <v>7.3218497100000004</v>
      </c>
      <c r="U401">
        <v>6.5581978000000003</v>
      </c>
      <c r="V401">
        <v>7.7956465399999999</v>
      </c>
      <c r="W401">
        <v>8.8368098800000006</v>
      </c>
      <c r="Y401">
        <v>144.91249999999999</v>
      </c>
      <c r="Z401">
        <v>7.3581937499999999</v>
      </c>
      <c r="AA401">
        <v>8.0839456999999992</v>
      </c>
      <c r="AB401">
        <v>7.4894120800000001</v>
      </c>
      <c r="AC401">
        <v>7.9179005900000003</v>
      </c>
      <c r="AD401">
        <v>7.84227878</v>
      </c>
      <c r="AE401">
        <v>8.7448067399999996</v>
      </c>
    </row>
    <row r="402" spans="1:31" x14ac:dyDescent="0.2">
      <c r="A402">
        <v>145.2775</v>
      </c>
      <c r="B402">
        <v>7.7536235500000004</v>
      </c>
      <c r="C402">
        <v>6.7522703799999997</v>
      </c>
      <c r="D402">
        <v>7.4804283099999997</v>
      </c>
      <c r="E402">
        <v>5.8692969100000001</v>
      </c>
      <c r="F402">
        <v>7.8131872700000002</v>
      </c>
      <c r="G402">
        <v>8.6328406100000006</v>
      </c>
      <c r="I402">
        <v>145.2775</v>
      </c>
      <c r="J402">
        <v>7.9204465099999997</v>
      </c>
      <c r="K402">
        <v>7.1944368499999998</v>
      </c>
      <c r="L402">
        <v>7.86940171</v>
      </c>
      <c r="M402">
        <v>5.91079664</v>
      </c>
      <c r="N402">
        <v>7.8663389199999996</v>
      </c>
      <c r="O402">
        <v>8.53719188</v>
      </c>
      <c r="Q402">
        <v>145.2775</v>
      </c>
      <c r="R402">
        <v>7.5574728999999996</v>
      </c>
      <c r="S402">
        <v>6.86275791</v>
      </c>
      <c r="T402">
        <v>7.3152183900000001</v>
      </c>
      <c r="U402">
        <v>6.5624440899999996</v>
      </c>
      <c r="V402">
        <v>7.80016307</v>
      </c>
      <c r="W402">
        <v>8.8347738099999997</v>
      </c>
      <c r="Y402">
        <v>145.2775</v>
      </c>
      <c r="Z402">
        <v>7.3511582300000002</v>
      </c>
      <c r="AA402">
        <v>8.0885618099999999</v>
      </c>
      <c r="AB402">
        <v>7.4826818299999998</v>
      </c>
      <c r="AC402">
        <v>7.9138867099999999</v>
      </c>
      <c r="AD402">
        <v>7.8461988199999997</v>
      </c>
      <c r="AE402">
        <v>8.7456028499999992</v>
      </c>
    </row>
    <row r="403" spans="1:31" x14ac:dyDescent="0.2">
      <c r="A403">
        <v>145.642528</v>
      </c>
      <c r="B403">
        <v>7.7553388099999996</v>
      </c>
      <c r="C403">
        <v>6.7719355600000002</v>
      </c>
      <c r="D403">
        <v>7.4764723799999997</v>
      </c>
      <c r="E403">
        <v>5.9135030100000003</v>
      </c>
      <c r="F403">
        <v>7.8192344499999997</v>
      </c>
      <c r="G403">
        <v>8.6344427499999998</v>
      </c>
      <c r="I403">
        <v>145.642528</v>
      </c>
      <c r="J403">
        <v>7.9305658499999998</v>
      </c>
      <c r="K403">
        <v>7.2026611999999997</v>
      </c>
      <c r="L403">
        <v>7.8709296000000002</v>
      </c>
      <c r="M403">
        <v>5.9454206100000002</v>
      </c>
      <c r="N403">
        <v>7.86940171</v>
      </c>
      <c r="O403">
        <v>8.5420809099999992</v>
      </c>
      <c r="Q403">
        <v>145.642528</v>
      </c>
      <c r="R403">
        <v>7.5559050900000004</v>
      </c>
      <c r="S403">
        <v>6.8700534099999997</v>
      </c>
      <c r="T403">
        <v>7.3152183900000001</v>
      </c>
      <c r="U403">
        <v>6.5806391399999997</v>
      </c>
      <c r="V403">
        <v>7.7944112099999998</v>
      </c>
      <c r="W403">
        <v>8.8407249199999995</v>
      </c>
      <c r="Y403">
        <v>145.642528</v>
      </c>
      <c r="Z403">
        <v>7.3613754299999998</v>
      </c>
      <c r="AA403">
        <v>8.0891756800000003</v>
      </c>
      <c r="AB403">
        <v>7.4894120800000001</v>
      </c>
      <c r="AC403">
        <v>7.9186286499999996</v>
      </c>
      <c r="AD403">
        <v>7.8477625399999997</v>
      </c>
      <c r="AE403">
        <v>8.7494154099999992</v>
      </c>
    </row>
    <row r="404" spans="1:31" x14ac:dyDescent="0.2">
      <c r="A404">
        <v>146.007722</v>
      </c>
      <c r="B404">
        <v>7.7493224600000001</v>
      </c>
      <c r="C404">
        <v>6.7592552699999997</v>
      </c>
      <c r="D404">
        <v>7.4747721800000004</v>
      </c>
      <c r="E404">
        <v>5.8777357800000001</v>
      </c>
      <c r="F404">
        <v>7.8127828199999998</v>
      </c>
      <c r="G404">
        <v>8.62855566</v>
      </c>
      <c r="I404">
        <v>146.007722</v>
      </c>
      <c r="J404">
        <v>7.9218984099999998</v>
      </c>
      <c r="K404">
        <v>7.1914293300000001</v>
      </c>
      <c r="L404">
        <v>7.8739783799999996</v>
      </c>
      <c r="M404">
        <v>5.9135030100000003</v>
      </c>
      <c r="N404">
        <v>7.8644198999999997</v>
      </c>
      <c r="O404">
        <v>8.5413002700000007</v>
      </c>
      <c r="Q404">
        <v>146.007722</v>
      </c>
      <c r="R404">
        <v>7.5553819400000002</v>
      </c>
      <c r="S404">
        <v>6.8543545000000003</v>
      </c>
      <c r="T404">
        <v>7.3011478099999998</v>
      </c>
      <c r="U404">
        <v>6.5596152400000003</v>
      </c>
      <c r="V404">
        <v>7.7931743500000001</v>
      </c>
      <c r="W404">
        <v>8.84274892</v>
      </c>
      <c r="Y404">
        <v>146.007722</v>
      </c>
      <c r="Z404">
        <v>7.3543623299999998</v>
      </c>
      <c r="AA404">
        <v>8.0854867699999993</v>
      </c>
      <c r="AB404">
        <v>7.4843686399999996</v>
      </c>
      <c r="AC404">
        <v>7.9098566699999999</v>
      </c>
      <c r="AD404">
        <v>7.8391316499999997</v>
      </c>
      <c r="AE404">
        <v>8.7420951999999996</v>
      </c>
    </row>
    <row r="405" spans="1:31" x14ac:dyDescent="0.2">
      <c r="A405">
        <v>146.37261100000001</v>
      </c>
      <c r="B405">
        <v>7.73455884</v>
      </c>
      <c r="C405">
        <v>6.7487595499999999</v>
      </c>
      <c r="D405">
        <v>7.4719320800000002</v>
      </c>
      <c r="E405">
        <v>5.8721177899999999</v>
      </c>
      <c r="F405">
        <v>7.80506704</v>
      </c>
      <c r="G405">
        <v>8.6276606400000002</v>
      </c>
      <c r="I405">
        <v>146.37261100000001</v>
      </c>
      <c r="J405">
        <v>7.9146177099999999</v>
      </c>
      <c r="K405">
        <v>7.1936858199999998</v>
      </c>
      <c r="L405">
        <v>7.86940171</v>
      </c>
      <c r="M405">
        <v>5.9135030100000003</v>
      </c>
      <c r="N405">
        <v>7.8567067899999996</v>
      </c>
      <c r="O405">
        <v>8.5377798299999998</v>
      </c>
      <c r="Q405">
        <v>146.37261100000001</v>
      </c>
      <c r="R405">
        <v>7.5496091700000001</v>
      </c>
      <c r="S405">
        <v>6.8426832800000001</v>
      </c>
      <c r="T405">
        <v>7.3045159499999999</v>
      </c>
      <c r="U405">
        <v>6.5482190999999998</v>
      </c>
      <c r="V405">
        <v>7.7927617199999997</v>
      </c>
      <c r="W405">
        <v>8.8353559700000002</v>
      </c>
      <c r="Y405">
        <v>146.37261100000001</v>
      </c>
      <c r="Z405">
        <v>7.3569182399999997</v>
      </c>
      <c r="AA405">
        <v>8.0925452599999996</v>
      </c>
      <c r="AB405">
        <v>7.4866133100000001</v>
      </c>
      <c r="AC405">
        <v>7.9113240200000003</v>
      </c>
      <c r="AD405">
        <v>7.8497137600000002</v>
      </c>
      <c r="AE405">
        <v>8.7390559200000002</v>
      </c>
    </row>
    <row r="406" spans="1:31" x14ac:dyDescent="0.2">
      <c r="A406">
        <v>146.73761099999999</v>
      </c>
      <c r="B406">
        <v>7.7389237599999996</v>
      </c>
      <c r="C406">
        <v>6.7615727699999999</v>
      </c>
      <c r="D406">
        <v>7.4581861600000003</v>
      </c>
      <c r="E406">
        <v>5.9026333299999996</v>
      </c>
      <c r="F406">
        <v>7.8026180600000004</v>
      </c>
      <c r="G406">
        <v>8.63479843</v>
      </c>
      <c r="I406">
        <v>146.73761099999999</v>
      </c>
      <c r="J406">
        <v>7.9168074900000001</v>
      </c>
      <c r="K406">
        <v>7.1914293300000001</v>
      </c>
      <c r="L406">
        <v>7.8678714899999997</v>
      </c>
      <c r="M406">
        <v>5.9348941999999996</v>
      </c>
      <c r="N406">
        <v>7.85321639</v>
      </c>
      <c r="O406">
        <v>8.53719188</v>
      </c>
      <c r="Q406">
        <v>146.73761099999999</v>
      </c>
      <c r="R406">
        <v>7.5448610699999996</v>
      </c>
      <c r="S406">
        <v>6.8490662799999997</v>
      </c>
      <c r="T406">
        <v>7.2984451000000004</v>
      </c>
      <c r="U406">
        <v>6.5439118499999998</v>
      </c>
      <c r="V406">
        <v>7.7939990899999998</v>
      </c>
      <c r="W406">
        <v>8.8373908599999993</v>
      </c>
      <c r="Y406">
        <v>146.73761099999999</v>
      </c>
      <c r="Z406">
        <v>7.3537223300000001</v>
      </c>
      <c r="AA406">
        <v>8.0873329300000005</v>
      </c>
      <c r="AB406">
        <v>7.4849302800000004</v>
      </c>
      <c r="AC406">
        <v>7.9028571899999998</v>
      </c>
      <c r="AD406">
        <v>7.8383433199999999</v>
      </c>
      <c r="AE406">
        <v>8.7452844800000005</v>
      </c>
    </row>
    <row r="407" spans="1:31" x14ac:dyDescent="0.2">
      <c r="A407">
        <v>147.10263900000001</v>
      </c>
      <c r="B407">
        <v>7.7419678999999997</v>
      </c>
      <c r="C407">
        <v>6.7393366300000004</v>
      </c>
      <c r="D407">
        <v>7.4650827399999997</v>
      </c>
      <c r="E407">
        <v>5.8692969100000001</v>
      </c>
      <c r="F407">
        <v>7.81075812</v>
      </c>
      <c r="G407">
        <v>8.6249707799999999</v>
      </c>
      <c r="I407">
        <v>147.10263900000001</v>
      </c>
      <c r="J407">
        <v>7.9218984099999998</v>
      </c>
      <c r="K407">
        <v>7.1831117000000004</v>
      </c>
      <c r="L407">
        <v>7.8713112000000001</v>
      </c>
      <c r="M407">
        <v>5.9162020599999998</v>
      </c>
      <c r="N407">
        <v>7.8524390899999998</v>
      </c>
      <c r="O407">
        <v>8.5403236099999997</v>
      </c>
      <c r="Q407">
        <v>147.10263900000001</v>
      </c>
      <c r="R407">
        <v>7.5374300400000003</v>
      </c>
      <c r="S407">
        <v>6.8330317300000001</v>
      </c>
      <c r="T407">
        <v>7.28550655</v>
      </c>
      <c r="U407">
        <v>6.5352412700000002</v>
      </c>
      <c r="V407">
        <v>7.79482315</v>
      </c>
      <c r="W407">
        <v>8.8328794599999991</v>
      </c>
      <c r="Y407">
        <v>147.10263900000001</v>
      </c>
      <c r="Z407">
        <v>7.3492308199999998</v>
      </c>
      <c r="AA407">
        <v>8.0900957800000004</v>
      </c>
      <c r="AB407">
        <v>7.4809921599999996</v>
      </c>
      <c r="AC407">
        <v>7.8954360100000001</v>
      </c>
      <c r="AD407">
        <v>7.8332039499999997</v>
      </c>
      <c r="AE407">
        <v>8.7388957000000005</v>
      </c>
    </row>
    <row r="408" spans="1:31" x14ac:dyDescent="0.2">
      <c r="A408">
        <v>147.46763899999999</v>
      </c>
      <c r="B408">
        <v>7.7253300400000002</v>
      </c>
      <c r="C408">
        <v>6.7417006900000001</v>
      </c>
      <c r="D408">
        <v>7.4616403900000003</v>
      </c>
      <c r="E408">
        <v>5.8971538700000004</v>
      </c>
      <c r="F408">
        <v>7.8164169799999996</v>
      </c>
      <c r="G408">
        <v>8.63657495</v>
      </c>
      <c r="I408">
        <v>147.46763899999999</v>
      </c>
      <c r="J408">
        <v>7.9240723199999996</v>
      </c>
      <c r="K408">
        <v>7.1981835800000002</v>
      </c>
      <c r="L408">
        <v>7.8686368900000003</v>
      </c>
      <c r="M408">
        <v>5.9242558000000001</v>
      </c>
      <c r="N408">
        <v>7.8578675599999999</v>
      </c>
      <c r="O408">
        <v>8.5354259599999995</v>
      </c>
      <c r="Q408">
        <v>147.46763899999999</v>
      </c>
      <c r="R408">
        <v>7.5379626599999998</v>
      </c>
      <c r="S408">
        <v>6.8490662799999997</v>
      </c>
      <c r="T408">
        <v>7.2765563999999996</v>
      </c>
      <c r="U408">
        <v>6.5381398199999996</v>
      </c>
      <c r="V408">
        <v>7.7981126300000003</v>
      </c>
      <c r="W408">
        <v>8.8320039300000008</v>
      </c>
      <c r="Y408">
        <v>147.46763899999999</v>
      </c>
      <c r="Z408">
        <v>7.3408355500000004</v>
      </c>
      <c r="AA408">
        <v>8.0919334599999999</v>
      </c>
      <c r="AB408">
        <v>7.4821189199999996</v>
      </c>
      <c r="AC408">
        <v>7.9061788399999999</v>
      </c>
      <c r="AD408">
        <v>7.8347881099999999</v>
      </c>
      <c r="AE408">
        <v>8.7459211200000002</v>
      </c>
    </row>
    <row r="409" spans="1:31" x14ac:dyDescent="0.2">
      <c r="A409">
        <v>147.83266699999999</v>
      </c>
      <c r="B409">
        <v>7.7279755400000001</v>
      </c>
      <c r="C409">
        <v>6.7298240700000003</v>
      </c>
      <c r="D409">
        <v>7.4506607999999996</v>
      </c>
      <c r="E409">
        <v>5.8636311799999996</v>
      </c>
      <c r="F409">
        <v>7.8066963700000001</v>
      </c>
      <c r="G409">
        <v>8.6328406100000006</v>
      </c>
      <c r="I409">
        <v>147.83266699999999</v>
      </c>
      <c r="J409">
        <v>7.9215356300000002</v>
      </c>
      <c r="K409">
        <v>7.1891677400000003</v>
      </c>
      <c r="L409">
        <v>7.8624972</v>
      </c>
      <c r="M409">
        <v>5.9135030100000003</v>
      </c>
      <c r="N409">
        <v>7.8539930900000003</v>
      </c>
      <c r="O409">
        <v>8.5366035799999995</v>
      </c>
      <c r="Q409">
        <v>147.83266699999999</v>
      </c>
      <c r="R409">
        <v>7.5368971299999998</v>
      </c>
      <c r="S409">
        <v>6.8373328100000004</v>
      </c>
      <c r="T409">
        <v>7.2800082499999998</v>
      </c>
      <c r="U409">
        <v>6.52356231</v>
      </c>
      <c r="V409">
        <v>7.7931743500000001</v>
      </c>
      <c r="W409">
        <v>8.8325876999999995</v>
      </c>
      <c r="Y409">
        <v>147.83266699999999</v>
      </c>
      <c r="Z409">
        <v>7.3472996999999998</v>
      </c>
      <c r="AA409">
        <v>8.0931566999999998</v>
      </c>
      <c r="AB409">
        <v>7.4832444200000001</v>
      </c>
      <c r="AC409">
        <v>7.9013773499999997</v>
      </c>
      <c r="AD409">
        <v>7.8264431400000003</v>
      </c>
      <c r="AE409">
        <v>8.7424145800000002</v>
      </c>
    </row>
    <row r="410" spans="1:31" x14ac:dyDescent="0.2">
      <c r="A410">
        <v>148.197667</v>
      </c>
      <c r="B410">
        <v>7.7310531400000002</v>
      </c>
      <c r="C410">
        <v>6.73815249</v>
      </c>
      <c r="D410">
        <v>7.4494980100000001</v>
      </c>
      <c r="E410">
        <v>5.8971538700000004</v>
      </c>
      <c r="F410">
        <v>7.8127828199999998</v>
      </c>
      <c r="G410">
        <v>8.6339089900000001</v>
      </c>
      <c r="I410">
        <v>148.197667</v>
      </c>
      <c r="J410">
        <v>7.9280455999999999</v>
      </c>
      <c r="K410">
        <v>7.1906760299999997</v>
      </c>
      <c r="L410">
        <v>7.8701659499999996</v>
      </c>
      <c r="M410">
        <v>5.9427993800000003</v>
      </c>
      <c r="N410">
        <v>7.8674885699999999</v>
      </c>
      <c r="O410">
        <v>8.5373879000000006</v>
      </c>
      <c r="Q410">
        <v>148.197667</v>
      </c>
      <c r="R410">
        <v>7.5352967</v>
      </c>
      <c r="S410">
        <v>6.8448154800000003</v>
      </c>
      <c r="T410">
        <v>7.2654297200000002</v>
      </c>
      <c r="U410">
        <v>6.5294188399999999</v>
      </c>
      <c r="V410">
        <v>7.7956465399999999</v>
      </c>
      <c r="W410">
        <v>8.8355014599999997</v>
      </c>
      <c r="Y410">
        <v>148.197667</v>
      </c>
      <c r="Z410">
        <v>7.3453648400000002</v>
      </c>
      <c r="AA410">
        <v>8.0989467499999996</v>
      </c>
      <c r="AB410">
        <v>7.4787348299999996</v>
      </c>
      <c r="AC410">
        <v>7.8946908499999999</v>
      </c>
      <c r="AD410">
        <v>7.8343923000000002</v>
      </c>
      <c r="AE410">
        <v>8.74033674</v>
      </c>
    </row>
    <row r="411" spans="1:31" x14ac:dyDescent="0.2">
      <c r="A411">
        <v>148.562667</v>
      </c>
      <c r="B411">
        <v>7.71735127</v>
      </c>
      <c r="C411">
        <v>6.7274317200000002</v>
      </c>
      <c r="D411">
        <v>7.4494980100000001</v>
      </c>
      <c r="E411">
        <v>5.8692969100000001</v>
      </c>
      <c r="F411">
        <v>7.8131872700000002</v>
      </c>
      <c r="G411">
        <v>8.6323059999999998</v>
      </c>
      <c r="I411">
        <v>148.562667</v>
      </c>
      <c r="J411">
        <v>7.9175363499999998</v>
      </c>
      <c r="K411">
        <v>7.1861442999999996</v>
      </c>
      <c r="L411">
        <v>7.87473913</v>
      </c>
      <c r="M411">
        <v>5.9215784200000003</v>
      </c>
      <c r="N411">
        <v>7.8559321999999998</v>
      </c>
      <c r="O411">
        <v>8.5346401099999998</v>
      </c>
      <c r="Q411">
        <v>148.562667</v>
      </c>
      <c r="R411">
        <v>7.5294064599999997</v>
      </c>
      <c r="S411">
        <v>6.8297937400000004</v>
      </c>
      <c r="T411">
        <v>7.2577076800000002</v>
      </c>
      <c r="U411">
        <v>6.5132301100000003</v>
      </c>
      <c r="V411">
        <v>7.79852305</v>
      </c>
      <c r="W411">
        <v>8.8328794599999991</v>
      </c>
      <c r="Y411">
        <v>148.562667</v>
      </c>
      <c r="Z411">
        <v>7.3434262300000004</v>
      </c>
      <c r="AA411">
        <v>8.0916274099999992</v>
      </c>
      <c r="AB411">
        <v>7.4804283099999997</v>
      </c>
      <c r="AC411">
        <v>7.8924520400000002</v>
      </c>
      <c r="AD411">
        <v>7.8292325399999996</v>
      </c>
      <c r="AE411">
        <v>8.7408166299999994</v>
      </c>
    </row>
    <row r="412" spans="1:31" x14ac:dyDescent="0.2">
      <c r="A412">
        <v>148.92766700000001</v>
      </c>
      <c r="B412">
        <v>7.7146774699999998</v>
      </c>
      <c r="C412">
        <v>6.7345916600000004</v>
      </c>
      <c r="D412">
        <v>7.4419067300000004</v>
      </c>
      <c r="E412">
        <v>5.8692969100000001</v>
      </c>
      <c r="F412">
        <v>7.8075100400000004</v>
      </c>
      <c r="G412">
        <v>8.6301646699999992</v>
      </c>
      <c r="I412">
        <v>148.92766700000001</v>
      </c>
      <c r="J412">
        <v>7.9157131999999999</v>
      </c>
      <c r="K412">
        <v>7.1876571599999997</v>
      </c>
      <c r="L412">
        <v>7.8678714899999997</v>
      </c>
      <c r="M412">
        <v>5.91079664</v>
      </c>
      <c r="N412">
        <v>7.8547691799999999</v>
      </c>
      <c r="O412">
        <v>8.5350331100000005</v>
      </c>
      <c r="Q412">
        <v>148.92766700000001</v>
      </c>
      <c r="R412">
        <v>7.5245612299999998</v>
      </c>
      <c r="S412">
        <v>6.8265452199999999</v>
      </c>
      <c r="T412">
        <v>7.2499255399999996</v>
      </c>
      <c r="U412">
        <v>6.5220928000000002</v>
      </c>
      <c r="V412">
        <v>7.79193596</v>
      </c>
      <c r="W412">
        <v>8.8293727400000002</v>
      </c>
      <c r="Y412">
        <v>148.92766700000001</v>
      </c>
      <c r="Z412">
        <v>7.3414838500000004</v>
      </c>
      <c r="AA412">
        <v>8.0904022999999992</v>
      </c>
      <c r="AB412">
        <v>7.4792996399999998</v>
      </c>
      <c r="AC412">
        <v>7.8935720700000003</v>
      </c>
      <c r="AD412">
        <v>7.8351837599999996</v>
      </c>
      <c r="AE412">
        <v>8.7406566899999998</v>
      </c>
    </row>
    <row r="413" spans="1:31" x14ac:dyDescent="0.2">
      <c r="A413">
        <v>149.292722</v>
      </c>
      <c r="B413">
        <v>7.71735127</v>
      </c>
      <c r="C413">
        <v>6.7369669600000002</v>
      </c>
      <c r="D413">
        <v>7.4395593099999999</v>
      </c>
      <c r="E413">
        <v>5.8944028299999998</v>
      </c>
      <c r="F413">
        <v>7.8087293100000004</v>
      </c>
      <c r="G413">
        <v>8.6346206100000007</v>
      </c>
      <c r="I413">
        <v>149.292722</v>
      </c>
      <c r="J413">
        <v>7.9222610600000003</v>
      </c>
      <c r="K413">
        <v>7.1884127400000004</v>
      </c>
      <c r="L413">
        <v>7.8686368900000003</v>
      </c>
      <c r="M413">
        <v>5.9322451899999997</v>
      </c>
      <c r="N413">
        <v>7.85941315</v>
      </c>
      <c r="O413">
        <v>8.5366035799999995</v>
      </c>
      <c r="Q413">
        <v>149.292722</v>
      </c>
      <c r="R413">
        <v>7.5224002299999997</v>
      </c>
      <c r="S413">
        <v>6.8384052000000004</v>
      </c>
      <c r="T413">
        <v>7.2548848100000001</v>
      </c>
      <c r="U413">
        <v>6.5294188399999999</v>
      </c>
      <c r="V413">
        <v>7.79193596</v>
      </c>
      <c r="W413">
        <v>8.8405801900000007</v>
      </c>
      <c r="Y413">
        <v>149.292722</v>
      </c>
      <c r="Z413">
        <v>7.33432935</v>
      </c>
      <c r="AA413">
        <v>8.0968174699999995</v>
      </c>
      <c r="AB413">
        <v>7.4719320800000002</v>
      </c>
      <c r="AC413">
        <v>7.9032268099999996</v>
      </c>
      <c r="AD413">
        <v>7.8304256199999998</v>
      </c>
      <c r="AE413">
        <v>8.7449660100000006</v>
      </c>
    </row>
    <row r="414" spans="1:31" x14ac:dyDescent="0.2">
      <c r="A414">
        <v>149.65772200000001</v>
      </c>
      <c r="B414">
        <v>7.7155695299999998</v>
      </c>
      <c r="C414">
        <v>6.7214257000000002</v>
      </c>
      <c r="D414">
        <v>7.4389715900000004</v>
      </c>
      <c r="E414">
        <v>5.8550719200000003</v>
      </c>
      <c r="F414">
        <v>7.8111633899999999</v>
      </c>
      <c r="G414">
        <v>8.6299860200000005</v>
      </c>
      <c r="I414">
        <v>149.65772200000001</v>
      </c>
      <c r="J414">
        <v>7.9179005900000003</v>
      </c>
      <c r="K414">
        <v>7.1823521100000001</v>
      </c>
      <c r="L414">
        <v>7.8690193800000001</v>
      </c>
      <c r="M414">
        <v>5.9135030100000003</v>
      </c>
      <c r="N414">
        <v>7.8617270799999996</v>
      </c>
      <c r="O414">
        <v>8.5389546799999998</v>
      </c>
      <c r="Q414">
        <v>149.65772200000001</v>
      </c>
      <c r="R414">
        <v>7.5207764199999998</v>
      </c>
      <c r="S414">
        <v>6.8178305699999999</v>
      </c>
      <c r="T414">
        <v>7.2527624199999998</v>
      </c>
      <c r="U414">
        <v>6.4937538400000001</v>
      </c>
      <c r="V414">
        <v>7.7968803400000004</v>
      </c>
      <c r="W414">
        <v>8.8375360500000006</v>
      </c>
      <c r="Y414">
        <v>149.65772200000001</v>
      </c>
      <c r="Z414">
        <v>7.3453648400000002</v>
      </c>
      <c r="AA414">
        <v>8.1007682400000007</v>
      </c>
      <c r="AB414">
        <v>7.4809921599999996</v>
      </c>
      <c r="AC414">
        <v>7.8935720700000003</v>
      </c>
      <c r="AD414">
        <v>7.8332039499999997</v>
      </c>
      <c r="AE414">
        <v>8.73921612</v>
      </c>
    </row>
    <row r="415" spans="1:31" x14ac:dyDescent="0.2">
      <c r="A415">
        <v>150.02275</v>
      </c>
      <c r="B415">
        <v>7.7164608000000001</v>
      </c>
      <c r="C415">
        <v>6.7190131500000003</v>
      </c>
      <c r="D415">
        <v>7.4360278199999996</v>
      </c>
      <c r="E415">
        <v>5.8377304499999996</v>
      </c>
      <c r="F415">
        <v>7.8071032899999997</v>
      </c>
      <c r="G415">
        <v>8.6323059999999998</v>
      </c>
      <c r="I415">
        <v>150.02275</v>
      </c>
      <c r="J415">
        <v>7.9280455999999999</v>
      </c>
      <c r="K415">
        <v>7.1815919399999997</v>
      </c>
      <c r="L415">
        <v>7.8732170500000001</v>
      </c>
      <c r="M415">
        <v>5.9053618500000002</v>
      </c>
      <c r="N415">
        <v>7.8632667200000004</v>
      </c>
      <c r="O415">
        <v>8.53424695</v>
      </c>
      <c r="Q415">
        <v>150.02275</v>
      </c>
      <c r="R415">
        <v>7.5186072199999998</v>
      </c>
      <c r="S415">
        <v>6.8178305699999999</v>
      </c>
      <c r="T415">
        <v>7.2456550699999998</v>
      </c>
      <c r="U415">
        <v>6.48310735</v>
      </c>
      <c r="V415">
        <v>7.7956465399999999</v>
      </c>
      <c r="W415">
        <v>8.8366645899999998</v>
      </c>
      <c r="Y415">
        <v>150.02275</v>
      </c>
      <c r="Z415">
        <v>7.3498736999999998</v>
      </c>
      <c r="AA415">
        <v>8.0959035299999993</v>
      </c>
      <c r="AB415">
        <v>7.4725007400000001</v>
      </c>
      <c r="AC415">
        <v>7.8943180599999998</v>
      </c>
      <c r="AD415">
        <v>7.8359745800000002</v>
      </c>
      <c r="AE415">
        <v>8.7387354599999991</v>
      </c>
    </row>
    <row r="416" spans="1:31" x14ac:dyDescent="0.2">
      <c r="A416">
        <v>150.38775000000001</v>
      </c>
      <c r="B416">
        <v>7.7075121900000001</v>
      </c>
      <c r="C416">
        <v>6.7141705299999996</v>
      </c>
      <c r="D416">
        <v>7.4253578899999999</v>
      </c>
      <c r="E416">
        <v>5.8550719200000003</v>
      </c>
      <c r="F416">
        <v>7.8119734300000001</v>
      </c>
      <c r="G416">
        <v>8.6411791699999991</v>
      </c>
      <c r="I416">
        <v>150.38775000000001</v>
      </c>
      <c r="J416">
        <v>7.9215356300000002</v>
      </c>
      <c r="K416">
        <v>7.1876571599999997</v>
      </c>
      <c r="L416">
        <v>7.8739783799999996</v>
      </c>
      <c r="M416">
        <v>5.9269260299999997</v>
      </c>
      <c r="N416">
        <v>7.8543812099999997</v>
      </c>
      <c r="O416">
        <v>8.5362112000000003</v>
      </c>
      <c r="Q416">
        <v>150.38775000000001</v>
      </c>
      <c r="R416">
        <v>7.5224002299999997</v>
      </c>
      <c r="S416">
        <v>6.81234509</v>
      </c>
      <c r="T416">
        <v>7.2356191399999998</v>
      </c>
      <c r="U416">
        <v>6.48310735</v>
      </c>
      <c r="V416">
        <v>7.80343506</v>
      </c>
      <c r="W416">
        <v>8.8331711300000002</v>
      </c>
      <c r="Y416">
        <v>150.38775000000001</v>
      </c>
      <c r="Z416">
        <v>7.3460102100000002</v>
      </c>
      <c r="AA416">
        <v>8.0952937800000004</v>
      </c>
      <c r="AB416">
        <v>7.4770384700000001</v>
      </c>
      <c r="AC416">
        <v>7.8939451399999996</v>
      </c>
      <c r="AD416">
        <v>7.8418859300000001</v>
      </c>
      <c r="AE416">
        <v>8.7419354600000005</v>
      </c>
    </row>
    <row r="417" spans="1:31" x14ac:dyDescent="0.2">
      <c r="A417">
        <v>150.75274999999999</v>
      </c>
      <c r="B417">
        <v>7.7002952000000002</v>
      </c>
      <c r="C417">
        <v>6.7117404000000001</v>
      </c>
      <c r="D417">
        <v>7.4217757899999999</v>
      </c>
      <c r="E417">
        <v>5.87493073</v>
      </c>
      <c r="F417">
        <v>7.8046593</v>
      </c>
      <c r="G417">
        <v>8.6328406100000006</v>
      </c>
      <c r="I417">
        <v>150.75274999999999</v>
      </c>
      <c r="J417">
        <v>7.9258803200000001</v>
      </c>
      <c r="K417">
        <v>7.1838707199999998</v>
      </c>
      <c r="L417">
        <v>7.87929149</v>
      </c>
      <c r="M417">
        <v>5.9162020599999998</v>
      </c>
      <c r="N417">
        <v>7.85709386</v>
      </c>
      <c r="O417">
        <v>8.5399326799999997</v>
      </c>
      <c r="Q417">
        <v>150.75274999999999</v>
      </c>
      <c r="R417">
        <v>7.5109777500000003</v>
      </c>
      <c r="S417">
        <v>6.8134446000000004</v>
      </c>
      <c r="T417">
        <v>7.2334554200000003</v>
      </c>
      <c r="U417">
        <v>6.4892049299999996</v>
      </c>
      <c r="V417">
        <v>7.8026180600000004</v>
      </c>
      <c r="W417">
        <v>8.8366645899999998</v>
      </c>
      <c r="Y417">
        <v>150.75274999999999</v>
      </c>
      <c r="Z417">
        <v>7.3362856599999997</v>
      </c>
      <c r="AA417">
        <v>8.0986428400000001</v>
      </c>
      <c r="AB417">
        <v>7.4753392400000003</v>
      </c>
      <c r="AC417">
        <v>7.8890844099999997</v>
      </c>
      <c r="AD417">
        <v>7.8375543600000004</v>
      </c>
      <c r="AE417">
        <v>8.7443287600000001</v>
      </c>
    </row>
    <row r="418" spans="1:31" x14ac:dyDescent="0.2">
      <c r="A418">
        <v>151.11777799999999</v>
      </c>
      <c r="B418">
        <v>7.6984827899999999</v>
      </c>
      <c r="C418">
        <v>6.7031881100000001</v>
      </c>
      <c r="D418">
        <v>7.4241652800000004</v>
      </c>
      <c r="E418">
        <v>5.8550719200000003</v>
      </c>
      <c r="F418">
        <v>7.8119734300000001</v>
      </c>
      <c r="G418">
        <v>8.6397647400000004</v>
      </c>
      <c r="I418">
        <v>151.11777799999999</v>
      </c>
      <c r="J418">
        <v>7.9309253699999998</v>
      </c>
      <c r="K418">
        <v>7.1846291500000001</v>
      </c>
      <c r="L418">
        <v>7.8766384599999997</v>
      </c>
      <c r="M418">
        <v>5.9242558000000001</v>
      </c>
      <c r="N418">
        <v>7.8582541800000003</v>
      </c>
      <c r="O418">
        <v>8.5411050100000008</v>
      </c>
      <c r="Q418">
        <v>151.11777799999999</v>
      </c>
      <c r="R418">
        <v>7.5126175399999999</v>
      </c>
      <c r="S418">
        <v>6.8057225499999996</v>
      </c>
      <c r="T418">
        <v>7.2341771799999997</v>
      </c>
      <c r="U418">
        <v>6.48310735</v>
      </c>
      <c r="V418">
        <v>7.7997533199999998</v>
      </c>
      <c r="W418">
        <v>8.8320039300000008</v>
      </c>
      <c r="Y418">
        <v>151.11777799999999</v>
      </c>
      <c r="Z418">
        <v>7.3414838500000004</v>
      </c>
      <c r="AA418">
        <v>8.1001614499999999</v>
      </c>
      <c r="AB418">
        <v>7.4747721800000004</v>
      </c>
      <c r="AC418">
        <v>7.8950635</v>
      </c>
      <c r="AD418">
        <v>7.8399193599999997</v>
      </c>
      <c r="AE418">
        <v>8.7483049099999999</v>
      </c>
    </row>
    <row r="419" spans="1:31" x14ac:dyDescent="0.2">
      <c r="A419">
        <v>151.48280600000001</v>
      </c>
      <c r="B419">
        <v>7.6971213199999999</v>
      </c>
      <c r="C419">
        <v>6.7428806400000001</v>
      </c>
      <c r="D419">
        <v>7.4175804000000003</v>
      </c>
      <c r="E419">
        <v>5.9401712499999997</v>
      </c>
      <c r="F419">
        <v>7.8091353999999997</v>
      </c>
      <c r="G419">
        <v>8.6312359099999991</v>
      </c>
      <c r="I419">
        <v>151.48280600000001</v>
      </c>
      <c r="J419">
        <v>7.9305658499999998</v>
      </c>
      <c r="K419">
        <v>7.1800698699999996</v>
      </c>
      <c r="L419">
        <v>7.8796699099999996</v>
      </c>
      <c r="M419">
        <v>5.8916442099999999</v>
      </c>
      <c r="N419">
        <v>7.8543812099999997</v>
      </c>
      <c r="O419">
        <v>8.5391503600000007</v>
      </c>
      <c r="Q419">
        <v>151.48280600000001</v>
      </c>
      <c r="R419">
        <v>7.5054922700000004</v>
      </c>
      <c r="S419">
        <v>6.8405465300000001</v>
      </c>
      <c r="T419">
        <v>7.21450441</v>
      </c>
      <c r="U419">
        <v>6.5366916000000002</v>
      </c>
      <c r="V419">
        <v>7.7968803400000004</v>
      </c>
      <c r="W419">
        <v>8.8325876999999995</v>
      </c>
      <c r="Y419">
        <v>151.48280600000001</v>
      </c>
      <c r="Z419">
        <v>7.3421317300000002</v>
      </c>
      <c r="AA419">
        <v>8.0888687899999994</v>
      </c>
      <c r="AB419">
        <v>7.4792996399999998</v>
      </c>
      <c r="AC419">
        <v>7.8838232100000001</v>
      </c>
      <c r="AD419">
        <v>7.83241093</v>
      </c>
      <c r="AE419">
        <v>8.7424145800000002</v>
      </c>
    </row>
    <row r="420" spans="1:31" x14ac:dyDescent="0.2">
      <c r="A420">
        <v>151.84780599999999</v>
      </c>
      <c r="B420">
        <v>7.6962126399999997</v>
      </c>
      <c r="C420">
        <v>6.7019603700000001</v>
      </c>
      <c r="D420">
        <v>7.4181808199999999</v>
      </c>
      <c r="E420">
        <v>5.8550719200000003</v>
      </c>
      <c r="F420">
        <v>7.8079166300000002</v>
      </c>
      <c r="G420">
        <v>8.6353317199999999</v>
      </c>
      <c r="I420">
        <v>151.84780599999999</v>
      </c>
      <c r="J420">
        <v>7.9312847599999996</v>
      </c>
      <c r="K420">
        <v>7.1846291500000001</v>
      </c>
      <c r="L420">
        <v>7.8739783799999996</v>
      </c>
      <c r="M420">
        <v>5.91079664</v>
      </c>
      <c r="N420">
        <v>7.8644198999999997</v>
      </c>
      <c r="O420">
        <v>8.5453918499999997</v>
      </c>
      <c r="Q420">
        <v>151.84780599999999</v>
      </c>
      <c r="R420">
        <v>7.5038407500000002</v>
      </c>
      <c r="S420">
        <v>6.8068293600000001</v>
      </c>
      <c r="T420">
        <v>7.21450441</v>
      </c>
      <c r="U420">
        <v>6.4800445599999996</v>
      </c>
      <c r="V420">
        <v>7.7944112099999998</v>
      </c>
      <c r="W420">
        <v>8.8384067500000008</v>
      </c>
      <c r="Y420">
        <v>151.84780599999999</v>
      </c>
      <c r="Z420">
        <v>7.3421317300000002</v>
      </c>
      <c r="AA420">
        <v>8.0965129200000003</v>
      </c>
      <c r="AB420">
        <v>7.4798641300000002</v>
      </c>
      <c r="AC420">
        <v>7.88570539</v>
      </c>
      <c r="AD420">
        <v>7.8383433199999999</v>
      </c>
      <c r="AE420">
        <v>8.7446474399999996</v>
      </c>
    </row>
    <row r="421" spans="1:31" x14ac:dyDescent="0.2">
      <c r="A421">
        <v>152.212806</v>
      </c>
      <c r="B421">
        <v>7.6902860200000003</v>
      </c>
      <c r="C421">
        <v>6.6592939199999996</v>
      </c>
      <c r="D421">
        <v>7.4151751099999998</v>
      </c>
      <c r="E421">
        <v>5.7899601699999996</v>
      </c>
      <c r="F421">
        <v>7.8103526800000003</v>
      </c>
      <c r="G421">
        <v>8.6276606400000002</v>
      </c>
      <c r="I421">
        <v>152.212806</v>
      </c>
      <c r="J421">
        <v>7.93307977</v>
      </c>
      <c r="K421">
        <v>7.1716568199999999</v>
      </c>
      <c r="L421">
        <v>7.8800482000000001</v>
      </c>
      <c r="M421">
        <v>5.8636311799999996</v>
      </c>
      <c r="N421">
        <v>7.8671055000000001</v>
      </c>
      <c r="O421">
        <v>8.5340503099999996</v>
      </c>
      <c r="Q421">
        <v>152.212806</v>
      </c>
      <c r="R421">
        <v>7.5021864899999997</v>
      </c>
      <c r="S421">
        <v>6.7650389799999999</v>
      </c>
      <c r="T421">
        <v>7.2174434300000003</v>
      </c>
      <c r="U421">
        <v>6.4264884599999998</v>
      </c>
      <c r="V421">
        <v>7.80506704</v>
      </c>
      <c r="W421">
        <v>8.8295190899999998</v>
      </c>
      <c r="Y421">
        <v>152.212806</v>
      </c>
      <c r="Z421">
        <v>7.3447190500000001</v>
      </c>
      <c r="AA421">
        <v>8.0891756800000003</v>
      </c>
      <c r="AB421">
        <v>7.4854916100000004</v>
      </c>
      <c r="AC421">
        <v>7.8709296000000002</v>
      </c>
      <c r="AD421">
        <v>7.8407064499999999</v>
      </c>
      <c r="AE421">
        <v>8.7374525900000002</v>
      </c>
    </row>
    <row r="422" spans="1:31" x14ac:dyDescent="0.2">
      <c r="A422">
        <v>152.577833</v>
      </c>
      <c r="B422">
        <v>7.6930257500000003</v>
      </c>
      <c r="C422">
        <v>6.7044143500000004</v>
      </c>
      <c r="D422">
        <v>7.4103471000000001</v>
      </c>
      <c r="E422">
        <v>5.8944028299999998</v>
      </c>
      <c r="F422">
        <v>7.8079166300000002</v>
      </c>
      <c r="G422">
        <v>8.6383483099999996</v>
      </c>
      <c r="I422">
        <v>152.577833</v>
      </c>
      <c r="J422">
        <v>7.93415523</v>
      </c>
      <c r="K422">
        <v>7.1966865699999998</v>
      </c>
      <c r="L422">
        <v>7.8811821999999996</v>
      </c>
      <c r="M422">
        <v>5.9401712499999997</v>
      </c>
      <c r="N422">
        <v>7.8651879500000001</v>
      </c>
      <c r="O422">
        <v>8.5481102900000003</v>
      </c>
      <c r="Q422">
        <v>152.577833</v>
      </c>
      <c r="R422">
        <v>7.5021864899999997</v>
      </c>
      <c r="S422">
        <v>6.8012830299999996</v>
      </c>
      <c r="T422">
        <v>7.2100796300000001</v>
      </c>
      <c r="U422">
        <v>6.4785096400000004</v>
      </c>
      <c r="V422">
        <v>7.8079166300000002</v>
      </c>
      <c r="W422">
        <v>8.8424600200000008</v>
      </c>
      <c r="Y422">
        <v>152.577833</v>
      </c>
      <c r="Z422">
        <v>7.33888813</v>
      </c>
      <c r="AA422">
        <v>8.1016777500000003</v>
      </c>
      <c r="AB422">
        <v>7.4792996399999998</v>
      </c>
      <c r="AC422">
        <v>7.8879593400000001</v>
      </c>
      <c r="AD422">
        <v>7.8343923000000002</v>
      </c>
      <c r="AE422">
        <v>8.7521071999999993</v>
      </c>
    </row>
    <row r="423" spans="1:31" x14ac:dyDescent="0.2">
      <c r="A423">
        <v>152.94286099999999</v>
      </c>
      <c r="B423">
        <v>7.6857030599999998</v>
      </c>
      <c r="C423">
        <v>6.69456206</v>
      </c>
      <c r="D423">
        <v>7.40062058</v>
      </c>
      <c r="E423">
        <v>5.8522024799999999</v>
      </c>
      <c r="F423">
        <v>7.8022093200000002</v>
      </c>
      <c r="G423">
        <v>8.6388797099999994</v>
      </c>
      <c r="I423">
        <v>152.94286099999999</v>
      </c>
      <c r="J423">
        <v>7.9280455999999999</v>
      </c>
      <c r="K423">
        <v>7.1861442999999996</v>
      </c>
      <c r="L423">
        <v>7.8735977899999998</v>
      </c>
      <c r="M423">
        <v>5.9215784200000003</v>
      </c>
      <c r="N423">
        <v>7.8640356599999999</v>
      </c>
      <c r="O423">
        <v>8.5434455600000003</v>
      </c>
      <c r="Q423">
        <v>152.94286099999999</v>
      </c>
      <c r="R423">
        <v>7.4949862300000003</v>
      </c>
      <c r="S423">
        <v>6.79122146</v>
      </c>
      <c r="T423">
        <v>7.2004248899999999</v>
      </c>
      <c r="U423">
        <v>6.4676987300000004</v>
      </c>
      <c r="V423">
        <v>7.8091353999999997</v>
      </c>
      <c r="W423">
        <v>8.8420265300000001</v>
      </c>
      <c r="Y423">
        <v>152.94286099999999</v>
      </c>
      <c r="Z423">
        <v>7.3421317300000002</v>
      </c>
      <c r="AA423">
        <v>8.0946836500000003</v>
      </c>
      <c r="AB423">
        <v>7.4787348299999996</v>
      </c>
      <c r="AC423">
        <v>7.8841999300000003</v>
      </c>
      <c r="AD423">
        <v>7.84267147</v>
      </c>
      <c r="AE423">
        <v>8.7487809900000002</v>
      </c>
    </row>
    <row r="424" spans="1:31" x14ac:dyDescent="0.2">
      <c r="A424">
        <v>153.307861</v>
      </c>
      <c r="B424">
        <v>7.6792514299999999</v>
      </c>
      <c r="C424">
        <v>6.68336095</v>
      </c>
      <c r="D424">
        <v>7.3981740900000004</v>
      </c>
      <c r="E424">
        <v>5.8636311799999996</v>
      </c>
      <c r="F424">
        <v>7.8143996299999996</v>
      </c>
      <c r="G424">
        <v>8.6390567800000007</v>
      </c>
      <c r="I424">
        <v>153.307861</v>
      </c>
      <c r="J424">
        <v>7.9334383900000001</v>
      </c>
      <c r="K424">
        <v>7.1853870200000003</v>
      </c>
      <c r="L424">
        <v>7.8766384599999997</v>
      </c>
      <c r="M424">
        <v>5.9162020599999998</v>
      </c>
      <c r="N424">
        <v>7.8659554099999998</v>
      </c>
      <c r="O424">
        <v>8.5500475300000005</v>
      </c>
      <c r="Q424">
        <v>153.307861</v>
      </c>
      <c r="R424">
        <v>7.4922030399999997</v>
      </c>
      <c r="S424">
        <v>6.7867169499999997</v>
      </c>
      <c r="T424">
        <v>7.1951873199999996</v>
      </c>
      <c r="U424">
        <v>6.4583382800000004</v>
      </c>
      <c r="V424">
        <v>7.80547463</v>
      </c>
      <c r="W424">
        <v>8.8388418099999999</v>
      </c>
      <c r="Y424">
        <v>153.307861</v>
      </c>
      <c r="Z424">
        <v>7.3401868400000003</v>
      </c>
      <c r="AA424">
        <v>8.0955987</v>
      </c>
      <c r="AB424">
        <v>7.4798641300000002</v>
      </c>
      <c r="AC424">
        <v>7.8864572700000002</v>
      </c>
      <c r="AD424">
        <v>7.8407064499999999</v>
      </c>
      <c r="AE424">
        <v>8.7481461700000001</v>
      </c>
    </row>
    <row r="425" spans="1:31" x14ac:dyDescent="0.2">
      <c r="A425">
        <v>153.67286100000001</v>
      </c>
      <c r="B425">
        <v>7.6778635</v>
      </c>
      <c r="C425">
        <v>6.6858609500000004</v>
      </c>
      <c r="D425">
        <v>7.3975615399999999</v>
      </c>
      <c r="E425">
        <v>5.8607862199999996</v>
      </c>
      <c r="F425">
        <v>7.8139956799999997</v>
      </c>
      <c r="G425">
        <v>8.6422386800000002</v>
      </c>
      <c r="I425">
        <v>153.67286100000001</v>
      </c>
      <c r="J425">
        <v>7.9405838299999996</v>
      </c>
      <c r="K425">
        <v>7.1996783500000001</v>
      </c>
      <c r="L425">
        <v>7.88570539</v>
      </c>
      <c r="M425">
        <v>5.9215784200000003</v>
      </c>
      <c r="N425">
        <v>7.8621122100000003</v>
      </c>
      <c r="O425">
        <v>8.5500475300000005</v>
      </c>
      <c r="Q425">
        <v>153.67286100000001</v>
      </c>
      <c r="R425">
        <v>7.4826818299999998</v>
      </c>
      <c r="S425">
        <v>6.7855876500000001</v>
      </c>
      <c r="T425">
        <v>7.1929342199999997</v>
      </c>
      <c r="U425">
        <v>6.4583382800000004</v>
      </c>
      <c r="V425">
        <v>7.8030266399999997</v>
      </c>
      <c r="W425">
        <v>8.8449129499999994</v>
      </c>
      <c r="Y425">
        <v>153.67286100000001</v>
      </c>
      <c r="Z425">
        <v>7.33888813</v>
      </c>
      <c r="AA425">
        <v>8.0940731499999998</v>
      </c>
      <c r="AB425">
        <v>7.4933172499999996</v>
      </c>
      <c r="AC425">
        <v>7.8796699099999996</v>
      </c>
      <c r="AD425">
        <v>7.8375543600000004</v>
      </c>
      <c r="AE425">
        <v>8.7498909600000001</v>
      </c>
    </row>
    <row r="426" spans="1:31" x14ac:dyDescent="0.2">
      <c r="A426">
        <v>154.03788900000001</v>
      </c>
      <c r="B426">
        <v>7.6834036799999996</v>
      </c>
      <c r="C426">
        <v>6.6846117300000003</v>
      </c>
      <c r="D426">
        <v>7.3895639500000003</v>
      </c>
      <c r="E426">
        <v>5.8607862199999996</v>
      </c>
      <c r="F426">
        <v>7.8152070599999997</v>
      </c>
      <c r="G426">
        <v>8.6438258399999999</v>
      </c>
      <c r="I426">
        <v>154.03788900000001</v>
      </c>
      <c r="J426">
        <v>7.9434277700000004</v>
      </c>
      <c r="K426">
        <v>7.1966865699999998</v>
      </c>
      <c r="L426">
        <v>7.8826922100000001</v>
      </c>
      <c r="M426">
        <v>5.9322451899999997</v>
      </c>
      <c r="N426">
        <v>7.8678714899999997</v>
      </c>
      <c r="O426">
        <v>8.5504345300000004</v>
      </c>
      <c r="Q426">
        <v>154.03788900000001</v>
      </c>
      <c r="R426">
        <v>7.4832444200000001</v>
      </c>
      <c r="S426">
        <v>6.78897174</v>
      </c>
      <c r="T426">
        <v>7.1853870200000003</v>
      </c>
      <c r="U426">
        <v>6.4536249999999997</v>
      </c>
      <c r="V426">
        <v>7.8083230500000003</v>
      </c>
      <c r="W426">
        <v>8.8414482400000001</v>
      </c>
      <c r="Y426">
        <v>154.03788900000001</v>
      </c>
      <c r="Z426">
        <v>7.3427791899999999</v>
      </c>
      <c r="AA426">
        <v>8.1062128999999992</v>
      </c>
      <c r="AB426">
        <v>7.4781696899999996</v>
      </c>
      <c r="AC426">
        <v>7.8815599199999999</v>
      </c>
      <c r="AD426">
        <v>7.8418859300000001</v>
      </c>
      <c r="AE426">
        <v>8.75352934</v>
      </c>
    </row>
    <row r="427" spans="1:31" x14ac:dyDescent="0.2">
      <c r="A427">
        <v>154.40288899999999</v>
      </c>
      <c r="B427">
        <v>7.6792514299999999</v>
      </c>
      <c r="C427">
        <v>6.6720329500000002</v>
      </c>
      <c r="D427">
        <v>7.3907985199999997</v>
      </c>
      <c r="E427">
        <v>5.85793315</v>
      </c>
      <c r="F427">
        <v>7.8139956799999997</v>
      </c>
      <c r="G427">
        <v>8.6438258399999999</v>
      </c>
      <c r="I427">
        <v>154.40288899999999</v>
      </c>
      <c r="J427">
        <v>7.94093976</v>
      </c>
      <c r="K427">
        <v>7.1914293300000001</v>
      </c>
      <c r="L427">
        <v>7.87929149</v>
      </c>
      <c r="M427">
        <v>5.9162020599999998</v>
      </c>
      <c r="N427">
        <v>7.8682542700000004</v>
      </c>
      <c r="O427">
        <v>8.5554518999999996</v>
      </c>
      <c r="Q427">
        <v>154.40288899999999</v>
      </c>
      <c r="R427">
        <v>7.4910875900000002</v>
      </c>
      <c r="S427">
        <v>6.7833252000000002</v>
      </c>
      <c r="T427">
        <v>7.1831117000000004</v>
      </c>
      <c r="U427">
        <v>6.4473058600000002</v>
      </c>
      <c r="V427">
        <v>7.8075100400000004</v>
      </c>
      <c r="W427">
        <v>8.8415928499999996</v>
      </c>
      <c r="Y427">
        <v>154.40288899999999</v>
      </c>
      <c r="Z427">
        <v>7.3434262300000004</v>
      </c>
      <c r="AA427">
        <v>8.0913212699999999</v>
      </c>
      <c r="AB427">
        <v>7.4770384700000001</v>
      </c>
      <c r="AC427">
        <v>7.8781553400000002</v>
      </c>
      <c r="AD427">
        <v>7.8430640199999999</v>
      </c>
      <c r="AE427">
        <v>8.7519490599999994</v>
      </c>
    </row>
    <row r="428" spans="1:31" x14ac:dyDescent="0.2">
      <c r="A428">
        <v>154.76791700000001</v>
      </c>
      <c r="B428">
        <v>7.6774004299999996</v>
      </c>
      <c r="C428">
        <v>6.68336095</v>
      </c>
      <c r="D428">
        <v>7.38274645</v>
      </c>
      <c r="E428">
        <v>5.8971538700000004</v>
      </c>
      <c r="F428">
        <v>7.81156849</v>
      </c>
      <c r="G428">
        <v>8.6482214499999994</v>
      </c>
      <c r="I428">
        <v>154.76791700000001</v>
      </c>
      <c r="J428">
        <v>7.9398715800000002</v>
      </c>
      <c r="K428">
        <v>7.2034055199999996</v>
      </c>
      <c r="L428">
        <v>7.8754992899999996</v>
      </c>
      <c r="M428">
        <v>5.9584246900000002</v>
      </c>
      <c r="N428">
        <v>7.8609563600000003</v>
      </c>
      <c r="O428">
        <v>8.5569906600000003</v>
      </c>
      <c r="Q428">
        <v>154.76791700000001</v>
      </c>
      <c r="R428">
        <v>7.4854916100000004</v>
      </c>
      <c r="S428">
        <v>6.78784498</v>
      </c>
      <c r="T428">
        <v>7.1800698699999996</v>
      </c>
      <c r="U428">
        <v>6.4692503200000004</v>
      </c>
      <c r="V428">
        <v>7.8139956799999997</v>
      </c>
      <c r="W428">
        <v>8.8523788900000007</v>
      </c>
      <c r="Y428">
        <v>154.76791700000001</v>
      </c>
      <c r="Z428">
        <v>7.3421317300000002</v>
      </c>
      <c r="AA428">
        <v>8.1010714999999998</v>
      </c>
      <c r="AB428">
        <v>7.4832444200000001</v>
      </c>
      <c r="AC428">
        <v>7.8838232100000001</v>
      </c>
      <c r="AD428">
        <v>7.85010355</v>
      </c>
      <c r="AE428">
        <v>8.7549494600000006</v>
      </c>
    </row>
    <row r="429" spans="1:31" x14ac:dyDescent="0.2">
      <c r="A429">
        <v>155.13291699999999</v>
      </c>
      <c r="B429">
        <v>7.6722924600000004</v>
      </c>
      <c r="C429">
        <v>6.6707663200000002</v>
      </c>
      <c r="D429">
        <v>7.3790081299999999</v>
      </c>
      <c r="E429">
        <v>5.8607862199999996</v>
      </c>
      <c r="F429">
        <v>7.8111633899999999</v>
      </c>
      <c r="G429">
        <v>8.6408257499999994</v>
      </c>
      <c r="I429">
        <v>155.13291699999999</v>
      </c>
      <c r="J429">
        <v>7.9420068099999996</v>
      </c>
      <c r="K429">
        <v>7.1921820600000004</v>
      </c>
      <c r="L429">
        <v>7.8841999300000003</v>
      </c>
      <c r="M429">
        <v>5.9269260299999997</v>
      </c>
      <c r="N429">
        <v>7.8655717599999999</v>
      </c>
      <c r="O429">
        <v>8.5500475300000005</v>
      </c>
      <c r="Q429">
        <v>155.13291699999999</v>
      </c>
      <c r="R429">
        <v>7.4804283099999997</v>
      </c>
      <c r="S429">
        <v>6.7810576300000003</v>
      </c>
      <c r="T429">
        <v>7.1608459099999999</v>
      </c>
      <c r="U429">
        <v>6.43615037</v>
      </c>
      <c r="V429">
        <v>7.8079166300000002</v>
      </c>
      <c r="W429">
        <v>8.8401458799999997</v>
      </c>
      <c r="Y429">
        <v>155.13291699999999</v>
      </c>
      <c r="Z429">
        <v>7.3460102100000002</v>
      </c>
      <c r="AA429">
        <v>8.0876402899999995</v>
      </c>
      <c r="AB429">
        <v>7.4815557000000004</v>
      </c>
      <c r="AC429">
        <v>7.87473913</v>
      </c>
      <c r="AD429">
        <v>7.8512719999999998</v>
      </c>
      <c r="AE429">
        <v>8.7521071999999993</v>
      </c>
    </row>
    <row r="430" spans="1:31" x14ac:dyDescent="0.2">
      <c r="A430">
        <v>155.497917</v>
      </c>
      <c r="B430">
        <v>7.6619975599999997</v>
      </c>
      <c r="C430">
        <v>6.6644090199999999</v>
      </c>
      <c r="D430">
        <v>7.3746290200000004</v>
      </c>
      <c r="E430">
        <v>5.85793315</v>
      </c>
      <c r="F430">
        <v>7.8148034300000004</v>
      </c>
      <c r="G430">
        <v>8.6436496199999997</v>
      </c>
      <c r="I430">
        <v>155.497917</v>
      </c>
      <c r="J430">
        <v>7.9402277699999999</v>
      </c>
      <c r="K430">
        <v>7.1884127400000004</v>
      </c>
      <c r="L430">
        <v>7.8808043400000001</v>
      </c>
      <c r="M430">
        <v>5.9269260299999997</v>
      </c>
      <c r="N430">
        <v>7.8667222900000002</v>
      </c>
      <c r="O430">
        <v>8.5560292199999992</v>
      </c>
      <c r="Q430">
        <v>155.497917</v>
      </c>
      <c r="R430">
        <v>7.4730690900000001</v>
      </c>
      <c r="S430">
        <v>6.7753660900000003</v>
      </c>
      <c r="T430">
        <v>7.1616220000000004</v>
      </c>
      <c r="U430">
        <v>6.43615037</v>
      </c>
      <c r="V430">
        <v>7.8018004000000003</v>
      </c>
      <c r="W430">
        <v>8.8444805199999994</v>
      </c>
      <c r="Y430">
        <v>155.497917</v>
      </c>
      <c r="Z430">
        <v>7.3408355500000004</v>
      </c>
      <c r="AA430">
        <v>8.0922394099999995</v>
      </c>
      <c r="AB430">
        <v>7.4798641300000002</v>
      </c>
      <c r="AC430">
        <v>7.8732170500000001</v>
      </c>
      <c r="AD430">
        <v>7.8383433199999999</v>
      </c>
      <c r="AE430">
        <v>8.7495739500000003</v>
      </c>
    </row>
    <row r="431" spans="1:31" x14ac:dyDescent="0.2">
      <c r="A431">
        <v>155.862944</v>
      </c>
      <c r="B431">
        <v>7.6615270799999999</v>
      </c>
      <c r="C431">
        <v>6.6592939199999996</v>
      </c>
      <c r="D431">
        <v>7.37337431</v>
      </c>
      <c r="E431">
        <v>5.85793315</v>
      </c>
      <c r="F431">
        <v>7.8079166300000002</v>
      </c>
      <c r="G431">
        <v>8.6432970699999991</v>
      </c>
      <c r="I431">
        <v>155.862944</v>
      </c>
      <c r="J431">
        <v>7.9395152600000003</v>
      </c>
      <c r="K431">
        <v>7.18992217</v>
      </c>
      <c r="L431">
        <v>7.8819374900000003</v>
      </c>
      <c r="M431">
        <v>5.9269260299999997</v>
      </c>
      <c r="N431">
        <v>7.85709386</v>
      </c>
      <c r="O431">
        <v>8.5512080699999995</v>
      </c>
      <c r="Q431">
        <v>155.862944</v>
      </c>
      <c r="R431">
        <v>7.4753392400000003</v>
      </c>
      <c r="S431">
        <v>6.7696419800000003</v>
      </c>
      <c r="T431">
        <v>7.15148546</v>
      </c>
      <c r="U431">
        <v>6.4313310799999996</v>
      </c>
      <c r="V431">
        <v>7.8046593</v>
      </c>
      <c r="W431">
        <v>8.8441921299999997</v>
      </c>
      <c r="Y431">
        <v>155.862944</v>
      </c>
      <c r="Z431">
        <v>7.33888813</v>
      </c>
      <c r="AA431">
        <v>8.0873329300000005</v>
      </c>
      <c r="AB431">
        <v>7.4815557000000004</v>
      </c>
      <c r="AC431">
        <v>7.8705478400000004</v>
      </c>
      <c r="AD431">
        <v>7.8395255800000001</v>
      </c>
      <c r="AE431">
        <v>8.7514744899999997</v>
      </c>
    </row>
    <row r="432" spans="1:31" x14ac:dyDescent="0.2">
      <c r="A432">
        <v>156.22794400000001</v>
      </c>
      <c r="B432">
        <v>7.65444323</v>
      </c>
      <c r="C432">
        <v>6.6656837199999996</v>
      </c>
      <c r="D432">
        <v>7.3639134999999998</v>
      </c>
      <c r="E432">
        <v>5.8692969100000001</v>
      </c>
      <c r="F432">
        <v>7.8160138400000001</v>
      </c>
      <c r="G432">
        <v>8.6378166299999997</v>
      </c>
      <c r="I432">
        <v>156.22794400000001</v>
      </c>
      <c r="J432">
        <v>7.9370174899999997</v>
      </c>
      <c r="K432">
        <v>7.1831117000000004</v>
      </c>
      <c r="L432">
        <v>7.8808043400000001</v>
      </c>
      <c r="M432">
        <v>5.9322451899999997</v>
      </c>
      <c r="N432">
        <v>7.8621122100000003</v>
      </c>
      <c r="O432">
        <v>8.5575670899999992</v>
      </c>
      <c r="Q432">
        <v>156.22794400000001</v>
      </c>
      <c r="R432">
        <v>7.4645098299999999</v>
      </c>
      <c r="S432">
        <v>6.7580945000000003</v>
      </c>
      <c r="T432">
        <v>7.1499168400000004</v>
      </c>
      <c r="U432">
        <v>6.4264884599999998</v>
      </c>
      <c r="V432">
        <v>7.8083230500000003</v>
      </c>
      <c r="W432">
        <v>8.8434707800000005</v>
      </c>
      <c r="Y432">
        <v>156.22794400000001</v>
      </c>
      <c r="Z432">
        <v>7.3427791899999999</v>
      </c>
      <c r="AA432">
        <v>8.0882547299999992</v>
      </c>
      <c r="AB432">
        <v>7.4804283099999997</v>
      </c>
      <c r="AC432">
        <v>7.8690193800000001</v>
      </c>
      <c r="AD432">
        <v>7.84227878</v>
      </c>
      <c r="AE432">
        <v>8.7462392900000001</v>
      </c>
    </row>
    <row r="433" spans="1:31" x14ac:dyDescent="0.2">
      <c r="A433">
        <v>156.59294399999999</v>
      </c>
      <c r="B433">
        <v>7.6549170499999999</v>
      </c>
      <c r="C433">
        <v>6.6669567900000004</v>
      </c>
      <c r="D433">
        <v>7.3511582300000002</v>
      </c>
      <c r="E433">
        <v>5.8805329899999998</v>
      </c>
      <c r="F433">
        <v>7.8139956799999997</v>
      </c>
      <c r="G433">
        <v>8.6476950000000006</v>
      </c>
      <c r="I433">
        <v>156.59294399999999</v>
      </c>
      <c r="J433">
        <v>7.9437826899999999</v>
      </c>
      <c r="K433">
        <v>7.1944368499999998</v>
      </c>
      <c r="L433">
        <v>7.8841999300000003</v>
      </c>
      <c r="M433">
        <v>5.94803499</v>
      </c>
      <c r="N433">
        <v>7.8609563600000003</v>
      </c>
      <c r="O433">
        <v>8.5556443800000004</v>
      </c>
      <c r="Q433">
        <v>156.59294399999999</v>
      </c>
      <c r="R433">
        <v>7.4558766900000002</v>
      </c>
      <c r="S433">
        <v>6.7638849099999998</v>
      </c>
      <c r="T433">
        <v>7.1412451199999998</v>
      </c>
      <c r="U433">
        <v>6.4281052699999996</v>
      </c>
      <c r="V433">
        <v>7.8091353999999997</v>
      </c>
      <c r="W433">
        <v>8.8411589799999994</v>
      </c>
      <c r="Y433">
        <v>156.59294399999999</v>
      </c>
      <c r="Z433">
        <v>7.3356339799999999</v>
      </c>
      <c r="AA433">
        <v>8.0931566999999998</v>
      </c>
      <c r="AB433">
        <v>7.4781696899999996</v>
      </c>
      <c r="AC433">
        <v>7.8682542700000004</v>
      </c>
      <c r="AD433">
        <v>7.8332039499999997</v>
      </c>
      <c r="AE433">
        <v>8.7500494199999999</v>
      </c>
    </row>
    <row r="434" spans="1:31" x14ac:dyDescent="0.2">
      <c r="A434">
        <v>156.95797200000001</v>
      </c>
      <c r="B434">
        <v>7.65064455</v>
      </c>
      <c r="C434">
        <v>6.6411821700000004</v>
      </c>
      <c r="D434">
        <v>7.3543623299999998</v>
      </c>
      <c r="E434">
        <v>5.85793315</v>
      </c>
      <c r="F434">
        <v>7.8075100400000004</v>
      </c>
      <c r="G434">
        <v>8.6415324699999996</v>
      </c>
      <c r="I434">
        <v>156.95797200000001</v>
      </c>
      <c r="J434">
        <v>7.94838529</v>
      </c>
      <c r="K434">
        <v>7.1861442999999996</v>
      </c>
      <c r="L434">
        <v>7.8830693500000004</v>
      </c>
      <c r="M434">
        <v>5.9322451899999997</v>
      </c>
      <c r="N434">
        <v>7.8609563600000003</v>
      </c>
      <c r="O434">
        <v>8.5498539699999991</v>
      </c>
      <c r="Q434">
        <v>156.95797200000001</v>
      </c>
      <c r="R434">
        <v>7.4576092899999997</v>
      </c>
      <c r="S434">
        <v>6.7534379199999997</v>
      </c>
      <c r="T434">
        <v>7.1300985099999998</v>
      </c>
      <c r="U434">
        <v>6.4150969599999996</v>
      </c>
      <c r="V434">
        <v>7.8030266399999997</v>
      </c>
      <c r="W434">
        <v>8.8404354400000003</v>
      </c>
      <c r="Y434">
        <v>156.95797200000001</v>
      </c>
      <c r="Z434">
        <v>7.3362856599999997</v>
      </c>
      <c r="AA434">
        <v>8.0882547299999992</v>
      </c>
      <c r="AB434">
        <v>7.4776042399999998</v>
      </c>
      <c r="AC434">
        <v>7.8640356599999999</v>
      </c>
      <c r="AD434">
        <v>7.83241093</v>
      </c>
      <c r="AE434">
        <v>8.7500494199999999</v>
      </c>
    </row>
    <row r="435" spans="1:31" x14ac:dyDescent="0.2">
      <c r="A435">
        <v>157.32300000000001</v>
      </c>
      <c r="B435">
        <v>7.6430036399999999</v>
      </c>
      <c r="C435">
        <v>6.6437897299999999</v>
      </c>
      <c r="D435">
        <v>7.3479438200000002</v>
      </c>
      <c r="E435">
        <v>5.83188248</v>
      </c>
      <c r="F435">
        <v>7.8009820699999999</v>
      </c>
      <c r="G435">
        <v>8.6447065100000007</v>
      </c>
      <c r="I435">
        <v>157.32300000000001</v>
      </c>
      <c r="J435">
        <v>7.9427175400000003</v>
      </c>
      <c r="K435">
        <v>7.1876571599999997</v>
      </c>
      <c r="L435">
        <v>7.8838232100000001</v>
      </c>
      <c r="M435">
        <v>5.9269260299999997</v>
      </c>
      <c r="N435">
        <v>7.8578675599999999</v>
      </c>
      <c r="O435">
        <v>8.5531393199999997</v>
      </c>
      <c r="Q435">
        <v>157.32300000000001</v>
      </c>
      <c r="R435">
        <v>7.4576092899999997</v>
      </c>
      <c r="S435">
        <v>6.7428806400000001</v>
      </c>
      <c r="T435">
        <v>7.1284959499999996</v>
      </c>
      <c r="U435">
        <v>6.3969296599999996</v>
      </c>
      <c r="V435">
        <v>7.81075812</v>
      </c>
      <c r="W435">
        <v>8.8421710499999993</v>
      </c>
      <c r="Y435">
        <v>157.32300000000001</v>
      </c>
      <c r="Z435">
        <v>7.33758774</v>
      </c>
      <c r="AA435">
        <v>8.0861025400000006</v>
      </c>
      <c r="AB435">
        <v>7.4787348299999996</v>
      </c>
      <c r="AC435">
        <v>7.8663389199999996</v>
      </c>
      <c r="AD435">
        <v>7.8407064499999999</v>
      </c>
      <c r="AE435">
        <v>8.7432125999999997</v>
      </c>
    </row>
    <row r="436" spans="1:31" x14ac:dyDescent="0.2">
      <c r="A436">
        <v>157.688028</v>
      </c>
      <c r="B436">
        <v>7.6386798200000001</v>
      </c>
      <c r="C436">
        <v>6.6580110499999998</v>
      </c>
      <c r="D436">
        <v>7.3460102100000002</v>
      </c>
      <c r="E436">
        <v>5.8805329899999998</v>
      </c>
      <c r="F436">
        <v>7.8062892899999996</v>
      </c>
      <c r="G436">
        <v>8.6489229600000002</v>
      </c>
      <c r="I436">
        <v>157.688028</v>
      </c>
      <c r="J436">
        <v>7.9370174899999997</v>
      </c>
      <c r="K436">
        <v>7.2026611999999997</v>
      </c>
      <c r="L436">
        <v>7.8819374900000003</v>
      </c>
      <c r="M436">
        <v>5.9401712499999997</v>
      </c>
      <c r="N436">
        <v>7.8473718400000001</v>
      </c>
      <c r="O436">
        <v>8.5552593899999998</v>
      </c>
      <c r="Q436">
        <v>157.688028</v>
      </c>
      <c r="R436">
        <v>7.4465851000000001</v>
      </c>
      <c r="S436">
        <v>6.7534379199999997</v>
      </c>
      <c r="T436">
        <v>7.1139561100000002</v>
      </c>
      <c r="U436">
        <v>6.4085287900000001</v>
      </c>
      <c r="V436">
        <v>7.8046593</v>
      </c>
      <c r="W436">
        <v>8.8454892399999991</v>
      </c>
      <c r="Y436">
        <v>157.688028</v>
      </c>
      <c r="Z436">
        <v>7.33888813</v>
      </c>
      <c r="AA436">
        <v>8.0913212699999999</v>
      </c>
      <c r="AB436">
        <v>7.4792996399999998</v>
      </c>
      <c r="AC436">
        <v>7.8651879500000001</v>
      </c>
      <c r="AD436">
        <v>7.8359745800000002</v>
      </c>
      <c r="AE436">
        <v>8.7541607500000005</v>
      </c>
    </row>
    <row r="437" spans="1:31" x14ac:dyDescent="0.2">
      <c r="A437">
        <v>158.05302800000001</v>
      </c>
      <c r="B437">
        <v>7.6415644399999998</v>
      </c>
      <c r="C437">
        <v>6.6437897299999999</v>
      </c>
      <c r="D437">
        <v>7.3369369100000004</v>
      </c>
      <c r="E437">
        <v>5.8406416600000002</v>
      </c>
      <c r="F437">
        <v>7.8066963700000001</v>
      </c>
      <c r="G437">
        <v>8.6432970699999991</v>
      </c>
      <c r="I437">
        <v>158.05302800000001</v>
      </c>
      <c r="J437">
        <v>7.9398715800000002</v>
      </c>
      <c r="K437">
        <v>7.1846291500000001</v>
      </c>
      <c r="L437">
        <v>7.8823149199999998</v>
      </c>
      <c r="M437">
        <v>5.9242558000000001</v>
      </c>
      <c r="N437">
        <v>7.85709386</v>
      </c>
      <c r="O437">
        <v>8.5463635700000005</v>
      </c>
      <c r="Q437">
        <v>158.05302800000001</v>
      </c>
      <c r="R437">
        <v>7.44833386</v>
      </c>
      <c r="S437">
        <v>6.7428806400000001</v>
      </c>
      <c r="T437">
        <v>7.1147694499999998</v>
      </c>
      <c r="U437">
        <v>6.3952616000000004</v>
      </c>
      <c r="V437">
        <v>7.80506704</v>
      </c>
      <c r="W437">
        <v>8.8447688299999996</v>
      </c>
      <c r="Y437">
        <v>158.05302800000001</v>
      </c>
      <c r="Z437">
        <v>7.3356339799999999</v>
      </c>
      <c r="AA437">
        <v>8.0774471499999994</v>
      </c>
      <c r="AB437">
        <v>7.4753392400000003</v>
      </c>
      <c r="AC437">
        <v>7.8547691799999999</v>
      </c>
      <c r="AD437">
        <v>7.8375543600000004</v>
      </c>
      <c r="AE437">
        <v>8.7478286099999991</v>
      </c>
    </row>
    <row r="438" spans="1:31" x14ac:dyDescent="0.2">
      <c r="A438">
        <v>158.41802799999999</v>
      </c>
      <c r="B438">
        <v>7.6275443899999997</v>
      </c>
      <c r="C438">
        <v>6.6528630299999998</v>
      </c>
      <c r="D438">
        <v>7.3382381499999996</v>
      </c>
      <c r="E438">
        <v>5.8664680599999999</v>
      </c>
      <c r="F438">
        <v>7.8026180600000004</v>
      </c>
      <c r="G438">
        <v>8.6482214499999994</v>
      </c>
      <c r="I438">
        <v>158.41802799999999</v>
      </c>
      <c r="J438">
        <v>7.9427175400000003</v>
      </c>
      <c r="K438">
        <v>7.1951873199999996</v>
      </c>
      <c r="L438">
        <v>7.88570539</v>
      </c>
      <c r="M438">
        <v>5.9348941999999996</v>
      </c>
      <c r="N438">
        <v>7.85709386</v>
      </c>
      <c r="O438">
        <v>8.5544889800000004</v>
      </c>
      <c r="Q438">
        <v>158.41802799999999</v>
      </c>
      <c r="R438">
        <v>7.4419067300000004</v>
      </c>
      <c r="S438">
        <v>6.7440591899999998</v>
      </c>
      <c r="T438">
        <v>7.10332206</v>
      </c>
      <c r="U438">
        <v>6.4035742000000004</v>
      </c>
      <c r="V438">
        <v>7.7989333099999998</v>
      </c>
      <c r="W438">
        <v>8.8443363300000009</v>
      </c>
      <c r="Y438">
        <v>158.41802799999999</v>
      </c>
      <c r="Z438">
        <v>7.3336763999999999</v>
      </c>
      <c r="AA438">
        <v>8.0867179199999999</v>
      </c>
      <c r="AB438">
        <v>7.4725007400000001</v>
      </c>
      <c r="AC438">
        <v>7.8678714899999997</v>
      </c>
      <c r="AD438">
        <v>7.8355792500000003</v>
      </c>
      <c r="AE438">
        <v>8.7546340499999999</v>
      </c>
    </row>
    <row r="439" spans="1:31" x14ac:dyDescent="0.2">
      <c r="A439">
        <v>158.783028</v>
      </c>
      <c r="B439">
        <v>7.6270574199999999</v>
      </c>
      <c r="C439">
        <v>6.6385677899999997</v>
      </c>
      <c r="D439">
        <v>7.3297496899999999</v>
      </c>
      <c r="E439">
        <v>5.88332239</v>
      </c>
      <c r="F439">
        <v>7.8046593</v>
      </c>
      <c r="G439">
        <v>8.6447065100000007</v>
      </c>
      <c r="I439">
        <v>158.783028</v>
      </c>
      <c r="J439">
        <v>7.9402277699999999</v>
      </c>
      <c r="K439">
        <v>7.1921820600000004</v>
      </c>
      <c r="L439">
        <v>7.87625888</v>
      </c>
      <c r="M439">
        <v>5.9348941999999996</v>
      </c>
      <c r="N439">
        <v>7.8590269800000003</v>
      </c>
      <c r="O439">
        <v>8.5541035500000007</v>
      </c>
      <c r="Q439">
        <v>158.783028</v>
      </c>
      <c r="R439">
        <v>7.4377951199999996</v>
      </c>
      <c r="S439">
        <v>6.7464121300000004</v>
      </c>
      <c r="T439">
        <v>7.10332206</v>
      </c>
      <c r="U439">
        <v>6.4019171999999998</v>
      </c>
      <c r="V439">
        <v>7.8042513800000002</v>
      </c>
      <c r="W439">
        <v>8.8464969399999998</v>
      </c>
      <c r="Y439">
        <v>158.783028</v>
      </c>
      <c r="Z439">
        <v>7.3304052100000003</v>
      </c>
      <c r="AA439">
        <v>8.0839456999999992</v>
      </c>
      <c r="AB439">
        <v>7.4730690900000001</v>
      </c>
      <c r="AC439">
        <v>7.8520502099999998</v>
      </c>
      <c r="AD439">
        <v>7.8312202099999997</v>
      </c>
      <c r="AE439">
        <v>8.7500494199999999</v>
      </c>
    </row>
    <row r="440" spans="1:31" x14ac:dyDescent="0.2">
      <c r="A440">
        <v>159.148056</v>
      </c>
      <c r="B440">
        <v>7.6128310299999997</v>
      </c>
      <c r="C440">
        <v>6.6200732100000002</v>
      </c>
      <c r="D440">
        <v>7.3145528300000002</v>
      </c>
      <c r="E440">
        <v>5.8406416600000002</v>
      </c>
      <c r="F440">
        <v>7.8091353999999997</v>
      </c>
      <c r="G440">
        <v>8.6450585600000007</v>
      </c>
      <c r="I440">
        <v>159.148056</v>
      </c>
      <c r="J440">
        <v>7.9434277700000004</v>
      </c>
      <c r="K440">
        <v>7.1936858199999998</v>
      </c>
      <c r="L440">
        <v>7.8754992899999996</v>
      </c>
      <c r="M440">
        <v>5.9348941999999996</v>
      </c>
      <c r="N440">
        <v>7.85321639</v>
      </c>
      <c r="O440">
        <v>8.5542962800000009</v>
      </c>
      <c r="Q440">
        <v>159.148056</v>
      </c>
      <c r="R440">
        <v>7.4253578899999999</v>
      </c>
      <c r="S440">
        <v>6.7214257000000002</v>
      </c>
      <c r="T440">
        <v>7.0892431599999997</v>
      </c>
      <c r="U440">
        <v>6.3681871900000004</v>
      </c>
      <c r="V440">
        <v>7.7981126300000003</v>
      </c>
      <c r="W440">
        <v>8.8440478999999996</v>
      </c>
      <c r="Y440">
        <v>159.148056</v>
      </c>
      <c r="Z440">
        <v>7.3330230099999998</v>
      </c>
      <c r="AA440">
        <v>8.0796180300000007</v>
      </c>
      <c r="AB440">
        <v>7.4759059700000003</v>
      </c>
      <c r="AC440">
        <v>7.8536048100000002</v>
      </c>
      <c r="AD440">
        <v>7.8379489199999997</v>
      </c>
      <c r="AE440">
        <v>8.7533714200000006</v>
      </c>
    </row>
    <row r="441" spans="1:31" x14ac:dyDescent="0.2">
      <c r="A441">
        <v>159.51308299999999</v>
      </c>
      <c r="B441">
        <v>7.6246189900000001</v>
      </c>
      <c r="C441">
        <v>6.6528630299999998</v>
      </c>
      <c r="D441">
        <v>7.3138868300000004</v>
      </c>
      <c r="E441">
        <v>5.8861040300000003</v>
      </c>
      <c r="F441">
        <v>7.80506704</v>
      </c>
      <c r="G441">
        <v>8.6466412600000009</v>
      </c>
      <c r="I441">
        <v>159.51308299999999</v>
      </c>
      <c r="J441">
        <v>7.9487384499999996</v>
      </c>
      <c r="K441">
        <v>7.1974353500000001</v>
      </c>
      <c r="L441">
        <v>7.8841999300000003</v>
      </c>
      <c r="M441">
        <v>5.9661467400000001</v>
      </c>
      <c r="N441">
        <v>7.8559321999999998</v>
      </c>
      <c r="O441">
        <v>8.56140145</v>
      </c>
      <c r="Q441">
        <v>159.51308299999999</v>
      </c>
      <c r="R441">
        <v>7.4175804000000003</v>
      </c>
      <c r="S441">
        <v>6.7417006900000001</v>
      </c>
      <c r="T441">
        <v>7.08673793</v>
      </c>
      <c r="U441">
        <v>6.3969296599999996</v>
      </c>
      <c r="V441">
        <v>7.8042513800000002</v>
      </c>
      <c r="W441">
        <v>8.8493704999999991</v>
      </c>
      <c r="Y441">
        <v>159.51308299999999</v>
      </c>
      <c r="Z441">
        <v>7.33498188</v>
      </c>
      <c r="AA441">
        <v>8.0861025400000006</v>
      </c>
      <c r="AB441">
        <v>7.4747721800000004</v>
      </c>
      <c r="AC441">
        <v>7.8536048100000002</v>
      </c>
      <c r="AD441">
        <v>7.8312202099999997</v>
      </c>
      <c r="AE441">
        <v>8.7552647599999993</v>
      </c>
    </row>
    <row r="442" spans="1:31" x14ac:dyDescent="0.2">
      <c r="A442">
        <v>159.878083</v>
      </c>
      <c r="B442">
        <v>7.6182511000000002</v>
      </c>
      <c r="C442">
        <v>6.6720329500000002</v>
      </c>
      <c r="D442">
        <v>7.3205269599999996</v>
      </c>
      <c r="E442">
        <v>5.9375362100000002</v>
      </c>
      <c r="F442">
        <v>7.8022093200000002</v>
      </c>
      <c r="G442">
        <v>8.6424151600000005</v>
      </c>
      <c r="I442">
        <v>159.878083</v>
      </c>
      <c r="J442">
        <v>7.94661756</v>
      </c>
      <c r="K442">
        <v>7.1724245800000004</v>
      </c>
      <c r="L442">
        <v>7.8849529499999997</v>
      </c>
      <c r="M442">
        <v>5.9080829399999999</v>
      </c>
      <c r="N442">
        <v>7.8628820299999997</v>
      </c>
      <c r="O442">
        <v>8.5432507300000005</v>
      </c>
      <c r="Q442">
        <v>159.878083</v>
      </c>
      <c r="R442">
        <v>7.4253578899999999</v>
      </c>
      <c r="S442">
        <v>6.7627295099999998</v>
      </c>
      <c r="T442">
        <v>7.0808679000000003</v>
      </c>
      <c r="U442">
        <v>6.4297194800000002</v>
      </c>
      <c r="V442">
        <v>7.8119734300000001</v>
      </c>
      <c r="W442">
        <v>8.8407249199999995</v>
      </c>
      <c r="Y442">
        <v>159.878083</v>
      </c>
      <c r="Z442">
        <v>7.3323692100000004</v>
      </c>
      <c r="AA442">
        <v>8.0752715500000001</v>
      </c>
      <c r="AB442">
        <v>7.47022414</v>
      </c>
      <c r="AC442">
        <v>7.8477625399999997</v>
      </c>
      <c r="AD442">
        <v>7.8375543600000004</v>
      </c>
      <c r="AE442">
        <v>8.7497324600000006</v>
      </c>
    </row>
    <row r="443" spans="1:31" x14ac:dyDescent="0.2">
      <c r="A443">
        <v>160.24308300000001</v>
      </c>
      <c r="B443">
        <v>7.61085279</v>
      </c>
      <c r="C443">
        <v>6.6214056499999998</v>
      </c>
      <c r="D443">
        <v>7.3172124099999998</v>
      </c>
      <c r="E443">
        <v>5.8435444199999997</v>
      </c>
      <c r="F443">
        <v>7.8018004000000003</v>
      </c>
      <c r="G443">
        <v>8.6468169600000007</v>
      </c>
      <c r="I443">
        <v>160.24308300000001</v>
      </c>
      <c r="J443">
        <v>7.9441374900000001</v>
      </c>
      <c r="K443">
        <v>7.1869010199999996</v>
      </c>
      <c r="L443">
        <v>7.8890844099999997</v>
      </c>
      <c r="M443">
        <v>5.92958914</v>
      </c>
      <c r="N443">
        <v>7.8469809799999997</v>
      </c>
      <c r="O443">
        <v>8.5654117599999999</v>
      </c>
      <c r="Q443">
        <v>160.24308300000001</v>
      </c>
      <c r="R443">
        <v>7.4265490700000001</v>
      </c>
      <c r="S443">
        <v>6.72262979</v>
      </c>
      <c r="T443">
        <v>7.0758088600000004</v>
      </c>
      <c r="U443">
        <v>6.3526293999999996</v>
      </c>
      <c r="V443">
        <v>7.80547463</v>
      </c>
      <c r="W443">
        <v>8.8436150900000001</v>
      </c>
      <c r="Y443">
        <v>160.24308300000001</v>
      </c>
      <c r="Z443">
        <v>7.3336763999999999</v>
      </c>
      <c r="AA443">
        <v>8.0783781000000001</v>
      </c>
      <c r="AB443">
        <v>7.4759059700000003</v>
      </c>
      <c r="AC443">
        <v>7.8458075000000003</v>
      </c>
      <c r="AD443">
        <v>7.8375543600000004</v>
      </c>
      <c r="AE443">
        <v>8.7514744899999997</v>
      </c>
    </row>
    <row r="444" spans="1:31" x14ac:dyDescent="0.2">
      <c r="A444">
        <v>160.60811100000001</v>
      </c>
      <c r="B444">
        <v>7.6078780699999999</v>
      </c>
      <c r="C444">
        <v>6.6253923700000001</v>
      </c>
      <c r="D444">
        <v>7.31055016</v>
      </c>
      <c r="E444">
        <v>5.8664680599999999</v>
      </c>
      <c r="F444">
        <v>7.80506704</v>
      </c>
      <c r="G444">
        <v>8.6489229600000002</v>
      </c>
      <c r="I444">
        <v>160.60811100000001</v>
      </c>
      <c r="J444">
        <v>7.9494444199999998</v>
      </c>
      <c r="K444">
        <v>7.2026611999999997</v>
      </c>
      <c r="L444">
        <v>7.88570539</v>
      </c>
      <c r="M444">
        <v>5.9427993800000003</v>
      </c>
      <c r="N444">
        <v>7.8578675599999999</v>
      </c>
      <c r="O444">
        <v>8.5652211600000001</v>
      </c>
      <c r="Q444">
        <v>160.60811100000001</v>
      </c>
      <c r="R444">
        <v>7.4217757899999999</v>
      </c>
      <c r="S444">
        <v>6.7322107100000004</v>
      </c>
      <c r="T444">
        <v>7.0656133600000004</v>
      </c>
      <c r="U444">
        <v>6.3699009799999997</v>
      </c>
      <c r="V444">
        <v>7.8042513800000002</v>
      </c>
      <c r="W444">
        <v>8.8502309700000001</v>
      </c>
      <c r="Y444">
        <v>160.60811100000001</v>
      </c>
      <c r="Z444">
        <v>7.3336763999999999</v>
      </c>
      <c r="AA444">
        <v>8.0811657799999992</v>
      </c>
      <c r="AB444">
        <v>7.4753392400000003</v>
      </c>
      <c r="AC444">
        <v>7.85282781</v>
      </c>
      <c r="AD444">
        <v>7.8367647800000002</v>
      </c>
      <c r="AE444">
        <v>8.7487809900000002</v>
      </c>
    </row>
    <row r="445" spans="1:31" x14ac:dyDescent="0.2">
      <c r="A445">
        <v>160.97311099999999</v>
      </c>
      <c r="B445">
        <v>7.6024013400000001</v>
      </c>
      <c r="C445">
        <v>6.6147255999999999</v>
      </c>
      <c r="D445">
        <v>7.3051882199999998</v>
      </c>
      <c r="E445">
        <v>5.8464387799999997</v>
      </c>
      <c r="F445">
        <v>7.8071032899999997</v>
      </c>
      <c r="G445">
        <v>8.6485722700000007</v>
      </c>
      <c r="I445">
        <v>160.97311099999999</v>
      </c>
      <c r="J445">
        <v>7.9497972199999998</v>
      </c>
      <c r="K445">
        <v>7.1876571599999997</v>
      </c>
      <c r="L445">
        <v>7.8826922100000001</v>
      </c>
      <c r="M445">
        <v>5.9401712499999997</v>
      </c>
      <c r="N445">
        <v>7.8582541800000003</v>
      </c>
      <c r="O445">
        <v>8.5571828399999994</v>
      </c>
      <c r="Q445">
        <v>160.97311099999999</v>
      </c>
      <c r="R445">
        <v>7.4133673399999997</v>
      </c>
      <c r="S445">
        <v>6.7153833900000004</v>
      </c>
      <c r="T445">
        <v>7.06133437</v>
      </c>
      <c r="U445">
        <v>6.3491389900000001</v>
      </c>
      <c r="V445">
        <v>7.80343506</v>
      </c>
      <c r="W445">
        <v>8.8533796700000007</v>
      </c>
      <c r="Y445">
        <v>160.97311099999999</v>
      </c>
      <c r="Z445">
        <v>7.33432935</v>
      </c>
      <c r="AA445">
        <v>8.0743376900000001</v>
      </c>
      <c r="AB445">
        <v>7.4736371100000003</v>
      </c>
      <c r="AC445">
        <v>7.8458075000000003</v>
      </c>
      <c r="AD445">
        <v>7.8375543600000004</v>
      </c>
      <c r="AE445">
        <v>8.7500494199999999</v>
      </c>
    </row>
    <row r="446" spans="1:31" x14ac:dyDescent="0.2">
      <c r="A446">
        <v>161.33813900000001</v>
      </c>
      <c r="B446">
        <v>7.6029004599999999</v>
      </c>
      <c r="C446">
        <v>6.6012301200000003</v>
      </c>
      <c r="D446">
        <v>7.30384323</v>
      </c>
      <c r="E446">
        <v>5.8230459000000003</v>
      </c>
      <c r="F446">
        <v>7.7993433999999997</v>
      </c>
      <c r="G446">
        <v>8.6504995600000001</v>
      </c>
      <c r="I446">
        <v>161.33813900000001</v>
      </c>
      <c r="J446">
        <v>7.9522633100000002</v>
      </c>
      <c r="K446">
        <v>7.1891677400000003</v>
      </c>
      <c r="L446">
        <v>7.8872085900000002</v>
      </c>
      <c r="M446">
        <v>5.9348941999999996</v>
      </c>
      <c r="N446">
        <v>7.8563195700000001</v>
      </c>
      <c r="O446">
        <v>8.5581431800000001</v>
      </c>
      <c r="Q446">
        <v>161.33813900000001</v>
      </c>
      <c r="R446">
        <v>7.4133673399999997</v>
      </c>
      <c r="S446">
        <v>6.7129561999999998</v>
      </c>
      <c r="T446">
        <v>7.05358573</v>
      </c>
      <c r="U446">
        <v>6.33859408</v>
      </c>
      <c r="V446">
        <v>7.8046593</v>
      </c>
      <c r="W446">
        <v>8.8417374300000002</v>
      </c>
      <c r="Y446">
        <v>161.33813900000001</v>
      </c>
      <c r="Z446">
        <v>7.3304052100000003</v>
      </c>
      <c r="AA446">
        <v>8.0755826400000004</v>
      </c>
      <c r="AB446">
        <v>7.4742048099999998</v>
      </c>
      <c r="AC446">
        <v>7.8430640199999999</v>
      </c>
      <c r="AD446">
        <v>7.8363697600000002</v>
      </c>
      <c r="AE446">
        <v>8.7483049099999999</v>
      </c>
    </row>
    <row r="447" spans="1:31" x14ac:dyDescent="0.2">
      <c r="A447">
        <v>161.70313899999999</v>
      </c>
      <c r="B447">
        <v>7.5973963199999996</v>
      </c>
      <c r="C447">
        <v>6.5998704999999998</v>
      </c>
      <c r="D447">
        <v>7.2964132700000004</v>
      </c>
      <c r="E447">
        <v>5.8435444199999997</v>
      </c>
      <c r="F447">
        <v>7.8026180600000004</v>
      </c>
      <c r="G447">
        <v>8.6413558300000002</v>
      </c>
      <c r="I447">
        <v>161.70313899999999</v>
      </c>
      <c r="J447">
        <v>7.9476785699999999</v>
      </c>
      <c r="K447">
        <v>7.1838707199999998</v>
      </c>
      <c r="L447">
        <v>7.88570539</v>
      </c>
      <c r="M447">
        <v>5.9348941999999996</v>
      </c>
      <c r="N447">
        <v>7.8516611799999998</v>
      </c>
      <c r="O447">
        <v>8.5533322399999996</v>
      </c>
      <c r="Q447">
        <v>161.70313899999999</v>
      </c>
      <c r="R447">
        <v>7.4012312600000003</v>
      </c>
      <c r="S447">
        <v>6.7007311100000004</v>
      </c>
      <c r="T447">
        <v>7.0422861699999997</v>
      </c>
      <c r="U447">
        <v>6.3350542499999998</v>
      </c>
      <c r="V447">
        <v>7.80506704</v>
      </c>
      <c r="W447">
        <v>8.8417374300000002</v>
      </c>
      <c r="Y447">
        <v>161.70313899999999</v>
      </c>
      <c r="Z447">
        <v>7.3362856599999997</v>
      </c>
      <c r="AA447">
        <v>8.0743376900000001</v>
      </c>
      <c r="AB447">
        <v>7.4696541700000001</v>
      </c>
      <c r="AC447">
        <v>7.83241093</v>
      </c>
      <c r="AD447">
        <v>7.82883453</v>
      </c>
      <c r="AE447">
        <v>8.7509996900000004</v>
      </c>
    </row>
    <row r="448" spans="1:31" x14ac:dyDescent="0.2">
      <c r="A448">
        <v>162.06816699999999</v>
      </c>
      <c r="B448">
        <v>7.5923661300000003</v>
      </c>
      <c r="C448">
        <v>6.5903010499999999</v>
      </c>
      <c r="D448">
        <v>7.2827611799999996</v>
      </c>
      <c r="E448">
        <v>5.8406416600000002</v>
      </c>
      <c r="F448">
        <v>7.8013913199999996</v>
      </c>
      <c r="G448">
        <v>8.6469926299999997</v>
      </c>
      <c r="I448">
        <v>162.06816699999999</v>
      </c>
      <c r="J448">
        <v>7.94732503</v>
      </c>
      <c r="K448">
        <v>7.18992217</v>
      </c>
      <c r="L448">
        <v>7.87929149</v>
      </c>
      <c r="M448">
        <v>5.9454206100000002</v>
      </c>
      <c r="N448">
        <v>7.84384864</v>
      </c>
      <c r="O448">
        <v>8.5542962800000009</v>
      </c>
      <c r="Q448">
        <v>162.06816699999999</v>
      </c>
      <c r="R448">
        <v>7.4018415800000001</v>
      </c>
      <c r="S448">
        <v>6.7105231099999996</v>
      </c>
      <c r="T448">
        <v>7.0317412600000004</v>
      </c>
      <c r="U448">
        <v>6.3243589599999996</v>
      </c>
      <c r="V448">
        <v>7.79852305</v>
      </c>
      <c r="W448">
        <v>8.8440478999999996</v>
      </c>
      <c r="Y448">
        <v>162.06816699999999</v>
      </c>
      <c r="Z448">
        <v>7.3317149700000002</v>
      </c>
      <c r="AA448">
        <v>8.0680896299999993</v>
      </c>
      <c r="AB448">
        <v>7.4713630899999997</v>
      </c>
      <c r="AC448">
        <v>7.8351837599999996</v>
      </c>
      <c r="AD448">
        <v>7.8296303900000002</v>
      </c>
      <c r="AE448">
        <v>8.7509996900000004</v>
      </c>
    </row>
    <row r="449" spans="1:31" x14ac:dyDescent="0.2">
      <c r="A449">
        <v>162.441417</v>
      </c>
      <c r="B449">
        <v>7.5817196400000002</v>
      </c>
      <c r="C449">
        <v>6.6025878899999997</v>
      </c>
      <c r="D449">
        <v>7.2806971999999996</v>
      </c>
      <c r="E449">
        <v>5.87493073</v>
      </c>
      <c r="F449">
        <v>7.7989333099999998</v>
      </c>
      <c r="G449">
        <v>8.6462897600000002</v>
      </c>
      <c r="I449">
        <v>162.441417</v>
      </c>
      <c r="J449">
        <v>7.93844555</v>
      </c>
      <c r="K449">
        <v>7.1891677400000003</v>
      </c>
      <c r="L449">
        <v>7.8796699099999996</v>
      </c>
      <c r="M449">
        <v>5.9635793399999999</v>
      </c>
      <c r="N449">
        <v>7.8458075000000003</v>
      </c>
      <c r="O449">
        <v>8.5556443800000004</v>
      </c>
      <c r="Q449">
        <v>162.441417</v>
      </c>
      <c r="R449">
        <v>7.3987862800000004</v>
      </c>
      <c r="S449">
        <v>6.7031881100000001</v>
      </c>
      <c r="T449">
        <v>7.02464903</v>
      </c>
      <c r="U449">
        <v>6.3350542499999998</v>
      </c>
      <c r="V449">
        <v>7.79852305</v>
      </c>
      <c r="W449">
        <v>8.8430377199999999</v>
      </c>
      <c r="Y449">
        <v>162.441417</v>
      </c>
      <c r="Z449">
        <v>7.3290937400000002</v>
      </c>
      <c r="AA449">
        <v>8.0658935500000002</v>
      </c>
      <c r="AB449">
        <v>7.4616403900000003</v>
      </c>
      <c r="AC449">
        <v>7.8355792500000003</v>
      </c>
      <c r="AD449">
        <v>7.8284363600000004</v>
      </c>
      <c r="AE449">
        <v>8.7562100899999997</v>
      </c>
    </row>
    <row r="450" spans="1:31" x14ac:dyDescent="0.2">
      <c r="A450">
        <v>162.81413900000001</v>
      </c>
      <c r="B450">
        <v>7.5791679700000003</v>
      </c>
      <c r="C450">
        <v>6.5453496600000003</v>
      </c>
      <c r="D450">
        <v>7.2717037099999997</v>
      </c>
      <c r="E450">
        <v>5.7589017699999996</v>
      </c>
      <c r="F450">
        <v>7.8030266399999997</v>
      </c>
      <c r="G450">
        <v>8.63550942</v>
      </c>
      <c r="I450">
        <v>162.81413900000001</v>
      </c>
      <c r="J450">
        <v>7.9437826899999999</v>
      </c>
      <c r="K450">
        <v>7.1678091799999999</v>
      </c>
      <c r="L450">
        <v>7.8815599199999999</v>
      </c>
      <c r="M450">
        <v>5.8916442099999999</v>
      </c>
      <c r="N450">
        <v>7.8489337299999997</v>
      </c>
      <c r="O450">
        <v>8.5471402699999999</v>
      </c>
      <c r="Q450">
        <v>162.81413900000001</v>
      </c>
      <c r="R450">
        <v>7.3926475199999997</v>
      </c>
      <c r="S450">
        <v>6.6528630299999998</v>
      </c>
      <c r="T450">
        <v>7.01481435</v>
      </c>
      <c r="U450">
        <v>6.2576675899999996</v>
      </c>
      <c r="V450" t="e">
        <v>#NUM!</v>
      </c>
      <c r="W450" t="e">
        <v>#NUM!</v>
      </c>
      <c r="Y450">
        <v>162.81413900000001</v>
      </c>
      <c r="Z450">
        <v>7.3284373499999997</v>
      </c>
      <c r="AA450">
        <v>8.0561096600000006</v>
      </c>
      <c r="AB450">
        <v>7.4685132699999999</v>
      </c>
      <c r="AC450">
        <v>7.8148034300000004</v>
      </c>
      <c r="AD450">
        <v>7.8320141799999998</v>
      </c>
      <c r="AE450">
        <v>8.7369710900000008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0842-3481-D947-8E83-6D5979587C1F}">
  <dimension ref="A1:D19"/>
  <sheetViews>
    <sheetView workbookViewId="0">
      <selection sqref="A1:XFD1"/>
    </sheetView>
  </sheetViews>
  <sheetFormatPr baseColWidth="10" defaultRowHeight="16" x14ac:dyDescent="0.2"/>
  <cols>
    <col min="2" max="2" width="12.6640625" bestFit="1" customWidth="1"/>
    <col min="3" max="3" width="8.83203125" bestFit="1" customWidth="1"/>
    <col min="4" max="4" width="12.83203125" bestFit="1" customWidth="1"/>
  </cols>
  <sheetData>
    <row r="1" spans="1:4" s="7" customFormat="1" x14ac:dyDescent="0.2">
      <c r="A1" s="7" t="s">
        <v>37</v>
      </c>
      <c r="B1" s="7" t="s">
        <v>0</v>
      </c>
      <c r="C1" s="7" t="s">
        <v>6</v>
      </c>
      <c r="D1" s="7" t="s">
        <v>7</v>
      </c>
    </row>
    <row r="2" spans="1:4" x14ac:dyDescent="0.2">
      <c r="A2" t="s">
        <v>17</v>
      </c>
      <c r="B2" t="s">
        <v>1041</v>
      </c>
      <c r="C2">
        <v>1</v>
      </c>
      <c r="D2">
        <v>-4.5313549890340303E-2</v>
      </c>
    </row>
    <row r="3" spans="1:4" x14ac:dyDescent="0.2">
      <c r="A3" t="s">
        <v>17</v>
      </c>
      <c r="B3" t="s">
        <v>1041</v>
      </c>
      <c r="C3">
        <v>2</v>
      </c>
      <c r="D3">
        <v>-1.4354513668793176E-2</v>
      </c>
    </row>
    <row r="4" spans="1:4" x14ac:dyDescent="0.2">
      <c r="A4" t="s">
        <v>17</v>
      </c>
      <c r="B4" t="s">
        <v>1041</v>
      </c>
      <c r="C4">
        <v>3</v>
      </c>
      <c r="D4">
        <v>0.10722536922245626</v>
      </c>
    </row>
    <row r="5" spans="1:4" x14ac:dyDescent="0.2">
      <c r="A5" t="s">
        <v>18</v>
      </c>
      <c r="B5" t="s">
        <v>1041</v>
      </c>
      <c r="C5">
        <v>1</v>
      </c>
      <c r="D5">
        <v>-4.3773255204985879E-2</v>
      </c>
    </row>
    <row r="6" spans="1:4" x14ac:dyDescent="0.2">
      <c r="A6" t="s">
        <v>18</v>
      </c>
      <c r="B6" t="s">
        <v>1041</v>
      </c>
      <c r="C6">
        <v>2</v>
      </c>
      <c r="D6">
        <v>-0.10529250670743093</v>
      </c>
    </row>
    <row r="7" spans="1:4" x14ac:dyDescent="0.2">
      <c r="A7" t="s">
        <v>18</v>
      </c>
      <c r="B7" t="s">
        <v>1041</v>
      </c>
      <c r="C7">
        <v>3</v>
      </c>
      <c r="D7">
        <v>-5.2164458312012427E-2</v>
      </c>
    </row>
    <row r="8" spans="1:4" x14ac:dyDescent="0.2">
      <c r="A8" t="s">
        <v>17</v>
      </c>
      <c r="B8" t="s">
        <v>949</v>
      </c>
      <c r="C8">
        <v>1</v>
      </c>
      <c r="D8">
        <v>0.4181601679877181</v>
      </c>
    </row>
    <row r="9" spans="1:4" x14ac:dyDescent="0.2">
      <c r="A9" t="s">
        <v>17</v>
      </c>
      <c r="B9" t="s">
        <v>949</v>
      </c>
      <c r="C9">
        <v>2</v>
      </c>
      <c r="D9">
        <v>0.42641966846980239</v>
      </c>
    </row>
    <row r="10" spans="1:4" x14ac:dyDescent="0.2">
      <c r="A10" t="s">
        <v>17</v>
      </c>
      <c r="B10" t="s">
        <v>949</v>
      </c>
      <c r="C10">
        <v>3</v>
      </c>
      <c r="D10">
        <v>0.4204870866761366</v>
      </c>
    </row>
    <row r="11" spans="1:4" x14ac:dyDescent="0.2">
      <c r="A11" t="s">
        <v>18</v>
      </c>
      <c r="B11" t="s">
        <v>949</v>
      </c>
      <c r="C11">
        <v>1</v>
      </c>
      <c r="D11">
        <v>-0.27023900200786882</v>
      </c>
    </row>
    <row r="12" spans="1:4" x14ac:dyDescent="0.2">
      <c r="A12" t="s">
        <v>18</v>
      </c>
      <c r="B12" t="s">
        <v>949</v>
      </c>
      <c r="C12">
        <v>2</v>
      </c>
      <c r="D12">
        <v>-0.81275304322512609</v>
      </c>
    </row>
    <row r="13" spans="1:4" x14ac:dyDescent="0.2">
      <c r="A13" t="s">
        <v>18</v>
      </c>
      <c r="B13" t="s">
        <v>949</v>
      </c>
      <c r="C13">
        <v>3</v>
      </c>
      <c r="D13">
        <v>-0.47246461255837674</v>
      </c>
    </row>
    <row r="14" spans="1:4" x14ac:dyDescent="0.2">
      <c r="A14" t="s">
        <v>17</v>
      </c>
      <c r="B14" t="s">
        <v>20</v>
      </c>
      <c r="C14">
        <v>1</v>
      </c>
      <c r="D14" s="39">
        <v>0.47029995935374214</v>
      </c>
    </row>
    <row r="15" spans="1:4" x14ac:dyDescent="0.2">
      <c r="A15" t="s">
        <v>17</v>
      </c>
      <c r="B15" t="s">
        <v>20</v>
      </c>
      <c r="C15">
        <v>2</v>
      </c>
      <c r="D15" s="39">
        <v>0.45675042852903869</v>
      </c>
    </row>
    <row r="16" spans="1:4" x14ac:dyDescent="0.2">
      <c r="A16" t="s">
        <v>17</v>
      </c>
      <c r="B16" t="s">
        <v>20</v>
      </c>
      <c r="C16">
        <v>3</v>
      </c>
      <c r="D16" s="39">
        <v>0.48052758742735391</v>
      </c>
    </row>
    <row r="17" spans="1:4" x14ac:dyDescent="0.2">
      <c r="A17" t="s">
        <v>18</v>
      </c>
      <c r="B17" t="s">
        <v>20</v>
      </c>
      <c r="C17">
        <v>1</v>
      </c>
      <c r="D17">
        <v>-3.8811802205265901E-2</v>
      </c>
    </row>
    <row r="18" spans="1:4" x14ac:dyDescent="0.2">
      <c r="A18" t="s">
        <v>18</v>
      </c>
      <c r="B18" t="s">
        <v>20</v>
      </c>
      <c r="C18">
        <v>2</v>
      </c>
      <c r="D18">
        <v>6.1823358666076231E-2</v>
      </c>
    </row>
    <row r="19" spans="1:4" x14ac:dyDescent="0.2">
      <c r="A19" t="s">
        <v>18</v>
      </c>
      <c r="B19" t="s">
        <v>20</v>
      </c>
      <c r="C19">
        <v>3</v>
      </c>
      <c r="D19">
        <v>9.5568796687432941E-2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16F3-F9AD-7F4C-B06F-9D86CD9FF210}">
  <dimension ref="A1:I7"/>
  <sheetViews>
    <sheetView workbookViewId="0">
      <selection activeCell="G17" sqref="G17"/>
    </sheetView>
  </sheetViews>
  <sheetFormatPr baseColWidth="10" defaultRowHeight="16" x14ac:dyDescent="0.2"/>
  <cols>
    <col min="1" max="1" width="17.83203125" bestFit="1" customWidth="1"/>
    <col min="2" max="2" width="12.6640625" bestFit="1" customWidth="1"/>
    <col min="3" max="3" width="8.83203125" bestFit="1" customWidth="1"/>
    <col min="4" max="4" width="8.83203125" customWidth="1"/>
    <col min="5" max="5" width="13.6640625" bestFit="1" customWidth="1"/>
    <col min="6" max="6" width="17.6640625" bestFit="1" customWidth="1"/>
    <col min="8" max="8" width="12.33203125" bestFit="1" customWidth="1"/>
  </cols>
  <sheetData>
    <row r="1" spans="1:9" x14ac:dyDescent="0.2">
      <c r="A1" s="7" t="s">
        <v>951</v>
      </c>
      <c r="B1" s="7" t="s">
        <v>0</v>
      </c>
      <c r="C1" s="7" t="s">
        <v>6</v>
      </c>
      <c r="D1" s="7" t="s">
        <v>1247</v>
      </c>
      <c r="E1" s="7" t="s">
        <v>955</v>
      </c>
      <c r="F1" s="7" t="s">
        <v>958</v>
      </c>
      <c r="G1" s="7" t="s">
        <v>1246</v>
      </c>
    </row>
    <row r="2" spans="1:9" x14ac:dyDescent="0.2">
      <c r="A2" t="s">
        <v>25</v>
      </c>
      <c r="B2" t="s">
        <v>1041</v>
      </c>
      <c r="C2">
        <v>1</v>
      </c>
      <c r="D2">
        <v>7</v>
      </c>
      <c r="E2" s="11">
        <v>180000000</v>
      </c>
      <c r="F2" s="11">
        <v>26000000</v>
      </c>
      <c r="G2" s="11">
        <v>0.14399999999999999</v>
      </c>
      <c r="H2" s="11"/>
      <c r="I2" s="11"/>
    </row>
    <row r="3" spans="1:9" x14ac:dyDescent="0.2">
      <c r="A3" t="s">
        <v>25</v>
      </c>
      <c r="B3" t="s">
        <v>1041</v>
      </c>
      <c r="C3">
        <v>2</v>
      </c>
      <c r="D3">
        <v>7</v>
      </c>
      <c r="E3" s="11">
        <v>360000000</v>
      </c>
      <c r="F3" s="11">
        <v>50000000</v>
      </c>
      <c r="G3" s="11">
        <v>0.13900000000000001</v>
      </c>
      <c r="H3" s="11"/>
      <c r="I3" s="11"/>
    </row>
    <row r="4" spans="1:9" x14ac:dyDescent="0.2">
      <c r="A4" t="s">
        <v>25</v>
      </c>
      <c r="B4" t="s">
        <v>1041</v>
      </c>
      <c r="C4">
        <v>3</v>
      </c>
      <c r="D4">
        <v>7</v>
      </c>
      <c r="E4" s="11">
        <v>400000000</v>
      </c>
      <c r="F4" s="11">
        <v>54000000</v>
      </c>
      <c r="G4" s="11">
        <v>0.13500000000000001</v>
      </c>
      <c r="H4" s="11"/>
      <c r="I4" s="11"/>
    </row>
    <row r="5" spans="1:9" x14ac:dyDescent="0.2">
      <c r="A5" t="s">
        <v>25</v>
      </c>
      <c r="B5" t="s">
        <v>1041</v>
      </c>
      <c r="C5">
        <v>1</v>
      </c>
      <c r="D5">
        <v>2</v>
      </c>
      <c r="E5" s="40">
        <v>647000000</v>
      </c>
      <c r="F5" s="40">
        <v>83100000</v>
      </c>
      <c r="G5" s="11">
        <v>0.12843894899536321</v>
      </c>
    </row>
    <row r="6" spans="1:9" x14ac:dyDescent="0.2">
      <c r="A6" t="s">
        <v>25</v>
      </c>
      <c r="B6" t="s">
        <v>1041</v>
      </c>
      <c r="C6">
        <v>2</v>
      </c>
      <c r="D6">
        <v>2</v>
      </c>
      <c r="E6" s="40">
        <v>647000000</v>
      </c>
      <c r="F6" s="40">
        <v>157000000</v>
      </c>
      <c r="G6" s="11">
        <v>0.24265842349304481</v>
      </c>
    </row>
    <row r="7" spans="1:9" x14ac:dyDescent="0.2">
      <c r="A7" t="s">
        <v>25</v>
      </c>
      <c r="B7" t="s">
        <v>1041</v>
      </c>
      <c r="C7">
        <v>3</v>
      </c>
      <c r="D7">
        <v>2</v>
      </c>
      <c r="E7" s="40">
        <v>307000000</v>
      </c>
      <c r="F7" s="40">
        <v>36900000</v>
      </c>
      <c r="G7" s="11">
        <v>0.12019543973941368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311E-37A7-9A47-8D65-B46DFE0C9792}">
  <dimension ref="A1:E37"/>
  <sheetViews>
    <sheetView workbookViewId="0">
      <selection activeCell="B20" sqref="B20:B37"/>
    </sheetView>
  </sheetViews>
  <sheetFormatPr baseColWidth="10" defaultRowHeight="16" x14ac:dyDescent="0.2"/>
  <cols>
    <col min="2" max="2" width="16.6640625" bestFit="1" customWidth="1"/>
  </cols>
  <sheetData>
    <row r="1" spans="1:5" s="7" customFormat="1" x14ac:dyDescent="0.2">
      <c r="A1" s="7" t="s">
        <v>37</v>
      </c>
      <c r="B1" s="7" t="s">
        <v>1250</v>
      </c>
      <c r="C1" s="7" t="s">
        <v>1248</v>
      </c>
      <c r="D1" s="7" t="s">
        <v>6</v>
      </c>
      <c r="E1" s="7" t="s">
        <v>1249</v>
      </c>
    </row>
    <row r="2" spans="1:5" x14ac:dyDescent="0.2">
      <c r="A2" t="s">
        <v>17</v>
      </c>
      <c r="B2" t="s">
        <v>949</v>
      </c>
      <c r="C2" t="s">
        <v>26</v>
      </c>
      <c r="D2">
        <v>1</v>
      </c>
      <c r="E2">
        <v>0.78</v>
      </c>
    </row>
    <row r="3" spans="1:5" x14ac:dyDescent="0.2">
      <c r="A3" t="s">
        <v>17</v>
      </c>
      <c r="B3" t="s">
        <v>949</v>
      </c>
      <c r="C3" t="s">
        <v>26</v>
      </c>
      <c r="D3">
        <v>2</v>
      </c>
      <c r="E3">
        <v>0.39</v>
      </c>
    </row>
    <row r="4" spans="1:5" x14ac:dyDescent="0.2">
      <c r="A4" t="s">
        <v>17</v>
      </c>
      <c r="B4" t="s">
        <v>949</v>
      </c>
      <c r="C4" t="s">
        <v>26</v>
      </c>
      <c r="D4">
        <v>3</v>
      </c>
      <c r="E4">
        <v>3.12</v>
      </c>
    </row>
    <row r="5" spans="1:5" x14ac:dyDescent="0.2">
      <c r="A5" t="s">
        <v>17</v>
      </c>
      <c r="B5" t="s">
        <v>949</v>
      </c>
      <c r="C5" t="s">
        <v>947</v>
      </c>
      <c r="D5">
        <v>1</v>
      </c>
      <c r="E5">
        <v>0.78</v>
      </c>
    </row>
    <row r="6" spans="1:5" x14ac:dyDescent="0.2">
      <c r="A6" t="s">
        <v>17</v>
      </c>
      <c r="B6" t="s">
        <v>949</v>
      </c>
      <c r="C6" t="s">
        <v>947</v>
      </c>
      <c r="D6">
        <v>2</v>
      </c>
      <c r="E6">
        <v>0.78</v>
      </c>
    </row>
    <row r="7" spans="1:5" x14ac:dyDescent="0.2">
      <c r="A7" t="s">
        <v>17</v>
      </c>
      <c r="B7" t="s">
        <v>949</v>
      </c>
      <c r="C7" t="s">
        <v>947</v>
      </c>
      <c r="D7">
        <v>3</v>
      </c>
      <c r="E7">
        <v>1.56</v>
      </c>
    </row>
    <row r="8" spans="1:5" x14ac:dyDescent="0.2">
      <c r="A8" t="s">
        <v>17</v>
      </c>
      <c r="B8" t="s">
        <v>1041</v>
      </c>
      <c r="C8" t="s">
        <v>26</v>
      </c>
      <c r="D8">
        <v>1</v>
      </c>
      <c r="E8">
        <v>0.78</v>
      </c>
    </row>
    <row r="9" spans="1:5" x14ac:dyDescent="0.2">
      <c r="A9" t="s">
        <v>17</v>
      </c>
      <c r="B9" t="s">
        <v>1041</v>
      </c>
      <c r="C9" t="s">
        <v>26</v>
      </c>
      <c r="D9">
        <v>2</v>
      </c>
      <c r="E9">
        <v>0.78</v>
      </c>
    </row>
    <row r="10" spans="1:5" x14ac:dyDescent="0.2">
      <c r="A10" t="s">
        <v>17</v>
      </c>
      <c r="B10" t="s">
        <v>1041</v>
      </c>
      <c r="C10" t="s">
        <v>26</v>
      </c>
      <c r="D10">
        <v>3</v>
      </c>
      <c r="E10">
        <v>0.78</v>
      </c>
    </row>
    <row r="11" spans="1:5" x14ac:dyDescent="0.2">
      <c r="A11" t="s">
        <v>17</v>
      </c>
      <c r="B11" t="s">
        <v>1041</v>
      </c>
      <c r="C11" t="s">
        <v>947</v>
      </c>
      <c r="D11">
        <v>1</v>
      </c>
      <c r="E11">
        <v>0.78</v>
      </c>
    </row>
    <row r="12" spans="1:5" x14ac:dyDescent="0.2">
      <c r="A12" t="s">
        <v>17</v>
      </c>
      <c r="B12" t="s">
        <v>1041</v>
      </c>
      <c r="C12" t="s">
        <v>947</v>
      </c>
      <c r="D12">
        <v>2</v>
      </c>
      <c r="E12">
        <v>0.78</v>
      </c>
    </row>
    <row r="13" spans="1:5" x14ac:dyDescent="0.2">
      <c r="A13" t="s">
        <v>17</v>
      </c>
      <c r="B13" t="s">
        <v>1041</v>
      </c>
      <c r="C13" t="s">
        <v>947</v>
      </c>
      <c r="D13">
        <v>3</v>
      </c>
      <c r="E13">
        <v>0.78</v>
      </c>
    </row>
    <row r="14" spans="1:5" x14ac:dyDescent="0.2">
      <c r="A14" t="s">
        <v>17</v>
      </c>
      <c r="B14" t="s">
        <v>20</v>
      </c>
      <c r="C14" t="s">
        <v>26</v>
      </c>
      <c r="D14">
        <v>1</v>
      </c>
      <c r="E14">
        <v>0.78</v>
      </c>
    </row>
    <row r="15" spans="1:5" x14ac:dyDescent="0.2">
      <c r="A15" t="s">
        <v>17</v>
      </c>
      <c r="B15" t="s">
        <v>20</v>
      </c>
      <c r="C15" t="s">
        <v>26</v>
      </c>
      <c r="D15">
        <v>2</v>
      </c>
      <c r="E15">
        <v>0.78</v>
      </c>
    </row>
    <row r="16" spans="1:5" x14ac:dyDescent="0.2">
      <c r="A16" t="s">
        <v>17</v>
      </c>
      <c r="B16" t="s">
        <v>20</v>
      </c>
      <c r="C16" t="s">
        <v>26</v>
      </c>
      <c r="D16">
        <v>3</v>
      </c>
      <c r="E16">
        <v>0.78</v>
      </c>
    </row>
    <row r="17" spans="1:5" x14ac:dyDescent="0.2">
      <c r="A17" t="s">
        <v>17</v>
      </c>
      <c r="B17" t="s">
        <v>20</v>
      </c>
      <c r="C17" t="s">
        <v>947</v>
      </c>
      <c r="D17">
        <v>1</v>
      </c>
      <c r="E17">
        <v>0.78</v>
      </c>
    </row>
    <row r="18" spans="1:5" x14ac:dyDescent="0.2">
      <c r="A18" t="s">
        <v>17</v>
      </c>
      <c r="B18" t="s">
        <v>20</v>
      </c>
      <c r="C18" t="s">
        <v>947</v>
      </c>
      <c r="D18">
        <v>2</v>
      </c>
      <c r="E18">
        <v>0.78</v>
      </c>
    </row>
    <row r="19" spans="1:5" x14ac:dyDescent="0.2">
      <c r="A19" t="s">
        <v>17</v>
      </c>
      <c r="B19" t="s">
        <v>20</v>
      </c>
      <c r="C19" t="s">
        <v>947</v>
      </c>
      <c r="D19">
        <v>3</v>
      </c>
      <c r="E19">
        <v>0.78</v>
      </c>
    </row>
    <row r="20" spans="1:5" x14ac:dyDescent="0.2">
      <c r="A20" t="s">
        <v>18</v>
      </c>
      <c r="B20" t="s">
        <v>949</v>
      </c>
      <c r="C20" t="s">
        <v>26</v>
      </c>
      <c r="D20">
        <v>1</v>
      </c>
      <c r="E20">
        <v>0.39</v>
      </c>
    </row>
    <row r="21" spans="1:5" x14ac:dyDescent="0.2">
      <c r="A21" t="s">
        <v>18</v>
      </c>
      <c r="B21" t="s">
        <v>949</v>
      </c>
      <c r="C21" t="s">
        <v>26</v>
      </c>
      <c r="D21">
        <v>2</v>
      </c>
      <c r="E21">
        <v>0.78</v>
      </c>
    </row>
    <row r="22" spans="1:5" x14ac:dyDescent="0.2">
      <c r="A22" t="s">
        <v>18</v>
      </c>
      <c r="B22" t="s">
        <v>949</v>
      </c>
      <c r="C22" t="s">
        <v>26</v>
      </c>
      <c r="D22">
        <v>3</v>
      </c>
      <c r="E22">
        <v>0.78</v>
      </c>
    </row>
    <row r="23" spans="1:5" x14ac:dyDescent="0.2">
      <c r="A23" t="s">
        <v>18</v>
      </c>
      <c r="B23" t="s">
        <v>949</v>
      </c>
      <c r="C23" t="s">
        <v>947</v>
      </c>
      <c r="D23">
        <v>1</v>
      </c>
      <c r="E23">
        <v>0.78</v>
      </c>
    </row>
    <row r="24" spans="1:5" x14ac:dyDescent="0.2">
      <c r="A24" t="s">
        <v>18</v>
      </c>
      <c r="B24" t="s">
        <v>949</v>
      </c>
      <c r="C24" t="s">
        <v>947</v>
      </c>
      <c r="D24">
        <v>2</v>
      </c>
      <c r="E24">
        <v>0.78</v>
      </c>
    </row>
    <row r="25" spans="1:5" x14ac:dyDescent="0.2">
      <c r="A25" t="s">
        <v>18</v>
      </c>
      <c r="B25" t="s">
        <v>949</v>
      </c>
      <c r="C25" t="s">
        <v>947</v>
      </c>
      <c r="D25">
        <v>3</v>
      </c>
      <c r="E25">
        <v>0.78</v>
      </c>
    </row>
    <row r="26" spans="1:5" x14ac:dyDescent="0.2">
      <c r="A26" t="s">
        <v>18</v>
      </c>
      <c r="B26" t="s">
        <v>1041</v>
      </c>
      <c r="C26" t="s">
        <v>26</v>
      </c>
      <c r="D26">
        <v>1</v>
      </c>
      <c r="E26">
        <v>0.39</v>
      </c>
    </row>
    <row r="27" spans="1:5" x14ac:dyDescent="0.2">
      <c r="A27" t="s">
        <v>18</v>
      </c>
      <c r="B27" t="s">
        <v>1041</v>
      </c>
      <c r="C27" t="s">
        <v>26</v>
      </c>
      <c r="D27">
        <v>2</v>
      </c>
      <c r="E27">
        <v>0.78</v>
      </c>
    </row>
    <row r="28" spans="1:5" x14ac:dyDescent="0.2">
      <c r="A28" t="s">
        <v>18</v>
      </c>
      <c r="B28" t="s">
        <v>1041</v>
      </c>
      <c r="C28" t="s">
        <v>26</v>
      </c>
      <c r="D28">
        <v>3</v>
      </c>
      <c r="E28">
        <v>0.78</v>
      </c>
    </row>
    <row r="29" spans="1:5" x14ac:dyDescent="0.2">
      <c r="A29" t="s">
        <v>18</v>
      </c>
      <c r="B29" t="s">
        <v>1041</v>
      </c>
      <c r="C29" t="s">
        <v>947</v>
      </c>
      <c r="D29">
        <v>1</v>
      </c>
      <c r="E29">
        <v>0.78</v>
      </c>
    </row>
    <row r="30" spans="1:5" x14ac:dyDescent="0.2">
      <c r="A30" t="s">
        <v>18</v>
      </c>
      <c r="B30" t="s">
        <v>1041</v>
      </c>
      <c r="C30" t="s">
        <v>947</v>
      </c>
      <c r="D30">
        <v>2</v>
      </c>
      <c r="E30">
        <v>0.78</v>
      </c>
    </row>
    <row r="31" spans="1:5" x14ac:dyDescent="0.2">
      <c r="A31" t="s">
        <v>18</v>
      </c>
      <c r="B31" t="s">
        <v>1041</v>
      </c>
      <c r="C31" t="s">
        <v>947</v>
      </c>
      <c r="D31">
        <v>3</v>
      </c>
      <c r="E31">
        <v>0.78</v>
      </c>
    </row>
    <row r="32" spans="1:5" x14ac:dyDescent="0.2">
      <c r="A32" t="s">
        <v>18</v>
      </c>
      <c r="B32" t="s">
        <v>20</v>
      </c>
      <c r="C32" t="s">
        <v>26</v>
      </c>
      <c r="D32">
        <v>1</v>
      </c>
      <c r="E32">
        <v>0.78</v>
      </c>
    </row>
    <row r="33" spans="1:5" x14ac:dyDescent="0.2">
      <c r="A33" t="s">
        <v>18</v>
      </c>
      <c r="B33" t="s">
        <v>20</v>
      </c>
      <c r="C33" t="s">
        <v>26</v>
      </c>
      <c r="D33">
        <v>2</v>
      </c>
      <c r="E33">
        <v>0.39</v>
      </c>
    </row>
    <row r="34" spans="1:5" x14ac:dyDescent="0.2">
      <c r="A34" t="s">
        <v>18</v>
      </c>
      <c r="B34" t="s">
        <v>20</v>
      </c>
      <c r="C34" t="s">
        <v>26</v>
      </c>
      <c r="D34">
        <v>3</v>
      </c>
      <c r="E34">
        <v>1.56</v>
      </c>
    </row>
    <row r="35" spans="1:5" x14ac:dyDescent="0.2">
      <c r="A35" t="s">
        <v>18</v>
      </c>
      <c r="B35" t="s">
        <v>20</v>
      </c>
      <c r="C35" t="s">
        <v>947</v>
      </c>
      <c r="D35">
        <v>1</v>
      </c>
      <c r="E35">
        <v>0.78</v>
      </c>
    </row>
    <row r="36" spans="1:5" x14ac:dyDescent="0.2">
      <c r="A36" t="s">
        <v>18</v>
      </c>
      <c r="B36" t="s">
        <v>20</v>
      </c>
      <c r="C36" t="s">
        <v>947</v>
      </c>
      <c r="D36">
        <v>2</v>
      </c>
      <c r="E36">
        <v>0.78</v>
      </c>
    </row>
    <row r="37" spans="1:5" x14ac:dyDescent="0.2">
      <c r="A37" t="s">
        <v>18</v>
      </c>
      <c r="B37" t="s">
        <v>20</v>
      </c>
      <c r="C37" t="s">
        <v>947</v>
      </c>
      <c r="D37">
        <v>3</v>
      </c>
      <c r="E37">
        <v>0.78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B8DB-CB49-6E4C-A28A-9100E0DF1D7A}">
  <dimension ref="A1:E8"/>
  <sheetViews>
    <sheetView workbookViewId="0">
      <selection sqref="A1:A8"/>
    </sheetView>
  </sheetViews>
  <sheetFormatPr baseColWidth="10" defaultRowHeight="16" x14ac:dyDescent="0.2"/>
  <cols>
    <col min="1" max="1" width="15.1640625" bestFit="1" customWidth="1"/>
    <col min="2" max="2" width="9.83203125" bestFit="1" customWidth="1"/>
    <col min="3" max="3" width="32" bestFit="1" customWidth="1"/>
    <col min="5" max="5" width="12.83203125" bestFit="1" customWidth="1"/>
  </cols>
  <sheetData>
    <row r="1" spans="1:5" s="7" customFormat="1" x14ac:dyDescent="0.2">
      <c r="A1" s="7" t="s">
        <v>1251</v>
      </c>
      <c r="B1" s="7" t="s">
        <v>1262</v>
      </c>
      <c r="C1" s="7" t="s">
        <v>1252</v>
      </c>
      <c r="D1" s="7" t="s">
        <v>1253</v>
      </c>
      <c r="E1" s="7" t="s">
        <v>1254</v>
      </c>
    </row>
    <row r="2" spans="1:5" x14ac:dyDescent="0.2">
      <c r="A2" t="s">
        <v>1255</v>
      </c>
      <c r="B2">
        <v>80.150000000000006</v>
      </c>
      <c r="C2">
        <v>122</v>
      </c>
      <c r="D2">
        <v>1.9039035266901601</v>
      </c>
      <c r="E2">
        <v>2.0863598306747502</v>
      </c>
    </row>
    <row r="3" spans="1:5" x14ac:dyDescent="0.2">
      <c r="A3" t="s">
        <v>1256</v>
      </c>
      <c r="B3">
        <v>40.33</v>
      </c>
      <c r="C3">
        <v>61</v>
      </c>
      <c r="D3">
        <v>1.6056282220076199</v>
      </c>
      <c r="E3">
        <v>1.78532983501077</v>
      </c>
    </row>
    <row r="4" spans="1:5" x14ac:dyDescent="0.2">
      <c r="A4" t="s">
        <v>1257</v>
      </c>
      <c r="B4">
        <v>20.14</v>
      </c>
      <c r="C4">
        <v>30.5</v>
      </c>
      <c r="D4">
        <v>1.3040594662175999</v>
      </c>
      <c r="E4">
        <v>1.4842998393467901</v>
      </c>
    </row>
    <row r="5" spans="1:5" x14ac:dyDescent="0.2">
      <c r="A5" t="s">
        <v>1258</v>
      </c>
      <c r="B5">
        <v>10.09</v>
      </c>
      <c r="C5">
        <v>15.25</v>
      </c>
      <c r="D5">
        <v>1.0038911662369101</v>
      </c>
      <c r="E5">
        <v>1.1832698436828</v>
      </c>
    </row>
    <row r="6" spans="1:5" x14ac:dyDescent="0.2">
      <c r="A6" t="s">
        <v>1259</v>
      </c>
      <c r="B6">
        <v>5.0599999999999996</v>
      </c>
      <c r="C6">
        <v>7.625</v>
      </c>
      <c r="D6">
        <v>0.70415051683979901</v>
      </c>
      <c r="E6">
        <v>0.88223984801882305</v>
      </c>
    </row>
    <row r="7" spans="1:5" x14ac:dyDescent="0.2">
      <c r="A7" t="s">
        <v>1260</v>
      </c>
      <c r="B7">
        <v>2.37</v>
      </c>
      <c r="C7">
        <v>3.8125</v>
      </c>
      <c r="D7">
        <v>0.37474834601010398</v>
      </c>
      <c r="E7">
        <v>0.58120985235484202</v>
      </c>
    </row>
    <row r="8" spans="1:5" x14ac:dyDescent="0.2">
      <c r="A8" t="s">
        <v>1261</v>
      </c>
      <c r="B8">
        <v>1.18</v>
      </c>
      <c r="C8">
        <v>1.90625</v>
      </c>
      <c r="D8">
        <v>7.1882007306125401E-2</v>
      </c>
      <c r="E8">
        <v>0.28017985669086098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183D-18FA-694B-88DE-C02E9C1FA000}">
  <dimension ref="A1:C7"/>
  <sheetViews>
    <sheetView zoomScale="174" workbookViewId="0">
      <selection activeCell="A2" sqref="A2:A7"/>
    </sheetView>
  </sheetViews>
  <sheetFormatPr baseColWidth="10" defaultRowHeight="16" x14ac:dyDescent="0.2"/>
  <cols>
    <col min="1" max="1" width="17.1640625" bestFit="1" customWidth="1"/>
    <col min="2" max="2" width="26.1640625" bestFit="1" customWidth="1"/>
    <col min="3" max="3" width="38.33203125" bestFit="1" customWidth="1"/>
  </cols>
  <sheetData>
    <row r="1" spans="1:3" x14ac:dyDescent="0.2">
      <c r="A1" s="7" t="s">
        <v>1251</v>
      </c>
      <c r="B1" t="s">
        <v>1264</v>
      </c>
      <c r="C1" t="s">
        <v>1263</v>
      </c>
    </row>
    <row r="2" spans="1:3" x14ac:dyDescent="0.2">
      <c r="A2" t="s">
        <v>1265</v>
      </c>
      <c r="B2">
        <v>1.7343749999999991</v>
      </c>
      <c r="C2">
        <v>0.47969999999999979</v>
      </c>
    </row>
    <row r="3" spans="1:3" x14ac:dyDescent="0.2">
      <c r="A3" t="s">
        <v>1266</v>
      </c>
      <c r="B3">
        <v>0.86718800000000007</v>
      </c>
      <c r="C3">
        <v>0.2407</v>
      </c>
    </row>
    <row r="4" spans="1:3" x14ac:dyDescent="0.2">
      <c r="A4" t="s">
        <v>1267</v>
      </c>
      <c r="B4">
        <v>0.4335939999999997</v>
      </c>
      <c r="C4">
        <v>0.11549999999999994</v>
      </c>
    </row>
    <row r="5" spans="1:3" x14ac:dyDescent="0.2">
      <c r="A5" t="s">
        <v>1268</v>
      </c>
      <c r="B5">
        <v>0.21679699999999993</v>
      </c>
      <c r="C5">
        <v>5.1499999999999872E-2</v>
      </c>
    </row>
    <row r="6" spans="1:3" x14ac:dyDescent="0.2">
      <c r="A6" t="s">
        <v>1269</v>
      </c>
      <c r="B6">
        <v>0.10839799999999999</v>
      </c>
      <c r="C6">
        <v>2.819999999999992E-2</v>
      </c>
    </row>
    <row r="7" spans="1:3" x14ac:dyDescent="0.2">
      <c r="A7" t="s">
        <v>1270</v>
      </c>
      <c r="B7">
        <v>5.4199000000000254E-2</v>
      </c>
      <c r="C7">
        <v>1.7700000000000136E-2</v>
      </c>
    </row>
  </sheetData>
  <phoneticPr fontId="9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1A9B-BC83-A84D-B3D8-03970E4DB55F}">
  <dimension ref="A1:D13"/>
  <sheetViews>
    <sheetView workbookViewId="0">
      <selection activeCell="P31" sqref="P31"/>
    </sheetView>
  </sheetViews>
  <sheetFormatPr baseColWidth="10" defaultRowHeight="16" x14ac:dyDescent="0.2"/>
  <cols>
    <col min="2" max="2" width="13.5" bestFit="1" customWidth="1"/>
    <col min="3" max="4" width="16.33203125" bestFit="1" customWidth="1"/>
  </cols>
  <sheetData>
    <row r="1" spans="1:4" x14ac:dyDescent="0.2">
      <c r="A1" s="7" t="s">
        <v>1271</v>
      </c>
      <c r="B1" s="7" t="s">
        <v>6</v>
      </c>
      <c r="C1" s="7" t="s">
        <v>29</v>
      </c>
      <c r="D1" s="7" t="s">
        <v>1272</v>
      </c>
    </row>
    <row r="2" spans="1:4" x14ac:dyDescent="0.2">
      <c r="A2">
        <v>1</v>
      </c>
      <c r="B2">
        <v>1</v>
      </c>
      <c r="C2" t="s">
        <v>25</v>
      </c>
      <c r="D2">
        <v>12082</v>
      </c>
    </row>
    <row r="3" spans="1:4" x14ac:dyDescent="0.2">
      <c r="A3">
        <v>2</v>
      </c>
      <c r="B3">
        <v>2</v>
      </c>
      <c r="C3" t="s">
        <v>25</v>
      </c>
      <c r="D3">
        <v>10835</v>
      </c>
    </row>
    <row r="4" spans="1:4" x14ac:dyDescent="0.2">
      <c r="A4">
        <v>3</v>
      </c>
      <c r="B4">
        <v>3</v>
      </c>
      <c r="C4" t="s">
        <v>25</v>
      </c>
      <c r="D4">
        <v>12724</v>
      </c>
    </row>
    <row r="5" spans="1:4" x14ac:dyDescent="0.2">
      <c r="A5">
        <v>4</v>
      </c>
      <c r="B5">
        <v>1</v>
      </c>
      <c r="C5" t="s">
        <v>26</v>
      </c>
      <c r="D5">
        <v>12760</v>
      </c>
    </row>
    <row r="6" spans="1:4" x14ac:dyDescent="0.2">
      <c r="A6">
        <v>5</v>
      </c>
      <c r="B6">
        <v>2</v>
      </c>
      <c r="C6" t="s">
        <v>26</v>
      </c>
      <c r="D6">
        <v>13148</v>
      </c>
    </row>
    <row r="7" spans="1:4" x14ac:dyDescent="0.2">
      <c r="A7">
        <v>6</v>
      </c>
      <c r="B7">
        <v>3</v>
      </c>
      <c r="C7" t="s">
        <v>26</v>
      </c>
      <c r="D7">
        <v>11447</v>
      </c>
    </row>
    <row r="8" spans="1:4" x14ac:dyDescent="0.2">
      <c r="A8">
        <v>7</v>
      </c>
      <c r="B8">
        <v>1</v>
      </c>
      <c r="C8" t="s">
        <v>947</v>
      </c>
      <c r="D8">
        <v>12964</v>
      </c>
    </row>
    <row r="9" spans="1:4" x14ac:dyDescent="0.2">
      <c r="A9">
        <v>8</v>
      </c>
      <c r="B9">
        <v>2</v>
      </c>
      <c r="C9" t="s">
        <v>947</v>
      </c>
      <c r="D9">
        <v>14696</v>
      </c>
    </row>
    <row r="10" spans="1:4" x14ac:dyDescent="0.2">
      <c r="A10">
        <v>9</v>
      </c>
      <c r="B10">
        <v>3</v>
      </c>
      <c r="C10" t="s">
        <v>947</v>
      </c>
      <c r="D10">
        <v>16563</v>
      </c>
    </row>
    <row r="11" spans="1:4" x14ac:dyDescent="0.2">
      <c r="A11">
        <v>10</v>
      </c>
      <c r="B11">
        <v>1</v>
      </c>
      <c r="C11" t="s">
        <v>2</v>
      </c>
      <c r="D11">
        <v>16995</v>
      </c>
    </row>
    <row r="12" spans="1:4" x14ac:dyDescent="0.2">
      <c r="A12">
        <v>11</v>
      </c>
      <c r="B12">
        <v>2</v>
      </c>
      <c r="C12" t="s">
        <v>2</v>
      </c>
      <c r="D12">
        <v>18175</v>
      </c>
    </row>
    <row r="13" spans="1:4" x14ac:dyDescent="0.2">
      <c r="A13">
        <v>12</v>
      </c>
      <c r="B13">
        <v>3</v>
      </c>
      <c r="C13" t="s">
        <v>2</v>
      </c>
      <c r="D13">
        <v>17773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C2E9-A7E0-7F4B-87E5-4CD1C57F1B73}">
  <dimension ref="A1:E16"/>
  <sheetViews>
    <sheetView zoomScale="133" workbookViewId="0">
      <selection activeCell="D12" sqref="D12"/>
    </sheetView>
  </sheetViews>
  <sheetFormatPr baseColWidth="10" defaultRowHeight="16" x14ac:dyDescent="0.2"/>
  <cols>
    <col min="2" max="2" width="12.6640625" bestFit="1" customWidth="1"/>
    <col min="3" max="3" width="18.5" bestFit="1" customWidth="1"/>
    <col min="5" max="5" width="19.6640625" bestFit="1" customWidth="1"/>
  </cols>
  <sheetData>
    <row r="1" spans="1:5" x14ac:dyDescent="0.2">
      <c r="A1" s="7" t="s">
        <v>37</v>
      </c>
      <c r="B1" s="7" t="s">
        <v>0</v>
      </c>
      <c r="C1" s="7" t="s">
        <v>1278</v>
      </c>
      <c r="D1" s="7" t="s">
        <v>6</v>
      </c>
      <c r="E1" s="7" t="s">
        <v>1279</v>
      </c>
    </row>
    <row r="2" spans="1:5" x14ac:dyDescent="0.2">
      <c r="A2" t="s">
        <v>17</v>
      </c>
      <c r="B2" t="s">
        <v>1041</v>
      </c>
      <c r="C2" t="s">
        <v>961</v>
      </c>
      <c r="D2">
        <v>1</v>
      </c>
      <c r="E2">
        <v>0.18149999999999999</v>
      </c>
    </row>
    <row r="3" spans="1:5" x14ac:dyDescent="0.2">
      <c r="A3" t="s">
        <v>17</v>
      </c>
      <c r="B3" t="s">
        <v>1041</v>
      </c>
      <c r="C3" t="s">
        <v>961</v>
      </c>
      <c r="D3">
        <v>2</v>
      </c>
      <c r="E3">
        <v>0.1704</v>
      </c>
    </row>
    <row r="4" spans="1:5" x14ac:dyDescent="0.2">
      <c r="A4" t="s">
        <v>17</v>
      </c>
      <c r="B4" t="s">
        <v>1041</v>
      </c>
      <c r="C4" t="s">
        <v>961</v>
      </c>
      <c r="D4">
        <v>3</v>
      </c>
      <c r="E4">
        <v>0.1729</v>
      </c>
    </row>
    <row r="5" spans="1:5" x14ac:dyDescent="0.2">
      <c r="A5" t="s">
        <v>17</v>
      </c>
      <c r="B5" t="s">
        <v>1041</v>
      </c>
      <c r="C5" t="s">
        <v>963</v>
      </c>
      <c r="D5">
        <v>1</v>
      </c>
      <c r="E5">
        <v>0.23306437999999999</v>
      </c>
    </row>
    <row r="6" spans="1:5" x14ac:dyDescent="0.2">
      <c r="A6" t="s">
        <v>17</v>
      </c>
      <c r="B6" t="s">
        <v>1041</v>
      </c>
      <c r="C6" t="s">
        <v>963</v>
      </c>
      <c r="D6">
        <v>2</v>
      </c>
      <c r="E6">
        <v>0.23194215000000001</v>
      </c>
    </row>
    <row r="7" spans="1:5" x14ac:dyDescent="0.2">
      <c r="A7" t="s">
        <v>17</v>
      </c>
      <c r="B7" t="s">
        <v>1041</v>
      </c>
      <c r="C7" t="s">
        <v>963</v>
      </c>
      <c r="D7">
        <v>3</v>
      </c>
      <c r="E7">
        <v>0.18865939000000001</v>
      </c>
    </row>
    <row r="8" spans="1:5" x14ac:dyDescent="0.2">
      <c r="A8" t="s">
        <v>17</v>
      </c>
      <c r="B8" t="s">
        <v>1041</v>
      </c>
      <c r="C8" t="s">
        <v>965</v>
      </c>
      <c r="D8">
        <v>1</v>
      </c>
      <c r="E8">
        <v>0.17294524999999999</v>
      </c>
    </row>
    <row r="9" spans="1:5" x14ac:dyDescent="0.2">
      <c r="A9" t="s">
        <v>17</v>
      </c>
      <c r="B9" t="s">
        <v>1041</v>
      </c>
      <c r="C9" t="s">
        <v>965</v>
      </c>
      <c r="D9">
        <v>2</v>
      </c>
      <c r="E9">
        <v>0.17239618000000001</v>
      </c>
    </row>
    <row r="10" spans="1:5" x14ac:dyDescent="0.2">
      <c r="A10" t="s">
        <v>17</v>
      </c>
      <c r="B10" t="s">
        <v>1041</v>
      </c>
      <c r="C10" t="s">
        <v>965</v>
      </c>
      <c r="D10">
        <v>3</v>
      </c>
      <c r="E10">
        <v>0.17527229999999999</v>
      </c>
    </row>
    <row r="11" spans="1:5" x14ac:dyDescent="0.2">
      <c r="A11" t="s">
        <v>17</v>
      </c>
      <c r="B11" t="s">
        <v>1041</v>
      </c>
      <c r="C11" t="s">
        <v>962</v>
      </c>
      <c r="D11">
        <v>1</v>
      </c>
      <c r="E11">
        <v>0.17936909000000001</v>
      </c>
    </row>
    <row r="12" spans="1:5" x14ac:dyDescent="0.2">
      <c r="A12" t="s">
        <v>17</v>
      </c>
      <c r="B12" t="s">
        <v>1041</v>
      </c>
      <c r="C12" t="s">
        <v>962</v>
      </c>
      <c r="D12">
        <v>2</v>
      </c>
      <c r="E12">
        <v>0.17813358000000001</v>
      </c>
    </row>
    <row r="13" spans="1:5" x14ac:dyDescent="0.2">
      <c r="A13" t="s">
        <v>17</v>
      </c>
      <c r="B13" t="s">
        <v>1041</v>
      </c>
      <c r="C13" t="s">
        <v>962</v>
      </c>
      <c r="D13">
        <v>3</v>
      </c>
      <c r="E13">
        <v>0.17908165000000001</v>
      </c>
    </row>
    <row r="14" spans="1:5" x14ac:dyDescent="0.2">
      <c r="A14" t="s">
        <v>17</v>
      </c>
      <c r="B14" t="s">
        <v>1041</v>
      </c>
      <c r="C14" t="s">
        <v>964</v>
      </c>
      <c r="D14">
        <v>1</v>
      </c>
      <c r="E14">
        <v>0.15745999999999999</v>
      </c>
    </row>
    <row r="15" spans="1:5" x14ac:dyDescent="0.2">
      <c r="A15" t="s">
        <v>17</v>
      </c>
      <c r="B15" t="s">
        <v>1041</v>
      </c>
      <c r="C15" t="s">
        <v>964</v>
      </c>
      <c r="D15">
        <v>2</v>
      </c>
      <c r="E15">
        <v>0.16737299999999999</v>
      </c>
    </row>
    <row r="16" spans="1:5" x14ac:dyDescent="0.2">
      <c r="A16" t="s">
        <v>17</v>
      </c>
      <c r="B16" t="s">
        <v>1041</v>
      </c>
      <c r="C16" t="s">
        <v>964</v>
      </c>
      <c r="D16">
        <v>3</v>
      </c>
      <c r="E16">
        <v>0.18156700000000001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1E78-8705-B244-AC2B-4577EA7AE731}">
  <dimension ref="A1:E17"/>
  <sheetViews>
    <sheetView zoomScale="211" workbookViewId="0">
      <selection activeCell="A3" sqref="A3:A17"/>
    </sheetView>
  </sheetViews>
  <sheetFormatPr baseColWidth="10" defaultRowHeight="16" x14ac:dyDescent="0.2"/>
  <cols>
    <col min="1" max="1" width="19.33203125" bestFit="1" customWidth="1"/>
    <col min="2" max="2" width="15" bestFit="1" customWidth="1"/>
  </cols>
  <sheetData>
    <row r="1" spans="1:5" x14ac:dyDescent="0.2">
      <c r="A1" s="7" t="s">
        <v>1273</v>
      </c>
      <c r="B1" s="7" t="s">
        <v>1274</v>
      </c>
      <c r="C1" s="7" t="s">
        <v>6</v>
      </c>
      <c r="D1" s="7" t="s">
        <v>1276</v>
      </c>
      <c r="E1" s="7" t="s">
        <v>1051</v>
      </c>
    </row>
    <row r="2" spans="1:5" x14ac:dyDescent="0.2">
      <c r="A2" t="s">
        <v>961</v>
      </c>
      <c r="B2" t="s">
        <v>1275</v>
      </c>
      <c r="C2">
        <v>1</v>
      </c>
      <c r="D2" t="s">
        <v>26</v>
      </c>
      <c r="E2">
        <v>0.78</v>
      </c>
    </row>
    <row r="3" spans="1:5" x14ac:dyDescent="0.2">
      <c r="A3" t="s">
        <v>961</v>
      </c>
      <c r="B3" t="s">
        <v>1275</v>
      </c>
      <c r="C3">
        <v>2</v>
      </c>
      <c r="D3" t="s">
        <v>26</v>
      </c>
      <c r="E3">
        <v>0.39</v>
      </c>
    </row>
    <row r="4" spans="1:5" x14ac:dyDescent="0.2">
      <c r="A4" t="s">
        <v>961</v>
      </c>
      <c r="B4" t="s">
        <v>1275</v>
      </c>
      <c r="C4">
        <v>1</v>
      </c>
      <c r="D4" t="s">
        <v>947</v>
      </c>
      <c r="E4">
        <v>3.125</v>
      </c>
    </row>
    <row r="5" spans="1:5" x14ac:dyDescent="0.2">
      <c r="A5" t="s">
        <v>961</v>
      </c>
      <c r="B5" t="s">
        <v>1275</v>
      </c>
      <c r="C5">
        <v>2</v>
      </c>
      <c r="D5" t="s">
        <v>947</v>
      </c>
      <c r="E5">
        <v>3.125</v>
      </c>
    </row>
    <row r="6" spans="1:5" x14ac:dyDescent="0.2">
      <c r="A6" t="s">
        <v>962</v>
      </c>
      <c r="B6" t="s">
        <v>1275</v>
      </c>
      <c r="C6">
        <v>1</v>
      </c>
      <c r="D6" t="s">
        <v>26</v>
      </c>
      <c r="E6">
        <v>0.78</v>
      </c>
    </row>
    <row r="7" spans="1:5" x14ac:dyDescent="0.2">
      <c r="A7" t="s">
        <v>962</v>
      </c>
      <c r="B7" t="s">
        <v>1275</v>
      </c>
      <c r="C7">
        <v>2</v>
      </c>
      <c r="D7" t="s">
        <v>26</v>
      </c>
      <c r="E7">
        <v>0.78</v>
      </c>
    </row>
    <row r="8" spans="1:5" x14ac:dyDescent="0.2">
      <c r="A8" t="s">
        <v>962</v>
      </c>
      <c r="B8" t="s">
        <v>1275</v>
      </c>
      <c r="C8">
        <v>1</v>
      </c>
      <c r="D8" t="s">
        <v>947</v>
      </c>
      <c r="E8">
        <v>3.125</v>
      </c>
    </row>
    <row r="9" spans="1:5" x14ac:dyDescent="0.2">
      <c r="A9" t="s">
        <v>962</v>
      </c>
      <c r="B9" t="s">
        <v>1275</v>
      </c>
      <c r="C9">
        <v>2</v>
      </c>
      <c r="D9" t="s">
        <v>947</v>
      </c>
      <c r="E9">
        <v>3.125</v>
      </c>
    </row>
    <row r="10" spans="1:5" x14ac:dyDescent="0.2">
      <c r="A10" t="s">
        <v>965</v>
      </c>
      <c r="B10" t="s">
        <v>1277</v>
      </c>
      <c r="C10">
        <v>1</v>
      </c>
      <c r="D10" t="s">
        <v>26</v>
      </c>
      <c r="E10">
        <v>0.78</v>
      </c>
    </row>
    <row r="11" spans="1:5" x14ac:dyDescent="0.2">
      <c r="A11" t="s">
        <v>965</v>
      </c>
      <c r="B11" t="s">
        <v>1277</v>
      </c>
      <c r="C11">
        <v>2</v>
      </c>
      <c r="D11" t="s">
        <v>26</v>
      </c>
      <c r="E11">
        <v>0.78</v>
      </c>
    </row>
    <row r="12" spans="1:5" x14ac:dyDescent="0.2">
      <c r="A12" t="s">
        <v>965</v>
      </c>
      <c r="B12" t="s">
        <v>1277</v>
      </c>
      <c r="C12">
        <v>1</v>
      </c>
      <c r="D12" t="s">
        <v>947</v>
      </c>
      <c r="E12">
        <v>3.125</v>
      </c>
    </row>
    <row r="13" spans="1:5" x14ac:dyDescent="0.2">
      <c r="A13" t="s">
        <v>965</v>
      </c>
      <c r="B13" t="s">
        <v>1277</v>
      </c>
      <c r="C13">
        <v>2</v>
      </c>
      <c r="D13" t="s">
        <v>947</v>
      </c>
      <c r="E13">
        <v>3.125</v>
      </c>
    </row>
    <row r="14" spans="1:5" x14ac:dyDescent="0.2">
      <c r="A14" t="s">
        <v>964</v>
      </c>
      <c r="B14" t="s">
        <v>1275</v>
      </c>
      <c r="C14">
        <v>1</v>
      </c>
      <c r="D14" t="s">
        <v>26</v>
      </c>
      <c r="E14">
        <v>0.78</v>
      </c>
    </row>
    <row r="15" spans="1:5" x14ac:dyDescent="0.2">
      <c r="A15" t="s">
        <v>964</v>
      </c>
      <c r="B15" t="s">
        <v>1275</v>
      </c>
      <c r="C15">
        <v>2</v>
      </c>
      <c r="D15" t="s">
        <v>26</v>
      </c>
      <c r="E15">
        <v>0.78</v>
      </c>
    </row>
    <row r="16" spans="1:5" x14ac:dyDescent="0.2">
      <c r="A16" t="s">
        <v>964</v>
      </c>
      <c r="B16" t="s">
        <v>1275</v>
      </c>
      <c r="C16">
        <v>1</v>
      </c>
      <c r="D16" t="s">
        <v>947</v>
      </c>
      <c r="E16">
        <v>3.125</v>
      </c>
    </row>
    <row r="17" spans="1:5" x14ac:dyDescent="0.2">
      <c r="A17" t="s">
        <v>964</v>
      </c>
      <c r="B17" t="s">
        <v>1275</v>
      </c>
      <c r="C17">
        <v>2</v>
      </c>
      <c r="D17" t="s">
        <v>947</v>
      </c>
      <c r="E17">
        <v>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Fig1B(i)</vt:lpstr>
      <vt:lpstr>Fig1B(ii)-1C,S3A-B</vt:lpstr>
      <vt:lpstr>Fig1D</vt:lpstr>
      <vt:lpstr>Fig2B,S6E_part1,S7B-C</vt:lpstr>
      <vt:lpstr>Fig3A_S8E</vt:lpstr>
      <vt:lpstr>Fig3B,S8H,S10AEFGI</vt:lpstr>
      <vt:lpstr>Fig3C</vt:lpstr>
      <vt:lpstr>Fig4A</vt:lpstr>
      <vt:lpstr>Fig4B_S10BJ</vt:lpstr>
      <vt:lpstr>FigS1B</vt:lpstr>
      <vt:lpstr>FigS1C</vt:lpstr>
      <vt:lpstr>FigS1D</vt:lpstr>
      <vt:lpstr>FigS1E</vt:lpstr>
      <vt:lpstr>FigS2A-B</vt:lpstr>
      <vt:lpstr>FigS2C</vt:lpstr>
      <vt:lpstr>FigS2D-E</vt:lpstr>
      <vt:lpstr>FigS2F</vt:lpstr>
      <vt:lpstr>FigS3C</vt:lpstr>
      <vt:lpstr>FigS4</vt:lpstr>
      <vt:lpstr>FigS5A</vt:lpstr>
      <vt:lpstr>FigS5B-C</vt:lpstr>
      <vt:lpstr>FigS5C</vt:lpstr>
      <vt:lpstr>FigS5D</vt:lpstr>
      <vt:lpstr>FigS6CD_S7A</vt:lpstr>
      <vt:lpstr>FigS6E_part2</vt:lpstr>
      <vt:lpstr>FigS7D</vt:lpstr>
      <vt:lpstr>FigS8A</vt:lpstr>
      <vt:lpstr>FigS8B_S9EF</vt:lpstr>
      <vt:lpstr>FigS8C</vt:lpstr>
      <vt:lpstr>FigS8D</vt:lpstr>
      <vt:lpstr>FigS8F</vt:lpstr>
      <vt:lpstr>FigS8G</vt:lpstr>
      <vt:lpstr>FigS8I</vt:lpstr>
      <vt:lpstr>FigS9B</vt:lpstr>
      <vt:lpstr>FigS9C_right</vt:lpstr>
      <vt:lpstr>FigS9D</vt:lpstr>
      <vt:lpstr>FigS10C</vt:lpstr>
      <vt:lpstr>FigS10D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Xianyi Xiong</dc:creator>
  <cp:lastModifiedBy>Xianyi Xiong</cp:lastModifiedBy>
  <dcterms:created xsi:type="dcterms:W3CDTF">2024-04-04T03:34:19Z</dcterms:created>
  <dcterms:modified xsi:type="dcterms:W3CDTF">2026-10-07T15:40:00Z</dcterms:modified>
</cp:coreProperties>
</file>